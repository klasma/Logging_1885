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45985</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45985</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45985</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45985</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45985</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45985</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45985</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45985</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45985</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45985</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50989-2023</t>
        </is>
      </c>
      <c r="B21" s="1" t="n">
        <v>45218</v>
      </c>
      <c r="C21" s="1" t="n">
        <v>45985</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49945-2025</t>
        </is>
      </c>
      <c r="B22" s="1" t="n">
        <v>45940.69754629629</v>
      </c>
      <c r="C22" s="1" t="n">
        <v>45985</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45985</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45985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45985</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45985</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42629-2025</t>
        </is>
      </c>
      <c r="B27" s="1" t="n">
        <v>45905.88938657408</v>
      </c>
      <c r="C27" s="1" t="n">
        <v>45985</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45985</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45985</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45985</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14807-2021</t>
        </is>
      </c>
      <c r="B31" s="1" t="n">
        <v>44280</v>
      </c>
      <c r="C31" s="1" t="n">
        <v>45985</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15687-2023</t>
        </is>
      </c>
      <c r="B32" s="1" t="n">
        <v>45021</v>
      </c>
      <c r="C32" s="1" t="n">
        <v>45985</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45985</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45985</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45985</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45985</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45985</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45985</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6192-2025</t>
        </is>
      </c>
      <c r="B39" s="1" t="n">
        <v>45698.46697916667</v>
      </c>
      <c r="C39" s="1" t="n">
        <v>45985</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58206-2023</t>
        </is>
      </c>
      <c r="B40" s="1" t="n">
        <v>45250</v>
      </c>
      <c r="C40" s="1" t="n">
        <v>45985</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30347-2025</t>
        </is>
      </c>
      <c r="B41" s="1" t="n">
        <v>45827.53077546296</v>
      </c>
      <c r="C41" s="1" t="n">
        <v>45985</v>
      </c>
      <c r="D41" t="inlineStr">
        <is>
          <t>ÖREBRO LÄN</t>
        </is>
      </c>
      <c r="E41" t="inlineStr">
        <is>
          <t>LINDESBERG</t>
        </is>
      </c>
      <c r="F41" t="inlineStr">
        <is>
          <t>Sveaskog</t>
        </is>
      </c>
      <c r="G41" t="n">
        <v>4.6</v>
      </c>
      <c r="H41" t="n">
        <v>1</v>
      </c>
      <c r="I41" t="n">
        <v>0</v>
      </c>
      <c r="J41" t="n">
        <v>1</v>
      </c>
      <c r="K41" t="n">
        <v>0</v>
      </c>
      <c r="L41" t="n">
        <v>0</v>
      </c>
      <c r="M41" t="n">
        <v>0</v>
      </c>
      <c r="N41" t="n">
        <v>0</v>
      </c>
      <c r="O41" t="n">
        <v>1</v>
      </c>
      <c r="P41" t="n">
        <v>0</v>
      </c>
      <c r="Q41" t="n">
        <v>1</v>
      </c>
      <c r="R41" s="2" t="inlineStr">
        <is>
          <t>Järpe</t>
        </is>
      </c>
      <c r="S41">
        <f>HYPERLINK("https://klasma.github.io/Logging_1885/artfynd/A 30347-2025 artfynd.xlsx", "A 30347-2025")</f>
        <v/>
      </c>
      <c r="T41">
        <f>HYPERLINK("https://klasma.github.io/Logging_1885/kartor/A 30347-2025 karta.png", "A 30347-2025")</f>
        <v/>
      </c>
      <c r="V41">
        <f>HYPERLINK("https://klasma.github.io/Logging_1885/klagomål/A 30347-2025 FSC-klagomål.docx", "A 30347-2025")</f>
        <v/>
      </c>
      <c r="W41">
        <f>HYPERLINK("https://klasma.github.io/Logging_1885/klagomålsmail/A 30347-2025 FSC-klagomål mail.docx", "A 30347-2025")</f>
        <v/>
      </c>
      <c r="X41">
        <f>HYPERLINK("https://klasma.github.io/Logging_1885/tillsyn/A 30347-2025 tillsynsbegäran.docx", "A 30347-2025")</f>
        <v/>
      </c>
      <c r="Y41">
        <f>HYPERLINK("https://klasma.github.io/Logging_1885/tillsynsmail/A 30347-2025 tillsynsbegäran mail.docx", "A 30347-2025")</f>
        <v/>
      </c>
      <c r="Z41">
        <f>HYPERLINK("https://klasma.github.io/Logging_1885/fåglar/A 30347-2025 prioriterade fågelarter.docx", "A 30347-2025")</f>
        <v/>
      </c>
    </row>
    <row r="42" ht="15" customHeight="1">
      <c r="A42" t="inlineStr">
        <is>
          <t>A 50777-2025</t>
        </is>
      </c>
      <c r="B42" s="1" t="n">
        <v>45946.45171296296</v>
      </c>
      <c r="C42" s="1" t="n">
        <v>45985</v>
      </c>
      <c r="D42" t="inlineStr">
        <is>
          <t>ÖREBRO LÄN</t>
        </is>
      </c>
      <c r="E42" t="inlineStr">
        <is>
          <t>LINDESBERG</t>
        </is>
      </c>
      <c r="F42" t="inlineStr">
        <is>
          <t>Sveaskog</t>
        </is>
      </c>
      <c r="G42" t="n">
        <v>5.3</v>
      </c>
      <c r="H42" t="n">
        <v>0</v>
      </c>
      <c r="I42" t="n">
        <v>1</v>
      </c>
      <c r="J42" t="n">
        <v>0</v>
      </c>
      <c r="K42" t="n">
        <v>0</v>
      </c>
      <c r="L42" t="n">
        <v>0</v>
      </c>
      <c r="M42" t="n">
        <v>0</v>
      </c>
      <c r="N42" t="n">
        <v>0</v>
      </c>
      <c r="O42" t="n">
        <v>0</v>
      </c>
      <c r="P42" t="n">
        <v>0</v>
      </c>
      <c r="Q42" t="n">
        <v>1</v>
      </c>
      <c r="R42" s="2" t="inlineStr">
        <is>
          <t>Zontaggsvamp</t>
        </is>
      </c>
      <c r="S42">
        <f>HYPERLINK("https://klasma.github.io/Logging_1885/artfynd/A 50777-2025 artfynd.xlsx", "A 50777-2025")</f>
        <v/>
      </c>
      <c r="T42">
        <f>HYPERLINK("https://klasma.github.io/Logging_1885/kartor/A 50777-2025 karta.png", "A 50777-2025")</f>
        <v/>
      </c>
      <c r="V42">
        <f>HYPERLINK("https://klasma.github.io/Logging_1885/klagomål/A 50777-2025 FSC-klagomål.docx", "A 50777-2025")</f>
        <v/>
      </c>
      <c r="W42">
        <f>HYPERLINK("https://klasma.github.io/Logging_1885/klagomålsmail/A 50777-2025 FSC-klagomål mail.docx", "A 50777-2025")</f>
        <v/>
      </c>
      <c r="X42">
        <f>HYPERLINK("https://klasma.github.io/Logging_1885/tillsyn/A 50777-2025 tillsynsbegäran.docx", "A 50777-2025")</f>
        <v/>
      </c>
      <c r="Y42">
        <f>HYPERLINK("https://klasma.github.io/Logging_1885/tillsynsmail/A 50777-2025 tillsynsbegäran mail.docx", "A 50777-2025")</f>
        <v/>
      </c>
    </row>
    <row r="43" ht="15" customHeight="1">
      <c r="A43" t="inlineStr">
        <is>
          <t>A 50766-2025</t>
        </is>
      </c>
      <c r="B43" s="1" t="n">
        <v>45946.44423611111</v>
      </c>
      <c r="C43" s="1" t="n">
        <v>45985</v>
      </c>
      <c r="D43" t="inlineStr">
        <is>
          <t>ÖREBRO LÄN</t>
        </is>
      </c>
      <c r="E43" t="inlineStr">
        <is>
          <t>LINDESBERG</t>
        </is>
      </c>
      <c r="F43" t="inlineStr">
        <is>
          <t>Sveaskog</t>
        </is>
      </c>
      <c r="G43" t="n">
        <v>2.4</v>
      </c>
      <c r="H43" t="n">
        <v>0</v>
      </c>
      <c r="I43" t="n">
        <v>0</v>
      </c>
      <c r="J43" t="n">
        <v>0</v>
      </c>
      <c r="K43" t="n">
        <v>1</v>
      </c>
      <c r="L43" t="n">
        <v>0</v>
      </c>
      <c r="M43" t="n">
        <v>0</v>
      </c>
      <c r="N43" t="n">
        <v>0</v>
      </c>
      <c r="O43" t="n">
        <v>1</v>
      </c>
      <c r="P43" t="n">
        <v>1</v>
      </c>
      <c r="Q43" t="n">
        <v>1</v>
      </c>
      <c r="R43" s="2" t="inlineStr">
        <is>
          <t>Rotfingersvamp</t>
        </is>
      </c>
      <c r="S43">
        <f>HYPERLINK("https://klasma.github.io/Logging_1885/artfynd/A 50766-2025 artfynd.xlsx", "A 50766-2025")</f>
        <v/>
      </c>
      <c r="T43">
        <f>HYPERLINK("https://klasma.github.io/Logging_1885/kartor/A 50766-2025 karta.png", "A 50766-2025")</f>
        <v/>
      </c>
      <c r="V43">
        <f>HYPERLINK("https://klasma.github.io/Logging_1885/klagomål/A 50766-2025 FSC-klagomål.docx", "A 50766-2025")</f>
        <v/>
      </c>
      <c r="W43">
        <f>HYPERLINK("https://klasma.github.io/Logging_1885/klagomålsmail/A 50766-2025 FSC-klagomål mail.docx", "A 50766-2025")</f>
        <v/>
      </c>
      <c r="X43">
        <f>HYPERLINK("https://klasma.github.io/Logging_1885/tillsyn/A 50766-2025 tillsynsbegäran.docx", "A 50766-2025")</f>
        <v/>
      </c>
      <c r="Y43">
        <f>HYPERLINK("https://klasma.github.io/Logging_1885/tillsynsmail/A 50766-2025 tillsynsbegäran mail.docx", "A 50766-2025")</f>
        <v/>
      </c>
    </row>
    <row r="44" ht="15" customHeight="1">
      <c r="A44" t="inlineStr">
        <is>
          <t>A 50768-2025</t>
        </is>
      </c>
      <c r="B44" s="1" t="n">
        <v>45946.44790509259</v>
      </c>
      <c r="C44" s="1" t="n">
        <v>45985</v>
      </c>
      <c r="D44" t="inlineStr">
        <is>
          <t>ÖREBRO LÄN</t>
        </is>
      </c>
      <c r="E44" t="inlineStr">
        <is>
          <t>LINDESBERG</t>
        </is>
      </c>
      <c r="F44" t="inlineStr">
        <is>
          <t>Sveaskog</t>
        </is>
      </c>
      <c r="G44" t="n">
        <v>3.1</v>
      </c>
      <c r="H44" t="n">
        <v>1</v>
      </c>
      <c r="I44" t="n">
        <v>1</v>
      </c>
      <c r="J44" t="n">
        <v>0</v>
      </c>
      <c r="K44" t="n">
        <v>0</v>
      </c>
      <c r="L44" t="n">
        <v>0</v>
      </c>
      <c r="M44" t="n">
        <v>0</v>
      </c>
      <c r="N44" t="n">
        <v>0</v>
      </c>
      <c r="O44" t="n">
        <v>0</v>
      </c>
      <c r="P44" t="n">
        <v>0</v>
      </c>
      <c r="Q44" t="n">
        <v>1</v>
      </c>
      <c r="R44" s="2" t="inlineStr">
        <is>
          <t>Plattlummer</t>
        </is>
      </c>
      <c r="S44">
        <f>HYPERLINK("https://klasma.github.io/Logging_1885/artfynd/A 50768-2025 artfynd.xlsx", "A 50768-2025")</f>
        <v/>
      </c>
      <c r="T44">
        <f>HYPERLINK("https://klasma.github.io/Logging_1885/kartor/A 50768-2025 karta.png", "A 50768-2025")</f>
        <v/>
      </c>
      <c r="V44">
        <f>HYPERLINK("https://klasma.github.io/Logging_1885/klagomål/A 50768-2025 FSC-klagomål.docx", "A 50768-2025")</f>
        <v/>
      </c>
      <c r="W44">
        <f>HYPERLINK("https://klasma.github.io/Logging_1885/klagomålsmail/A 50768-2025 FSC-klagomål mail.docx", "A 50768-2025")</f>
        <v/>
      </c>
      <c r="X44">
        <f>HYPERLINK("https://klasma.github.io/Logging_1885/tillsyn/A 50768-2025 tillsynsbegäran.docx", "A 50768-2025")</f>
        <v/>
      </c>
      <c r="Y44">
        <f>HYPERLINK("https://klasma.github.io/Logging_1885/tillsynsmail/A 50768-2025 tillsynsbegäran mail.docx", "A 50768-2025")</f>
        <v/>
      </c>
    </row>
    <row r="45" ht="15" customHeight="1">
      <c r="A45" t="inlineStr">
        <is>
          <t>A 33286-2024</t>
        </is>
      </c>
      <c r="B45" s="1" t="n">
        <v>45518</v>
      </c>
      <c r="C45" s="1" t="n">
        <v>45985</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52105-2025</t>
        </is>
      </c>
      <c r="B46" s="1" t="n">
        <v>45952.68596064814</v>
      </c>
      <c r="C46" s="1" t="n">
        <v>45985</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45985</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31052-2025</t>
        </is>
      </c>
      <c r="B48" s="1" t="n">
        <v>45832.56153935185</v>
      </c>
      <c r="C48" s="1" t="n">
        <v>45985</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45985</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45985</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54092-2025</t>
        </is>
      </c>
      <c r="B51" s="1" t="n">
        <v>45964.3965625</v>
      </c>
      <c r="C51" s="1" t="n">
        <v>45985</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34266-2025</t>
        </is>
      </c>
      <c r="B52" s="1" t="n">
        <v>45845.75751157408</v>
      </c>
      <c r="C52" s="1" t="n">
        <v>45985</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36669-2024</t>
        </is>
      </c>
      <c r="B53" s="1" t="n">
        <v>45537.64484953704</v>
      </c>
      <c r="C53" s="1" t="n">
        <v>45985</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37834-2025</t>
        </is>
      </c>
      <c r="B54" s="1" t="n">
        <v>45881.42446759259</v>
      </c>
      <c r="C54" s="1" t="n">
        <v>45985</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57355-2025</t>
        </is>
      </c>
      <c r="B55" s="1" t="n">
        <v>45980.3659375</v>
      </c>
      <c r="C55" s="1" t="n">
        <v>45985</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45985</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57319-2025</t>
        </is>
      </c>
      <c r="B57" s="1" t="n">
        <v>45980.01497685185</v>
      </c>
      <c r="C57" s="1" t="n">
        <v>45985</v>
      </c>
      <c r="D57" t="inlineStr">
        <is>
          <t>ÖREBRO LÄN</t>
        </is>
      </c>
      <c r="E57" t="inlineStr">
        <is>
          <t>LINDESBERG</t>
        </is>
      </c>
      <c r="F57" t="inlineStr">
        <is>
          <t>Sveaskog</t>
        </is>
      </c>
      <c r="G57" t="n">
        <v>15.3</v>
      </c>
      <c r="H57" t="n">
        <v>0</v>
      </c>
      <c r="I57" t="n">
        <v>1</v>
      </c>
      <c r="J57" t="n">
        <v>0</v>
      </c>
      <c r="K57" t="n">
        <v>0</v>
      </c>
      <c r="L57" t="n">
        <v>0</v>
      </c>
      <c r="M57" t="n">
        <v>0</v>
      </c>
      <c r="N57" t="n">
        <v>0</v>
      </c>
      <c r="O57" t="n">
        <v>0</v>
      </c>
      <c r="P57" t="n">
        <v>0</v>
      </c>
      <c r="Q57" t="n">
        <v>1</v>
      </c>
      <c r="R57" s="2" t="inlineStr">
        <is>
          <t>Dropptaggsvamp</t>
        </is>
      </c>
      <c r="S57">
        <f>HYPERLINK("https://klasma.github.io/Logging_1885/artfynd/A 57319-2025 artfynd.xlsx", "A 57319-2025")</f>
        <v/>
      </c>
      <c r="T57">
        <f>HYPERLINK("https://klasma.github.io/Logging_1885/kartor/A 57319-2025 karta.png", "A 57319-2025")</f>
        <v/>
      </c>
      <c r="V57">
        <f>HYPERLINK("https://klasma.github.io/Logging_1885/klagomål/A 57319-2025 FSC-klagomål.docx", "A 57319-2025")</f>
        <v/>
      </c>
      <c r="W57">
        <f>HYPERLINK("https://klasma.github.io/Logging_1885/klagomålsmail/A 57319-2025 FSC-klagomål mail.docx", "A 57319-2025")</f>
        <v/>
      </c>
      <c r="X57">
        <f>HYPERLINK("https://klasma.github.io/Logging_1885/tillsyn/A 57319-2025 tillsynsbegäran.docx", "A 57319-2025")</f>
        <v/>
      </c>
      <c r="Y57">
        <f>HYPERLINK("https://klasma.github.io/Logging_1885/tillsynsmail/A 57319-2025 tillsynsbegäran mail.docx", "A 57319-2025")</f>
        <v/>
      </c>
    </row>
    <row r="58" ht="15" customHeight="1">
      <c r="A58" t="inlineStr">
        <is>
          <t>A 57362-2025</t>
        </is>
      </c>
      <c r="B58" s="1" t="n">
        <v>45980.37108796297</v>
      </c>
      <c r="C58" s="1" t="n">
        <v>45985</v>
      </c>
      <c r="D58" t="inlineStr">
        <is>
          <t>ÖREBRO LÄN</t>
        </is>
      </c>
      <c r="E58" t="inlineStr">
        <is>
          <t>LINDESBERG</t>
        </is>
      </c>
      <c r="F58" t="inlineStr">
        <is>
          <t>Sveaskog</t>
        </is>
      </c>
      <c r="G58" t="n">
        <v>1.2</v>
      </c>
      <c r="H58" t="n">
        <v>0</v>
      </c>
      <c r="I58" t="n">
        <v>1</v>
      </c>
      <c r="J58" t="n">
        <v>0</v>
      </c>
      <c r="K58" t="n">
        <v>0</v>
      </c>
      <c r="L58" t="n">
        <v>0</v>
      </c>
      <c r="M58" t="n">
        <v>0</v>
      </c>
      <c r="N58" t="n">
        <v>0</v>
      </c>
      <c r="O58" t="n">
        <v>0</v>
      </c>
      <c r="P58" t="n">
        <v>0</v>
      </c>
      <c r="Q58" t="n">
        <v>1</v>
      </c>
      <c r="R58" s="2" t="inlineStr">
        <is>
          <t>Svart trolldruva</t>
        </is>
      </c>
      <c r="S58">
        <f>HYPERLINK("https://klasma.github.io/Logging_1885/artfynd/A 57362-2025 artfynd.xlsx", "A 57362-2025")</f>
        <v/>
      </c>
      <c r="T58">
        <f>HYPERLINK("https://klasma.github.io/Logging_1885/kartor/A 57362-2025 karta.png", "A 57362-2025")</f>
        <v/>
      </c>
      <c r="V58">
        <f>HYPERLINK("https://klasma.github.io/Logging_1885/klagomål/A 57362-2025 FSC-klagomål.docx", "A 57362-2025")</f>
        <v/>
      </c>
      <c r="W58">
        <f>HYPERLINK("https://klasma.github.io/Logging_1885/klagomålsmail/A 57362-2025 FSC-klagomål mail.docx", "A 57362-2025")</f>
        <v/>
      </c>
      <c r="X58">
        <f>HYPERLINK("https://klasma.github.io/Logging_1885/tillsyn/A 57362-2025 tillsynsbegäran.docx", "A 57362-2025")</f>
        <v/>
      </c>
      <c r="Y58">
        <f>HYPERLINK("https://klasma.github.io/Logging_1885/tillsynsmail/A 57362-2025 tillsynsbegäran mail.docx", "A 57362-2025")</f>
        <v/>
      </c>
    </row>
    <row r="59" ht="15" customHeight="1">
      <c r="A59" t="inlineStr">
        <is>
          <t>A 28787-2023</t>
        </is>
      </c>
      <c r="B59" s="1" t="n">
        <v>45104.3483912037</v>
      </c>
      <c r="C59" s="1" t="n">
        <v>45985</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27900-2024</t>
        </is>
      </c>
      <c r="B60" s="1" t="n">
        <v>45475.92849537037</v>
      </c>
      <c r="C60" s="1" t="n">
        <v>45985</v>
      </c>
      <c r="D60" t="inlineStr">
        <is>
          <t>ÖREBRO LÄN</t>
        </is>
      </c>
      <c r="E60" t="inlineStr">
        <is>
          <t>LINDESBERG</t>
        </is>
      </c>
      <c r="F60" t="inlineStr">
        <is>
          <t>Sveaskog</t>
        </is>
      </c>
      <c r="G60" t="n">
        <v>4.1</v>
      </c>
      <c r="H60" t="n">
        <v>1</v>
      </c>
      <c r="I60" t="n">
        <v>0</v>
      </c>
      <c r="J60" t="n">
        <v>0</v>
      </c>
      <c r="K60" t="n">
        <v>0</v>
      </c>
      <c r="L60" t="n">
        <v>0</v>
      </c>
      <c r="M60" t="n">
        <v>0</v>
      </c>
      <c r="N60" t="n">
        <v>0</v>
      </c>
      <c r="O60" t="n">
        <v>0</v>
      </c>
      <c r="P60" t="n">
        <v>0</v>
      </c>
      <c r="Q60" t="n">
        <v>1</v>
      </c>
      <c r="R60" s="2" t="inlineStr">
        <is>
          <t>Fläcknycklar</t>
        </is>
      </c>
      <c r="S60">
        <f>HYPERLINK("https://klasma.github.io/Logging_1885/artfynd/A 27900-2024 artfynd.xlsx", "A 27900-2024")</f>
        <v/>
      </c>
      <c r="T60">
        <f>HYPERLINK("https://klasma.github.io/Logging_1885/kartor/A 27900-2024 karta.png", "A 27900-2024")</f>
        <v/>
      </c>
      <c r="V60">
        <f>HYPERLINK("https://klasma.github.io/Logging_1885/klagomål/A 27900-2024 FSC-klagomål.docx", "A 27900-2024")</f>
        <v/>
      </c>
      <c r="W60">
        <f>HYPERLINK("https://klasma.github.io/Logging_1885/klagomålsmail/A 27900-2024 FSC-klagomål mail.docx", "A 27900-2024")</f>
        <v/>
      </c>
      <c r="X60">
        <f>HYPERLINK("https://klasma.github.io/Logging_1885/tillsyn/A 27900-2024 tillsynsbegäran.docx", "A 27900-2024")</f>
        <v/>
      </c>
      <c r="Y60">
        <f>HYPERLINK("https://klasma.github.io/Logging_1885/tillsynsmail/A 27900-2024 tillsynsbegäran mail.docx", "A 27900-2024")</f>
        <v/>
      </c>
    </row>
    <row r="61" ht="15" customHeight="1">
      <c r="A61" t="inlineStr">
        <is>
          <t>A 53598-2024</t>
        </is>
      </c>
      <c r="B61" s="1" t="n">
        <v>45614.68287037037</v>
      </c>
      <c r="C61" s="1" t="n">
        <v>45985</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70466-2021</t>
        </is>
      </c>
      <c r="B62" s="1" t="n">
        <v>44536</v>
      </c>
      <c r="C62" s="1" t="n">
        <v>45985</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53600-2024</t>
        </is>
      </c>
      <c r="B63" s="1" t="n">
        <v>45614.68596064814</v>
      </c>
      <c r="C63" s="1" t="n">
        <v>45985</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45051-2024</t>
        </is>
      </c>
      <c r="B64" s="1" t="n">
        <v>45575.54934027778</v>
      </c>
      <c r="C64" s="1" t="n">
        <v>45985</v>
      </c>
      <c r="D64" t="inlineStr">
        <is>
          <t>ÖREBRO LÄN</t>
        </is>
      </c>
      <c r="E64" t="inlineStr">
        <is>
          <t>LINDESBERG</t>
        </is>
      </c>
      <c r="F64" t="inlineStr">
        <is>
          <t>Sveaskog</t>
        </is>
      </c>
      <c r="G64" t="n">
        <v>2.2</v>
      </c>
      <c r="H64" t="n">
        <v>1</v>
      </c>
      <c r="I64" t="n">
        <v>0</v>
      </c>
      <c r="J64" t="n">
        <v>1</v>
      </c>
      <c r="K64" t="n">
        <v>0</v>
      </c>
      <c r="L64" t="n">
        <v>0</v>
      </c>
      <c r="M64" t="n">
        <v>0</v>
      </c>
      <c r="N64" t="n">
        <v>0</v>
      </c>
      <c r="O64" t="n">
        <v>1</v>
      </c>
      <c r="P64" t="n">
        <v>0</v>
      </c>
      <c r="Q64" t="n">
        <v>1</v>
      </c>
      <c r="R64" s="2" t="inlineStr">
        <is>
          <t>Spillkråka</t>
        </is>
      </c>
      <c r="S64">
        <f>HYPERLINK("https://klasma.github.io/Logging_1885/artfynd/A 45051-2024 artfynd.xlsx", "A 45051-2024")</f>
        <v/>
      </c>
      <c r="T64">
        <f>HYPERLINK("https://klasma.github.io/Logging_1885/kartor/A 45051-2024 karta.png", "A 45051-2024")</f>
        <v/>
      </c>
      <c r="V64">
        <f>HYPERLINK("https://klasma.github.io/Logging_1885/klagomål/A 45051-2024 FSC-klagomål.docx", "A 45051-2024")</f>
        <v/>
      </c>
      <c r="W64">
        <f>HYPERLINK("https://klasma.github.io/Logging_1885/klagomålsmail/A 45051-2024 FSC-klagomål mail.docx", "A 45051-2024")</f>
        <v/>
      </c>
      <c r="X64">
        <f>HYPERLINK("https://klasma.github.io/Logging_1885/tillsyn/A 45051-2024 tillsynsbegäran.docx", "A 45051-2024")</f>
        <v/>
      </c>
      <c r="Y64">
        <f>HYPERLINK("https://klasma.github.io/Logging_1885/tillsynsmail/A 45051-2024 tillsynsbegäran mail.docx", "A 45051-2024")</f>
        <v/>
      </c>
      <c r="Z64">
        <f>HYPERLINK("https://klasma.github.io/Logging_1885/fåglar/A 45051-2024 prioriterade fågelarter.docx", "A 45051-2024")</f>
        <v/>
      </c>
    </row>
    <row r="65" ht="15" customHeight="1">
      <c r="A65" t="inlineStr">
        <is>
          <t>A 64513-2023</t>
        </is>
      </c>
      <c r="B65" s="1" t="n">
        <v>45281</v>
      </c>
      <c r="C65" s="1" t="n">
        <v>45985</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28569-2024</t>
        </is>
      </c>
      <c r="B66" s="1" t="n">
        <v>45478.39592592593</v>
      </c>
      <c r="C66" s="1" t="n">
        <v>45985</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45985</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45985</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45985</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61132-2024</t>
        </is>
      </c>
      <c r="B70" s="1" t="n">
        <v>45645</v>
      </c>
      <c r="C70" s="1" t="n">
        <v>45985</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21440-2025</t>
        </is>
      </c>
      <c r="B71" s="1" t="n">
        <v>45782.5300462963</v>
      </c>
      <c r="C71" s="1" t="n">
        <v>45985</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45985</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45985</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45985</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45985</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45985</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45985</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47457-2022</t>
        </is>
      </c>
      <c r="B78" s="1" t="n">
        <v>44853.61925925926</v>
      </c>
      <c r="C78" s="1" t="n">
        <v>45985</v>
      </c>
      <c r="D78" t="inlineStr">
        <is>
          <t>ÖREBRO LÄN</t>
        </is>
      </c>
      <c r="E78" t="inlineStr">
        <is>
          <t>LINDESBERG</t>
        </is>
      </c>
      <c r="G78" t="n">
        <v>3.7</v>
      </c>
      <c r="H78" t="n">
        <v>0</v>
      </c>
      <c r="I78" t="n">
        <v>0</v>
      </c>
      <c r="J78" t="n">
        <v>0</v>
      </c>
      <c r="K78" t="n">
        <v>0</v>
      </c>
      <c r="L78" t="n">
        <v>0</v>
      </c>
      <c r="M78" t="n">
        <v>0</v>
      </c>
      <c r="N78" t="n">
        <v>0</v>
      </c>
      <c r="O78" t="n">
        <v>0</v>
      </c>
      <c r="P78" t="n">
        <v>0</v>
      </c>
      <c r="Q78" t="n">
        <v>0</v>
      </c>
      <c r="R78" s="2" t="inlineStr"/>
    </row>
    <row r="79" ht="15" customHeight="1">
      <c r="A79" t="inlineStr">
        <is>
          <t>A 43154-2021</t>
        </is>
      </c>
      <c r="B79" s="1" t="n">
        <v>44431.69783564815</v>
      </c>
      <c r="C79" s="1" t="n">
        <v>45985</v>
      </c>
      <c r="D79" t="inlineStr">
        <is>
          <t>ÖREBRO LÄN</t>
        </is>
      </c>
      <c r="E79" t="inlineStr">
        <is>
          <t>LINDESBERG</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45985</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45985</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45985</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45985</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45985</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45985</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45985</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45985</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45985</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66402-2020</t>
        </is>
      </c>
      <c r="B89" s="1" t="n">
        <v>44176</v>
      </c>
      <c r="C89" s="1" t="n">
        <v>45985</v>
      </c>
      <c r="D89" t="inlineStr">
        <is>
          <t>ÖREBRO LÄN</t>
        </is>
      </c>
      <c r="E89" t="inlineStr">
        <is>
          <t>LINDESBERG</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22605-2021</t>
        </is>
      </c>
      <c r="B90" s="1" t="n">
        <v>44327</v>
      </c>
      <c r="C90" s="1" t="n">
        <v>45985</v>
      </c>
      <c r="D90" t="inlineStr">
        <is>
          <t>ÖREBRO LÄN</t>
        </is>
      </c>
      <c r="E90" t="inlineStr">
        <is>
          <t>LINDESBERG</t>
        </is>
      </c>
      <c r="F90" t="inlineStr">
        <is>
          <t>Kommuner</t>
        </is>
      </c>
      <c r="G90" t="n">
        <v>2</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45985</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45985</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45985</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8555-2022</t>
        </is>
      </c>
      <c r="B94" s="1" t="n">
        <v>44613</v>
      </c>
      <c r="C94" s="1" t="n">
        <v>45985</v>
      </c>
      <c r="D94" t="inlineStr">
        <is>
          <t>ÖREBRO LÄN</t>
        </is>
      </c>
      <c r="E94" t="inlineStr">
        <is>
          <t>LINDESBERG</t>
        </is>
      </c>
      <c r="G94" t="n">
        <v>8.1</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45985</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45985</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45985</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45985</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45985</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45985</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45985</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45985</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45985</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45985</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45985</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45985</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45985</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45985</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45985</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45985</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45985</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45985</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45985</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45985</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45985</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45985</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45985</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45985</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45985</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45985</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45985</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45985</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45985</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45985</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45985</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45985</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45985</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45985</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45985</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45985</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45985</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45985</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45985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45985</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45985</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45985</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45985</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45985</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45985</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45985</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45985</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45985</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45985</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45985</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45985</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45985</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45985</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45985</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45985</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45985</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45985</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45985</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45985</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45985</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45985</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45985</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45985</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45985</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45985</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45985</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45985</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45985</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45985</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45985</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45985</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45985</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45985</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45985</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45985</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45985</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45985</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45985</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45985</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45985</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45985</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45985</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45985</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45985</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45985</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45985</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45985</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45985</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45985</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45985</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45985</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45985</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45985</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45985</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45985</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45985</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45985</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45985</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45985</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45985</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45985</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45985</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45985</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45985</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45985</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45985</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45985</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45985</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45985</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45985</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45985</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45985</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45985</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45985</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45985</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45985</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45985</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45985</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45985</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45985</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45985</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45985</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45985</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45985</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45985</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45985</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45985</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45985</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45985</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45985</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45985</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45985</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45985</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26093-2023</t>
        </is>
      </c>
      <c r="B229" s="1" t="n">
        <v>45091.39362268519</v>
      </c>
      <c r="C229" s="1" t="n">
        <v>45985</v>
      </c>
      <c r="D229" t="inlineStr">
        <is>
          <t>ÖREBRO LÄN</t>
        </is>
      </c>
      <c r="E229" t="inlineStr">
        <is>
          <t>LINDESBERG</t>
        </is>
      </c>
      <c r="G229" t="n">
        <v>0.4</v>
      </c>
      <c r="H229" t="n">
        <v>0</v>
      </c>
      <c r="I229" t="n">
        <v>0</v>
      </c>
      <c r="J229" t="n">
        <v>0</v>
      </c>
      <c r="K229" t="n">
        <v>0</v>
      </c>
      <c r="L229" t="n">
        <v>0</v>
      </c>
      <c r="M229" t="n">
        <v>0</v>
      </c>
      <c r="N229" t="n">
        <v>0</v>
      </c>
      <c r="O229" t="n">
        <v>0</v>
      </c>
      <c r="P229" t="n">
        <v>0</v>
      </c>
      <c r="Q229" t="n">
        <v>0</v>
      </c>
      <c r="R229" s="2" t="inlineStr"/>
    </row>
    <row r="230" ht="15" customHeight="1">
      <c r="A230" t="inlineStr">
        <is>
          <t>A 17823-2021</t>
        </is>
      </c>
      <c r="B230" s="1" t="n">
        <v>44300</v>
      </c>
      <c r="C230" s="1" t="n">
        <v>45985</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21084-2021</t>
        </is>
      </c>
      <c r="B231" s="1" t="n">
        <v>44319</v>
      </c>
      <c r="C231" s="1" t="n">
        <v>45985</v>
      </c>
      <c r="D231" t="inlineStr">
        <is>
          <t>ÖREBRO LÄN</t>
        </is>
      </c>
      <c r="E231" t="inlineStr">
        <is>
          <t>LINDESBERG</t>
        </is>
      </c>
      <c r="G231" t="n">
        <v>3.1</v>
      </c>
      <c r="H231" t="n">
        <v>0</v>
      </c>
      <c r="I231" t="n">
        <v>0</v>
      </c>
      <c r="J231" t="n">
        <v>0</v>
      </c>
      <c r="K231" t="n">
        <v>0</v>
      </c>
      <c r="L231" t="n">
        <v>0</v>
      </c>
      <c r="M231" t="n">
        <v>0</v>
      </c>
      <c r="N231" t="n">
        <v>0</v>
      </c>
      <c r="O231" t="n">
        <v>0</v>
      </c>
      <c r="P231" t="n">
        <v>0</v>
      </c>
      <c r="Q231" t="n">
        <v>0</v>
      </c>
      <c r="R231" s="2" t="inlineStr"/>
    </row>
    <row r="232" ht="15" customHeight="1">
      <c r="A232" t="inlineStr">
        <is>
          <t>A 6161-2025</t>
        </is>
      </c>
      <c r="B232" s="1" t="n">
        <v>45698</v>
      </c>
      <c r="C232" s="1" t="n">
        <v>45985</v>
      </c>
      <c r="D232" t="inlineStr">
        <is>
          <t>ÖREBRO LÄN</t>
        </is>
      </c>
      <c r="E232" t="inlineStr">
        <is>
          <t>LINDESBERG</t>
        </is>
      </c>
      <c r="F232" t="inlineStr">
        <is>
          <t>Sveaskog</t>
        </is>
      </c>
      <c r="G232" t="n">
        <v>3.7</v>
      </c>
      <c r="H232" t="n">
        <v>0</v>
      </c>
      <c r="I232" t="n">
        <v>0</v>
      </c>
      <c r="J232" t="n">
        <v>0</v>
      </c>
      <c r="K232" t="n">
        <v>0</v>
      </c>
      <c r="L232" t="n">
        <v>0</v>
      </c>
      <c r="M232" t="n">
        <v>0</v>
      </c>
      <c r="N232" t="n">
        <v>0</v>
      </c>
      <c r="O232" t="n">
        <v>0</v>
      </c>
      <c r="P232" t="n">
        <v>0</v>
      </c>
      <c r="Q232" t="n">
        <v>0</v>
      </c>
      <c r="R232" s="2" t="inlineStr"/>
    </row>
    <row r="233" ht="15" customHeight="1">
      <c r="A233" t="inlineStr">
        <is>
          <t>A 6165-2025</t>
        </is>
      </c>
      <c r="B233" s="1" t="n">
        <v>45698</v>
      </c>
      <c r="C233" s="1" t="n">
        <v>45985</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6181-2025</t>
        </is>
      </c>
      <c r="B234" s="1" t="n">
        <v>45698</v>
      </c>
      <c r="C234" s="1" t="n">
        <v>45985</v>
      </c>
      <c r="D234" t="inlineStr">
        <is>
          <t>ÖREBRO LÄN</t>
        </is>
      </c>
      <c r="E234" t="inlineStr">
        <is>
          <t>LINDESBERG</t>
        </is>
      </c>
      <c r="G234" t="n">
        <v>2.8</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45985</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45985</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22438-2025</t>
        </is>
      </c>
      <c r="B237" s="1" t="n">
        <v>45786</v>
      </c>
      <c r="C237" s="1" t="n">
        <v>45985</v>
      </c>
      <c r="D237" t="inlineStr">
        <is>
          <t>ÖREBRO LÄN</t>
        </is>
      </c>
      <c r="E237" t="inlineStr">
        <is>
          <t>LINDESBERG</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19914-2024</t>
        </is>
      </c>
      <c r="B238" s="1" t="n">
        <v>45433.58099537037</v>
      </c>
      <c r="C238" s="1" t="n">
        <v>45985</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43532-2024</t>
        </is>
      </c>
      <c r="B239" s="1" t="n">
        <v>45569.3533912037</v>
      </c>
      <c r="C239" s="1" t="n">
        <v>45985</v>
      </c>
      <c r="D239" t="inlineStr">
        <is>
          <t>ÖREBRO LÄN</t>
        </is>
      </c>
      <c r="E239" t="inlineStr">
        <is>
          <t>LINDESBERG</t>
        </is>
      </c>
      <c r="G239" t="n">
        <v>2.4</v>
      </c>
      <c r="H239" t="n">
        <v>0</v>
      </c>
      <c r="I239" t="n">
        <v>0</v>
      </c>
      <c r="J239" t="n">
        <v>0</v>
      </c>
      <c r="K239" t="n">
        <v>0</v>
      </c>
      <c r="L239" t="n">
        <v>0</v>
      </c>
      <c r="M239" t="n">
        <v>0</v>
      </c>
      <c r="N239" t="n">
        <v>0</v>
      </c>
      <c r="O239" t="n">
        <v>0</v>
      </c>
      <c r="P239" t="n">
        <v>0</v>
      </c>
      <c r="Q239" t="n">
        <v>0</v>
      </c>
      <c r="R239" s="2" t="inlineStr"/>
    </row>
    <row r="240" ht="15" customHeight="1">
      <c r="A240" t="inlineStr">
        <is>
          <t>A 12739-2024</t>
        </is>
      </c>
      <c r="B240" s="1" t="n">
        <v>45384</v>
      </c>
      <c r="C240" s="1" t="n">
        <v>45985</v>
      </c>
      <c r="D240" t="inlineStr">
        <is>
          <t>ÖREBRO LÄN</t>
        </is>
      </c>
      <c r="E240" t="inlineStr">
        <is>
          <t>LINDESBERG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59282-2023</t>
        </is>
      </c>
      <c r="B241" s="1" t="n">
        <v>45253</v>
      </c>
      <c r="C241" s="1" t="n">
        <v>45985</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47601-2023</t>
        </is>
      </c>
      <c r="B242" s="1" t="n">
        <v>45203.45681712963</v>
      </c>
      <c r="C242" s="1" t="n">
        <v>45985</v>
      </c>
      <c r="D242" t="inlineStr">
        <is>
          <t>ÖREBRO LÄN</t>
        </is>
      </c>
      <c r="E242" t="inlineStr">
        <is>
          <t>LINDESBERG</t>
        </is>
      </c>
      <c r="G242" t="n">
        <v>37.6</v>
      </c>
      <c r="H242" t="n">
        <v>0</v>
      </c>
      <c r="I242" t="n">
        <v>0</v>
      </c>
      <c r="J242" t="n">
        <v>0</v>
      </c>
      <c r="K242" t="n">
        <v>0</v>
      </c>
      <c r="L242" t="n">
        <v>0</v>
      </c>
      <c r="M242" t="n">
        <v>0</v>
      </c>
      <c r="N242" t="n">
        <v>0</v>
      </c>
      <c r="O242" t="n">
        <v>0</v>
      </c>
      <c r="P242" t="n">
        <v>0</v>
      </c>
      <c r="Q242" t="n">
        <v>0</v>
      </c>
      <c r="R242" s="2" t="inlineStr"/>
    </row>
    <row r="243" ht="15" customHeight="1">
      <c r="A243" t="inlineStr">
        <is>
          <t>A 56561-2023</t>
        </is>
      </c>
      <c r="B243" s="1" t="n">
        <v>45243</v>
      </c>
      <c r="C243" s="1" t="n">
        <v>45985</v>
      </c>
      <c r="D243" t="inlineStr">
        <is>
          <t>ÖREBRO LÄN</t>
        </is>
      </c>
      <c r="E243" t="inlineStr">
        <is>
          <t>LINDESBERG</t>
        </is>
      </c>
      <c r="G243" t="n">
        <v>1.9</v>
      </c>
      <c r="H243" t="n">
        <v>0</v>
      </c>
      <c r="I243" t="n">
        <v>0</v>
      </c>
      <c r="J243" t="n">
        <v>0</v>
      </c>
      <c r="K243" t="n">
        <v>0</v>
      </c>
      <c r="L243" t="n">
        <v>0</v>
      </c>
      <c r="M243" t="n">
        <v>0</v>
      </c>
      <c r="N243" t="n">
        <v>0</v>
      </c>
      <c r="O243" t="n">
        <v>0</v>
      </c>
      <c r="P243" t="n">
        <v>0</v>
      </c>
      <c r="Q243" t="n">
        <v>0</v>
      </c>
      <c r="R243" s="2" t="inlineStr"/>
    </row>
    <row r="244" ht="15" customHeight="1">
      <c r="A244" t="inlineStr">
        <is>
          <t>A 56579-2023</t>
        </is>
      </c>
      <c r="B244" s="1" t="n">
        <v>45243.62420138889</v>
      </c>
      <c r="C244" s="1" t="n">
        <v>45985</v>
      </c>
      <c r="D244" t="inlineStr">
        <is>
          <t>ÖREBRO LÄN</t>
        </is>
      </c>
      <c r="E244" t="inlineStr">
        <is>
          <t>LINDESBERG</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56582-2023</t>
        </is>
      </c>
      <c r="B245" s="1" t="n">
        <v>45243</v>
      </c>
      <c r="C245" s="1" t="n">
        <v>45985</v>
      </c>
      <c r="D245" t="inlineStr">
        <is>
          <t>ÖREBRO LÄN</t>
        </is>
      </c>
      <c r="E245" t="inlineStr">
        <is>
          <t>LINDESBERG</t>
        </is>
      </c>
      <c r="F245" t="inlineStr">
        <is>
          <t>Naturvårdsverket</t>
        </is>
      </c>
      <c r="G245" t="n">
        <v>2.3</v>
      </c>
      <c r="H245" t="n">
        <v>0</v>
      </c>
      <c r="I245" t="n">
        <v>0</v>
      </c>
      <c r="J245" t="n">
        <v>0</v>
      </c>
      <c r="K245" t="n">
        <v>0</v>
      </c>
      <c r="L245" t="n">
        <v>0</v>
      </c>
      <c r="M245" t="n">
        <v>0</v>
      </c>
      <c r="N245" t="n">
        <v>0</v>
      </c>
      <c r="O245" t="n">
        <v>0</v>
      </c>
      <c r="P245" t="n">
        <v>0</v>
      </c>
      <c r="Q245" t="n">
        <v>0</v>
      </c>
      <c r="R245" s="2" t="inlineStr"/>
    </row>
    <row r="246" ht="15" customHeight="1">
      <c r="A246" t="inlineStr">
        <is>
          <t>A 62308-2023</t>
        </is>
      </c>
      <c r="B246" s="1" t="n">
        <v>45267.69052083333</v>
      </c>
      <c r="C246" s="1" t="n">
        <v>45985</v>
      </c>
      <c r="D246" t="inlineStr">
        <is>
          <t>ÖREBRO LÄN</t>
        </is>
      </c>
      <c r="E246" t="inlineStr">
        <is>
          <t>LINDESBERG</t>
        </is>
      </c>
      <c r="F246" t="inlineStr">
        <is>
          <t>Naturvårdsverket</t>
        </is>
      </c>
      <c r="G246" t="n">
        <v>3.1</v>
      </c>
      <c r="H246" t="n">
        <v>0</v>
      </c>
      <c r="I246" t="n">
        <v>0</v>
      </c>
      <c r="J246" t="n">
        <v>0</v>
      </c>
      <c r="K246" t="n">
        <v>0</v>
      </c>
      <c r="L246" t="n">
        <v>0</v>
      </c>
      <c r="M246" t="n">
        <v>0</v>
      </c>
      <c r="N246" t="n">
        <v>0</v>
      </c>
      <c r="O246" t="n">
        <v>0</v>
      </c>
      <c r="P246" t="n">
        <v>0</v>
      </c>
      <c r="Q246" t="n">
        <v>0</v>
      </c>
      <c r="R246" s="2" t="inlineStr"/>
    </row>
    <row r="247" ht="15" customHeight="1">
      <c r="A247" t="inlineStr">
        <is>
          <t>A 56217-2022</t>
        </is>
      </c>
      <c r="B247" s="1" t="n">
        <v>44890.46174768519</v>
      </c>
      <c r="C247" s="1" t="n">
        <v>45985</v>
      </c>
      <c r="D247" t="inlineStr">
        <is>
          <t>ÖREBRO LÄN</t>
        </is>
      </c>
      <c r="E247" t="inlineStr">
        <is>
          <t>LINDESBERG</t>
        </is>
      </c>
      <c r="G247" t="n">
        <v>6.9</v>
      </c>
      <c r="H247" t="n">
        <v>0</v>
      </c>
      <c r="I247" t="n">
        <v>0</v>
      </c>
      <c r="J247" t="n">
        <v>0</v>
      </c>
      <c r="K247" t="n">
        <v>0</v>
      </c>
      <c r="L247" t="n">
        <v>0</v>
      </c>
      <c r="M247" t="n">
        <v>0</v>
      </c>
      <c r="N247" t="n">
        <v>0</v>
      </c>
      <c r="O247" t="n">
        <v>0</v>
      </c>
      <c r="P247" t="n">
        <v>0</v>
      </c>
      <c r="Q247" t="n">
        <v>0</v>
      </c>
      <c r="R247" s="2" t="inlineStr"/>
    </row>
    <row r="248" ht="15" customHeight="1">
      <c r="A248" t="inlineStr">
        <is>
          <t>A 40305-2024</t>
        </is>
      </c>
      <c r="B248" s="1" t="n">
        <v>45554.71863425926</v>
      </c>
      <c r="C248" s="1" t="n">
        <v>45985</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22078-2025</t>
        </is>
      </c>
      <c r="B249" s="1" t="n">
        <v>45785.4253125</v>
      </c>
      <c r="C249" s="1" t="n">
        <v>45985</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27134-2024</t>
        </is>
      </c>
      <c r="B250" s="1" t="n">
        <v>45471.52878472222</v>
      </c>
      <c r="C250" s="1" t="n">
        <v>45985</v>
      </c>
      <c r="D250" t="inlineStr">
        <is>
          <t>ÖREBRO LÄN</t>
        </is>
      </c>
      <c r="E250" t="inlineStr">
        <is>
          <t>LINDESBERG</t>
        </is>
      </c>
      <c r="G250" t="n">
        <v>0.7</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45985</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53355-2023</t>
        </is>
      </c>
      <c r="B252" s="1" t="n">
        <v>45229.66430555555</v>
      </c>
      <c r="C252" s="1" t="n">
        <v>45985</v>
      </c>
      <c r="D252" t="inlineStr">
        <is>
          <t>ÖREBRO LÄN</t>
        </is>
      </c>
      <c r="E252" t="inlineStr">
        <is>
          <t>LINDESBERG</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45985</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54793-2024</t>
        </is>
      </c>
      <c r="B254" s="1" t="n">
        <v>45618</v>
      </c>
      <c r="C254" s="1" t="n">
        <v>45985</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45985</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45985</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38380-2024</t>
        </is>
      </c>
      <c r="B257" s="1" t="n">
        <v>45546.28121527778</v>
      </c>
      <c r="C257" s="1" t="n">
        <v>45985</v>
      </c>
      <c r="D257" t="inlineStr">
        <is>
          <t>ÖREBRO LÄN</t>
        </is>
      </c>
      <c r="E257" t="inlineStr">
        <is>
          <t>LINDESBERG</t>
        </is>
      </c>
      <c r="G257" t="n">
        <v>6.8</v>
      </c>
      <c r="H257" t="n">
        <v>0</v>
      </c>
      <c r="I257" t="n">
        <v>0</v>
      </c>
      <c r="J257" t="n">
        <v>0</v>
      </c>
      <c r="K257" t="n">
        <v>0</v>
      </c>
      <c r="L257" t="n">
        <v>0</v>
      </c>
      <c r="M257" t="n">
        <v>0</v>
      </c>
      <c r="N257" t="n">
        <v>0</v>
      </c>
      <c r="O257" t="n">
        <v>0</v>
      </c>
      <c r="P257" t="n">
        <v>0</v>
      </c>
      <c r="Q257" t="n">
        <v>0</v>
      </c>
      <c r="R257" s="2" t="inlineStr"/>
    </row>
    <row r="258" ht="15" customHeight="1">
      <c r="A258" t="inlineStr">
        <is>
          <t>A 21012-2023</t>
        </is>
      </c>
      <c r="B258" s="1" t="n">
        <v>45061.52474537037</v>
      </c>
      <c r="C258" s="1" t="n">
        <v>45985</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24944-2024</t>
        </is>
      </c>
      <c r="B259" s="1" t="n">
        <v>45461.62924768519</v>
      </c>
      <c r="C259" s="1" t="n">
        <v>45985</v>
      </c>
      <c r="D259" t="inlineStr">
        <is>
          <t>ÖREBRO LÄN</t>
        </is>
      </c>
      <c r="E259" t="inlineStr">
        <is>
          <t>LINDESBERG</t>
        </is>
      </c>
      <c r="F259" t="inlineStr">
        <is>
          <t>Kyrkan</t>
        </is>
      </c>
      <c r="G259" t="n">
        <v>13.7</v>
      </c>
      <c r="H259" t="n">
        <v>0</v>
      </c>
      <c r="I259" t="n">
        <v>0</v>
      </c>
      <c r="J259" t="n">
        <v>0</v>
      </c>
      <c r="K259" t="n">
        <v>0</v>
      </c>
      <c r="L259" t="n">
        <v>0</v>
      </c>
      <c r="M259" t="n">
        <v>0</v>
      </c>
      <c r="N259" t="n">
        <v>0</v>
      </c>
      <c r="O259" t="n">
        <v>0</v>
      </c>
      <c r="P259" t="n">
        <v>0</v>
      </c>
      <c r="Q259" t="n">
        <v>0</v>
      </c>
      <c r="R259" s="2" t="inlineStr"/>
    </row>
    <row r="260" ht="15" customHeight="1">
      <c r="A260" t="inlineStr">
        <is>
          <t>A 37432-2022</t>
        </is>
      </c>
      <c r="B260" s="1" t="n">
        <v>44809</v>
      </c>
      <c r="C260" s="1" t="n">
        <v>45985</v>
      </c>
      <c r="D260" t="inlineStr">
        <is>
          <t>ÖREBRO LÄN</t>
        </is>
      </c>
      <c r="E260" t="inlineStr">
        <is>
          <t>LINDESBERG</t>
        </is>
      </c>
      <c r="G260" t="n">
        <v>3.6</v>
      </c>
      <c r="H260" t="n">
        <v>0</v>
      </c>
      <c r="I260" t="n">
        <v>0</v>
      </c>
      <c r="J260" t="n">
        <v>0</v>
      </c>
      <c r="K260" t="n">
        <v>0</v>
      </c>
      <c r="L260" t="n">
        <v>0</v>
      </c>
      <c r="M260" t="n">
        <v>0</v>
      </c>
      <c r="N260" t="n">
        <v>0</v>
      </c>
      <c r="O260" t="n">
        <v>0</v>
      </c>
      <c r="P260" t="n">
        <v>0</v>
      </c>
      <c r="Q260" t="n">
        <v>0</v>
      </c>
      <c r="R260" s="2" t="inlineStr"/>
    </row>
    <row r="261" ht="15" customHeight="1">
      <c r="A261" t="inlineStr">
        <is>
          <t>A 53054-2022</t>
        </is>
      </c>
      <c r="B261" s="1" t="n">
        <v>44876.35706018518</v>
      </c>
      <c r="C261" s="1" t="n">
        <v>45985</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38534-2025</t>
        </is>
      </c>
      <c r="B262" s="1" t="n">
        <v>45884</v>
      </c>
      <c r="C262" s="1" t="n">
        <v>45985</v>
      </c>
      <c r="D262" t="inlineStr">
        <is>
          <t>ÖREBRO LÄN</t>
        </is>
      </c>
      <c r="E262" t="inlineStr">
        <is>
          <t>LINDESBERG</t>
        </is>
      </c>
      <c r="G262" t="n">
        <v>4.9</v>
      </c>
      <c r="H262" t="n">
        <v>0</v>
      </c>
      <c r="I262" t="n">
        <v>0</v>
      </c>
      <c r="J262" t="n">
        <v>0</v>
      </c>
      <c r="K262" t="n">
        <v>0</v>
      </c>
      <c r="L262" t="n">
        <v>0</v>
      </c>
      <c r="M262" t="n">
        <v>0</v>
      </c>
      <c r="N262" t="n">
        <v>0</v>
      </c>
      <c r="O262" t="n">
        <v>0</v>
      </c>
      <c r="P262" t="n">
        <v>0</v>
      </c>
      <c r="Q262" t="n">
        <v>0</v>
      </c>
      <c r="R262" s="2" t="inlineStr"/>
    </row>
    <row r="263" ht="15" customHeight="1">
      <c r="A263" t="inlineStr">
        <is>
          <t>A 23245-2025</t>
        </is>
      </c>
      <c r="B263" s="1" t="n">
        <v>45791.50862268519</v>
      </c>
      <c r="C263" s="1" t="n">
        <v>45985</v>
      </c>
      <c r="D263" t="inlineStr">
        <is>
          <t>ÖREBRO LÄN</t>
        </is>
      </c>
      <c r="E263" t="inlineStr">
        <is>
          <t>LINDESBERG</t>
        </is>
      </c>
      <c r="G263" t="n">
        <v>6.8</v>
      </c>
      <c r="H263" t="n">
        <v>0</v>
      </c>
      <c r="I263" t="n">
        <v>0</v>
      </c>
      <c r="J263" t="n">
        <v>0</v>
      </c>
      <c r="K263" t="n">
        <v>0</v>
      </c>
      <c r="L263" t="n">
        <v>0</v>
      </c>
      <c r="M263" t="n">
        <v>0</v>
      </c>
      <c r="N263" t="n">
        <v>0</v>
      </c>
      <c r="O263" t="n">
        <v>0</v>
      </c>
      <c r="P263" t="n">
        <v>0</v>
      </c>
      <c r="Q263" t="n">
        <v>0</v>
      </c>
      <c r="R263" s="2" t="inlineStr"/>
    </row>
    <row r="264" ht="15" customHeight="1">
      <c r="A264" t="inlineStr">
        <is>
          <t>A 42707-2023</t>
        </is>
      </c>
      <c r="B264" s="1" t="n">
        <v>45181</v>
      </c>
      <c r="C264" s="1" t="n">
        <v>45985</v>
      </c>
      <c r="D264" t="inlineStr">
        <is>
          <t>ÖREBRO LÄN</t>
        </is>
      </c>
      <c r="E264" t="inlineStr">
        <is>
          <t>LINDESBERG</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50619-2022</t>
        </is>
      </c>
      <c r="B265" s="1" t="n">
        <v>44866.79668981482</v>
      </c>
      <c r="C265" s="1" t="n">
        <v>45985</v>
      </c>
      <c r="D265" t="inlineStr">
        <is>
          <t>ÖREBRO LÄN</t>
        </is>
      </c>
      <c r="E265" t="inlineStr">
        <is>
          <t>LINDESBERG</t>
        </is>
      </c>
      <c r="G265" t="n">
        <v>1.4</v>
      </c>
      <c r="H265" t="n">
        <v>0</v>
      </c>
      <c r="I265" t="n">
        <v>0</v>
      </c>
      <c r="J265" t="n">
        <v>0</v>
      </c>
      <c r="K265" t="n">
        <v>0</v>
      </c>
      <c r="L265" t="n">
        <v>0</v>
      </c>
      <c r="M265" t="n">
        <v>0</v>
      </c>
      <c r="N265" t="n">
        <v>0</v>
      </c>
      <c r="O265" t="n">
        <v>0</v>
      </c>
      <c r="P265" t="n">
        <v>0</v>
      </c>
      <c r="Q265" t="n">
        <v>0</v>
      </c>
      <c r="R265" s="2" t="inlineStr"/>
    </row>
    <row r="266" ht="15" customHeight="1">
      <c r="A266" t="inlineStr">
        <is>
          <t>A 59641-2024</t>
        </is>
      </c>
      <c r="B266" s="1" t="n">
        <v>45639.30934027778</v>
      </c>
      <c r="C266" s="1" t="n">
        <v>45985</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38861-2025</t>
        </is>
      </c>
      <c r="B267" s="1" t="n">
        <v>45887.56101851852</v>
      </c>
      <c r="C267" s="1" t="n">
        <v>45985</v>
      </c>
      <c r="D267" t="inlineStr">
        <is>
          <t>ÖREBRO LÄN</t>
        </is>
      </c>
      <c r="E267" t="inlineStr">
        <is>
          <t>LINDESBERG</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17779-2024</t>
        </is>
      </c>
      <c r="B268" s="1" t="n">
        <v>45418.66800925926</v>
      </c>
      <c r="C268" s="1" t="n">
        <v>45985</v>
      </c>
      <c r="D268" t="inlineStr">
        <is>
          <t>ÖREBRO LÄN</t>
        </is>
      </c>
      <c r="E268" t="inlineStr">
        <is>
          <t>LINDESBERG</t>
        </is>
      </c>
      <c r="G268" t="n">
        <v>3.7</v>
      </c>
      <c r="H268" t="n">
        <v>0</v>
      </c>
      <c r="I268" t="n">
        <v>0</v>
      </c>
      <c r="J268" t="n">
        <v>0</v>
      </c>
      <c r="K268" t="n">
        <v>0</v>
      </c>
      <c r="L268" t="n">
        <v>0</v>
      </c>
      <c r="M268" t="n">
        <v>0</v>
      </c>
      <c r="N268" t="n">
        <v>0</v>
      </c>
      <c r="O268" t="n">
        <v>0</v>
      </c>
      <c r="P268" t="n">
        <v>0</v>
      </c>
      <c r="Q268" t="n">
        <v>0</v>
      </c>
      <c r="R268" s="2" t="inlineStr"/>
    </row>
    <row r="269" ht="15" customHeight="1">
      <c r="A269" t="inlineStr">
        <is>
          <t>A 46603-2021</t>
        </is>
      </c>
      <c r="B269" s="1" t="n">
        <v>44445</v>
      </c>
      <c r="C269" s="1" t="n">
        <v>45985</v>
      </c>
      <c r="D269" t="inlineStr">
        <is>
          <t>ÖREBRO LÄN</t>
        </is>
      </c>
      <c r="E269" t="inlineStr">
        <is>
          <t>LINDESBERG</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64528-2020</t>
        </is>
      </c>
      <c r="B270" s="1" t="n">
        <v>44169</v>
      </c>
      <c r="C270" s="1" t="n">
        <v>45985</v>
      </c>
      <c r="D270" t="inlineStr">
        <is>
          <t>ÖREBRO LÄN</t>
        </is>
      </c>
      <c r="E270" t="inlineStr">
        <is>
          <t>LINDESBERG</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21202-2024</t>
        </is>
      </c>
      <c r="B271" s="1" t="n">
        <v>45440.5433912037</v>
      </c>
      <c r="C271" s="1" t="n">
        <v>45985</v>
      </c>
      <c r="D271" t="inlineStr">
        <is>
          <t>ÖREBRO LÄN</t>
        </is>
      </c>
      <c r="E271" t="inlineStr">
        <is>
          <t>LINDESBERG</t>
        </is>
      </c>
      <c r="G271" t="n">
        <v>4</v>
      </c>
      <c r="H271" t="n">
        <v>0</v>
      </c>
      <c r="I271" t="n">
        <v>0</v>
      </c>
      <c r="J271" t="n">
        <v>0</v>
      </c>
      <c r="K271" t="n">
        <v>0</v>
      </c>
      <c r="L271" t="n">
        <v>0</v>
      </c>
      <c r="M271" t="n">
        <v>0</v>
      </c>
      <c r="N271" t="n">
        <v>0</v>
      </c>
      <c r="O271" t="n">
        <v>0</v>
      </c>
      <c r="P271" t="n">
        <v>0</v>
      </c>
      <c r="Q271" t="n">
        <v>0</v>
      </c>
      <c r="R271" s="2" t="inlineStr"/>
    </row>
    <row r="272" ht="15" customHeight="1">
      <c r="A272" t="inlineStr">
        <is>
          <t>A 1400-2025</t>
        </is>
      </c>
      <c r="B272" s="1" t="n">
        <v>45667</v>
      </c>
      <c r="C272" s="1" t="n">
        <v>45985</v>
      </c>
      <c r="D272" t="inlineStr">
        <is>
          <t>ÖREBRO LÄN</t>
        </is>
      </c>
      <c r="E272" t="inlineStr">
        <is>
          <t>LINDESBERG</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23835-2025</t>
        </is>
      </c>
      <c r="B273" s="1" t="n">
        <v>45793.61047453704</v>
      </c>
      <c r="C273" s="1" t="n">
        <v>45985</v>
      </c>
      <c r="D273" t="inlineStr">
        <is>
          <t>ÖREBRO LÄN</t>
        </is>
      </c>
      <c r="E273" t="inlineStr">
        <is>
          <t>LINDESBERG</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41343-2021</t>
        </is>
      </c>
      <c r="B274" s="1" t="n">
        <v>44424.61709490741</v>
      </c>
      <c r="C274" s="1" t="n">
        <v>45985</v>
      </c>
      <c r="D274" t="inlineStr">
        <is>
          <t>ÖREBRO LÄN</t>
        </is>
      </c>
      <c r="E274" t="inlineStr">
        <is>
          <t>LINDESBERG</t>
        </is>
      </c>
      <c r="G274" t="n">
        <v>8.9</v>
      </c>
      <c r="H274" t="n">
        <v>0</v>
      </c>
      <c r="I274" t="n">
        <v>0</v>
      </c>
      <c r="J274" t="n">
        <v>0</v>
      </c>
      <c r="K274" t="n">
        <v>0</v>
      </c>
      <c r="L274" t="n">
        <v>0</v>
      </c>
      <c r="M274" t="n">
        <v>0</v>
      </c>
      <c r="N274" t="n">
        <v>0</v>
      </c>
      <c r="O274" t="n">
        <v>0</v>
      </c>
      <c r="P274" t="n">
        <v>0</v>
      </c>
      <c r="Q274" t="n">
        <v>0</v>
      </c>
      <c r="R274" s="2" t="inlineStr"/>
    </row>
    <row r="275" ht="15" customHeight="1">
      <c r="A275" t="inlineStr">
        <is>
          <t>A 23641-2024</t>
        </is>
      </c>
      <c r="B275" s="1" t="n">
        <v>45454.49679398148</v>
      </c>
      <c r="C275" s="1" t="n">
        <v>45985</v>
      </c>
      <c r="D275" t="inlineStr">
        <is>
          <t>ÖREBRO LÄN</t>
        </is>
      </c>
      <c r="E275" t="inlineStr">
        <is>
          <t>LINDESBERG</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24017-2025</t>
        </is>
      </c>
      <c r="B276" s="1" t="n">
        <v>45796.44885416667</v>
      </c>
      <c r="C276" s="1" t="n">
        <v>45985</v>
      </c>
      <c r="D276" t="inlineStr">
        <is>
          <t>ÖREBRO LÄN</t>
        </is>
      </c>
      <c r="E276" t="inlineStr">
        <is>
          <t>LINDESBERG</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24107-2025</t>
        </is>
      </c>
      <c r="B277" s="1" t="n">
        <v>45796</v>
      </c>
      <c r="C277" s="1" t="n">
        <v>45985</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58662-2022</t>
        </is>
      </c>
      <c r="B278" s="1" t="n">
        <v>44902</v>
      </c>
      <c r="C278" s="1" t="n">
        <v>45985</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23932-2025</t>
        </is>
      </c>
      <c r="B279" s="1" t="n">
        <v>45795.70912037037</v>
      </c>
      <c r="C279" s="1" t="n">
        <v>45985</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24011-2025</t>
        </is>
      </c>
      <c r="B280" s="1" t="n">
        <v>45796</v>
      </c>
      <c r="C280" s="1" t="n">
        <v>45985</v>
      </c>
      <c r="D280" t="inlineStr">
        <is>
          <t>ÖREBRO LÄN</t>
        </is>
      </c>
      <c r="E280" t="inlineStr">
        <is>
          <t>LINDESBERG</t>
        </is>
      </c>
      <c r="F280" t="inlineStr">
        <is>
          <t>Sveaskog</t>
        </is>
      </c>
      <c r="G280" t="n">
        <v>4.2</v>
      </c>
      <c r="H280" t="n">
        <v>0</v>
      </c>
      <c r="I280" t="n">
        <v>0</v>
      </c>
      <c r="J280" t="n">
        <v>0</v>
      </c>
      <c r="K280" t="n">
        <v>0</v>
      </c>
      <c r="L280" t="n">
        <v>0</v>
      </c>
      <c r="M280" t="n">
        <v>0</v>
      </c>
      <c r="N280" t="n">
        <v>0</v>
      </c>
      <c r="O280" t="n">
        <v>0</v>
      </c>
      <c r="P280" t="n">
        <v>0</v>
      </c>
      <c r="Q280" t="n">
        <v>0</v>
      </c>
      <c r="R280" s="2" t="inlineStr"/>
    </row>
    <row r="281" ht="15" customHeight="1">
      <c r="A281" t="inlineStr">
        <is>
          <t>A 24020-2025</t>
        </is>
      </c>
      <c r="B281" s="1" t="n">
        <v>45796.45054398148</v>
      </c>
      <c r="C281" s="1" t="n">
        <v>45985</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23897-2025</t>
        </is>
      </c>
      <c r="B282" s="1" t="n">
        <v>45794.33498842592</v>
      </c>
      <c r="C282" s="1" t="n">
        <v>45985</v>
      </c>
      <c r="D282" t="inlineStr">
        <is>
          <t>ÖREBRO LÄN</t>
        </is>
      </c>
      <c r="E282" t="inlineStr">
        <is>
          <t>LINDESBERG</t>
        </is>
      </c>
      <c r="G282" t="n">
        <v>5.6</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45985</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45985</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23898-2025</t>
        </is>
      </c>
      <c r="B285" s="1" t="n">
        <v>45794.3419212963</v>
      </c>
      <c r="C285" s="1" t="n">
        <v>45985</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23933-2025</t>
        </is>
      </c>
      <c r="B286" s="1" t="n">
        <v>45795.71300925926</v>
      </c>
      <c r="C286" s="1" t="n">
        <v>45985</v>
      </c>
      <c r="D286" t="inlineStr">
        <is>
          <t>ÖREBRO LÄN</t>
        </is>
      </c>
      <c r="E286" t="inlineStr">
        <is>
          <t>LINDESBERG</t>
        </is>
      </c>
      <c r="G286" t="n">
        <v>2.2</v>
      </c>
      <c r="H286" t="n">
        <v>0</v>
      </c>
      <c r="I286" t="n">
        <v>0</v>
      </c>
      <c r="J286" t="n">
        <v>0</v>
      </c>
      <c r="K286" t="n">
        <v>0</v>
      </c>
      <c r="L286" t="n">
        <v>0</v>
      </c>
      <c r="M286" t="n">
        <v>0</v>
      </c>
      <c r="N286" t="n">
        <v>0</v>
      </c>
      <c r="O286" t="n">
        <v>0</v>
      </c>
      <c r="P286" t="n">
        <v>0</v>
      </c>
      <c r="Q286" t="n">
        <v>0</v>
      </c>
      <c r="R286" s="2" t="inlineStr"/>
    </row>
    <row r="287" ht="15" customHeight="1">
      <c r="A287" t="inlineStr">
        <is>
          <t>A 28032-2023</t>
        </is>
      </c>
      <c r="B287" s="1" t="n">
        <v>45099</v>
      </c>
      <c r="C287" s="1" t="n">
        <v>45985</v>
      </c>
      <c r="D287" t="inlineStr">
        <is>
          <t>ÖREBRO LÄN</t>
        </is>
      </c>
      <c r="E287" t="inlineStr">
        <is>
          <t>LINDESBERG</t>
        </is>
      </c>
      <c r="F287" t="inlineStr">
        <is>
          <t>Kyrkan</t>
        </is>
      </c>
      <c r="G287" t="n">
        <v>0.7</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45985</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4067-2024</t>
        </is>
      </c>
      <c r="B289" s="1" t="n">
        <v>45323</v>
      </c>
      <c r="C289" s="1" t="n">
        <v>45985</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23934-2025</t>
        </is>
      </c>
      <c r="B290" s="1" t="n">
        <v>45795.71547453704</v>
      </c>
      <c r="C290" s="1" t="n">
        <v>45985</v>
      </c>
      <c r="D290" t="inlineStr">
        <is>
          <t>ÖREBRO LÄN</t>
        </is>
      </c>
      <c r="E290" t="inlineStr">
        <is>
          <t>LINDESBERG</t>
        </is>
      </c>
      <c r="G290" t="n">
        <v>1.9</v>
      </c>
      <c r="H290" t="n">
        <v>0</v>
      </c>
      <c r="I290" t="n">
        <v>0</v>
      </c>
      <c r="J290" t="n">
        <v>0</v>
      </c>
      <c r="K290" t="n">
        <v>0</v>
      </c>
      <c r="L290" t="n">
        <v>0</v>
      </c>
      <c r="M290" t="n">
        <v>0</v>
      </c>
      <c r="N290" t="n">
        <v>0</v>
      </c>
      <c r="O290" t="n">
        <v>0</v>
      </c>
      <c r="P290" t="n">
        <v>0</v>
      </c>
      <c r="Q290" t="n">
        <v>0</v>
      </c>
      <c r="R290" s="2" t="inlineStr"/>
    </row>
    <row r="291" ht="15" customHeight="1">
      <c r="A291" t="inlineStr">
        <is>
          <t>A 57944-2023</t>
        </is>
      </c>
      <c r="B291" s="1" t="n">
        <v>45244</v>
      </c>
      <c r="C291" s="1" t="n">
        <v>45985</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24043-2024</t>
        </is>
      </c>
      <c r="B292" s="1" t="n">
        <v>45456.48927083334</v>
      </c>
      <c r="C292" s="1" t="n">
        <v>45985</v>
      </c>
      <c r="D292" t="inlineStr">
        <is>
          <t>ÖREBRO LÄN</t>
        </is>
      </c>
      <c r="E292" t="inlineStr">
        <is>
          <t>LINDESBERG</t>
        </is>
      </c>
      <c r="G292" t="n">
        <v>6.2</v>
      </c>
      <c r="H292" t="n">
        <v>0</v>
      </c>
      <c r="I292" t="n">
        <v>0</v>
      </c>
      <c r="J292" t="n">
        <v>0</v>
      </c>
      <c r="K292" t="n">
        <v>0</v>
      </c>
      <c r="L292" t="n">
        <v>0</v>
      </c>
      <c r="M292" t="n">
        <v>0</v>
      </c>
      <c r="N292" t="n">
        <v>0</v>
      </c>
      <c r="O292" t="n">
        <v>0</v>
      </c>
      <c r="P292" t="n">
        <v>0</v>
      </c>
      <c r="Q292" t="n">
        <v>0</v>
      </c>
      <c r="R292" s="2" t="inlineStr"/>
    </row>
    <row r="293" ht="15" customHeight="1">
      <c r="A293" t="inlineStr">
        <is>
          <t>A 23844-2025</t>
        </is>
      </c>
      <c r="B293" s="1" t="n">
        <v>45793.62422453704</v>
      </c>
      <c r="C293" s="1" t="n">
        <v>45985</v>
      </c>
      <c r="D293" t="inlineStr">
        <is>
          <t>ÖREBRO LÄN</t>
        </is>
      </c>
      <c r="E293" t="inlineStr">
        <is>
          <t>LINDESBERG</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37604-2025</t>
        </is>
      </c>
      <c r="B294" s="1" t="n">
        <v>45880</v>
      </c>
      <c r="C294" s="1" t="n">
        <v>45985</v>
      </c>
      <c r="D294" t="inlineStr">
        <is>
          <t>ÖREBRO LÄN</t>
        </is>
      </c>
      <c r="E294" t="inlineStr">
        <is>
          <t>LINDESBERG</t>
        </is>
      </c>
      <c r="G294" t="n">
        <v>6.3</v>
      </c>
      <c r="H294" t="n">
        <v>0</v>
      </c>
      <c r="I294" t="n">
        <v>0</v>
      </c>
      <c r="J294" t="n">
        <v>0</v>
      </c>
      <c r="K294" t="n">
        <v>0</v>
      </c>
      <c r="L294" t="n">
        <v>0</v>
      </c>
      <c r="M294" t="n">
        <v>0</v>
      </c>
      <c r="N294" t="n">
        <v>0</v>
      </c>
      <c r="O294" t="n">
        <v>0</v>
      </c>
      <c r="P294" t="n">
        <v>0</v>
      </c>
      <c r="Q294" t="n">
        <v>0</v>
      </c>
      <c r="R294" s="2" t="inlineStr"/>
    </row>
    <row r="295" ht="15" customHeight="1">
      <c r="A295" t="inlineStr">
        <is>
          <t>A 12250-2025</t>
        </is>
      </c>
      <c r="B295" s="1" t="n">
        <v>45729.60775462963</v>
      </c>
      <c r="C295" s="1" t="n">
        <v>45985</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30767-2023</t>
        </is>
      </c>
      <c r="B296" s="1" t="n">
        <v>45112.67952546296</v>
      </c>
      <c r="C296" s="1" t="n">
        <v>45985</v>
      </c>
      <c r="D296" t="inlineStr">
        <is>
          <t>ÖREBRO LÄN</t>
        </is>
      </c>
      <c r="E296" t="inlineStr">
        <is>
          <t>LINDESBERG</t>
        </is>
      </c>
      <c r="G296" t="n">
        <v>3.9</v>
      </c>
      <c r="H296" t="n">
        <v>0</v>
      </c>
      <c r="I296" t="n">
        <v>0</v>
      </c>
      <c r="J296" t="n">
        <v>0</v>
      </c>
      <c r="K296" t="n">
        <v>0</v>
      </c>
      <c r="L296" t="n">
        <v>0</v>
      </c>
      <c r="M296" t="n">
        <v>0</v>
      </c>
      <c r="N296" t="n">
        <v>0</v>
      </c>
      <c r="O296" t="n">
        <v>0</v>
      </c>
      <c r="P296" t="n">
        <v>0</v>
      </c>
      <c r="Q296" t="n">
        <v>0</v>
      </c>
      <c r="R296" s="2" t="inlineStr"/>
    </row>
    <row r="297" ht="15" customHeight="1">
      <c r="A297" t="inlineStr">
        <is>
          <t>A 63508-2023</t>
        </is>
      </c>
      <c r="B297" s="1" t="n">
        <v>45274</v>
      </c>
      <c r="C297" s="1" t="n">
        <v>45985</v>
      </c>
      <c r="D297" t="inlineStr">
        <is>
          <t>ÖREBRO LÄN</t>
        </is>
      </c>
      <c r="E297" t="inlineStr">
        <is>
          <t>LINDESBERG</t>
        </is>
      </c>
      <c r="G297" t="n">
        <v>1.4</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45985</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40366-2025</t>
        </is>
      </c>
      <c r="B299" s="1" t="n">
        <v>45895.49994212963</v>
      </c>
      <c r="C299" s="1" t="n">
        <v>45985</v>
      </c>
      <c r="D299" t="inlineStr">
        <is>
          <t>ÖREBRO LÄN</t>
        </is>
      </c>
      <c r="E299" t="inlineStr">
        <is>
          <t>LINDESBERG</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36280-2023</t>
        </is>
      </c>
      <c r="B300" s="1" t="n">
        <v>45152.34586805556</v>
      </c>
      <c r="C300" s="1" t="n">
        <v>45985</v>
      </c>
      <c r="D300" t="inlineStr">
        <is>
          <t>ÖREBRO LÄN</t>
        </is>
      </c>
      <c r="E300" t="inlineStr">
        <is>
          <t>LINDESBERG</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40357-2025</t>
        </is>
      </c>
      <c r="B301" s="1" t="n">
        <v>45895.48927083334</v>
      </c>
      <c r="C301" s="1" t="n">
        <v>45985</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33284-2024</t>
        </is>
      </c>
      <c r="B302" s="1" t="n">
        <v>45518.71721064814</v>
      </c>
      <c r="C302" s="1" t="n">
        <v>45985</v>
      </c>
      <c r="D302" t="inlineStr">
        <is>
          <t>ÖREBRO LÄN</t>
        </is>
      </c>
      <c r="E302" t="inlineStr">
        <is>
          <t>LINDESBERG</t>
        </is>
      </c>
      <c r="G302" t="n">
        <v>1.7</v>
      </c>
      <c r="H302" t="n">
        <v>0</v>
      </c>
      <c r="I302" t="n">
        <v>0</v>
      </c>
      <c r="J302" t="n">
        <v>0</v>
      </c>
      <c r="K302" t="n">
        <v>0</v>
      </c>
      <c r="L302" t="n">
        <v>0</v>
      </c>
      <c r="M302" t="n">
        <v>0</v>
      </c>
      <c r="N302" t="n">
        <v>0</v>
      </c>
      <c r="O302" t="n">
        <v>0</v>
      </c>
      <c r="P302" t="n">
        <v>0</v>
      </c>
      <c r="Q302" t="n">
        <v>0</v>
      </c>
      <c r="R302" s="2" t="inlineStr"/>
    </row>
    <row r="303" ht="15" customHeight="1">
      <c r="A303" t="inlineStr">
        <is>
          <t>A 33978-2023</t>
        </is>
      </c>
      <c r="B303" s="1" t="n">
        <v>45134.68158564815</v>
      </c>
      <c r="C303" s="1" t="n">
        <v>45985</v>
      </c>
      <c r="D303" t="inlineStr">
        <is>
          <t>ÖREBRO LÄN</t>
        </is>
      </c>
      <c r="E303" t="inlineStr">
        <is>
          <t>LINDESBERG</t>
        </is>
      </c>
      <c r="G303" t="n">
        <v>4.1</v>
      </c>
      <c r="H303" t="n">
        <v>0</v>
      </c>
      <c r="I303" t="n">
        <v>0</v>
      </c>
      <c r="J303" t="n">
        <v>0</v>
      </c>
      <c r="K303" t="n">
        <v>0</v>
      </c>
      <c r="L303" t="n">
        <v>0</v>
      </c>
      <c r="M303" t="n">
        <v>0</v>
      </c>
      <c r="N303" t="n">
        <v>0</v>
      </c>
      <c r="O303" t="n">
        <v>0</v>
      </c>
      <c r="P303" t="n">
        <v>0</v>
      </c>
      <c r="Q303" t="n">
        <v>0</v>
      </c>
      <c r="R303" s="2" t="inlineStr"/>
    </row>
    <row r="304" ht="15" customHeight="1">
      <c r="A304" t="inlineStr">
        <is>
          <t>A 37125-2023</t>
        </is>
      </c>
      <c r="B304" s="1" t="n">
        <v>45155.5653125</v>
      </c>
      <c r="C304" s="1" t="n">
        <v>45985</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45985</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24186-2024</t>
        </is>
      </c>
      <c r="B306" s="1" t="n">
        <v>45456.90869212963</v>
      </c>
      <c r="C306" s="1" t="n">
        <v>45985</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38762-2021</t>
        </is>
      </c>
      <c r="B307" s="1" t="n">
        <v>44410.61837962963</v>
      </c>
      <c r="C307" s="1" t="n">
        <v>45985</v>
      </c>
      <c r="D307" t="inlineStr">
        <is>
          <t>ÖREBRO LÄN</t>
        </is>
      </c>
      <c r="E307" t="inlineStr">
        <is>
          <t>LINDESBERG</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40347-2025</t>
        </is>
      </c>
      <c r="B308" s="1" t="n">
        <v>45895.4790625</v>
      </c>
      <c r="C308" s="1" t="n">
        <v>45985</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40346-2025</t>
        </is>
      </c>
      <c r="B309" s="1" t="n">
        <v>45895.47704861111</v>
      </c>
      <c r="C309" s="1" t="n">
        <v>45985</v>
      </c>
      <c r="D309" t="inlineStr">
        <is>
          <t>ÖREBRO LÄN</t>
        </is>
      </c>
      <c r="E309" t="inlineStr">
        <is>
          <t>LINDESBERG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36015-2021</t>
        </is>
      </c>
      <c r="B310" s="1" t="n">
        <v>44389</v>
      </c>
      <c r="C310" s="1" t="n">
        <v>45985</v>
      </c>
      <c r="D310" t="inlineStr">
        <is>
          <t>ÖREBRO LÄN</t>
        </is>
      </c>
      <c r="E310" t="inlineStr">
        <is>
          <t>LINDESBERG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54705-2022</t>
        </is>
      </c>
      <c r="B311" s="1" t="n">
        <v>44883</v>
      </c>
      <c r="C311" s="1" t="n">
        <v>45985</v>
      </c>
      <c r="D311" t="inlineStr">
        <is>
          <t>ÖREBRO LÄN</t>
        </is>
      </c>
      <c r="E311" t="inlineStr">
        <is>
          <t>LINDESBERG</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45985</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45985</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45985</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45985</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13305-2023</t>
        </is>
      </c>
      <c r="B316" s="1" t="n">
        <v>45005.35967592592</v>
      </c>
      <c r="C316" s="1" t="n">
        <v>45985</v>
      </c>
      <c r="D316" t="inlineStr">
        <is>
          <t>ÖREBRO LÄN</t>
        </is>
      </c>
      <c r="E316" t="inlineStr">
        <is>
          <t>LINDESBERG</t>
        </is>
      </c>
      <c r="G316" t="n">
        <v>5.5</v>
      </c>
      <c r="H316" t="n">
        <v>0</v>
      </c>
      <c r="I316" t="n">
        <v>0</v>
      </c>
      <c r="J316" t="n">
        <v>0</v>
      </c>
      <c r="K316" t="n">
        <v>0</v>
      </c>
      <c r="L316" t="n">
        <v>0</v>
      </c>
      <c r="M316" t="n">
        <v>0</v>
      </c>
      <c r="N316" t="n">
        <v>0</v>
      </c>
      <c r="O316" t="n">
        <v>0</v>
      </c>
      <c r="P316" t="n">
        <v>0</v>
      </c>
      <c r="Q316" t="n">
        <v>0</v>
      </c>
      <c r="R316" s="2" t="inlineStr"/>
    </row>
    <row r="317" ht="15" customHeight="1">
      <c r="A317" t="inlineStr">
        <is>
          <t>A 13368-2023</t>
        </is>
      </c>
      <c r="B317" s="1" t="n">
        <v>45005.47820601852</v>
      </c>
      <c r="C317" s="1" t="n">
        <v>45985</v>
      </c>
      <c r="D317" t="inlineStr">
        <is>
          <t>ÖREBRO LÄN</t>
        </is>
      </c>
      <c r="E317" t="inlineStr">
        <is>
          <t>LINDESBERG</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25842-2025</t>
        </is>
      </c>
      <c r="B318" s="1" t="n">
        <v>45804.45474537037</v>
      </c>
      <c r="C318" s="1" t="n">
        <v>45985</v>
      </c>
      <c r="D318" t="inlineStr">
        <is>
          <t>ÖREBRO LÄN</t>
        </is>
      </c>
      <c r="E318" t="inlineStr">
        <is>
          <t>LINDESBERG</t>
        </is>
      </c>
      <c r="G318" t="n">
        <v>1.7</v>
      </c>
      <c r="H318" t="n">
        <v>0</v>
      </c>
      <c r="I318" t="n">
        <v>0</v>
      </c>
      <c r="J318" t="n">
        <v>0</v>
      </c>
      <c r="K318" t="n">
        <v>0</v>
      </c>
      <c r="L318" t="n">
        <v>0</v>
      </c>
      <c r="M318" t="n">
        <v>0</v>
      </c>
      <c r="N318" t="n">
        <v>0</v>
      </c>
      <c r="O318" t="n">
        <v>0</v>
      </c>
      <c r="P318" t="n">
        <v>0</v>
      </c>
      <c r="Q318" t="n">
        <v>0</v>
      </c>
      <c r="R318" s="2" t="inlineStr"/>
    </row>
    <row r="319" ht="15" customHeight="1">
      <c r="A319" t="inlineStr">
        <is>
          <t>A 29942-2024</t>
        </is>
      </c>
      <c r="B319" s="1" t="n">
        <v>45488.42258101852</v>
      </c>
      <c r="C319" s="1" t="n">
        <v>45985</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8834-2023</t>
        </is>
      </c>
      <c r="B320" s="1" t="n">
        <v>44978</v>
      </c>
      <c r="C320" s="1" t="n">
        <v>45985</v>
      </c>
      <c r="D320" t="inlineStr">
        <is>
          <t>ÖREBRO LÄN</t>
        </is>
      </c>
      <c r="E320" t="inlineStr">
        <is>
          <t>LINDESBERG</t>
        </is>
      </c>
      <c r="G320" t="n">
        <v>0.5</v>
      </c>
      <c r="H320" t="n">
        <v>0</v>
      </c>
      <c r="I320" t="n">
        <v>0</v>
      </c>
      <c r="J320" t="n">
        <v>0</v>
      </c>
      <c r="K320" t="n">
        <v>0</v>
      </c>
      <c r="L320" t="n">
        <v>0</v>
      </c>
      <c r="M320" t="n">
        <v>0</v>
      </c>
      <c r="N320" t="n">
        <v>0</v>
      </c>
      <c r="O320" t="n">
        <v>0</v>
      </c>
      <c r="P320" t="n">
        <v>0</v>
      </c>
      <c r="Q320" t="n">
        <v>0</v>
      </c>
      <c r="R320" s="2" t="inlineStr"/>
    </row>
    <row r="321" ht="15" customHeight="1">
      <c r="A321" t="inlineStr">
        <is>
          <t>A 47110-2024</t>
        </is>
      </c>
      <c r="B321" s="1" t="n">
        <v>45586.55451388889</v>
      </c>
      <c r="C321" s="1" t="n">
        <v>45985</v>
      </c>
      <c r="D321" t="inlineStr">
        <is>
          <t>ÖREBRO LÄN</t>
        </is>
      </c>
      <c r="E321" t="inlineStr">
        <is>
          <t>LINDESBERG</t>
        </is>
      </c>
      <c r="G321" t="n">
        <v>0.6</v>
      </c>
      <c r="H321" t="n">
        <v>0</v>
      </c>
      <c r="I321" t="n">
        <v>0</v>
      </c>
      <c r="J321" t="n">
        <v>0</v>
      </c>
      <c r="K321" t="n">
        <v>0</v>
      </c>
      <c r="L321" t="n">
        <v>0</v>
      </c>
      <c r="M321" t="n">
        <v>0</v>
      </c>
      <c r="N321" t="n">
        <v>0</v>
      </c>
      <c r="O321" t="n">
        <v>0</v>
      </c>
      <c r="P321" t="n">
        <v>0</v>
      </c>
      <c r="Q321" t="n">
        <v>0</v>
      </c>
      <c r="R321" s="2" t="inlineStr"/>
    </row>
    <row r="322" ht="15" customHeight="1">
      <c r="A322" t="inlineStr">
        <is>
          <t>A 25643-2025</t>
        </is>
      </c>
      <c r="B322" s="1" t="n">
        <v>45803</v>
      </c>
      <c r="C322" s="1" t="n">
        <v>45985</v>
      </c>
      <c r="D322" t="inlineStr">
        <is>
          <t>ÖREBRO LÄN</t>
        </is>
      </c>
      <c r="E322" t="inlineStr">
        <is>
          <t>LINDESBERG</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25843-2025</t>
        </is>
      </c>
      <c r="B323" s="1" t="n">
        <v>45804.45584490741</v>
      </c>
      <c r="C323" s="1" t="n">
        <v>45985</v>
      </c>
      <c r="D323" t="inlineStr">
        <is>
          <t>ÖREBRO LÄN</t>
        </is>
      </c>
      <c r="E323" t="inlineStr">
        <is>
          <t>LINDESBERG</t>
        </is>
      </c>
      <c r="G323" t="n">
        <v>4.6</v>
      </c>
      <c r="H323" t="n">
        <v>0</v>
      </c>
      <c r="I323" t="n">
        <v>0</v>
      </c>
      <c r="J323" t="n">
        <v>0</v>
      </c>
      <c r="K323" t="n">
        <v>0</v>
      </c>
      <c r="L323" t="n">
        <v>0</v>
      </c>
      <c r="M323" t="n">
        <v>0</v>
      </c>
      <c r="N323" t="n">
        <v>0</v>
      </c>
      <c r="O323" t="n">
        <v>0</v>
      </c>
      <c r="P323" t="n">
        <v>0</v>
      </c>
      <c r="Q323" t="n">
        <v>0</v>
      </c>
      <c r="R323" s="2" t="inlineStr"/>
    </row>
    <row r="324" ht="15" customHeight="1">
      <c r="A324" t="inlineStr">
        <is>
          <t>A 50086-2025</t>
        </is>
      </c>
      <c r="B324" s="1" t="n">
        <v>45943.47649305555</v>
      </c>
      <c r="C324" s="1" t="n">
        <v>45985</v>
      </c>
      <c r="D324" t="inlineStr">
        <is>
          <t>ÖREBRO LÄN</t>
        </is>
      </c>
      <c r="E324" t="inlineStr">
        <is>
          <t>LINDESBERG</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41653-2025</t>
        </is>
      </c>
      <c r="B325" s="1" t="n">
        <v>45902.3406712963</v>
      </c>
      <c r="C325" s="1" t="n">
        <v>45985</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26016-2025</t>
        </is>
      </c>
      <c r="B326" s="1" t="n">
        <v>45804.67795138889</v>
      </c>
      <c r="C326" s="1" t="n">
        <v>45985</v>
      </c>
      <c r="D326" t="inlineStr">
        <is>
          <t>ÖREBRO LÄN</t>
        </is>
      </c>
      <c r="E326" t="inlineStr">
        <is>
          <t>LINDESBERG</t>
        </is>
      </c>
      <c r="G326" t="n">
        <v>10</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45985</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45985</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45985</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45985</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50072-2025</t>
        </is>
      </c>
      <c r="B331" s="1" t="n">
        <v>45943.45966435185</v>
      </c>
      <c r="C331" s="1" t="n">
        <v>45985</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6723-2022</t>
        </is>
      </c>
      <c r="B332" s="1" t="n">
        <v>44602.45162037037</v>
      </c>
      <c r="C332" s="1" t="n">
        <v>45985</v>
      </c>
      <c r="D332" t="inlineStr">
        <is>
          <t>ÖREBRO LÄN</t>
        </is>
      </c>
      <c r="E332" t="inlineStr">
        <is>
          <t>LINDESBERG</t>
        </is>
      </c>
      <c r="G332" t="n">
        <v>4.2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45985</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50073-2025</t>
        </is>
      </c>
      <c r="B334" s="1" t="n">
        <v>45943.4603125</v>
      </c>
      <c r="C334" s="1" t="n">
        <v>45985</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45985</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41889-2025</t>
        </is>
      </c>
      <c r="B336" s="1" t="n">
        <v>45903.37475694445</v>
      </c>
      <c r="C336" s="1" t="n">
        <v>45985</v>
      </c>
      <c r="D336" t="inlineStr">
        <is>
          <t>ÖREBRO LÄN</t>
        </is>
      </c>
      <c r="E336" t="inlineStr">
        <is>
          <t>LINDESBERG</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45985</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50765-2025</t>
        </is>
      </c>
      <c r="B338" s="1" t="n">
        <v>45946.44216435185</v>
      </c>
      <c r="C338" s="1" t="n">
        <v>45985</v>
      </c>
      <c r="D338" t="inlineStr">
        <is>
          <t>ÖREBRO LÄN</t>
        </is>
      </c>
      <c r="E338" t="inlineStr">
        <is>
          <t>LINDESBERG</t>
        </is>
      </c>
      <c r="F338" t="inlineStr">
        <is>
          <t>Sveaskog</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50933-2025</t>
        </is>
      </c>
      <c r="B339" s="1" t="n">
        <v>45946.68859953704</v>
      </c>
      <c r="C339" s="1" t="n">
        <v>45985</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50936-2025</t>
        </is>
      </c>
      <c r="B340" s="1" t="n">
        <v>45946.69616898148</v>
      </c>
      <c r="C340" s="1" t="n">
        <v>45985</v>
      </c>
      <c r="D340" t="inlineStr">
        <is>
          <t>ÖREBRO LÄN</t>
        </is>
      </c>
      <c r="E340" t="inlineStr">
        <is>
          <t>LINDESBERG</t>
        </is>
      </c>
      <c r="G340" t="n">
        <v>2.9</v>
      </c>
      <c r="H340" t="n">
        <v>0</v>
      </c>
      <c r="I340" t="n">
        <v>0</v>
      </c>
      <c r="J340" t="n">
        <v>0</v>
      </c>
      <c r="K340" t="n">
        <v>0</v>
      </c>
      <c r="L340" t="n">
        <v>0</v>
      </c>
      <c r="M340" t="n">
        <v>0</v>
      </c>
      <c r="N340" t="n">
        <v>0</v>
      </c>
      <c r="O340" t="n">
        <v>0</v>
      </c>
      <c r="P340" t="n">
        <v>0</v>
      </c>
      <c r="Q340" t="n">
        <v>0</v>
      </c>
      <c r="R340" s="2" t="inlineStr"/>
    </row>
    <row r="341" ht="15" customHeight="1">
      <c r="A341" t="inlineStr">
        <is>
          <t>A 13968-2025</t>
        </is>
      </c>
      <c r="B341" s="1" t="n">
        <v>45738.42981481482</v>
      </c>
      <c r="C341" s="1" t="n">
        <v>45985</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10564-2023</t>
        </is>
      </c>
      <c r="B342" s="1" t="n">
        <v>44988</v>
      </c>
      <c r="C342" s="1" t="n">
        <v>45985</v>
      </c>
      <c r="D342" t="inlineStr">
        <is>
          <t>ÖREBRO LÄN</t>
        </is>
      </c>
      <c r="E342" t="inlineStr">
        <is>
          <t>LINDESBERG</t>
        </is>
      </c>
      <c r="F342" t="inlineStr">
        <is>
          <t>Kyrkan</t>
        </is>
      </c>
      <c r="G342" t="n">
        <v>1.6</v>
      </c>
      <c r="H342" t="n">
        <v>0</v>
      </c>
      <c r="I342" t="n">
        <v>0</v>
      </c>
      <c r="J342" t="n">
        <v>0</v>
      </c>
      <c r="K342" t="n">
        <v>0</v>
      </c>
      <c r="L342" t="n">
        <v>0</v>
      </c>
      <c r="M342" t="n">
        <v>0</v>
      </c>
      <c r="N342" t="n">
        <v>0</v>
      </c>
      <c r="O342" t="n">
        <v>0</v>
      </c>
      <c r="P342" t="n">
        <v>0</v>
      </c>
      <c r="Q342" t="n">
        <v>0</v>
      </c>
      <c r="R342" s="2" t="inlineStr"/>
    </row>
    <row r="343" ht="15" customHeight="1">
      <c r="A343" t="inlineStr">
        <is>
          <t>A 27309-2025</t>
        </is>
      </c>
      <c r="B343" s="1" t="n">
        <v>45812.57452546297</v>
      </c>
      <c r="C343" s="1" t="n">
        <v>45985</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27311-2025</t>
        </is>
      </c>
      <c r="B344" s="1" t="n">
        <v>45812.57604166667</v>
      </c>
      <c r="C344" s="1" t="n">
        <v>45985</v>
      </c>
      <c r="D344" t="inlineStr">
        <is>
          <t>ÖREBRO LÄN</t>
        </is>
      </c>
      <c r="E344" t="inlineStr">
        <is>
          <t>LINDESBERG</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27300-2025</t>
        </is>
      </c>
      <c r="B345" s="1" t="n">
        <v>45812.57143518519</v>
      </c>
      <c r="C345" s="1" t="n">
        <v>45985</v>
      </c>
      <c r="D345" t="inlineStr">
        <is>
          <t>ÖREBRO LÄN</t>
        </is>
      </c>
      <c r="E345" t="inlineStr">
        <is>
          <t>LINDESBERG</t>
        </is>
      </c>
      <c r="F345" t="inlineStr">
        <is>
          <t>Sveaskog</t>
        </is>
      </c>
      <c r="G345" t="n">
        <v>19.7</v>
      </c>
      <c r="H345" t="n">
        <v>0</v>
      </c>
      <c r="I345" t="n">
        <v>0</v>
      </c>
      <c r="J345" t="n">
        <v>0</v>
      </c>
      <c r="K345" t="n">
        <v>0</v>
      </c>
      <c r="L345" t="n">
        <v>0</v>
      </c>
      <c r="M345" t="n">
        <v>0</v>
      </c>
      <c r="N345" t="n">
        <v>0</v>
      </c>
      <c r="O345" t="n">
        <v>0</v>
      </c>
      <c r="P345" t="n">
        <v>0</v>
      </c>
      <c r="Q345" t="n">
        <v>0</v>
      </c>
      <c r="R345" s="2" t="inlineStr"/>
    </row>
    <row r="346" ht="15" customHeight="1">
      <c r="A346" t="inlineStr">
        <is>
          <t>A 27296-2025</t>
        </is>
      </c>
      <c r="B346" s="1" t="n">
        <v>45812.56952546296</v>
      </c>
      <c r="C346" s="1" t="n">
        <v>45985</v>
      </c>
      <c r="D346" t="inlineStr">
        <is>
          <t>ÖREBRO LÄN</t>
        </is>
      </c>
      <c r="E346" t="inlineStr">
        <is>
          <t>LINDESBERG</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14185-2024</t>
        </is>
      </c>
      <c r="B347" s="1" t="n">
        <v>45393.3562962963</v>
      </c>
      <c r="C347" s="1" t="n">
        <v>45985</v>
      </c>
      <c r="D347" t="inlineStr">
        <is>
          <t>ÖREBRO LÄN</t>
        </is>
      </c>
      <c r="E347" t="inlineStr">
        <is>
          <t>LINDESBERG</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11218-2025</t>
        </is>
      </c>
      <c r="B348" s="1" t="n">
        <v>45726.33763888889</v>
      </c>
      <c r="C348" s="1" t="n">
        <v>45985</v>
      </c>
      <c r="D348" t="inlineStr">
        <is>
          <t>ÖREBRO LÄN</t>
        </is>
      </c>
      <c r="E348" t="inlineStr">
        <is>
          <t>LINDESBERG</t>
        </is>
      </c>
      <c r="G348" t="n">
        <v>0.4</v>
      </c>
      <c r="H348" t="n">
        <v>0</v>
      </c>
      <c r="I348" t="n">
        <v>0</v>
      </c>
      <c r="J348" t="n">
        <v>0</v>
      </c>
      <c r="K348" t="n">
        <v>0</v>
      </c>
      <c r="L348" t="n">
        <v>0</v>
      </c>
      <c r="M348" t="n">
        <v>0</v>
      </c>
      <c r="N348" t="n">
        <v>0</v>
      </c>
      <c r="O348" t="n">
        <v>0</v>
      </c>
      <c r="P348" t="n">
        <v>0</v>
      </c>
      <c r="Q348" t="n">
        <v>0</v>
      </c>
      <c r="R348" s="2" t="inlineStr"/>
    </row>
    <row r="349" ht="15" customHeight="1">
      <c r="A349" t="inlineStr">
        <is>
          <t>A 11220-2025</t>
        </is>
      </c>
      <c r="B349" s="1" t="n">
        <v>45726.34090277777</v>
      </c>
      <c r="C349" s="1" t="n">
        <v>45985</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43801-2024</t>
        </is>
      </c>
      <c r="B350" s="1" t="n">
        <v>45571.71736111111</v>
      </c>
      <c r="C350" s="1" t="n">
        <v>45985</v>
      </c>
      <c r="D350" t="inlineStr">
        <is>
          <t>ÖREBRO LÄN</t>
        </is>
      </c>
      <c r="E350" t="inlineStr">
        <is>
          <t>LINDESBERG</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61222-2022</t>
        </is>
      </c>
      <c r="B351" s="1" t="n">
        <v>44909</v>
      </c>
      <c r="C351" s="1" t="n">
        <v>45985</v>
      </c>
      <c r="D351" t="inlineStr">
        <is>
          <t>ÖREBRO LÄN</t>
        </is>
      </c>
      <c r="E351" t="inlineStr">
        <is>
          <t>LINDESBERG</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72331-2021</t>
        </is>
      </c>
      <c r="B352" s="1" t="n">
        <v>44544</v>
      </c>
      <c r="C352" s="1" t="n">
        <v>45985</v>
      </c>
      <c r="D352" t="inlineStr">
        <is>
          <t>ÖREBRO LÄN</t>
        </is>
      </c>
      <c r="E352" t="inlineStr">
        <is>
          <t>LINDESBERG</t>
        </is>
      </c>
      <c r="G352" t="n">
        <v>1.5</v>
      </c>
      <c r="H352" t="n">
        <v>0</v>
      </c>
      <c r="I352" t="n">
        <v>0</v>
      </c>
      <c r="J352" t="n">
        <v>0</v>
      </c>
      <c r="K352" t="n">
        <v>0</v>
      </c>
      <c r="L352" t="n">
        <v>0</v>
      </c>
      <c r="M352" t="n">
        <v>0</v>
      </c>
      <c r="N352" t="n">
        <v>0</v>
      </c>
      <c r="O352" t="n">
        <v>0</v>
      </c>
      <c r="P352" t="n">
        <v>0</v>
      </c>
      <c r="Q352" t="n">
        <v>0</v>
      </c>
      <c r="R352" s="2" t="inlineStr"/>
    </row>
    <row r="353" ht="15" customHeight="1">
      <c r="A353" t="inlineStr">
        <is>
          <t>A 42630-2025</t>
        </is>
      </c>
      <c r="B353" s="1" t="n">
        <v>45905.89143518519</v>
      </c>
      <c r="C353" s="1" t="n">
        <v>45985</v>
      </c>
      <c r="D353" t="inlineStr">
        <is>
          <t>ÖREBRO LÄN</t>
        </is>
      </c>
      <c r="E353" t="inlineStr">
        <is>
          <t>LINDESBERG</t>
        </is>
      </c>
      <c r="F353" t="inlineStr">
        <is>
          <t>Sveaskog</t>
        </is>
      </c>
      <c r="G353" t="n">
        <v>9.9</v>
      </c>
      <c r="H353" t="n">
        <v>0</v>
      </c>
      <c r="I353" t="n">
        <v>0</v>
      </c>
      <c r="J353" t="n">
        <v>0</v>
      </c>
      <c r="K353" t="n">
        <v>0</v>
      </c>
      <c r="L353" t="n">
        <v>0</v>
      </c>
      <c r="M353" t="n">
        <v>0</v>
      </c>
      <c r="N353" t="n">
        <v>0</v>
      </c>
      <c r="O353" t="n">
        <v>0</v>
      </c>
      <c r="P353" t="n">
        <v>0</v>
      </c>
      <c r="Q353" t="n">
        <v>0</v>
      </c>
      <c r="R353" s="2" t="inlineStr"/>
    </row>
    <row r="354" ht="15" customHeight="1">
      <c r="A354" t="inlineStr">
        <is>
          <t>A 45062-2022</t>
        </is>
      </c>
      <c r="B354" s="1" t="n">
        <v>44841</v>
      </c>
      <c r="C354" s="1" t="n">
        <v>45985</v>
      </c>
      <c r="D354" t="inlineStr">
        <is>
          <t>ÖREBRO LÄN</t>
        </is>
      </c>
      <c r="E354" t="inlineStr">
        <is>
          <t>LINDESBERG</t>
        </is>
      </c>
      <c r="G354" t="n">
        <v>2</v>
      </c>
      <c r="H354" t="n">
        <v>0</v>
      </c>
      <c r="I354" t="n">
        <v>0</v>
      </c>
      <c r="J354" t="n">
        <v>0</v>
      </c>
      <c r="K354" t="n">
        <v>0</v>
      </c>
      <c r="L354" t="n">
        <v>0</v>
      </c>
      <c r="M354" t="n">
        <v>0</v>
      </c>
      <c r="N354" t="n">
        <v>0</v>
      </c>
      <c r="O354" t="n">
        <v>0</v>
      </c>
      <c r="P354" t="n">
        <v>0</v>
      </c>
      <c r="Q354" t="n">
        <v>0</v>
      </c>
      <c r="R354" s="2" t="inlineStr"/>
    </row>
    <row r="355" ht="15" customHeight="1">
      <c r="A355" t="inlineStr">
        <is>
          <t>A 36754-2024</t>
        </is>
      </c>
      <c r="B355" s="1" t="n">
        <v>45538.34796296297</v>
      </c>
      <c r="C355" s="1" t="n">
        <v>45985</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51030-2025</t>
        </is>
      </c>
      <c r="B356" s="1" t="n">
        <v>45947.40105324074</v>
      </c>
      <c r="C356" s="1" t="n">
        <v>45985</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50964-2023</t>
        </is>
      </c>
      <c r="B357" s="1" t="n">
        <v>45218.488125</v>
      </c>
      <c r="C357" s="1" t="n">
        <v>45985</v>
      </c>
      <c r="D357" t="inlineStr">
        <is>
          <t>ÖREBRO LÄN</t>
        </is>
      </c>
      <c r="E357" t="inlineStr">
        <is>
          <t>LINDESBERG</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60941-2024</t>
        </is>
      </c>
      <c r="B358" s="1" t="n">
        <v>45645.3712037037</v>
      </c>
      <c r="C358" s="1" t="n">
        <v>45985</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51172-2025</t>
        </is>
      </c>
      <c r="B359" s="1" t="n">
        <v>45947.60508101852</v>
      </c>
      <c r="C359" s="1" t="n">
        <v>45985</v>
      </c>
      <c r="D359" t="inlineStr">
        <is>
          <t>ÖREBRO LÄN</t>
        </is>
      </c>
      <c r="E359" t="inlineStr">
        <is>
          <t>LINDESBERG</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64365-2023</t>
        </is>
      </c>
      <c r="B360" s="1" t="n">
        <v>45280</v>
      </c>
      <c r="C360" s="1" t="n">
        <v>45985</v>
      </c>
      <c r="D360" t="inlineStr">
        <is>
          <t>ÖREBRO LÄN</t>
        </is>
      </c>
      <c r="E360" t="inlineStr">
        <is>
          <t>LINDESBERG</t>
        </is>
      </c>
      <c r="F360" t="inlineStr">
        <is>
          <t>Kyrkan</t>
        </is>
      </c>
      <c r="G360" t="n">
        <v>1.4</v>
      </c>
      <c r="H360" t="n">
        <v>0</v>
      </c>
      <c r="I360" t="n">
        <v>0</v>
      </c>
      <c r="J360" t="n">
        <v>0</v>
      </c>
      <c r="K360" t="n">
        <v>0</v>
      </c>
      <c r="L360" t="n">
        <v>0</v>
      </c>
      <c r="M360" t="n">
        <v>0</v>
      </c>
      <c r="N360" t="n">
        <v>0</v>
      </c>
      <c r="O360" t="n">
        <v>0</v>
      </c>
      <c r="P360" t="n">
        <v>0</v>
      </c>
      <c r="Q360" t="n">
        <v>0</v>
      </c>
      <c r="R360" s="2" t="inlineStr"/>
    </row>
    <row r="361" ht="15" customHeight="1">
      <c r="A361" t="inlineStr">
        <is>
          <t>A 37738-2024</t>
        </is>
      </c>
      <c r="B361" s="1" t="n">
        <v>45541.66916666667</v>
      </c>
      <c r="C361" s="1" t="n">
        <v>45985</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33428-2024</t>
        </is>
      </c>
      <c r="B362" s="1" t="n">
        <v>45519.52319444445</v>
      </c>
      <c r="C362" s="1" t="n">
        <v>45985</v>
      </c>
      <c r="D362" t="inlineStr">
        <is>
          <t>ÖREBRO LÄN</t>
        </is>
      </c>
      <c r="E362" t="inlineStr">
        <is>
          <t>LINDESBERG</t>
        </is>
      </c>
      <c r="F362" t="inlineStr">
        <is>
          <t>Sveaskog</t>
        </is>
      </c>
      <c r="G362" t="n">
        <v>0.2</v>
      </c>
      <c r="H362" t="n">
        <v>0</v>
      </c>
      <c r="I362" t="n">
        <v>0</v>
      </c>
      <c r="J362" t="n">
        <v>0</v>
      </c>
      <c r="K362" t="n">
        <v>0</v>
      </c>
      <c r="L362" t="n">
        <v>0</v>
      </c>
      <c r="M362" t="n">
        <v>0</v>
      </c>
      <c r="N362" t="n">
        <v>0</v>
      </c>
      <c r="O362" t="n">
        <v>0</v>
      </c>
      <c r="P362" t="n">
        <v>0</v>
      </c>
      <c r="Q362" t="n">
        <v>0</v>
      </c>
      <c r="R362" s="2" t="inlineStr"/>
    </row>
    <row r="363" ht="15" customHeight="1">
      <c r="A363" t="inlineStr">
        <is>
          <t>A 42631-2025</t>
        </is>
      </c>
      <c r="B363" s="1" t="n">
        <v>45905.89236111111</v>
      </c>
      <c r="C363" s="1" t="n">
        <v>45985</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42632-2025</t>
        </is>
      </c>
      <c r="B364" s="1" t="n">
        <v>45905.89329861111</v>
      </c>
      <c r="C364" s="1" t="n">
        <v>45985</v>
      </c>
      <c r="D364" t="inlineStr">
        <is>
          <t>ÖREBRO LÄN</t>
        </is>
      </c>
      <c r="E364" t="inlineStr">
        <is>
          <t>LINDESBERG</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59766-2022</t>
        </is>
      </c>
      <c r="B365" s="1" t="n">
        <v>44908.49152777778</v>
      </c>
      <c r="C365" s="1" t="n">
        <v>45985</v>
      </c>
      <c r="D365" t="inlineStr">
        <is>
          <t>ÖREBRO LÄN</t>
        </is>
      </c>
      <c r="E365" t="inlineStr">
        <is>
          <t>LINDESBERG</t>
        </is>
      </c>
      <c r="G365" t="n">
        <v>1.1</v>
      </c>
      <c r="H365" t="n">
        <v>0</v>
      </c>
      <c r="I365" t="n">
        <v>0</v>
      </c>
      <c r="J365" t="n">
        <v>0</v>
      </c>
      <c r="K365" t="n">
        <v>0</v>
      </c>
      <c r="L365" t="n">
        <v>0</v>
      </c>
      <c r="M365" t="n">
        <v>0</v>
      </c>
      <c r="N365" t="n">
        <v>0</v>
      </c>
      <c r="O365" t="n">
        <v>0</v>
      </c>
      <c r="P365" t="n">
        <v>0</v>
      </c>
      <c r="Q365" t="n">
        <v>0</v>
      </c>
      <c r="R365" s="2" t="inlineStr"/>
    </row>
    <row r="366" ht="15" customHeight="1">
      <c r="A366" t="inlineStr">
        <is>
          <t>A 33282-2024</t>
        </is>
      </c>
      <c r="B366" s="1" t="n">
        <v>45518.71482638889</v>
      </c>
      <c r="C366" s="1" t="n">
        <v>45985</v>
      </c>
      <c r="D366" t="inlineStr">
        <is>
          <t>ÖREBRO LÄN</t>
        </is>
      </c>
      <c r="E366" t="inlineStr">
        <is>
          <t>LINDESBERG</t>
        </is>
      </c>
      <c r="G366" t="n">
        <v>7.5</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45985</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45985</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54862-2024</t>
        </is>
      </c>
      <c r="B369" s="1" t="n">
        <v>45618</v>
      </c>
      <c r="C369" s="1" t="n">
        <v>45985</v>
      </c>
      <c r="D369" t="inlineStr">
        <is>
          <t>ÖREBRO LÄN</t>
        </is>
      </c>
      <c r="E369" t="inlineStr">
        <is>
          <t>LINDESBERG</t>
        </is>
      </c>
      <c r="F369" t="inlineStr">
        <is>
          <t>Sveaskog</t>
        </is>
      </c>
      <c r="G369" t="n">
        <v>12.2</v>
      </c>
      <c r="H369" t="n">
        <v>0</v>
      </c>
      <c r="I369" t="n">
        <v>0</v>
      </c>
      <c r="J369" t="n">
        <v>0</v>
      </c>
      <c r="K369" t="n">
        <v>0</v>
      </c>
      <c r="L369" t="n">
        <v>0</v>
      </c>
      <c r="M369" t="n">
        <v>0</v>
      </c>
      <c r="N369" t="n">
        <v>0</v>
      </c>
      <c r="O369" t="n">
        <v>0</v>
      </c>
      <c r="P369" t="n">
        <v>0</v>
      </c>
      <c r="Q369" t="n">
        <v>0</v>
      </c>
      <c r="R369" s="2" t="inlineStr"/>
    </row>
    <row r="370" ht="15" customHeight="1">
      <c r="A370" t="inlineStr">
        <is>
          <t>A 51186-2025</t>
        </is>
      </c>
      <c r="B370" s="1" t="n">
        <v>45947.62353009259</v>
      </c>
      <c r="C370" s="1" t="n">
        <v>45985</v>
      </c>
      <c r="D370" t="inlineStr">
        <is>
          <t>ÖREBRO LÄN</t>
        </is>
      </c>
      <c r="E370" t="inlineStr">
        <is>
          <t>LINDESBERG</t>
        </is>
      </c>
      <c r="G370" t="n">
        <v>1</v>
      </c>
      <c r="H370" t="n">
        <v>0</v>
      </c>
      <c r="I370" t="n">
        <v>0</v>
      </c>
      <c r="J370" t="n">
        <v>0</v>
      </c>
      <c r="K370" t="n">
        <v>0</v>
      </c>
      <c r="L370" t="n">
        <v>0</v>
      </c>
      <c r="M370" t="n">
        <v>0</v>
      </c>
      <c r="N370" t="n">
        <v>0</v>
      </c>
      <c r="O370" t="n">
        <v>0</v>
      </c>
      <c r="P370" t="n">
        <v>0</v>
      </c>
      <c r="Q370" t="n">
        <v>0</v>
      </c>
      <c r="R370" s="2" t="inlineStr"/>
    </row>
    <row r="371" ht="15" customHeight="1">
      <c r="A371" t="inlineStr">
        <is>
          <t>A 1742-2022</t>
        </is>
      </c>
      <c r="B371" s="1" t="n">
        <v>44574.50425925926</v>
      </c>
      <c r="C371" s="1" t="n">
        <v>45985</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28040-2025</t>
        </is>
      </c>
      <c r="B372" s="1" t="n">
        <v>45817.6455324074</v>
      </c>
      <c r="C372" s="1" t="n">
        <v>45985</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14522-2025</t>
        </is>
      </c>
      <c r="B373" s="1" t="n">
        <v>45741.64491898148</v>
      </c>
      <c r="C373" s="1" t="n">
        <v>45985</v>
      </c>
      <c r="D373" t="inlineStr">
        <is>
          <t>ÖREBRO LÄN</t>
        </is>
      </c>
      <c r="E373" t="inlineStr">
        <is>
          <t>LINDESBERG</t>
        </is>
      </c>
      <c r="G373" t="n">
        <v>4.5</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45985</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73860-2021</t>
        </is>
      </c>
      <c r="B375" s="1" t="n">
        <v>44553.35407407407</v>
      </c>
      <c r="C375" s="1" t="n">
        <v>45985</v>
      </c>
      <c r="D375" t="inlineStr">
        <is>
          <t>ÖREBRO LÄN</t>
        </is>
      </c>
      <c r="E375" t="inlineStr">
        <is>
          <t>LINDESBERG</t>
        </is>
      </c>
      <c r="G375" t="n">
        <v>12.7</v>
      </c>
      <c r="H375" t="n">
        <v>0</v>
      </c>
      <c r="I375" t="n">
        <v>0</v>
      </c>
      <c r="J375" t="n">
        <v>0</v>
      </c>
      <c r="K375" t="n">
        <v>0</v>
      </c>
      <c r="L375" t="n">
        <v>0</v>
      </c>
      <c r="M375" t="n">
        <v>0</v>
      </c>
      <c r="N375" t="n">
        <v>0</v>
      </c>
      <c r="O375" t="n">
        <v>0</v>
      </c>
      <c r="P375" t="n">
        <v>0</v>
      </c>
      <c r="Q375" t="n">
        <v>0</v>
      </c>
      <c r="R375" s="2" t="inlineStr"/>
    </row>
    <row r="376" ht="15" customHeight="1">
      <c r="A376" t="inlineStr">
        <is>
          <t>A 5358-2022</t>
        </is>
      </c>
      <c r="B376" s="1" t="n">
        <v>44594.84091435185</v>
      </c>
      <c r="C376" s="1" t="n">
        <v>45985</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37843-2025</t>
        </is>
      </c>
      <c r="B377" s="1" t="n">
        <v>45881.43759259259</v>
      </c>
      <c r="C377" s="1" t="n">
        <v>45985</v>
      </c>
      <c r="D377" t="inlineStr">
        <is>
          <t>ÖREBRO LÄN</t>
        </is>
      </c>
      <c r="E377" t="inlineStr">
        <is>
          <t>LINDESBERG</t>
        </is>
      </c>
      <c r="G377" t="n">
        <v>5.2</v>
      </c>
      <c r="H377" t="n">
        <v>0</v>
      </c>
      <c r="I377" t="n">
        <v>0</v>
      </c>
      <c r="J377" t="n">
        <v>0</v>
      </c>
      <c r="K377" t="n">
        <v>0</v>
      </c>
      <c r="L377" t="n">
        <v>0</v>
      </c>
      <c r="M377" t="n">
        <v>0</v>
      </c>
      <c r="N377" t="n">
        <v>0</v>
      </c>
      <c r="O377" t="n">
        <v>0</v>
      </c>
      <c r="P377" t="n">
        <v>0</v>
      </c>
      <c r="Q377" t="n">
        <v>0</v>
      </c>
      <c r="R377" s="2" t="inlineStr"/>
    </row>
    <row r="378" ht="15" customHeight="1">
      <c r="A378" t="inlineStr">
        <is>
          <t>A 13884-2023</t>
        </is>
      </c>
      <c r="B378" s="1" t="n">
        <v>45007</v>
      </c>
      <c r="C378" s="1" t="n">
        <v>45985</v>
      </c>
      <c r="D378" t="inlineStr">
        <is>
          <t>ÖREBRO LÄN</t>
        </is>
      </c>
      <c r="E378" t="inlineStr">
        <is>
          <t>LINDESBERG</t>
        </is>
      </c>
      <c r="F378" t="inlineStr">
        <is>
          <t>Kommuner</t>
        </is>
      </c>
      <c r="G378" t="n">
        <v>7.7</v>
      </c>
      <c r="H378" t="n">
        <v>0</v>
      </c>
      <c r="I378" t="n">
        <v>0</v>
      </c>
      <c r="J378" t="n">
        <v>0</v>
      </c>
      <c r="K378" t="n">
        <v>0</v>
      </c>
      <c r="L378" t="n">
        <v>0</v>
      </c>
      <c r="M378" t="n">
        <v>0</v>
      </c>
      <c r="N378" t="n">
        <v>0</v>
      </c>
      <c r="O378" t="n">
        <v>0</v>
      </c>
      <c r="P378" t="n">
        <v>0</v>
      </c>
      <c r="Q378" t="n">
        <v>0</v>
      </c>
      <c r="R378" s="2" t="inlineStr"/>
    </row>
    <row r="379" ht="15" customHeight="1">
      <c r="A379" t="inlineStr">
        <is>
          <t>A 15324-2024</t>
        </is>
      </c>
      <c r="B379" s="1" t="n">
        <v>45400.66995370371</v>
      </c>
      <c r="C379" s="1" t="n">
        <v>45985</v>
      </c>
      <c r="D379" t="inlineStr">
        <is>
          <t>ÖREBRO LÄN</t>
        </is>
      </c>
      <c r="E379" t="inlineStr">
        <is>
          <t>LINDESBERG</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52117-2025</t>
        </is>
      </c>
      <c r="B380" s="1" t="n">
        <v>45952.70765046297</v>
      </c>
      <c r="C380" s="1" t="n">
        <v>45985</v>
      </c>
      <c r="D380" t="inlineStr">
        <is>
          <t>ÖREBRO LÄN</t>
        </is>
      </c>
      <c r="E380" t="inlineStr">
        <is>
          <t>LINDESBERG</t>
        </is>
      </c>
      <c r="G380" t="n">
        <v>4.6</v>
      </c>
      <c r="H380" t="n">
        <v>0</v>
      </c>
      <c r="I380" t="n">
        <v>0</v>
      </c>
      <c r="J380" t="n">
        <v>0</v>
      </c>
      <c r="K380" t="n">
        <v>0</v>
      </c>
      <c r="L380" t="n">
        <v>0</v>
      </c>
      <c r="M380" t="n">
        <v>0</v>
      </c>
      <c r="N380" t="n">
        <v>0</v>
      </c>
      <c r="O380" t="n">
        <v>0</v>
      </c>
      <c r="P380" t="n">
        <v>0</v>
      </c>
      <c r="Q380" t="n">
        <v>0</v>
      </c>
      <c r="R380" s="2" t="inlineStr"/>
    </row>
    <row r="381" ht="15" customHeight="1">
      <c r="A381" t="inlineStr">
        <is>
          <t>A 28991-2025</t>
        </is>
      </c>
      <c r="B381" s="1" t="n">
        <v>45821.37199074074</v>
      </c>
      <c r="C381" s="1" t="n">
        <v>45985</v>
      </c>
      <c r="D381" t="inlineStr">
        <is>
          <t>ÖREBRO LÄN</t>
        </is>
      </c>
      <c r="E381" t="inlineStr">
        <is>
          <t>LINDESBERG</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29037-2025</t>
        </is>
      </c>
      <c r="B382" s="1" t="n">
        <v>45821.44521990741</v>
      </c>
      <c r="C382" s="1" t="n">
        <v>45985</v>
      </c>
      <c r="D382" t="inlineStr">
        <is>
          <t>ÖREBRO LÄN</t>
        </is>
      </c>
      <c r="E382" t="inlineStr">
        <is>
          <t>LINDESBERG</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52098-2025</t>
        </is>
      </c>
      <c r="B383" s="1" t="n">
        <v>45952.68001157408</v>
      </c>
      <c r="C383" s="1" t="n">
        <v>45985</v>
      </c>
      <c r="D383" t="inlineStr">
        <is>
          <t>ÖREBRO LÄN</t>
        </is>
      </c>
      <c r="E383" t="inlineStr">
        <is>
          <t>LINDESBERG</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52103-2025</t>
        </is>
      </c>
      <c r="B384" s="1" t="n">
        <v>45952.68439814815</v>
      </c>
      <c r="C384" s="1" t="n">
        <v>45985</v>
      </c>
      <c r="D384" t="inlineStr">
        <is>
          <t>ÖREBRO LÄN</t>
        </is>
      </c>
      <c r="E384" t="inlineStr">
        <is>
          <t>LINDESBERG</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29051-2025</t>
        </is>
      </c>
      <c r="B385" s="1" t="n">
        <v>45821.46486111111</v>
      </c>
      <c r="C385" s="1" t="n">
        <v>45985</v>
      </c>
      <c r="D385" t="inlineStr">
        <is>
          <t>ÖREBRO LÄN</t>
        </is>
      </c>
      <c r="E385" t="inlineStr">
        <is>
          <t>LINDESBERG</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45985</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51851-2025</t>
        </is>
      </c>
      <c r="B387" s="1" t="n">
        <v>45952.35611111111</v>
      </c>
      <c r="C387" s="1" t="n">
        <v>45985</v>
      </c>
      <c r="D387" t="inlineStr">
        <is>
          <t>ÖREBRO LÄN</t>
        </is>
      </c>
      <c r="E387" t="inlineStr">
        <is>
          <t>LINDESBERG</t>
        </is>
      </c>
      <c r="G387" t="n">
        <v>6.9</v>
      </c>
      <c r="H387" t="n">
        <v>0</v>
      </c>
      <c r="I387" t="n">
        <v>0</v>
      </c>
      <c r="J387" t="n">
        <v>0</v>
      </c>
      <c r="K387" t="n">
        <v>0</v>
      </c>
      <c r="L387" t="n">
        <v>0</v>
      </c>
      <c r="M387" t="n">
        <v>0</v>
      </c>
      <c r="N387" t="n">
        <v>0</v>
      </c>
      <c r="O387" t="n">
        <v>0</v>
      </c>
      <c r="P387" t="n">
        <v>0</v>
      </c>
      <c r="Q387" t="n">
        <v>0</v>
      </c>
      <c r="R387" s="2" t="inlineStr"/>
    </row>
    <row r="388" ht="15" customHeight="1">
      <c r="A388" t="inlineStr">
        <is>
          <t>A 52101-2025</t>
        </is>
      </c>
      <c r="B388" s="1" t="n">
        <v>45952.68271990741</v>
      </c>
      <c r="C388" s="1" t="n">
        <v>45985</v>
      </c>
      <c r="D388" t="inlineStr">
        <is>
          <t>ÖREBRO LÄN</t>
        </is>
      </c>
      <c r="E388" t="inlineStr">
        <is>
          <t>LINDESBERG</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4539-2025</t>
        </is>
      </c>
      <c r="B389" s="1" t="n">
        <v>45687</v>
      </c>
      <c r="C389" s="1" t="n">
        <v>45985</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52104-2025</t>
        </is>
      </c>
      <c r="B390" s="1" t="n">
        <v>45952.68524305556</v>
      </c>
      <c r="C390" s="1" t="n">
        <v>45985</v>
      </c>
      <c r="D390" t="inlineStr">
        <is>
          <t>ÖREBRO LÄN</t>
        </is>
      </c>
      <c r="E390" t="inlineStr">
        <is>
          <t>LINDESBERG</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52102-2025</t>
        </is>
      </c>
      <c r="B391" s="1" t="n">
        <v>45952.68358796297</v>
      </c>
      <c r="C391" s="1" t="n">
        <v>45985</v>
      </c>
      <c r="D391" t="inlineStr">
        <is>
          <t>ÖREBRO LÄN</t>
        </is>
      </c>
      <c r="E391" t="inlineStr">
        <is>
          <t>LINDESBERG</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44804-2024</t>
        </is>
      </c>
      <c r="B392" s="1" t="n">
        <v>45574.65189814815</v>
      </c>
      <c r="C392" s="1" t="n">
        <v>45985</v>
      </c>
      <c r="D392" t="inlineStr">
        <is>
          <t>ÖREBRO LÄN</t>
        </is>
      </c>
      <c r="E392" t="inlineStr">
        <is>
          <t>LINDESBERG</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47066-2023</t>
        </is>
      </c>
      <c r="B393" s="1" t="n">
        <v>45201</v>
      </c>
      <c r="C393" s="1" t="n">
        <v>45985</v>
      </c>
      <c r="D393" t="inlineStr">
        <is>
          <t>ÖREBRO LÄN</t>
        </is>
      </c>
      <c r="E393" t="inlineStr">
        <is>
          <t>LINDESBERG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42410-2024</t>
        </is>
      </c>
      <c r="B394" s="1" t="n">
        <v>45565</v>
      </c>
      <c r="C394" s="1" t="n">
        <v>45985</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52298-2025</t>
        </is>
      </c>
      <c r="B395" s="1" t="n">
        <v>45953.61387731481</v>
      </c>
      <c r="C395" s="1" t="n">
        <v>45985</v>
      </c>
      <c r="D395" t="inlineStr">
        <is>
          <t>ÖREBRO LÄN</t>
        </is>
      </c>
      <c r="E395" t="inlineStr">
        <is>
          <t>LINDESBERG</t>
        </is>
      </c>
      <c r="G395" t="n">
        <v>18.2</v>
      </c>
      <c r="H395" t="n">
        <v>0</v>
      </c>
      <c r="I395" t="n">
        <v>0</v>
      </c>
      <c r="J395" t="n">
        <v>0</v>
      </c>
      <c r="K395" t="n">
        <v>0</v>
      </c>
      <c r="L395" t="n">
        <v>0</v>
      </c>
      <c r="M395" t="n">
        <v>0</v>
      </c>
      <c r="N395" t="n">
        <v>0</v>
      </c>
      <c r="O395" t="n">
        <v>0</v>
      </c>
      <c r="P395" t="n">
        <v>0</v>
      </c>
      <c r="Q395" t="n">
        <v>0</v>
      </c>
      <c r="R395" s="2" t="inlineStr"/>
    </row>
    <row r="396" ht="15" customHeight="1">
      <c r="A396" t="inlineStr">
        <is>
          <t>A 52402-2025</t>
        </is>
      </c>
      <c r="B396" s="1" t="n">
        <v>45954.35387731482</v>
      </c>
      <c r="C396" s="1" t="n">
        <v>45985</v>
      </c>
      <c r="D396" t="inlineStr">
        <is>
          <t>ÖREBRO LÄN</t>
        </is>
      </c>
      <c r="E396" t="inlineStr">
        <is>
          <t>LINDESBERG</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30000-2025</t>
        </is>
      </c>
      <c r="B397" s="1" t="n">
        <v>45826.52024305556</v>
      </c>
      <c r="C397" s="1" t="n">
        <v>45985</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55631-2022</t>
        </is>
      </c>
      <c r="B398" s="1" t="n">
        <v>44888.4577662037</v>
      </c>
      <c r="C398" s="1" t="n">
        <v>45985</v>
      </c>
      <c r="D398" t="inlineStr">
        <is>
          <t>ÖREBRO LÄN</t>
        </is>
      </c>
      <c r="E398" t="inlineStr">
        <is>
          <t>LINDESBERG</t>
        </is>
      </c>
      <c r="G398" t="n">
        <v>4.4</v>
      </c>
      <c r="H398" t="n">
        <v>0</v>
      </c>
      <c r="I398" t="n">
        <v>0</v>
      </c>
      <c r="J398" t="n">
        <v>0</v>
      </c>
      <c r="K398" t="n">
        <v>0</v>
      </c>
      <c r="L398" t="n">
        <v>0</v>
      </c>
      <c r="M398" t="n">
        <v>0</v>
      </c>
      <c r="N398" t="n">
        <v>0</v>
      </c>
      <c r="O398" t="n">
        <v>0</v>
      </c>
      <c r="P398" t="n">
        <v>0</v>
      </c>
      <c r="Q398" t="n">
        <v>0</v>
      </c>
      <c r="R398" s="2" t="inlineStr"/>
    </row>
    <row r="399" ht="15" customHeight="1">
      <c r="A399" t="inlineStr">
        <is>
          <t>A 42282-2024</t>
        </is>
      </c>
      <c r="B399" s="1" t="n">
        <v>45562.61158564815</v>
      </c>
      <c r="C399" s="1" t="n">
        <v>45985</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42430-2024</t>
        </is>
      </c>
      <c r="B400" s="1" t="n">
        <v>45565.40700231482</v>
      </c>
      <c r="C400" s="1" t="n">
        <v>45985</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43837-2025</t>
        </is>
      </c>
      <c r="B401" s="1" t="n">
        <v>45912.63451388889</v>
      </c>
      <c r="C401" s="1" t="n">
        <v>45985</v>
      </c>
      <c r="D401" t="inlineStr">
        <is>
          <t>ÖREBRO LÄN</t>
        </is>
      </c>
      <c r="E401" t="inlineStr">
        <is>
          <t>LINDESBERG</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15822-2024</t>
        </is>
      </c>
      <c r="B402" s="1" t="n">
        <v>45404.68190972223</v>
      </c>
      <c r="C402" s="1" t="n">
        <v>45985</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40038-2024</t>
        </is>
      </c>
      <c r="B403" s="1" t="n">
        <v>45553</v>
      </c>
      <c r="C403" s="1" t="n">
        <v>45985</v>
      </c>
      <c r="D403" t="inlineStr">
        <is>
          <t>ÖREBRO LÄN</t>
        </is>
      </c>
      <c r="E403" t="inlineStr">
        <is>
          <t>LINDESBERG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8213-2023</t>
        </is>
      </c>
      <c r="B404" s="1" t="n">
        <v>44974.55693287037</v>
      </c>
      <c r="C404" s="1" t="n">
        <v>45985</v>
      </c>
      <c r="D404" t="inlineStr">
        <is>
          <t>ÖREBRO LÄN</t>
        </is>
      </c>
      <c r="E404" t="inlineStr">
        <is>
          <t>LINDESBERG</t>
        </is>
      </c>
      <c r="G404" t="n">
        <v>0.7</v>
      </c>
      <c r="H404" t="n">
        <v>0</v>
      </c>
      <c r="I404" t="n">
        <v>0</v>
      </c>
      <c r="J404" t="n">
        <v>0</v>
      </c>
      <c r="K404" t="n">
        <v>0</v>
      </c>
      <c r="L404" t="n">
        <v>0</v>
      </c>
      <c r="M404" t="n">
        <v>0</v>
      </c>
      <c r="N404" t="n">
        <v>0</v>
      </c>
      <c r="O404" t="n">
        <v>0</v>
      </c>
      <c r="P404" t="n">
        <v>0</v>
      </c>
      <c r="Q404" t="n">
        <v>0</v>
      </c>
      <c r="R404" s="2" t="inlineStr"/>
    </row>
    <row r="405" ht="15" customHeight="1">
      <c r="A405" t="inlineStr">
        <is>
          <t>A 43847-2025</t>
        </is>
      </c>
      <c r="B405" s="1" t="n">
        <v>45912.63751157407</v>
      </c>
      <c r="C405" s="1" t="n">
        <v>45985</v>
      </c>
      <c r="D405" t="inlineStr">
        <is>
          <t>ÖREBRO LÄN</t>
        </is>
      </c>
      <c r="E405" t="inlineStr">
        <is>
          <t>LINDESBERG</t>
        </is>
      </c>
      <c r="F405" t="inlineStr">
        <is>
          <t>Sveaskog</t>
        </is>
      </c>
      <c r="G405" t="n">
        <v>3.4</v>
      </c>
      <c r="H405" t="n">
        <v>0</v>
      </c>
      <c r="I405" t="n">
        <v>0</v>
      </c>
      <c r="J405" t="n">
        <v>0</v>
      </c>
      <c r="K405" t="n">
        <v>0</v>
      </c>
      <c r="L405" t="n">
        <v>0</v>
      </c>
      <c r="M405" t="n">
        <v>0</v>
      </c>
      <c r="N405" t="n">
        <v>0</v>
      </c>
      <c r="O405" t="n">
        <v>0</v>
      </c>
      <c r="P405" t="n">
        <v>0</v>
      </c>
      <c r="Q405" t="n">
        <v>0</v>
      </c>
      <c r="R405" s="2" t="inlineStr"/>
    </row>
    <row r="406" ht="15" customHeight="1">
      <c r="A406" t="inlineStr">
        <is>
          <t>A 30341-2025</t>
        </is>
      </c>
      <c r="B406" s="1" t="n">
        <v>45827.51862268519</v>
      </c>
      <c r="C406" s="1" t="n">
        <v>45985</v>
      </c>
      <c r="D406" t="inlineStr">
        <is>
          <t>ÖREBRO LÄN</t>
        </is>
      </c>
      <c r="E406" t="inlineStr">
        <is>
          <t>LINDESBERG</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43836-2025</t>
        </is>
      </c>
      <c r="B407" s="1" t="n">
        <v>45912.63359953704</v>
      </c>
      <c r="C407" s="1" t="n">
        <v>45985</v>
      </c>
      <c r="D407" t="inlineStr">
        <is>
          <t>ÖREBRO LÄN</t>
        </is>
      </c>
      <c r="E407" t="inlineStr">
        <is>
          <t>LINDESBERG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45985</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30340-2025</t>
        </is>
      </c>
      <c r="B409" s="1" t="n">
        <v>45827.51753472222</v>
      </c>
      <c r="C409" s="1" t="n">
        <v>45985</v>
      </c>
      <c r="D409" t="inlineStr">
        <is>
          <t>ÖREBRO LÄN</t>
        </is>
      </c>
      <c r="E409" t="inlineStr">
        <is>
          <t>LINDESBERG</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30342-2025</t>
        </is>
      </c>
      <c r="B410" s="1" t="n">
        <v>45827.51956018519</v>
      </c>
      <c r="C410" s="1" t="n">
        <v>45985</v>
      </c>
      <c r="D410" t="inlineStr">
        <is>
          <t>ÖREBRO LÄN</t>
        </is>
      </c>
      <c r="E410" t="inlineStr">
        <is>
          <t>LINDESBERG</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30381-2025</t>
        </is>
      </c>
      <c r="B411" s="1" t="n">
        <v>45827.56939814815</v>
      </c>
      <c r="C411" s="1" t="n">
        <v>45985</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52401-2025</t>
        </is>
      </c>
      <c r="B412" s="1" t="n">
        <v>45954.35075231481</v>
      </c>
      <c r="C412" s="1" t="n">
        <v>45985</v>
      </c>
      <c r="D412" t="inlineStr">
        <is>
          <t>ÖREBRO LÄN</t>
        </is>
      </c>
      <c r="E412" t="inlineStr">
        <is>
          <t>LINDESBERG</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47155-2024</t>
        </is>
      </c>
      <c r="B413" s="1" t="n">
        <v>45586</v>
      </c>
      <c r="C413" s="1" t="n">
        <v>45985</v>
      </c>
      <c r="D413" t="inlineStr">
        <is>
          <t>ÖREBRO LÄN</t>
        </is>
      </c>
      <c r="E413" t="inlineStr">
        <is>
          <t>LINDESBERG</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30339-2025</t>
        </is>
      </c>
      <c r="B414" s="1" t="n">
        <v>45827.51628472222</v>
      </c>
      <c r="C414" s="1" t="n">
        <v>45985</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2569-2023</t>
        </is>
      </c>
      <c r="B415" s="1" t="n">
        <v>44943.73792824074</v>
      </c>
      <c r="C415" s="1" t="n">
        <v>45985</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31215-2025</t>
        </is>
      </c>
      <c r="B416" s="1" t="n">
        <v>45832.74418981482</v>
      </c>
      <c r="C416" s="1" t="n">
        <v>45985</v>
      </c>
      <c r="D416" t="inlineStr">
        <is>
          <t>ÖREBRO LÄN</t>
        </is>
      </c>
      <c r="E416" t="inlineStr">
        <is>
          <t>LINDESBERG</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34029-2024</t>
        </is>
      </c>
      <c r="B417" s="1" t="n">
        <v>45523</v>
      </c>
      <c r="C417" s="1" t="n">
        <v>45985</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31014-2025</t>
        </is>
      </c>
      <c r="B418" s="1" t="n">
        <v>45832.51028935185</v>
      </c>
      <c r="C418" s="1" t="n">
        <v>45985</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31049-2025</t>
        </is>
      </c>
      <c r="B419" s="1" t="n">
        <v>45832.55810185185</v>
      </c>
      <c r="C419" s="1" t="n">
        <v>45985</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9966-2023</t>
        </is>
      </c>
      <c r="B420" s="1" t="n">
        <v>44979</v>
      </c>
      <c r="C420" s="1" t="n">
        <v>45985</v>
      </c>
      <c r="D420" t="inlineStr">
        <is>
          <t>ÖREBRO LÄN</t>
        </is>
      </c>
      <c r="E420" t="inlineStr">
        <is>
          <t>LINDESBERG</t>
        </is>
      </c>
      <c r="G420" t="n">
        <v>4.1</v>
      </c>
      <c r="H420" t="n">
        <v>0</v>
      </c>
      <c r="I420" t="n">
        <v>0</v>
      </c>
      <c r="J420" t="n">
        <v>0</v>
      </c>
      <c r="K420" t="n">
        <v>0</v>
      </c>
      <c r="L420" t="n">
        <v>0</v>
      </c>
      <c r="M420" t="n">
        <v>0</v>
      </c>
      <c r="N420" t="n">
        <v>0</v>
      </c>
      <c r="O420" t="n">
        <v>0</v>
      </c>
      <c r="P420" t="n">
        <v>0</v>
      </c>
      <c r="Q420" t="n">
        <v>0</v>
      </c>
      <c r="R420" s="2" t="inlineStr"/>
    </row>
    <row r="421" ht="15" customHeight="1">
      <c r="A421" t="inlineStr">
        <is>
          <t>A 31000-2025</t>
        </is>
      </c>
      <c r="B421" s="1" t="n">
        <v>45832.49325231482</v>
      </c>
      <c r="C421" s="1" t="n">
        <v>45985</v>
      </c>
      <c r="D421" t="inlineStr">
        <is>
          <t>ÖREBRO LÄN</t>
        </is>
      </c>
      <c r="E421" t="inlineStr">
        <is>
          <t>LINDESBERG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31018-2025</t>
        </is>
      </c>
      <c r="B422" s="1" t="n">
        <v>45832.51255787037</v>
      </c>
      <c r="C422" s="1" t="n">
        <v>45985</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44041-2025</t>
        </is>
      </c>
      <c r="B423" s="1" t="n">
        <v>45915.49238425926</v>
      </c>
      <c r="C423" s="1" t="n">
        <v>45985</v>
      </c>
      <c r="D423" t="inlineStr">
        <is>
          <t>ÖREBRO LÄN</t>
        </is>
      </c>
      <c r="E423" t="inlineStr">
        <is>
          <t>LINDESBERG</t>
        </is>
      </c>
      <c r="G423" t="n">
        <v>0.6</v>
      </c>
      <c r="H423" t="n">
        <v>0</v>
      </c>
      <c r="I423" t="n">
        <v>0</v>
      </c>
      <c r="J423" t="n">
        <v>0</v>
      </c>
      <c r="K423" t="n">
        <v>0</v>
      </c>
      <c r="L423" t="n">
        <v>0</v>
      </c>
      <c r="M423" t="n">
        <v>0</v>
      </c>
      <c r="N423" t="n">
        <v>0</v>
      </c>
      <c r="O423" t="n">
        <v>0</v>
      </c>
      <c r="P423" t="n">
        <v>0</v>
      </c>
      <c r="Q423" t="n">
        <v>0</v>
      </c>
      <c r="R423" s="2" t="inlineStr"/>
    </row>
    <row r="424" ht="15" customHeight="1">
      <c r="A424" t="inlineStr">
        <is>
          <t>A 52730-2025</t>
        </is>
      </c>
      <c r="B424" s="1" t="n">
        <v>45957.36386574074</v>
      </c>
      <c r="C424" s="1" t="n">
        <v>45985</v>
      </c>
      <c r="D424" t="inlineStr">
        <is>
          <t>ÖREBRO LÄN</t>
        </is>
      </c>
      <c r="E424" t="inlineStr">
        <is>
          <t>LINDESBERG</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53187-2025</t>
        </is>
      </c>
      <c r="B425" s="1" t="n">
        <v>45958.55577546296</v>
      </c>
      <c r="C425" s="1" t="n">
        <v>45985</v>
      </c>
      <c r="D425" t="inlineStr">
        <is>
          <t>ÖREBRO LÄN</t>
        </is>
      </c>
      <c r="E425" t="inlineStr">
        <is>
          <t>LINDESBERG</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53288-2025</t>
        </is>
      </c>
      <c r="B426" s="1" t="n">
        <v>45958.79287037037</v>
      </c>
      <c r="C426" s="1" t="n">
        <v>45985</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31003-2025</t>
        </is>
      </c>
      <c r="B427" s="1" t="n">
        <v>45832.49579861111</v>
      </c>
      <c r="C427" s="1" t="n">
        <v>45985</v>
      </c>
      <c r="D427" t="inlineStr">
        <is>
          <t>ÖREBRO LÄN</t>
        </is>
      </c>
      <c r="E427" t="inlineStr">
        <is>
          <t>LINDESBERG</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31085-2025</t>
        </is>
      </c>
      <c r="B428" s="1" t="n">
        <v>45832.5902662037</v>
      </c>
      <c r="C428" s="1" t="n">
        <v>45985</v>
      </c>
      <c r="D428" t="inlineStr">
        <is>
          <t>ÖREBRO LÄN</t>
        </is>
      </c>
      <c r="E428" t="inlineStr">
        <is>
          <t>LINDESBERG</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45985</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47069-2023</t>
        </is>
      </c>
      <c r="B430" s="1" t="n">
        <v>45201</v>
      </c>
      <c r="C430" s="1" t="n">
        <v>45985</v>
      </c>
      <c r="D430" t="inlineStr">
        <is>
          <t>ÖREBRO LÄN</t>
        </is>
      </c>
      <c r="E430" t="inlineStr">
        <is>
          <t>LINDESBERG</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47074-2023</t>
        </is>
      </c>
      <c r="B431" s="1" t="n">
        <v>45201.60283564815</v>
      </c>
      <c r="C431" s="1" t="n">
        <v>45985</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31213-2025</t>
        </is>
      </c>
      <c r="B432" s="1" t="n">
        <v>45832.72778935185</v>
      </c>
      <c r="C432" s="1" t="n">
        <v>45985</v>
      </c>
      <c r="D432" t="inlineStr">
        <is>
          <t>ÖREBRO LÄN</t>
        </is>
      </c>
      <c r="E432" t="inlineStr">
        <is>
          <t>LINDESBERG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44067-2025</t>
        </is>
      </c>
      <c r="B433" s="1" t="n">
        <v>45915.54439814815</v>
      </c>
      <c r="C433" s="1" t="n">
        <v>45985</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53352-2023</t>
        </is>
      </c>
      <c r="B434" s="1" t="n">
        <v>45229.66262731481</v>
      </c>
      <c r="C434" s="1" t="n">
        <v>45985</v>
      </c>
      <c r="D434" t="inlineStr">
        <is>
          <t>ÖREBRO LÄN</t>
        </is>
      </c>
      <c r="E434" t="inlineStr">
        <is>
          <t>LINDESBERG</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15213-2025</t>
        </is>
      </c>
      <c r="B435" s="1" t="n">
        <v>45744.57851851852</v>
      </c>
      <c r="C435" s="1" t="n">
        <v>45985</v>
      </c>
      <c r="D435" t="inlineStr">
        <is>
          <t>ÖREBRO LÄN</t>
        </is>
      </c>
      <c r="E435" t="inlineStr">
        <is>
          <t>LINDESBERG</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46678-2023</t>
        </is>
      </c>
      <c r="B436" s="1" t="n">
        <v>45194</v>
      </c>
      <c r="C436" s="1" t="n">
        <v>45985</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31221-2025</t>
        </is>
      </c>
      <c r="B437" s="1" t="n">
        <v>45832.76491898148</v>
      </c>
      <c r="C437" s="1" t="n">
        <v>45985</v>
      </c>
      <c r="D437" t="inlineStr">
        <is>
          <t>ÖREBRO LÄN</t>
        </is>
      </c>
      <c r="E437" t="inlineStr">
        <is>
          <t>LINDESBERG</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26967-2022</t>
        </is>
      </c>
      <c r="B438" s="1" t="n">
        <v>44740.66997685185</v>
      </c>
      <c r="C438" s="1" t="n">
        <v>45985</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31220-2025</t>
        </is>
      </c>
      <c r="B439" s="1" t="n">
        <v>45832.76100694444</v>
      </c>
      <c r="C439" s="1" t="n">
        <v>45985</v>
      </c>
      <c r="D439" t="inlineStr">
        <is>
          <t>ÖREBRO LÄN</t>
        </is>
      </c>
      <c r="E439" t="inlineStr">
        <is>
          <t>LINDESBERG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45978-2021</t>
        </is>
      </c>
      <c r="B440" s="1" t="n">
        <v>44441.70047453704</v>
      </c>
      <c r="C440" s="1" t="n">
        <v>45985</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14454-2024</t>
        </is>
      </c>
      <c r="B441" s="1" t="n">
        <v>45394.51289351852</v>
      </c>
      <c r="C441" s="1" t="n">
        <v>45985</v>
      </c>
      <c r="D441" t="inlineStr">
        <is>
          <t>ÖREBRO LÄN</t>
        </is>
      </c>
      <c r="E441" t="inlineStr">
        <is>
          <t>LINDESBERG</t>
        </is>
      </c>
      <c r="G441" t="n">
        <v>1.9</v>
      </c>
      <c r="H441" t="n">
        <v>0</v>
      </c>
      <c r="I441" t="n">
        <v>0</v>
      </c>
      <c r="J441" t="n">
        <v>0</v>
      </c>
      <c r="K441" t="n">
        <v>0</v>
      </c>
      <c r="L441" t="n">
        <v>0</v>
      </c>
      <c r="M441" t="n">
        <v>0</v>
      </c>
      <c r="N441" t="n">
        <v>0</v>
      </c>
      <c r="O441" t="n">
        <v>0</v>
      </c>
      <c r="P441" t="n">
        <v>0</v>
      </c>
      <c r="Q441" t="n">
        <v>0</v>
      </c>
      <c r="R441" s="2" t="inlineStr"/>
    </row>
    <row r="442" ht="15" customHeight="1">
      <c r="A442" t="inlineStr">
        <is>
          <t>A 40303-2024</t>
        </is>
      </c>
      <c r="B442" s="1" t="n">
        <v>45554.7158912037</v>
      </c>
      <c r="C442" s="1" t="n">
        <v>45985</v>
      </c>
      <c r="D442" t="inlineStr">
        <is>
          <t>ÖREBRO LÄN</t>
        </is>
      </c>
      <c r="E442" t="inlineStr">
        <is>
          <t>LINDESBERG</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46484-2024</t>
        </is>
      </c>
      <c r="B443" s="1" t="n">
        <v>45582.57542824074</v>
      </c>
      <c r="C443" s="1" t="n">
        <v>45985</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19436-2025</t>
        </is>
      </c>
      <c r="B444" s="1" t="n">
        <v>45769.98449074074</v>
      </c>
      <c r="C444" s="1" t="n">
        <v>45985</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32504-2025</t>
        </is>
      </c>
      <c r="B445" s="1" t="n">
        <v>45838.46456018519</v>
      </c>
      <c r="C445" s="1" t="n">
        <v>45985</v>
      </c>
      <c r="D445" t="inlineStr">
        <is>
          <t>ÖREBRO LÄN</t>
        </is>
      </c>
      <c r="E445" t="inlineStr">
        <is>
          <t>LINDESBERG</t>
        </is>
      </c>
      <c r="F445" t="inlineStr">
        <is>
          <t>Sveaskog</t>
        </is>
      </c>
      <c r="G445" t="n">
        <v>16.9</v>
      </c>
      <c r="H445" t="n">
        <v>0</v>
      </c>
      <c r="I445" t="n">
        <v>0</v>
      </c>
      <c r="J445" t="n">
        <v>0</v>
      </c>
      <c r="K445" t="n">
        <v>0</v>
      </c>
      <c r="L445" t="n">
        <v>0</v>
      </c>
      <c r="M445" t="n">
        <v>0</v>
      </c>
      <c r="N445" t="n">
        <v>0</v>
      </c>
      <c r="O445" t="n">
        <v>0</v>
      </c>
      <c r="P445" t="n">
        <v>0</v>
      </c>
      <c r="Q445" t="n">
        <v>0</v>
      </c>
      <c r="R445" s="2" t="inlineStr"/>
    </row>
    <row r="446" ht="15" customHeight="1">
      <c r="A446" t="inlineStr">
        <is>
          <t>A 53723-2025</t>
        </is>
      </c>
      <c r="B446" s="1" t="n">
        <v>45960.62986111111</v>
      </c>
      <c r="C446" s="1" t="n">
        <v>45985</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32284-2025</t>
        </is>
      </c>
      <c r="B447" s="1" t="n">
        <v>45835.68443287037</v>
      </c>
      <c r="C447" s="1" t="n">
        <v>45985</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32502-2025</t>
        </is>
      </c>
      <c r="B448" s="1" t="n">
        <v>45838.46408564815</v>
      </c>
      <c r="C448" s="1" t="n">
        <v>45985</v>
      </c>
      <c r="D448" t="inlineStr">
        <is>
          <t>ÖREBRO LÄN</t>
        </is>
      </c>
      <c r="E448" t="inlineStr">
        <is>
          <t>LINDESBERG</t>
        </is>
      </c>
      <c r="F448" t="inlineStr">
        <is>
          <t>Sveaskog</t>
        </is>
      </c>
      <c r="G448" t="n">
        <v>17.7</v>
      </c>
      <c r="H448" t="n">
        <v>0</v>
      </c>
      <c r="I448" t="n">
        <v>0</v>
      </c>
      <c r="J448" t="n">
        <v>0</v>
      </c>
      <c r="K448" t="n">
        <v>0</v>
      </c>
      <c r="L448" t="n">
        <v>0</v>
      </c>
      <c r="M448" t="n">
        <v>0</v>
      </c>
      <c r="N448" t="n">
        <v>0</v>
      </c>
      <c r="O448" t="n">
        <v>0</v>
      </c>
      <c r="P448" t="n">
        <v>0</v>
      </c>
      <c r="Q448" t="n">
        <v>0</v>
      </c>
      <c r="R448" s="2" t="inlineStr"/>
    </row>
    <row r="449" ht="15" customHeight="1">
      <c r="A449" t="inlineStr">
        <is>
          <t>A 13350-2024</t>
        </is>
      </c>
      <c r="B449" s="1" t="n">
        <v>45387.24732638889</v>
      </c>
      <c r="C449" s="1" t="n">
        <v>45985</v>
      </c>
      <c r="D449" t="inlineStr">
        <is>
          <t>ÖREBRO LÄN</t>
        </is>
      </c>
      <c r="E449" t="inlineStr">
        <is>
          <t>LINDESBERG</t>
        </is>
      </c>
      <c r="G449" t="n">
        <v>4.1</v>
      </c>
      <c r="H449" t="n">
        <v>0</v>
      </c>
      <c r="I449" t="n">
        <v>0</v>
      </c>
      <c r="J449" t="n">
        <v>0</v>
      </c>
      <c r="K449" t="n">
        <v>0</v>
      </c>
      <c r="L449" t="n">
        <v>0</v>
      </c>
      <c r="M449" t="n">
        <v>0</v>
      </c>
      <c r="N449" t="n">
        <v>0</v>
      </c>
      <c r="O449" t="n">
        <v>0</v>
      </c>
      <c r="P449" t="n">
        <v>0</v>
      </c>
      <c r="Q449" t="n">
        <v>0</v>
      </c>
      <c r="R449" s="2" t="inlineStr"/>
    </row>
    <row r="450" ht="15" customHeight="1">
      <c r="A450" t="inlineStr">
        <is>
          <t>A 13351-2024</t>
        </is>
      </c>
      <c r="B450" s="1" t="n">
        <v>45387.2521875</v>
      </c>
      <c r="C450" s="1" t="n">
        <v>45985</v>
      </c>
      <c r="D450" t="inlineStr">
        <is>
          <t>ÖREBRO LÄN</t>
        </is>
      </c>
      <c r="E450" t="inlineStr">
        <is>
          <t>LINDESBERG</t>
        </is>
      </c>
      <c r="G450" t="n">
        <v>1.7</v>
      </c>
      <c r="H450" t="n">
        <v>0</v>
      </c>
      <c r="I450" t="n">
        <v>0</v>
      </c>
      <c r="J450" t="n">
        <v>0</v>
      </c>
      <c r="K450" t="n">
        <v>0</v>
      </c>
      <c r="L450" t="n">
        <v>0</v>
      </c>
      <c r="M450" t="n">
        <v>0</v>
      </c>
      <c r="N450" t="n">
        <v>0</v>
      </c>
      <c r="O450" t="n">
        <v>0</v>
      </c>
      <c r="P450" t="n">
        <v>0</v>
      </c>
      <c r="Q450" t="n">
        <v>0</v>
      </c>
      <c r="R450" s="2" t="inlineStr"/>
    </row>
    <row r="451" ht="15" customHeight="1">
      <c r="A451" t="inlineStr">
        <is>
          <t>A 44545-2025</t>
        </is>
      </c>
      <c r="B451" s="1" t="n">
        <v>45917.31780092593</v>
      </c>
      <c r="C451" s="1" t="n">
        <v>45985</v>
      </c>
      <c r="D451" t="inlineStr">
        <is>
          <t>ÖREBRO LÄN</t>
        </is>
      </c>
      <c r="E451" t="inlineStr">
        <is>
          <t>LINDESBERG</t>
        </is>
      </c>
      <c r="F451" t="inlineStr">
        <is>
          <t>Kommuner</t>
        </is>
      </c>
      <c r="G451" t="n">
        <v>2.3</v>
      </c>
      <c r="H451" t="n">
        <v>0</v>
      </c>
      <c r="I451" t="n">
        <v>0</v>
      </c>
      <c r="J451" t="n">
        <v>0</v>
      </c>
      <c r="K451" t="n">
        <v>0</v>
      </c>
      <c r="L451" t="n">
        <v>0</v>
      </c>
      <c r="M451" t="n">
        <v>0</v>
      </c>
      <c r="N451" t="n">
        <v>0</v>
      </c>
      <c r="O451" t="n">
        <v>0</v>
      </c>
      <c r="P451" t="n">
        <v>0</v>
      </c>
      <c r="Q451" t="n">
        <v>0</v>
      </c>
      <c r="R451" s="2" t="inlineStr"/>
    </row>
    <row r="452" ht="15" customHeight="1">
      <c r="A452" t="inlineStr">
        <is>
          <t>A 6752-2021</t>
        </is>
      </c>
      <c r="B452" s="1" t="n">
        <v>44236</v>
      </c>
      <c r="C452" s="1" t="n">
        <v>45985</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c r="U452">
        <f>HYPERLINK("https://klasma.github.io/Logging_1885/knärot/A 6752-2021 karta knärot.png", "A 6752-2021")</f>
        <v/>
      </c>
      <c r="V452">
        <f>HYPERLINK("https://klasma.github.io/Logging_1885/klagomål/A 6752-2021 FSC-klagomål.docx", "A 6752-2021")</f>
        <v/>
      </c>
      <c r="W452">
        <f>HYPERLINK("https://klasma.github.io/Logging_1885/klagomålsmail/A 6752-2021 FSC-klagomål mail.docx", "A 6752-2021")</f>
        <v/>
      </c>
      <c r="X452">
        <f>HYPERLINK("https://klasma.github.io/Logging_1885/tillsyn/A 6752-2021 tillsynsbegäran.docx", "A 6752-2021")</f>
        <v/>
      </c>
      <c r="Y452">
        <f>HYPERLINK("https://klasma.github.io/Logging_1885/tillsynsmail/A 6752-2021 tillsynsbegäran mail.docx", "A 6752-2021")</f>
        <v/>
      </c>
    </row>
    <row r="453" ht="15" customHeight="1">
      <c r="A453" t="inlineStr">
        <is>
          <t>A 33046-2025</t>
        </is>
      </c>
      <c r="B453" s="1" t="n">
        <v>45840</v>
      </c>
      <c r="C453" s="1" t="n">
        <v>45985</v>
      </c>
      <c r="D453" t="inlineStr">
        <is>
          <t>ÖREBRO LÄN</t>
        </is>
      </c>
      <c r="E453" t="inlineStr">
        <is>
          <t>LINDESBERG</t>
        </is>
      </c>
      <c r="G453" t="n">
        <v>6.1</v>
      </c>
      <c r="H453" t="n">
        <v>0</v>
      </c>
      <c r="I453" t="n">
        <v>0</v>
      </c>
      <c r="J453" t="n">
        <v>0</v>
      </c>
      <c r="K453" t="n">
        <v>0</v>
      </c>
      <c r="L453" t="n">
        <v>0</v>
      </c>
      <c r="M453" t="n">
        <v>0</v>
      </c>
      <c r="N453" t="n">
        <v>0</v>
      </c>
      <c r="O453" t="n">
        <v>0</v>
      </c>
      <c r="P453" t="n">
        <v>0</v>
      </c>
      <c r="Q453" t="n">
        <v>0</v>
      </c>
      <c r="R453" s="2" t="inlineStr"/>
    </row>
    <row r="454" ht="15" customHeight="1">
      <c r="A454" t="inlineStr">
        <is>
          <t>A 32727-2024</t>
        </is>
      </c>
      <c r="B454" s="1" t="n">
        <v>45516.4221412037</v>
      </c>
      <c r="C454" s="1" t="n">
        <v>45985</v>
      </c>
      <c r="D454" t="inlineStr">
        <is>
          <t>ÖREBRO LÄN</t>
        </is>
      </c>
      <c r="E454" t="inlineStr">
        <is>
          <t>LINDESBERG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12053-2024</t>
        </is>
      </c>
      <c r="B455" s="1" t="n">
        <v>45377.48265046296</v>
      </c>
      <c r="C455" s="1" t="n">
        <v>45985</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39137-2024</t>
        </is>
      </c>
      <c r="B456" s="1" t="n">
        <v>45548</v>
      </c>
      <c r="C456" s="1" t="n">
        <v>45985</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39152-2024</t>
        </is>
      </c>
      <c r="B457" s="1" t="n">
        <v>45548</v>
      </c>
      <c r="C457" s="1" t="n">
        <v>45985</v>
      </c>
      <c r="D457" t="inlineStr">
        <is>
          <t>ÖREBRO LÄN</t>
        </is>
      </c>
      <c r="E457" t="inlineStr">
        <is>
          <t>LINDESBERG</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45985</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54251-2025</t>
        </is>
      </c>
      <c r="B459" s="1" t="n">
        <v>45964.64778935185</v>
      </c>
      <c r="C459" s="1" t="n">
        <v>45985</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46607-2021</t>
        </is>
      </c>
      <c r="B460" s="1" t="n">
        <v>44445.55690972223</v>
      </c>
      <c r="C460" s="1" t="n">
        <v>45985</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54239-2025</t>
        </is>
      </c>
      <c r="B461" s="1" t="n">
        <v>45964.62771990741</v>
      </c>
      <c r="C461" s="1" t="n">
        <v>45985</v>
      </c>
      <c r="D461" t="inlineStr">
        <is>
          <t>ÖREBRO LÄN</t>
        </is>
      </c>
      <c r="E461" t="inlineStr">
        <is>
          <t>LINDESBERG</t>
        </is>
      </c>
      <c r="G461" t="n">
        <v>4.9</v>
      </c>
      <c r="H461" t="n">
        <v>0</v>
      </c>
      <c r="I461" t="n">
        <v>0</v>
      </c>
      <c r="J461" t="n">
        <v>0</v>
      </c>
      <c r="K461" t="n">
        <v>0</v>
      </c>
      <c r="L461" t="n">
        <v>0</v>
      </c>
      <c r="M461" t="n">
        <v>0</v>
      </c>
      <c r="N461" t="n">
        <v>0</v>
      </c>
      <c r="O461" t="n">
        <v>0</v>
      </c>
      <c r="P461" t="n">
        <v>0</v>
      </c>
      <c r="Q461" t="n">
        <v>0</v>
      </c>
      <c r="R461" s="2" t="inlineStr"/>
    </row>
    <row r="462" ht="15" customHeight="1">
      <c r="A462" t="inlineStr">
        <is>
          <t>A 54240-2025</t>
        </is>
      </c>
      <c r="B462" s="1" t="n">
        <v>45964.62796296296</v>
      </c>
      <c r="C462" s="1" t="n">
        <v>45985</v>
      </c>
      <c r="D462" t="inlineStr">
        <is>
          <t>ÖREBRO LÄN</t>
        </is>
      </c>
      <c r="E462" t="inlineStr">
        <is>
          <t>LINDESBERG</t>
        </is>
      </c>
      <c r="G462" t="n">
        <v>3.9</v>
      </c>
      <c r="H462" t="n">
        <v>0</v>
      </c>
      <c r="I462" t="n">
        <v>0</v>
      </c>
      <c r="J462" t="n">
        <v>0</v>
      </c>
      <c r="K462" t="n">
        <v>0</v>
      </c>
      <c r="L462" t="n">
        <v>0</v>
      </c>
      <c r="M462" t="n">
        <v>0</v>
      </c>
      <c r="N462" t="n">
        <v>0</v>
      </c>
      <c r="O462" t="n">
        <v>0</v>
      </c>
      <c r="P462" t="n">
        <v>0</v>
      </c>
      <c r="Q462" t="n">
        <v>0</v>
      </c>
      <c r="R462" s="2" t="inlineStr"/>
    </row>
    <row r="463" ht="15" customHeight="1">
      <c r="A463" t="inlineStr">
        <is>
          <t>A 54241-2025</t>
        </is>
      </c>
      <c r="B463" s="1" t="n">
        <v>45964.63199074074</v>
      </c>
      <c r="C463" s="1" t="n">
        <v>45985</v>
      </c>
      <c r="D463" t="inlineStr">
        <is>
          <t>ÖREBRO LÄN</t>
        </is>
      </c>
      <c r="E463" t="inlineStr">
        <is>
          <t>LINDESBERG</t>
        </is>
      </c>
      <c r="G463" t="n">
        <v>4</v>
      </c>
      <c r="H463" t="n">
        <v>0</v>
      </c>
      <c r="I463" t="n">
        <v>0</v>
      </c>
      <c r="J463" t="n">
        <v>0</v>
      </c>
      <c r="K463" t="n">
        <v>0</v>
      </c>
      <c r="L463" t="n">
        <v>0</v>
      </c>
      <c r="M463" t="n">
        <v>0</v>
      </c>
      <c r="N463" t="n">
        <v>0</v>
      </c>
      <c r="O463" t="n">
        <v>0</v>
      </c>
      <c r="P463" t="n">
        <v>0</v>
      </c>
      <c r="Q463" t="n">
        <v>0</v>
      </c>
      <c r="R463" s="2" t="inlineStr"/>
    </row>
    <row r="464" ht="15" customHeight="1">
      <c r="A464" t="inlineStr">
        <is>
          <t>A 54250-2025</t>
        </is>
      </c>
      <c r="B464" s="1" t="n">
        <v>45964.64709490741</v>
      </c>
      <c r="C464" s="1" t="n">
        <v>45985</v>
      </c>
      <c r="D464" t="inlineStr">
        <is>
          <t>ÖREBRO LÄN</t>
        </is>
      </c>
      <c r="E464" t="inlineStr">
        <is>
          <t>LINDESBERG</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27051-2023</t>
        </is>
      </c>
      <c r="B465" s="1" t="n">
        <v>45095</v>
      </c>
      <c r="C465" s="1" t="n">
        <v>45985</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27052-2023</t>
        </is>
      </c>
      <c r="B466" s="1" t="n">
        <v>45095</v>
      </c>
      <c r="C466" s="1" t="n">
        <v>45985</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54070-2025</t>
        </is>
      </c>
      <c r="B467" s="1" t="n">
        <v>45964.34680555556</v>
      </c>
      <c r="C467" s="1" t="n">
        <v>45985</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58710-2023</t>
        </is>
      </c>
      <c r="B468" s="1" t="n">
        <v>45251.696875</v>
      </c>
      <c r="C468" s="1" t="n">
        <v>45985</v>
      </c>
      <c r="D468" t="inlineStr">
        <is>
          <t>ÖREBRO LÄN</t>
        </is>
      </c>
      <c r="E468" t="inlineStr">
        <is>
          <t>LINDESBERG</t>
        </is>
      </c>
      <c r="G468" t="n">
        <v>6.3</v>
      </c>
      <c r="H468" t="n">
        <v>0</v>
      </c>
      <c r="I468" t="n">
        <v>0</v>
      </c>
      <c r="J468" t="n">
        <v>0</v>
      </c>
      <c r="K468" t="n">
        <v>0</v>
      </c>
      <c r="L468" t="n">
        <v>0</v>
      </c>
      <c r="M468" t="n">
        <v>0</v>
      </c>
      <c r="N468" t="n">
        <v>0</v>
      </c>
      <c r="O468" t="n">
        <v>0</v>
      </c>
      <c r="P468" t="n">
        <v>0</v>
      </c>
      <c r="Q468" t="n">
        <v>0</v>
      </c>
      <c r="R468" s="2" t="inlineStr"/>
    </row>
    <row r="469" ht="15" customHeight="1">
      <c r="A469" t="inlineStr">
        <is>
          <t>A 5772-2023</t>
        </is>
      </c>
      <c r="B469" s="1" t="n">
        <v>44963.37709490741</v>
      </c>
      <c r="C469" s="1" t="n">
        <v>45985</v>
      </c>
      <c r="D469" t="inlineStr">
        <is>
          <t>ÖREBRO LÄN</t>
        </is>
      </c>
      <c r="E469" t="inlineStr">
        <is>
          <t>LINDESBERG</t>
        </is>
      </c>
      <c r="G469" t="n">
        <v>3</v>
      </c>
      <c r="H469" t="n">
        <v>0</v>
      </c>
      <c r="I469" t="n">
        <v>0</v>
      </c>
      <c r="J469" t="n">
        <v>0</v>
      </c>
      <c r="K469" t="n">
        <v>0</v>
      </c>
      <c r="L469" t="n">
        <v>0</v>
      </c>
      <c r="M469" t="n">
        <v>0</v>
      </c>
      <c r="N469" t="n">
        <v>0</v>
      </c>
      <c r="O469" t="n">
        <v>0</v>
      </c>
      <c r="P469" t="n">
        <v>0</v>
      </c>
      <c r="Q469" t="n">
        <v>0</v>
      </c>
      <c r="R469" s="2" t="inlineStr"/>
    </row>
    <row r="470" ht="15" customHeight="1">
      <c r="A470" t="inlineStr">
        <is>
          <t>A 54072-2025</t>
        </is>
      </c>
      <c r="B470" s="1" t="n">
        <v>45964.3550925926</v>
      </c>
      <c r="C470" s="1" t="n">
        <v>45985</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54249-2025</t>
        </is>
      </c>
      <c r="B471" s="1" t="n">
        <v>45964.64599537037</v>
      </c>
      <c r="C471" s="1" t="n">
        <v>45985</v>
      </c>
      <c r="D471" t="inlineStr">
        <is>
          <t>ÖREBRO LÄN</t>
        </is>
      </c>
      <c r="E471" t="inlineStr">
        <is>
          <t>LINDESBERG</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20210-2024</t>
        </is>
      </c>
      <c r="B472" s="1" t="n">
        <v>45434.65854166666</v>
      </c>
      <c r="C472" s="1" t="n">
        <v>45985</v>
      </c>
      <c r="D472" t="inlineStr">
        <is>
          <t>ÖREBRO LÄN</t>
        </is>
      </c>
      <c r="E472" t="inlineStr">
        <is>
          <t>LINDESBERG</t>
        </is>
      </c>
      <c r="G472" t="n">
        <v>5.5</v>
      </c>
      <c r="H472" t="n">
        <v>0</v>
      </c>
      <c r="I472" t="n">
        <v>0</v>
      </c>
      <c r="J472" t="n">
        <v>0</v>
      </c>
      <c r="K472" t="n">
        <v>0</v>
      </c>
      <c r="L472" t="n">
        <v>0</v>
      </c>
      <c r="M472" t="n">
        <v>0</v>
      </c>
      <c r="N472" t="n">
        <v>0</v>
      </c>
      <c r="O472" t="n">
        <v>0</v>
      </c>
      <c r="P472" t="n">
        <v>0</v>
      </c>
      <c r="Q472" t="n">
        <v>0</v>
      </c>
      <c r="R472" s="2" t="inlineStr"/>
    </row>
    <row r="473" ht="15" customHeight="1">
      <c r="A473" t="inlineStr">
        <is>
          <t>A 33574-2024</t>
        </is>
      </c>
      <c r="B473" s="1" t="n">
        <v>45520.32887731482</v>
      </c>
      <c r="C473" s="1" t="n">
        <v>45985</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34264-2025</t>
        </is>
      </c>
      <c r="B474" s="1" t="n">
        <v>45845.75200231482</v>
      </c>
      <c r="C474" s="1" t="n">
        <v>45985</v>
      </c>
      <c r="D474" t="inlineStr">
        <is>
          <t>ÖREBRO LÄN</t>
        </is>
      </c>
      <c r="E474" t="inlineStr">
        <is>
          <t>LINDESBERG</t>
        </is>
      </c>
      <c r="G474" t="n">
        <v>3.9</v>
      </c>
      <c r="H474" t="n">
        <v>0</v>
      </c>
      <c r="I474" t="n">
        <v>0</v>
      </c>
      <c r="J474" t="n">
        <v>0</v>
      </c>
      <c r="K474" t="n">
        <v>0</v>
      </c>
      <c r="L474" t="n">
        <v>0</v>
      </c>
      <c r="M474" t="n">
        <v>0</v>
      </c>
      <c r="N474" t="n">
        <v>0</v>
      </c>
      <c r="O474" t="n">
        <v>0</v>
      </c>
      <c r="P474" t="n">
        <v>0</v>
      </c>
      <c r="Q474" t="n">
        <v>0</v>
      </c>
      <c r="R474" s="2" t="inlineStr"/>
    </row>
    <row r="475" ht="15" customHeight="1">
      <c r="A475" t="inlineStr">
        <is>
          <t>A 34003-2025</t>
        </is>
      </c>
      <c r="B475" s="1" t="n">
        <v>45844.57527777777</v>
      </c>
      <c r="C475" s="1" t="n">
        <v>45985</v>
      </c>
      <c r="D475" t="inlineStr">
        <is>
          <t>ÖREBRO LÄN</t>
        </is>
      </c>
      <c r="E475" t="inlineStr">
        <is>
          <t>LINDESBERG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34097-2025</t>
        </is>
      </c>
      <c r="B476" s="1" t="n">
        <v>45845.4855787037</v>
      </c>
      <c r="C476" s="1" t="n">
        <v>45985</v>
      </c>
      <c r="D476" t="inlineStr">
        <is>
          <t>ÖREBRO LÄN</t>
        </is>
      </c>
      <c r="E476" t="inlineStr">
        <is>
          <t>LINDESBERG</t>
        </is>
      </c>
      <c r="G476" t="n">
        <v>1.2</v>
      </c>
      <c r="H476" t="n">
        <v>0</v>
      </c>
      <c r="I476" t="n">
        <v>0</v>
      </c>
      <c r="J476" t="n">
        <v>0</v>
      </c>
      <c r="K476" t="n">
        <v>0</v>
      </c>
      <c r="L476" t="n">
        <v>0</v>
      </c>
      <c r="M476" t="n">
        <v>0</v>
      </c>
      <c r="N476" t="n">
        <v>0</v>
      </c>
      <c r="O476" t="n">
        <v>0</v>
      </c>
      <c r="P476" t="n">
        <v>0</v>
      </c>
      <c r="Q476" t="n">
        <v>0</v>
      </c>
      <c r="R476" s="2" t="inlineStr"/>
    </row>
    <row r="477" ht="15" customHeight="1">
      <c r="A477" t="inlineStr">
        <is>
          <t>A 26340-2022</t>
        </is>
      </c>
      <c r="B477" s="1" t="n">
        <v>44735.62539351852</v>
      </c>
      <c r="C477" s="1" t="n">
        <v>45985</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34104-2025</t>
        </is>
      </c>
      <c r="B478" s="1" t="n">
        <v>45845.49216435185</v>
      </c>
      <c r="C478" s="1" t="n">
        <v>45985</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34004-2025</t>
        </is>
      </c>
      <c r="B479" s="1" t="n">
        <v>45844.5775</v>
      </c>
      <c r="C479" s="1" t="n">
        <v>45985</v>
      </c>
      <c r="D479" t="inlineStr">
        <is>
          <t>ÖREBRO LÄN</t>
        </is>
      </c>
      <c r="E479" t="inlineStr">
        <is>
          <t>LINDESBERG</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23536-2023</t>
        </is>
      </c>
      <c r="B480" s="1" t="n">
        <v>45077</v>
      </c>
      <c r="C480" s="1" t="n">
        <v>45985</v>
      </c>
      <c r="D480" t="inlineStr">
        <is>
          <t>ÖREBRO LÄN</t>
        </is>
      </c>
      <c r="E480" t="inlineStr">
        <is>
          <t>LINDESBERG</t>
        </is>
      </c>
      <c r="F480" t="inlineStr">
        <is>
          <t>Kyrkan</t>
        </is>
      </c>
      <c r="G480" t="n">
        <v>0.5</v>
      </c>
      <c r="H480" t="n">
        <v>0</v>
      </c>
      <c r="I480" t="n">
        <v>0</v>
      </c>
      <c r="J480" t="n">
        <v>0</v>
      </c>
      <c r="K480" t="n">
        <v>0</v>
      </c>
      <c r="L480" t="n">
        <v>0</v>
      </c>
      <c r="M480" t="n">
        <v>0</v>
      </c>
      <c r="N480" t="n">
        <v>0</v>
      </c>
      <c r="O480" t="n">
        <v>0</v>
      </c>
      <c r="P480" t="n">
        <v>0</v>
      </c>
      <c r="Q480" t="n">
        <v>0</v>
      </c>
      <c r="R480" s="2" t="inlineStr"/>
    </row>
    <row r="481" ht="15" customHeight="1">
      <c r="A481" t="inlineStr">
        <is>
          <t>A 61969-2023</t>
        </is>
      </c>
      <c r="B481" s="1" t="n">
        <v>45266.58394675926</v>
      </c>
      <c r="C481" s="1" t="n">
        <v>45985</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34267-2025</t>
        </is>
      </c>
      <c r="B482" s="1" t="n">
        <v>45845.76005787037</v>
      </c>
      <c r="C482" s="1" t="n">
        <v>45985</v>
      </c>
      <c r="D482" t="inlineStr">
        <is>
          <t>ÖREBRO LÄN</t>
        </is>
      </c>
      <c r="E482" t="inlineStr">
        <is>
          <t>LINDESBERG</t>
        </is>
      </c>
      <c r="G482" t="n">
        <v>4.6</v>
      </c>
      <c r="H482" t="n">
        <v>0</v>
      </c>
      <c r="I482" t="n">
        <v>0</v>
      </c>
      <c r="J482" t="n">
        <v>0</v>
      </c>
      <c r="K482" t="n">
        <v>0</v>
      </c>
      <c r="L482" t="n">
        <v>0</v>
      </c>
      <c r="M482" t="n">
        <v>0</v>
      </c>
      <c r="N482" t="n">
        <v>0</v>
      </c>
      <c r="O482" t="n">
        <v>0</v>
      </c>
      <c r="P482" t="n">
        <v>0</v>
      </c>
      <c r="Q482" t="n">
        <v>0</v>
      </c>
      <c r="R482" s="2" t="inlineStr"/>
    </row>
    <row r="483" ht="15" customHeight="1">
      <c r="A483" t="inlineStr">
        <is>
          <t>A 6962-2023</t>
        </is>
      </c>
      <c r="B483" s="1" t="n">
        <v>44967.60165509259</v>
      </c>
      <c r="C483" s="1" t="n">
        <v>45985</v>
      </c>
      <c r="D483" t="inlineStr">
        <is>
          <t>ÖREBRO LÄN</t>
        </is>
      </c>
      <c r="E483" t="inlineStr">
        <is>
          <t>LINDESBERG</t>
        </is>
      </c>
      <c r="G483" t="n">
        <v>11.4</v>
      </c>
      <c r="H483" t="n">
        <v>0</v>
      </c>
      <c r="I483" t="n">
        <v>0</v>
      </c>
      <c r="J483" t="n">
        <v>0</v>
      </c>
      <c r="K483" t="n">
        <v>0</v>
      </c>
      <c r="L483" t="n">
        <v>0</v>
      </c>
      <c r="M483" t="n">
        <v>0</v>
      </c>
      <c r="N483" t="n">
        <v>0</v>
      </c>
      <c r="O483" t="n">
        <v>0</v>
      </c>
      <c r="P483" t="n">
        <v>0</v>
      </c>
      <c r="Q483" t="n">
        <v>0</v>
      </c>
      <c r="R483" s="2" t="inlineStr"/>
    </row>
    <row r="484" ht="15" customHeight="1">
      <c r="A484" t="inlineStr">
        <is>
          <t>A 34002-2025</t>
        </is>
      </c>
      <c r="B484" s="1" t="n">
        <v>45844.57328703703</v>
      </c>
      <c r="C484" s="1" t="n">
        <v>45985</v>
      </c>
      <c r="D484" t="inlineStr">
        <is>
          <t>ÖREBRO LÄN</t>
        </is>
      </c>
      <c r="E484" t="inlineStr">
        <is>
          <t>LINDESBERG</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12562-2021</t>
        </is>
      </c>
      <c r="B485" s="1" t="n">
        <v>44267</v>
      </c>
      <c r="C485" s="1" t="n">
        <v>45985</v>
      </c>
      <c r="D485" t="inlineStr">
        <is>
          <t>ÖREBRO LÄN</t>
        </is>
      </c>
      <c r="E485" t="inlineStr">
        <is>
          <t>LINDESBERG</t>
        </is>
      </c>
      <c r="G485" t="n">
        <v>30.1</v>
      </c>
      <c r="H485" t="n">
        <v>0</v>
      </c>
      <c r="I485" t="n">
        <v>0</v>
      </c>
      <c r="J485" t="n">
        <v>0</v>
      </c>
      <c r="K485" t="n">
        <v>0</v>
      </c>
      <c r="L485" t="n">
        <v>0</v>
      </c>
      <c r="M485" t="n">
        <v>0</v>
      </c>
      <c r="N485" t="n">
        <v>0</v>
      </c>
      <c r="O485" t="n">
        <v>0</v>
      </c>
      <c r="P485" t="n">
        <v>0</v>
      </c>
      <c r="Q485" t="n">
        <v>0</v>
      </c>
      <c r="R485" s="2" t="inlineStr"/>
    </row>
    <row r="486" ht="15" customHeight="1">
      <c r="A486" t="inlineStr">
        <is>
          <t>A 7180-2023</t>
        </is>
      </c>
      <c r="B486" s="1" t="n">
        <v>44970.51849537037</v>
      </c>
      <c r="C486" s="1" t="n">
        <v>45985</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7661-2024</t>
        </is>
      </c>
      <c r="B487" s="1" t="n">
        <v>45348</v>
      </c>
      <c r="C487" s="1" t="n">
        <v>45985</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45985</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24916-2022</t>
        </is>
      </c>
      <c r="B489" s="1" t="n">
        <v>44728</v>
      </c>
      <c r="C489" s="1" t="n">
        <v>45985</v>
      </c>
      <c r="D489" t="inlineStr">
        <is>
          <t>ÖREBRO LÄN</t>
        </is>
      </c>
      <c r="E489" t="inlineStr">
        <is>
          <t>LINDESBERG</t>
        </is>
      </c>
      <c r="G489" t="n">
        <v>8.1</v>
      </c>
      <c r="H489" t="n">
        <v>0</v>
      </c>
      <c r="I489" t="n">
        <v>0</v>
      </c>
      <c r="J489" t="n">
        <v>0</v>
      </c>
      <c r="K489" t="n">
        <v>0</v>
      </c>
      <c r="L489" t="n">
        <v>0</v>
      </c>
      <c r="M489" t="n">
        <v>0</v>
      </c>
      <c r="N489" t="n">
        <v>0</v>
      </c>
      <c r="O489" t="n">
        <v>0</v>
      </c>
      <c r="P489" t="n">
        <v>0</v>
      </c>
      <c r="Q489" t="n">
        <v>0</v>
      </c>
      <c r="R489" s="2" t="inlineStr"/>
    </row>
    <row r="490" ht="15" customHeight="1">
      <c r="A490" t="inlineStr">
        <is>
          <t>A 28031-2023</t>
        </is>
      </c>
      <c r="B490" s="1" t="n">
        <v>45099.27354166667</v>
      </c>
      <c r="C490" s="1" t="n">
        <v>45985</v>
      </c>
      <c r="D490" t="inlineStr">
        <is>
          <t>ÖREBRO LÄN</t>
        </is>
      </c>
      <c r="E490" t="inlineStr">
        <is>
          <t>LINDESBERG</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46039-2024</t>
        </is>
      </c>
      <c r="B491" s="1" t="n">
        <v>45580.73525462963</v>
      </c>
      <c r="C491" s="1" t="n">
        <v>45985</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1681-2025</t>
        </is>
      </c>
      <c r="B492" s="1" t="n">
        <v>45670.69458333333</v>
      </c>
      <c r="C492" s="1" t="n">
        <v>45985</v>
      </c>
      <c r="D492" t="inlineStr">
        <is>
          <t>ÖREBRO LÄN</t>
        </is>
      </c>
      <c r="E492" t="inlineStr">
        <is>
          <t>LINDESBERG</t>
        </is>
      </c>
      <c r="G492" t="n">
        <v>1.9</v>
      </c>
      <c r="H492" t="n">
        <v>0</v>
      </c>
      <c r="I492" t="n">
        <v>0</v>
      </c>
      <c r="J492" t="n">
        <v>0</v>
      </c>
      <c r="K492" t="n">
        <v>0</v>
      </c>
      <c r="L492" t="n">
        <v>0</v>
      </c>
      <c r="M492" t="n">
        <v>0</v>
      </c>
      <c r="N492" t="n">
        <v>0</v>
      </c>
      <c r="O492" t="n">
        <v>0</v>
      </c>
      <c r="P492" t="n">
        <v>0</v>
      </c>
      <c r="Q492" t="n">
        <v>0</v>
      </c>
      <c r="R492" s="2" t="inlineStr"/>
    </row>
    <row r="493" ht="15" customHeight="1">
      <c r="A493" t="inlineStr">
        <is>
          <t>A 36670-2024</t>
        </is>
      </c>
      <c r="B493" s="1" t="n">
        <v>45537.64621527777</v>
      </c>
      <c r="C493" s="1" t="n">
        <v>45985</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35292-2025</t>
        </is>
      </c>
      <c r="B494" s="1" t="n">
        <v>45854</v>
      </c>
      <c r="C494" s="1" t="n">
        <v>45985</v>
      </c>
      <c r="D494" t="inlineStr">
        <is>
          <t>ÖREBRO LÄN</t>
        </is>
      </c>
      <c r="E494" t="inlineStr">
        <is>
          <t>LINDESBERG</t>
        </is>
      </c>
      <c r="G494" t="n">
        <v>1</v>
      </c>
      <c r="H494" t="n">
        <v>0</v>
      </c>
      <c r="I494" t="n">
        <v>0</v>
      </c>
      <c r="J494" t="n">
        <v>0</v>
      </c>
      <c r="K494" t="n">
        <v>0</v>
      </c>
      <c r="L494" t="n">
        <v>0</v>
      </c>
      <c r="M494" t="n">
        <v>0</v>
      </c>
      <c r="N494" t="n">
        <v>0</v>
      </c>
      <c r="O494" t="n">
        <v>0</v>
      </c>
      <c r="P494" t="n">
        <v>0</v>
      </c>
      <c r="Q494" t="n">
        <v>0</v>
      </c>
      <c r="R494" s="2" t="inlineStr"/>
    </row>
    <row r="495" ht="15" customHeight="1">
      <c r="A495" t="inlineStr">
        <is>
          <t>A 35366-2025</t>
        </is>
      </c>
      <c r="B495" s="1" t="n">
        <v>45854</v>
      </c>
      <c r="C495" s="1" t="n">
        <v>45985</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58741-2024</t>
        </is>
      </c>
      <c r="B496" s="1" t="n">
        <v>45635.69581018519</v>
      </c>
      <c r="C496" s="1" t="n">
        <v>45985</v>
      </c>
      <c r="D496" t="inlineStr">
        <is>
          <t>ÖREBRO LÄN</t>
        </is>
      </c>
      <c r="E496" t="inlineStr">
        <is>
          <t>LINDESBERG</t>
        </is>
      </c>
      <c r="G496" t="n">
        <v>1.5</v>
      </c>
      <c r="H496" t="n">
        <v>0</v>
      </c>
      <c r="I496" t="n">
        <v>0</v>
      </c>
      <c r="J496" t="n">
        <v>0</v>
      </c>
      <c r="K496" t="n">
        <v>0</v>
      </c>
      <c r="L496" t="n">
        <v>0</v>
      </c>
      <c r="M496" t="n">
        <v>0</v>
      </c>
      <c r="N496" t="n">
        <v>0</v>
      </c>
      <c r="O496" t="n">
        <v>0</v>
      </c>
      <c r="P496" t="n">
        <v>0</v>
      </c>
      <c r="Q496" t="n">
        <v>0</v>
      </c>
      <c r="R496" s="2" t="inlineStr"/>
    </row>
    <row r="497" ht="15" customHeight="1">
      <c r="A497" t="inlineStr">
        <is>
          <t>A 46757-2025</t>
        </is>
      </c>
      <c r="B497" s="1" t="n">
        <v>45926.62039351852</v>
      </c>
      <c r="C497" s="1" t="n">
        <v>45985</v>
      </c>
      <c r="D497" t="inlineStr">
        <is>
          <t>ÖREBRO LÄN</t>
        </is>
      </c>
      <c r="E497" t="inlineStr">
        <is>
          <t>LINDESBERG</t>
        </is>
      </c>
      <c r="G497" t="n">
        <v>7.9</v>
      </c>
      <c r="H497" t="n">
        <v>0</v>
      </c>
      <c r="I497" t="n">
        <v>0</v>
      </c>
      <c r="J497" t="n">
        <v>0</v>
      </c>
      <c r="K497" t="n">
        <v>0</v>
      </c>
      <c r="L497" t="n">
        <v>0</v>
      </c>
      <c r="M497" t="n">
        <v>0</v>
      </c>
      <c r="N497" t="n">
        <v>0</v>
      </c>
      <c r="O497" t="n">
        <v>0</v>
      </c>
      <c r="P497" t="n">
        <v>0</v>
      </c>
      <c r="Q497" t="n">
        <v>0</v>
      </c>
      <c r="R497" s="2" t="inlineStr"/>
    </row>
    <row r="498" ht="15" customHeight="1">
      <c r="A498" t="inlineStr">
        <is>
          <t>A 3994-2023</t>
        </is>
      </c>
      <c r="B498" s="1" t="n">
        <v>44950</v>
      </c>
      <c r="C498" s="1" t="n">
        <v>45985</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45985</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49094-2024</t>
        </is>
      </c>
      <c r="B500" s="1" t="n">
        <v>45594.63747685185</v>
      </c>
      <c r="C500" s="1" t="n">
        <v>45985</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35702-2025</t>
        </is>
      </c>
      <c r="B501" s="1" t="n">
        <v>45860.36222222223</v>
      </c>
      <c r="C501" s="1" t="n">
        <v>45985</v>
      </c>
      <c r="D501" t="inlineStr">
        <is>
          <t>ÖREBRO LÄN</t>
        </is>
      </c>
      <c r="E501" t="inlineStr">
        <is>
          <t>LINDESBERG</t>
        </is>
      </c>
      <c r="G501" t="n">
        <v>5.3</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45985</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46404-2025</t>
        </is>
      </c>
      <c r="B503" s="1" t="n">
        <v>45925.56173611111</v>
      </c>
      <c r="C503" s="1" t="n">
        <v>45985</v>
      </c>
      <c r="D503" t="inlineStr">
        <is>
          <t>ÖREBRO LÄN</t>
        </is>
      </c>
      <c r="E503" t="inlineStr">
        <is>
          <t>LINDESBERG</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56907-2024</t>
        </is>
      </c>
      <c r="B504" s="1" t="n">
        <v>45628.58975694444</v>
      </c>
      <c r="C504" s="1" t="n">
        <v>45985</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7201-2024</t>
        </is>
      </c>
      <c r="B505" s="1" t="n">
        <v>45344.6027662037</v>
      </c>
      <c r="C505" s="1" t="n">
        <v>45985</v>
      </c>
      <c r="D505" t="inlineStr">
        <is>
          <t>ÖREBRO LÄN</t>
        </is>
      </c>
      <c r="E505" t="inlineStr">
        <is>
          <t>LINDESBERG</t>
        </is>
      </c>
      <c r="G505" t="n">
        <v>4.7</v>
      </c>
      <c r="H505" t="n">
        <v>0</v>
      </c>
      <c r="I505" t="n">
        <v>0</v>
      </c>
      <c r="J505" t="n">
        <v>0</v>
      </c>
      <c r="K505" t="n">
        <v>0</v>
      </c>
      <c r="L505" t="n">
        <v>0</v>
      </c>
      <c r="M505" t="n">
        <v>0</v>
      </c>
      <c r="N505" t="n">
        <v>0</v>
      </c>
      <c r="O505" t="n">
        <v>0</v>
      </c>
      <c r="P505" t="n">
        <v>0</v>
      </c>
      <c r="Q505" t="n">
        <v>0</v>
      </c>
      <c r="R505" s="2" t="inlineStr"/>
    </row>
    <row r="506" ht="15" customHeight="1">
      <c r="A506" t="inlineStr">
        <is>
          <t>A 47304-2024</t>
        </is>
      </c>
      <c r="B506" s="1" t="n">
        <v>45587</v>
      </c>
      <c r="C506" s="1" t="n">
        <v>45985</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14190-2024</t>
        </is>
      </c>
      <c r="B507" s="1" t="n">
        <v>45393.36060185185</v>
      </c>
      <c r="C507" s="1" t="n">
        <v>45985</v>
      </c>
      <c r="D507" t="inlineStr">
        <is>
          <t>ÖREBRO LÄN</t>
        </is>
      </c>
      <c r="E507" t="inlineStr">
        <is>
          <t>LINDESBERG</t>
        </is>
      </c>
      <c r="F507" t="inlineStr">
        <is>
          <t>Sveaskog</t>
        </is>
      </c>
      <c r="G507" t="n">
        <v>2.5</v>
      </c>
      <c r="H507" t="n">
        <v>0</v>
      </c>
      <c r="I507" t="n">
        <v>0</v>
      </c>
      <c r="J507" t="n">
        <v>0</v>
      </c>
      <c r="K507" t="n">
        <v>0</v>
      </c>
      <c r="L507" t="n">
        <v>0</v>
      </c>
      <c r="M507" t="n">
        <v>0</v>
      </c>
      <c r="N507" t="n">
        <v>0</v>
      </c>
      <c r="O507" t="n">
        <v>0</v>
      </c>
      <c r="P507" t="n">
        <v>0</v>
      </c>
      <c r="Q507" t="n">
        <v>0</v>
      </c>
      <c r="R507" s="2" t="inlineStr"/>
    </row>
    <row r="508" ht="15" customHeight="1">
      <c r="A508" t="inlineStr">
        <is>
          <t>A 55255-2025</t>
        </is>
      </c>
      <c r="B508" s="1" t="n">
        <v>45968.63695601852</v>
      </c>
      <c r="C508" s="1" t="n">
        <v>45985</v>
      </c>
      <c r="D508" t="inlineStr">
        <is>
          <t>ÖREBRO LÄN</t>
        </is>
      </c>
      <c r="E508" t="inlineStr">
        <is>
          <t>LINDESBERG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55065-2025</t>
        </is>
      </c>
      <c r="B509" s="1" t="n">
        <v>45967.7096875</v>
      </c>
      <c r="C509" s="1" t="n">
        <v>45985</v>
      </c>
      <c r="D509" t="inlineStr">
        <is>
          <t>ÖREBRO LÄN</t>
        </is>
      </c>
      <c r="E509" t="inlineStr">
        <is>
          <t>LINDESBERG</t>
        </is>
      </c>
      <c r="G509" t="n">
        <v>3.5</v>
      </c>
      <c r="H509" t="n">
        <v>0</v>
      </c>
      <c r="I509" t="n">
        <v>0</v>
      </c>
      <c r="J509" t="n">
        <v>0</v>
      </c>
      <c r="K509" t="n">
        <v>0</v>
      </c>
      <c r="L509" t="n">
        <v>0</v>
      </c>
      <c r="M509" t="n">
        <v>0</v>
      </c>
      <c r="N509" t="n">
        <v>0</v>
      </c>
      <c r="O509" t="n">
        <v>0</v>
      </c>
      <c r="P509" t="n">
        <v>0</v>
      </c>
      <c r="Q509" t="n">
        <v>0</v>
      </c>
      <c r="R509" s="2" t="inlineStr"/>
    </row>
    <row r="510" ht="15" customHeight="1">
      <c r="A510" t="inlineStr">
        <is>
          <t>A 17087-2023</t>
        </is>
      </c>
      <c r="B510" s="1" t="n">
        <v>45034.5174537037</v>
      </c>
      <c r="C510" s="1" t="n">
        <v>45985</v>
      </c>
      <c r="D510" t="inlineStr">
        <is>
          <t>ÖREBRO LÄN</t>
        </is>
      </c>
      <c r="E510" t="inlineStr">
        <is>
          <t>LINDESBERG</t>
        </is>
      </c>
      <c r="G510" t="n">
        <v>2.7</v>
      </c>
      <c r="H510" t="n">
        <v>0</v>
      </c>
      <c r="I510" t="n">
        <v>0</v>
      </c>
      <c r="J510" t="n">
        <v>0</v>
      </c>
      <c r="K510" t="n">
        <v>0</v>
      </c>
      <c r="L510" t="n">
        <v>0</v>
      </c>
      <c r="M510" t="n">
        <v>0</v>
      </c>
      <c r="N510" t="n">
        <v>0</v>
      </c>
      <c r="O510" t="n">
        <v>0</v>
      </c>
      <c r="P510" t="n">
        <v>0</v>
      </c>
      <c r="Q510" t="n">
        <v>0</v>
      </c>
      <c r="R510" s="2" t="inlineStr"/>
    </row>
    <row r="511" ht="15" customHeight="1">
      <c r="A511" t="inlineStr">
        <is>
          <t>A 55490-2025</t>
        </is>
      </c>
      <c r="B511" s="1" t="n">
        <v>45971.57659722222</v>
      </c>
      <c r="C511" s="1" t="n">
        <v>45985</v>
      </c>
      <c r="D511" t="inlineStr">
        <is>
          <t>ÖREBRO LÄN</t>
        </is>
      </c>
      <c r="E511" t="inlineStr">
        <is>
          <t>LINDESBERG</t>
        </is>
      </c>
      <c r="G511" t="n">
        <v>1.1</v>
      </c>
      <c r="H511" t="n">
        <v>0</v>
      </c>
      <c r="I511" t="n">
        <v>0</v>
      </c>
      <c r="J511" t="n">
        <v>0</v>
      </c>
      <c r="K511" t="n">
        <v>0</v>
      </c>
      <c r="L511" t="n">
        <v>0</v>
      </c>
      <c r="M511" t="n">
        <v>0</v>
      </c>
      <c r="N511" t="n">
        <v>0</v>
      </c>
      <c r="O511" t="n">
        <v>0</v>
      </c>
      <c r="P511" t="n">
        <v>0</v>
      </c>
      <c r="Q511" t="n">
        <v>0</v>
      </c>
      <c r="R511" s="2" t="inlineStr"/>
    </row>
    <row r="512" ht="15" customHeight="1">
      <c r="A512" t="inlineStr">
        <is>
          <t>A 53189-2023</t>
        </is>
      </c>
      <c r="B512" s="1" t="n">
        <v>45194</v>
      </c>
      <c r="C512" s="1" t="n">
        <v>45985</v>
      </c>
      <c r="D512" t="inlineStr">
        <is>
          <t>ÖREBRO LÄN</t>
        </is>
      </c>
      <c r="E512" t="inlineStr">
        <is>
          <t>LINDESBERG</t>
        </is>
      </c>
      <c r="G512" t="n">
        <v>2</v>
      </c>
      <c r="H512" t="n">
        <v>0</v>
      </c>
      <c r="I512" t="n">
        <v>0</v>
      </c>
      <c r="J512" t="n">
        <v>0</v>
      </c>
      <c r="K512" t="n">
        <v>0</v>
      </c>
      <c r="L512" t="n">
        <v>0</v>
      </c>
      <c r="M512" t="n">
        <v>0</v>
      </c>
      <c r="N512" t="n">
        <v>0</v>
      </c>
      <c r="O512" t="n">
        <v>0</v>
      </c>
      <c r="P512" t="n">
        <v>0</v>
      </c>
      <c r="Q512" t="n">
        <v>0</v>
      </c>
      <c r="R512" s="2" t="inlineStr"/>
    </row>
    <row r="513" ht="15" customHeight="1">
      <c r="A513" t="inlineStr">
        <is>
          <t>A 6001-2021</t>
        </is>
      </c>
      <c r="B513" s="1" t="n">
        <v>44231</v>
      </c>
      <c r="C513" s="1" t="n">
        <v>45985</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60926-2024</t>
        </is>
      </c>
      <c r="B514" s="1" t="n">
        <v>45645</v>
      </c>
      <c r="C514" s="1" t="n">
        <v>45985</v>
      </c>
      <c r="D514" t="inlineStr">
        <is>
          <t>ÖREBRO LÄN</t>
        </is>
      </c>
      <c r="E514" t="inlineStr">
        <is>
          <t>LINDESBERG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55477-2025</t>
        </is>
      </c>
      <c r="B515" s="1" t="n">
        <v>45971.56197916667</v>
      </c>
      <c r="C515" s="1" t="n">
        <v>45985</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45173-2024</t>
        </is>
      </c>
      <c r="B516" s="1" t="n">
        <v>45575.65721064815</v>
      </c>
      <c r="C516" s="1" t="n">
        <v>45985</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14231-2023</t>
        </is>
      </c>
      <c r="B517" s="1" t="n">
        <v>45009.64217592592</v>
      </c>
      <c r="C517" s="1" t="n">
        <v>45985</v>
      </c>
      <c r="D517" t="inlineStr">
        <is>
          <t>ÖREBRO LÄN</t>
        </is>
      </c>
      <c r="E517" t="inlineStr">
        <is>
          <t>LINDESBERG</t>
        </is>
      </c>
      <c r="G517" t="n">
        <v>4.3</v>
      </c>
      <c r="H517" t="n">
        <v>0</v>
      </c>
      <c r="I517" t="n">
        <v>0</v>
      </c>
      <c r="J517" t="n">
        <v>0</v>
      </c>
      <c r="K517" t="n">
        <v>0</v>
      </c>
      <c r="L517" t="n">
        <v>0</v>
      </c>
      <c r="M517" t="n">
        <v>0</v>
      </c>
      <c r="N517" t="n">
        <v>0</v>
      </c>
      <c r="O517" t="n">
        <v>0</v>
      </c>
      <c r="P517" t="n">
        <v>0</v>
      </c>
      <c r="Q517" t="n">
        <v>0</v>
      </c>
      <c r="R517" s="2" t="inlineStr"/>
    </row>
    <row r="518" ht="15" customHeight="1">
      <c r="A518" t="inlineStr">
        <is>
          <t>A 62608-2021</t>
        </is>
      </c>
      <c r="B518" s="1" t="n">
        <v>44503</v>
      </c>
      <c r="C518" s="1" t="n">
        <v>45985</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45985</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36253-2024</t>
        </is>
      </c>
      <c r="B520" s="1" t="n">
        <v>45534.54032407407</v>
      </c>
      <c r="C520" s="1" t="n">
        <v>45985</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30512-2025</t>
        </is>
      </c>
      <c r="B521" s="1" t="n">
        <v>45831</v>
      </c>
      <c r="C521" s="1" t="n">
        <v>45985</v>
      </c>
      <c r="D521" t="inlineStr">
        <is>
          <t>ÖREBRO LÄN</t>
        </is>
      </c>
      <c r="E521" t="inlineStr">
        <is>
          <t>LINDESBERG</t>
        </is>
      </c>
      <c r="G521" t="n">
        <v>4.5</v>
      </c>
      <c r="H521" t="n">
        <v>0</v>
      </c>
      <c r="I521" t="n">
        <v>0</v>
      </c>
      <c r="J521" t="n">
        <v>0</v>
      </c>
      <c r="K521" t="n">
        <v>0</v>
      </c>
      <c r="L521" t="n">
        <v>0</v>
      </c>
      <c r="M521" t="n">
        <v>0</v>
      </c>
      <c r="N521" t="n">
        <v>0</v>
      </c>
      <c r="O521" t="n">
        <v>0</v>
      </c>
      <c r="P521" t="n">
        <v>0</v>
      </c>
      <c r="Q521" t="n">
        <v>0</v>
      </c>
      <c r="R521" s="2" t="inlineStr"/>
    </row>
    <row r="522" ht="15" customHeight="1">
      <c r="A522" t="inlineStr">
        <is>
          <t>A 35140-2023</t>
        </is>
      </c>
      <c r="B522" s="1" t="n">
        <v>45145</v>
      </c>
      <c r="C522" s="1" t="n">
        <v>45985</v>
      </c>
      <c r="D522" t="inlineStr">
        <is>
          <t>ÖREBRO LÄN</t>
        </is>
      </c>
      <c r="E522" t="inlineStr">
        <is>
          <t>LINDESBERG</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37616-2023</t>
        </is>
      </c>
      <c r="B523" s="1" t="n">
        <v>45159.44525462963</v>
      </c>
      <c r="C523" s="1" t="n">
        <v>45985</v>
      </c>
      <c r="D523" t="inlineStr">
        <is>
          <t>ÖREBRO LÄN</t>
        </is>
      </c>
      <c r="E523" t="inlineStr">
        <is>
          <t>LINDESBERG</t>
        </is>
      </c>
      <c r="G523" t="n">
        <v>5.3</v>
      </c>
      <c r="H523" t="n">
        <v>0</v>
      </c>
      <c r="I523" t="n">
        <v>0</v>
      </c>
      <c r="J523" t="n">
        <v>0</v>
      </c>
      <c r="K523" t="n">
        <v>0</v>
      </c>
      <c r="L523" t="n">
        <v>0</v>
      </c>
      <c r="M523" t="n">
        <v>0</v>
      </c>
      <c r="N523" t="n">
        <v>0</v>
      </c>
      <c r="O523" t="n">
        <v>0</v>
      </c>
      <c r="P523" t="n">
        <v>0</v>
      </c>
      <c r="Q523" t="n">
        <v>0</v>
      </c>
      <c r="R523" s="2" t="inlineStr"/>
    </row>
    <row r="524" ht="15" customHeight="1">
      <c r="A524" t="inlineStr">
        <is>
          <t>A 36572-2025</t>
        </is>
      </c>
      <c r="B524" s="1" t="n">
        <v>45870</v>
      </c>
      <c r="C524" s="1" t="n">
        <v>45985</v>
      </c>
      <c r="D524" t="inlineStr">
        <is>
          <t>ÖREBRO LÄN</t>
        </is>
      </c>
      <c r="E524" t="inlineStr">
        <is>
          <t>LINDESBERG</t>
        </is>
      </c>
      <c r="G524" t="n">
        <v>11.9</v>
      </c>
      <c r="H524" t="n">
        <v>0</v>
      </c>
      <c r="I524" t="n">
        <v>0</v>
      </c>
      <c r="J524" t="n">
        <v>0</v>
      </c>
      <c r="K524" t="n">
        <v>0</v>
      </c>
      <c r="L524" t="n">
        <v>0</v>
      </c>
      <c r="M524" t="n">
        <v>0</v>
      </c>
      <c r="N524" t="n">
        <v>0</v>
      </c>
      <c r="O524" t="n">
        <v>0</v>
      </c>
      <c r="P524" t="n">
        <v>0</v>
      </c>
      <c r="Q524" t="n">
        <v>0</v>
      </c>
      <c r="R524" s="2" t="inlineStr"/>
    </row>
    <row r="525" ht="15" customHeight="1">
      <c r="A525" t="inlineStr">
        <is>
          <t>A 36577-2025</t>
        </is>
      </c>
      <c r="B525" s="1" t="n">
        <v>45870</v>
      </c>
      <c r="C525" s="1" t="n">
        <v>45985</v>
      </c>
      <c r="D525" t="inlineStr">
        <is>
          <t>ÖREBRO LÄN</t>
        </is>
      </c>
      <c r="E525" t="inlineStr">
        <is>
          <t>LINDESBERG</t>
        </is>
      </c>
      <c r="G525" t="n">
        <v>3.7</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45985</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36579-2025</t>
        </is>
      </c>
      <c r="B527" s="1" t="n">
        <v>45870</v>
      </c>
      <c r="C527" s="1" t="n">
        <v>45985</v>
      </c>
      <c r="D527" t="inlineStr">
        <is>
          <t>ÖREBRO LÄN</t>
        </is>
      </c>
      <c r="E527" t="inlineStr">
        <is>
          <t>LINDESBERG</t>
        </is>
      </c>
      <c r="G527" t="n">
        <v>6</v>
      </c>
      <c r="H527" t="n">
        <v>0</v>
      </c>
      <c r="I527" t="n">
        <v>0</v>
      </c>
      <c r="J527" t="n">
        <v>0</v>
      </c>
      <c r="K527" t="n">
        <v>0</v>
      </c>
      <c r="L527" t="n">
        <v>0</v>
      </c>
      <c r="M527" t="n">
        <v>0</v>
      </c>
      <c r="N527" t="n">
        <v>0</v>
      </c>
      <c r="O527" t="n">
        <v>0</v>
      </c>
      <c r="P527" t="n">
        <v>0</v>
      </c>
      <c r="Q527" t="n">
        <v>0</v>
      </c>
      <c r="R527" s="2" t="inlineStr"/>
    </row>
    <row r="528" ht="15" customHeight="1">
      <c r="A528" t="inlineStr">
        <is>
          <t>A 29938-2024</t>
        </is>
      </c>
      <c r="B528" s="1" t="n">
        <v>45488.41480324074</v>
      </c>
      <c r="C528" s="1" t="n">
        <v>45985</v>
      </c>
      <c r="D528" t="inlineStr">
        <is>
          <t>ÖREBRO LÄN</t>
        </is>
      </c>
      <c r="E528" t="inlineStr">
        <is>
          <t>LINDESBERG</t>
        </is>
      </c>
      <c r="G528" t="n">
        <v>4</v>
      </c>
      <c r="H528" t="n">
        <v>0</v>
      </c>
      <c r="I528" t="n">
        <v>0</v>
      </c>
      <c r="J528" t="n">
        <v>0</v>
      </c>
      <c r="K528" t="n">
        <v>0</v>
      </c>
      <c r="L528" t="n">
        <v>0</v>
      </c>
      <c r="M528" t="n">
        <v>0</v>
      </c>
      <c r="N528" t="n">
        <v>0</v>
      </c>
      <c r="O528" t="n">
        <v>0</v>
      </c>
      <c r="P528" t="n">
        <v>0</v>
      </c>
      <c r="Q528" t="n">
        <v>0</v>
      </c>
      <c r="R528" s="2" t="inlineStr"/>
    </row>
    <row r="529" ht="15" customHeight="1">
      <c r="A529" t="inlineStr">
        <is>
          <t>A 24030-2023</t>
        </is>
      </c>
      <c r="B529" s="1" t="n">
        <v>45078.82620370371</v>
      </c>
      <c r="C529" s="1" t="n">
        <v>45985</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56306-2025</t>
        </is>
      </c>
      <c r="B530" s="1" t="n">
        <v>45974.61217592593</v>
      </c>
      <c r="C530" s="1" t="n">
        <v>45985</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45538.34193287037</v>
      </c>
      <c r="C531" s="1" t="n">
        <v>45985</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56308-2025</t>
        </is>
      </c>
      <c r="B532" s="1" t="n">
        <v>45974.61344907407</v>
      </c>
      <c r="C532" s="1" t="n">
        <v>45985</v>
      </c>
      <c r="D532" t="inlineStr">
        <is>
          <t>ÖREBRO LÄN</t>
        </is>
      </c>
      <c r="E532" t="inlineStr">
        <is>
          <t>LINDESBERG</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32097-2024</t>
        </is>
      </c>
      <c r="B533" s="1" t="n">
        <v>45511.39445601852</v>
      </c>
      <c r="C533" s="1" t="n">
        <v>45985</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32099-2024</t>
        </is>
      </c>
      <c r="B534" s="1" t="n">
        <v>45511.40297453704</v>
      </c>
      <c r="C534" s="1" t="n">
        <v>45985</v>
      </c>
      <c r="D534" t="inlineStr">
        <is>
          <t>ÖREBRO LÄN</t>
        </is>
      </c>
      <c r="E534" t="inlineStr">
        <is>
          <t>LINDESBERG</t>
        </is>
      </c>
      <c r="G534" t="n">
        <v>2.3</v>
      </c>
      <c r="H534" t="n">
        <v>0</v>
      </c>
      <c r="I534" t="n">
        <v>0</v>
      </c>
      <c r="J534" t="n">
        <v>0</v>
      </c>
      <c r="K534" t="n">
        <v>0</v>
      </c>
      <c r="L534" t="n">
        <v>0</v>
      </c>
      <c r="M534" t="n">
        <v>0</v>
      </c>
      <c r="N534" t="n">
        <v>0</v>
      </c>
      <c r="O534" t="n">
        <v>0</v>
      </c>
      <c r="P534" t="n">
        <v>0</v>
      </c>
      <c r="Q534" t="n">
        <v>0</v>
      </c>
      <c r="R534" s="2" t="inlineStr"/>
    </row>
    <row r="535" ht="15" customHeight="1">
      <c r="A535" t="inlineStr">
        <is>
          <t>A 61360-2024</t>
        </is>
      </c>
      <c r="B535" s="1" t="n">
        <v>45646</v>
      </c>
      <c r="C535" s="1" t="n">
        <v>45985</v>
      </c>
      <c r="D535" t="inlineStr">
        <is>
          <t>ÖREBRO LÄN</t>
        </is>
      </c>
      <c r="E535" t="inlineStr">
        <is>
          <t>LINDESBERG</t>
        </is>
      </c>
      <c r="F535" t="inlineStr">
        <is>
          <t>Sveaskog</t>
        </is>
      </c>
      <c r="G535" t="n">
        <v>6.5</v>
      </c>
      <c r="H535" t="n">
        <v>0</v>
      </c>
      <c r="I535" t="n">
        <v>0</v>
      </c>
      <c r="J535" t="n">
        <v>0</v>
      </c>
      <c r="K535" t="n">
        <v>0</v>
      </c>
      <c r="L535" t="n">
        <v>0</v>
      </c>
      <c r="M535" t="n">
        <v>0</v>
      </c>
      <c r="N535" t="n">
        <v>0</v>
      </c>
      <c r="O535" t="n">
        <v>0</v>
      </c>
      <c r="P535" t="n">
        <v>0</v>
      </c>
      <c r="Q535" t="n">
        <v>0</v>
      </c>
      <c r="R535" s="2" t="inlineStr"/>
    </row>
    <row r="536" ht="15" customHeight="1">
      <c r="A536" t="inlineStr">
        <is>
          <t>A 3803-2023</t>
        </is>
      </c>
      <c r="B536" s="1" t="n">
        <v>44951.5830324074</v>
      </c>
      <c r="C536" s="1" t="n">
        <v>45985</v>
      </c>
      <c r="D536" t="inlineStr">
        <is>
          <t>ÖREBRO LÄN</t>
        </is>
      </c>
      <c r="E536" t="inlineStr">
        <is>
          <t>LINDESBERG</t>
        </is>
      </c>
      <c r="G536" t="n">
        <v>0.9</v>
      </c>
      <c r="H536" t="n">
        <v>0</v>
      </c>
      <c r="I536" t="n">
        <v>0</v>
      </c>
      <c r="J536" t="n">
        <v>0</v>
      </c>
      <c r="K536" t="n">
        <v>0</v>
      </c>
      <c r="L536" t="n">
        <v>0</v>
      </c>
      <c r="M536" t="n">
        <v>0</v>
      </c>
      <c r="N536" t="n">
        <v>0</v>
      </c>
      <c r="O536" t="n">
        <v>0</v>
      </c>
      <c r="P536" t="n">
        <v>0</v>
      </c>
      <c r="Q536" t="n">
        <v>0</v>
      </c>
      <c r="R536" s="2" t="inlineStr"/>
    </row>
    <row r="537" ht="15" customHeight="1">
      <c r="A537" t="inlineStr">
        <is>
          <t>A 60200-2024</t>
        </is>
      </c>
      <c r="B537" s="1" t="n">
        <v>45642.66184027777</v>
      </c>
      <c r="C537" s="1" t="n">
        <v>45985</v>
      </c>
      <c r="D537" t="inlineStr">
        <is>
          <t>ÖREBRO LÄN</t>
        </is>
      </c>
      <c r="E537" t="inlineStr">
        <is>
          <t>LINDESBERG</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56232-2025</t>
        </is>
      </c>
      <c r="B538" s="1" t="n">
        <v>45974.53239583333</v>
      </c>
      <c r="C538" s="1" t="n">
        <v>45985</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45985</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25229-2021</t>
        </is>
      </c>
      <c r="B540" s="1" t="n">
        <v>44342.39703703704</v>
      </c>
      <c r="C540" s="1" t="n">
        <v>45985</v>
      </c>
      <c r="D540" t="inlineStr">
        <is>
          <t>ÖREBRO LÄN</t>
        </is>
      </c>
      <c r="E540" t="inlineStr">
        <is>
          <t>LINDESBERG</t>
        </is>
      </c>
      <c r="F540" t="inlineStr">
        <is>
          <t>Kyrkan</t>
        </is>
      </c>
      <c r="G540" t="n">
        <v>1.5</v>
      </c>
      <c r="H540" t="n">
        <v>0</v>
      </c>
      <c r="I540" t="n">
        <v>0</v>
      </c>
      <c r="J540" t="n">
        <v>0</v>
      </c>
      <c r="K540" t="n">
        <v>0</v>
      </c>
      <c r="L540" t="n">
        <v>0</v>
      </c>
      <c r="M540" t="n">
        <v>0</v>
      </c>
      <c r="N540" t="n">
        <v>0</v>
      </c>
      <c r="O540" t="n">
        <v>0</v>
      </c>
      <c r="P540" t="n">
        <v>0</v>
      </c>
      <c r="Q540" t="n">
        <v>0</v>
      </c>
      <c r="R540" s="2" t="inlineStr"/>
    </row>
    <row r="541" ht="15" customHeight="1">
      <c r="A541" t="inlineStr">
        <is>
          <t>A 48061-2025</t>
        </is>
      </c>
      <c r="B541" s="1" t="n">
        <v>45932.68006944445</v>
      </c>
      <c r="C541" s="1" t="n">
        <v>45985</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34093-2022</t>
        </is>
      </c>
      <c r="B542" s="1" t="n">
        <v>44791</v>
      </c>
      <c r="C542" s="1" t="n">
        <v>45985</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47678-2025</t>
        </is>
      </c>
      <c r="B543" s="1" t="n">
        <v>45931.57967592592</v>
      </c>
      <c r="C543" s="1" t="n">
        <v>45985</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37301-2025</t>
        </is>
      </c>
      <c r="B544" s="1" t="n">
        <v>45876.59166666667</v>
      </c>
      <c r="C544" s="1" t="n">
        <v>45985</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56226-2025</t>
        </is>
      </c>
      <c r="B545" s="1" t="n">
        <v>45974.51283564815</v>
      </c>
      <c r="C545" s="1" t="n">
        <v>45985</v>
      </c>
      <c r="D545" t="inlineStr">
        <is>
          <t>ÖREBRO LÄN</t>
        </is>
      </c>
      <c r="E545" t="inlineStr">
        <is>
          <t>LINDESBERG</t>
        </is>
      </c>
      <c r="G545" t="n">
        <v>1.8</v>
      </c>
      <c r="H545" t="n">
        <v>0</v>
      </c>
      <c r="I545" t="n">
        <v>0</v>
      </c>
      <c r="J545" t="n">
        <v>0</v>
      </c>
      <c r="K545" t="n">
        <v>0</v>
      </c>
      <c r="L545" t="n">
        <v>0</v>
      </c>
      <c r="M545" t="n">
        <v>0</v>
      </c>
      <c r="N545" t="n">
        <v>0</v>
      </c>
      <c r="O545" t="n">
        <v>0</v>
      </c>
      <c r="P545" t="n">
        <v>0</v>
      </c>
      <c r="Q545" t="n">
        <v>0</v>
      </c>
      <c r="R545" s="2" t="inlineStr"/>
    </row>
    <row r="546" ht="15" customHeight="1">
      <c r="A546" t="inlineStr">
        <is>
          <t>A 62770-2020</t>
        </is>
      </c>
      <c r="B546" s="1" t="n">
        <v>44161</v>
      </c>
      <c r="C546" s="1" t="n">
        <v>45985</v>
      </c>
      <c r="D546" t="inlineStr">
        <is>
          <t>ÖREBRO LÄN</t>
        </is>
      </c>
      <c r="E546" t="inlineStr">
        <is>
          <t>LINDESBERG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37500-2025</t>
        </is>
      </c>
      <c r="B547" s="1" t="n">
        <v>45877.64776620371</v>
      </c>
      <c r="C547" s="1" t="n">
        <v>45985</v>
      </c>
      <c r="D547" t="inlineStr">
        <is>
          <t>ÖREBRO LÄN</t>
        </is>
      </c>
      <c r="E547" t="inlineStr">
        <is>
          <t>LINDESBERG</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37503-2025</t>
        </is>
      </c>
      <c r="B548" s="1" t="n">
        <v>45877.65075231482</v>
      </c>
      <c r="C548" s="1" t="n">
        <v>45985</v>
      </c>
      <c r="D548" t="inlineStr">
        <is>
          <t>ÖREBRO LÄN</t>
        </is>
      </c>
      <c r="E548" t="inlineStr">
        <is>
          <t>LINDESBERG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58697-2024</t>
        </is>
      </c>
      <c r="B549" s="1" t="n">
        <v>45635.63706018519</v>
      </c>
      <c r="C549" s="1" t="n">
        <v>45985</v>
      </c>
      <c r="D549" t="inlineStr">
        <is>
          <t>ÖREBRO LÄN</t>
        </is>
      </c>
      <c r="E549" t="inlineStr">
        <is>
          <t>LINDESBERG</t>
        </is>
      </c>
      <c r="G549" t="n">
        <v>25.1</v>
      </c>
      <c r="H549" t="n">
        <v>0</v>
      </c>
      <c r="I549" t="n">
        <v>0</v>
      </c>
      <c r="J549" t="n">
        <v>0</v>
      </c>
      <c r="K549" t="n">
        <v>0</v>
      </c>
      <c r="L549" t="n">
        <v>0</v>
      </c>
      <c r="M549" t="n">
        <v>0</v>
      </c>
      <c r="N549" t="n">
        <v>0</v>
      </c>
      <c r="O549" t="n">
        <v>0</v>
      </c>
      <c r="P549" t="n">
        <v>0</v>
      </c>
      <c r="Q549" t="n">
        <v>0</v>
      </c>
      <c r="R549" s="2" t="inlineStr"/>
    </row>
    <row r="550" ht="15" customHeight="1">
      <c r="A550" t="inlineStr">
        <is>
          <t>A 37501-2025</t>
        </is>
      </c>
      <c r="B550" s="1" t="n">
        <v>45877.64847222222</v>
      </c>
      <c r="C550" s="1" t="n">
        <v>45985</v>
      </c>
      <c r="D550" t="inlineStr">
        <is>
          <t>ÖREBRO LÄN</t>
        </is>
      </c>
      <c r="E550" t="inlineStr">
        <is>
          <t>LINDESBERG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45985</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47676-2025</t>
        </is>
      </c>
      <c r="B552" s="1" t="n">
        <v>45931.57756944445</v>
      </c>
      <c r="C552" s="1" t="n">
        <v>45985</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48489-2025</t>
        </is>
      </c>
      <c r="B553" s="1" t="n">
        <v>45936.36637731481</v>
      </c>
      <c r="C553" s="1" t="n">
        <v>45985</v>
      </c>
      <c r="D553" t="inlineStr">
        <is>
          <t>ÖREBRO LÄN</t>
        </is>
      </c>
      <c r="E553" t="inlineStr">
        <is>
          <t>LINDESBERG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37491-2025</t>
        </is>
      </c>
      <c r="B554" s="1" t="n">
        <v>45877.64144675926</v>
      </c>
      <c r="C554" s="1" t="n">
        <v>45985</v>
      </c>
      <c r="D554" t="inlineStr">
        <is>
          <t>ÖREBRO LÄN</t>
        </is>
      </c>
      <c r="E554" t="inlineStr">
        <is>
          <t>LINDESBERG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37499-2025</t>
        </is>
      </c>
      <c r="B555" s="1" t="n">
        <v>45877.64605324074</v>
      </c>
      <c r="C555" s="1" t="n">
        <v>45985</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37602-2025</t>
        </is>
      </c>
      <c r="B556" s="1" t="n">
        <v>45880</v>
      </c>
      <c r="C556" s="1" t="n">
        <v>45985</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37625-2025</t>
        </is>
      </c>
      <c r="B557" s="1" t="n">
        <v>45880.46056712963</v>
      </c>
      <c r="C557" s="1" t="n">
        <v>45985</v>
      </c>
      <c r="D557" t="inlineStr">
        <is>
          <t>ÖREBRO LÄN</t>
        </is>
      </c>
      <c r="E557" t="inlineStr">
        <is>
          <t>LINDESBERG</t>
        </is>
      </c>
      <c r="G557" t="n">
        <v>12.5</v>
      </c>
      <c r="H557" t="n">
        <v>0</v>
      </c>
      <c r="I557" t="n">
        <v>0</v>
      </c>
      <c r="J557" t="n">
        <v>0</v>
      </c>
      <c r="K557" t="n">
        <v>0</v>
      </c>
      <c r="L557" t="n">
        <v>0</v>
      </c>
      <c r="M557" t="n">
        <v>0</v>
      </c>
      <c r="N557" t="n">
        <v>0</v>
      </c>
      <c r="O557" t="n">
        <v>0</v>
      </c>
      <c r="P557" t="n">
        <v>0</v>
      </c>
      <c r="Q557" t="n">
        <v>0</v>
      </c>
      <c r="R557" s="2" t="inlineStr"/>
    </row>
    <row r="558" ht="15" customHeight="1">
      <c r="A558" t="inlineStr">
        <is>
          <t>A 37553-2025</t>
        </is>
      </c>
      <c r="B558" s="1" t="n">
        <v>45880.3172337963</v>
      </c>
      <c r="C558" s="1" t="n">
        <v>45985</v>
      </c>
      <c r="D558" t="inlineStr">
        <is>
          <t>ÖREBRO LÄN</t>
        </is>
      </c>
      <c r="E558" t="inlineStr">
        <is>
          <t>LINDESBERG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37497-2025</t>
        </is>
      </c>
      <c r="B559" s="1" t="n">
        <v>45877.64431712963</v>
      </c>
      <c r="C559" s="1" t="n">
        <v>45985</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45985</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17115-2025</t>
        </is>
      </c>
      <c r="B561" s="1" t="n">
        <v>45755.68247685185</v>
      </c>
      <c r="C561" s="1" t="n">
        <v>45985</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16054-2022</t>
        </is>
      </c>
      <c r="B562" s="1" t="n">
        <v>44665</v>
      </c>
      <c r="C562" s="1" t="n">
        <v>45985</v>
      </c>
      <c r="D562" t="inlineStr">
        <is>
          <t>ÖREBRO LÄN</t>
        </is>
      </c>
      <c r="E562" t="inlineStr">
        <is>
          <t>LINDESBERG</t>
        </is>
      </c>
      <c r="G562" t="n">
        <v>6.9</v>
      </c>
      <c r="H562" t="n">
        <v>0</v>
      </c>
      <c r="I562" t="n">
        <v>0</v>
      </c>
      <c r="J562" t="n">
        <v>0</v>
      </c>
      <c r="K562" t="n">
        <v>0</v>
      </c>
      <c r="L562" t="n">
        <v>0</v>
      </c>
      <c r="M562" t="n">
        <v>0</v>
      </c>
      <c r="N562" t="n">
        <v>0</v>
      </c>
      <c r="O562" t="n">
        <v>0</v>
      </c>
      <c r="P562" t="n">
        <v>0</v>
      </c>
      <c r="Q562" t="n">
        <v>0</v>
      </c>
      <c r="R562" s="2" t="inlineStr"/>
    </row>
    <row r="563" ht="15" customHeight="1">
      <c r="A563" t="inlineStr">
        <is>
          <t>A 36136-2023</t>
        </is>
      </c>
      <c r="B563" s="1" t="n">
        <v>45149</v>
      </c>
      <c r="C563" s="1" t="n">
        <v>45985</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37490-2025</t>
        </is>
      </c>
      <c r="B564" s="1" t="n">
        <v>45877.63989583333</v>
      </c>
      <c r="C564" s="1" t="n">
        <v>45985</v>
      </c>
      <c r="D564" t="inlineStr">
        <is>
          <t>ÖREBRO LÄN</t>
        </is>
      </c>
      <c r="E564" t="inlineStr">
        <is>
          <t>LINDESBERG</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13573-2025</t>
        </is>
      </c>
      <c r="B565" s="1" t="n">
        <v>45736</v>
      </c>
      <c r="C565" s="1" t="n">
        <v>45985</v>
      </c>
      <c r="D565" t="inlineStr">
        <is>
          <t>ÖREBRO LÄN</t>
        </is>
      </c>
      <c r="E565" t="inlineStr">
        <is>
          <t>LINDESBERG</t>
        </is>
      </c>
      <c r="G565" t="n">
        <v>11.7</v>
      </c>
      <c r="H565" t="n">
        <v>0</v>
      </c>
      <c r="I565" t="n">
        <v>0</v>
      </c>
      <c r="J565" t="n">
        <v>0</v>
      </c>
      <c r="K565" t="n">
        <v>0</v>
      </c>
      <c r="L565" t="n">
        <v>0</v>
      </c>
      <c r="M565" t="n">
        <v>0</v>
      </c>
      <c r="N565" t="n">
        <v>0</v>
      </c>
      <c r="O565" t="n">
        <v>0</v>
      </c>
      <c r="P565" t="n">
        <v>0</v>
      </c>
      <c r="Q565" t="n">
        <v>0</v>
      </c>
      <c r="R565" s="2" t="inlineStr"/>
    </row>
    <row r="566" ht="15" customHeight="1">
      <c r="A566" t="inlineStr">
        <is>
          <t>A 61601-2024</t>
        </is>
      </c>
      <c r="B566" s="1" t="n">
        <v>45646.63839120371</v>
      </c>
      <c r="C566" s="1" t="n">
        <v>45985</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48750-2025</t>
        </is>
      </c>
      <c r="B567" s="1" t="n">
        <v>45936.68452546297</v>
      </c>
      <c r="C567" s="1" t="n">
        <v>45985</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48495-2025</t>
        </is>
      </c>
      <c r="B568" s="1" t="n">
        <v>45936.37237268518</v>
      </c>
      <c r="C568" s="1" t="n">
        <v>45985</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40450-2023</t>
        </is>
      </c>
      <c r="B569" s="1" t="n">
        <v>45170</v>
      </c>
      <c r="C569" s="1" t="n">
        <v>45985</v>
      </c>
      <c r="D569" t="inlineStr">
        <is>
          <t>ÖREBRO LÄN</t>
        </is>
      </c>
      <c r="E569" t="inlineStr">
        <is>
          <t>LINDESBERG</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37935-2025</t>
        </is>
      </c>
      <c r="B570" s="1" t="n">
        <v>45881.59550925926</v>
      </c>
      <c r="C570" s="1" t="n">
        <v>45985</v>
      </c>
      <c r="D570" t="inlineStr">
        <is>
          <t>ÖREBRO LÄN</t>
        </is>
      </c>
      <c r="E570" t="inlineStr">
        <is>
          <t>LINDESBERG</t>
        </is>
      </c>
      <c r="G570" t="n">
        <v>5.1</v>
      </c>
      <c r="H570" t="n">
        <v>0</v>
      </c>
      <c r="I570" t="n">
        <v>0</v>
      </c>
      <c r="J570" t="n">
        <v>0</v>
      </c>
      <c r="K570" t="n">
        <v>0</v>
      </c>
      <c r="L570" t="n">
        <v>0</v>
      </c>
      <c r="M570" t="n">
        <v>0</v>
      </c>
      <c r="N570" t="n">
        <v>0</v>
      </c>
      <c r="O570" t="n">
        <v>0</v>
      </c>
      <c r="P570" t="n">
        <v>0</v>
      </c>
      <c r="Q570" t="n">
        <v>0</v>
      </c>
      <c r="R570" s="2" t="inlineStr"/>
    </row>
    <row r="571" ht="15" customHeight="1">
      <c r="A571" t="inlineStr">
        <is>
          <t>A 48618-2025</t>
        </is>
      </c>
      <c r="B571" s="1" t="n">
        <v>45936.49026620371</v>
      </c>
      <c r="C571" s="1" t="n">
        <v>45985</v>
      </c>
      <c r="D571" t="inlineStr">
        <is>
          <t>ÖREBRO LÄN</t>
        </is>
      </c>
      <c r="E571" t="inlineStr">
        <is>
          <t>LINDESBERG</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22824-2023</t>
        </is>
      </c>
      <c r="B572" s="1" t="n">
        <v>45072</v>
      </c>
      <c r="C572" s="1" t="n">
        <v>45985</v>
      </c>
      <c r="D572" t="inlineStr">
        <is>
          <t>ÖREBRO LÄN</t>
        </is>
      </c>
      <c r="E572" t="inlineStr">
        <is>
          <t>LINDESBERG</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48497-2025</t>
        </is>
      </c>
      <c r="B573" s="1" t="n">
        <v>45936.37523148148</v>
      </c>
      <c r="C573" s="1" t="n">
        <v>45985</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37837-2025</t>
        </is>
      </c>
      <c r="B574" s="1" t="n">
        <v>45881.42791666667</v>
      </c>
      <c r="C574" s="1" t="n">
        <v>45985</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53721-2025</t>
        </is>
      </c>
      <c r="B575" s="1" t="n">
        <v>45960</v>
      </c>
      <c r="C575" s="1" t="n">
        <v>45985</v>
      </c>
      <c r="D575" t="inlineStr">
        <is>
          <t>ÖREBRO LÄN</t>
        </is>
      </c>
      <c r="E575" t="inlineStr">
        <is>
          <t>LINDESBERG</t>
        </is>
      </c>
      <c r="G575" t="n">
        <v>3.3</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45985</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56982-2025</t>
        </is>
      </c>
      <c r="B577" s="1" t="n">
        <v>45978.71075231482</v>
      </c>
      <c r="C577" s="1" t="n">
        <v>45985</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34237-2023</t>
        </is>
      </c>
      <c r="B578" s="1" t="n">
        <v>45138</v>
      </c>
      <c r="C578" s="1" t="n">
        <v>45985</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32994-2023</t>
        </is>
      </c>
      <c r="B579" s="1" t="n">
        <v>45113</v>
      </c>
      <c r="C579" s="1" t="n">
        <v>45985</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38509-2025</t>
        </is>
      </c>
      <c r="B580" s="1" t="n">
        <v>45884.38858796296</v>
      </c>
      <c r="C580" s="1" t="n">
        <v>45985</v>
      </c>
      <c r="D580" t="inlineStr">
        <is>
          <t>ÖREBRO LÄN</t>
        </is>
      </c>
      <c r="E580" t="inlineStr">
        <is>
          <t>LINDESBERG</t>
        </is>
      </c>
      <c r="G580" t="n">
        <v>14.9</v>
      </c>
      <c r="H580" t="n">
        <v>0</v>
      </c>
      <c r="I580" t="n">
        <v>0</v>
      </c>
      <c r="J580" t="n">
        <v>0</v>
      </c>
      <c r="K580" t="n">
        <v>0</v>
      </c>
      <c r="L580" t="n">
        <v>0</v>
      </c>
      <c r="M580" t="n">
        <v>0</v>
      </c>
      <c r="N580" t="n">
        <v>0</v>
      </c>
      <c r="O580" t="n">
        <v>0</v>
      </c>
      <c r="P580" t="n">
        <v>0</v>
      </c>
      <c r="Q580" t="n">
        <v>0</v>
      </c>
      <c r="R580" s="2" t="inlineStr"/>
    </row>
    <row r="581" ht="15" customHeight="1">
      <c r="A581" t="inlineStr">
        <is>
          <t>A 36170-2021</t>
        </is>
      </c>
      <c r="B581" s="1" t="n">
        <v>44389</v>
      </c>
      <c r="C581" s="1" t="n">
        <v>45985</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10822-2023</t>
        </is>
      </c>
      <c r="B582" s="1" t="n">
        <v>44990</v>
      </c>
      <c r="C582" s="1" t="n">
        <v>45985</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48620-2025</t>
        </is>
      </c>
      <c r="B583" s="1" t="n">
        <v>45936.49210648148</v>
      </c>
      <c r="C583" s="1" t="n">
        <v>45985</v>
      </c>
      <c r="D583" t="inlineStr">
        <is>
          <t>ÖREBRO LÄN</t>
        </is>
      </c>
      <c r="E583" t="inlineStr">
        <is>
          <t>LINDESBERG</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57313-2025</t>
        </is>
      </c>
      <c r="B584" s="1" t="n">
        <v>45979.97458333334</v>
      </c>
      <c r="C584" s="1" t="n">
        <v>45985</v>
      </c>
      <c r="D584" t="inlineStr">
        <is>
          <t>ÖREBRO LÄN</t>
        </is>
      </c>
      <c r="E584" t="inlineStr">
        <is>
          <t>LINDESBERG</t>
        </is>
      </c>
      <c r="F584" t="inlineStr">
        <is>
          <t>Sveaskog</t>
        </is>
      </c>
      <c r="G584" t="n">
        <v>9.1</v>
      </c>
      <c r="H584" t="n">
        <v>0</v>
      </c>
      <c r="I584" t="n">
        <v>0</v>
      </c>
      <c r="J584" t="n">
        <v>0</v>
      </c>
      <c r="K584" t="n">
        <v>0</v>
      </c>
      <c r="L584" t="n">
        <v>0</v>
      </c>
      <c r="M584" t="n">
        <v>0</v>
      </c>
      <c r="N584" t="n">
        <v>0</v>
      </c>
      <c r="O584" t="n">
        <v>0</v>
      </c>
      <c r="P584" t="n">
        <v>0</v>
      </c>
      <c r="Q584" t="n">
        <v>0</v>
      </c>
      <c r="R584" s="2" t="inlineStr"/>
    </row>
    <row r="585" ht="15" customHeight="1">
      <c r="A585" t="inlineStr">
        <is>
          <t>A 57314-2025</t>
        </is>
      </c>
      <c r="B585" s="1" t="n">
        <v>45980.00710648148</v>
      </c>
      <c r="C585" s="1" t="n">
        <v>45985</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45985</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57317-2025</t>
        </is>
      </c>
      <c r="B587" s="1" t="n">
        <v>45980.01226851852</v>
      </c>
      <c r="C587" s="1" t="n">
        <v>45985</v>
      </c>
      <c r="D587" t="inlineStr">
        <is>
          <t>ÖREBRO LÄN</t>
        </is>
      </c>
      <c r="E587" t="inlineStr">
        <is>
          <t>LINDESBERG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48953-2025</t>
        </is>
      </c>
      <c r="B588" s="1" t="n">
        <v>45937.54697916667</v>
      </c>
      <c r="C588" s="1" t="n">
        <v>45985</v>
      </c>
      <c r="D588" t="inlineStr">
        <is>
          <t>ÖREBRO LÄN</t>
        </is>
      </c>
      <c r="E588" t="inlineStr">
        <is>
          <t>LINDESBERG</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48971-2025</t>
        </is>
      </c>
      <c r="B589" s="1" t="n">
        <v>45937.56420138889</v>
      </c>
      <c r="C589" s="1" t="n">
        <v>45985</v>
      </c>
      <c r="D589" t="inlineStr">
        <is>
          <t>ÖREBRO LÄN</t>
        </is>
      </c>
      <c r="E589" t="inlineStr">
        <is>
          <t>LINDESBERG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48975-2025</t>
        </is>
      </c>
      <c r="B590" s="1" t="n">
        <v>45937.56798611111</v>
      </c>
      <c r="C590" s="1" t="n">
        <v>45985</v>
      </c>
      <c r="D590" t="inlineStr">
        <is>
          <t>ÖREBRO LÄN</t>
        </is>
      </c>
      <c r="E590" t="inlineStr">
        <is>
          <t>LINDESBERG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48993-2025</t>
        </is>
      </c>
      <c r="B591" s="1" t="n">
        <v>45937.58590277778</v>
      </c>
      <c r="C591" s="1" t="n">
        <v>45985</v>
      </c>
      <c r="D591" t="inlineStr">
        <is>
          <t>ÖREBRO LÄN</t>
        </is>
      </c>
      <c r="E591" t="inlineStr">
        <is>
          <t>LINDESBERG</t>
        </is>
      </c>
      <c r="F591" t="inlineStr">
        <is>
          <t>Kyrkan</t>
        </is>
      </c>
      <c r="G591" t="n">
        <v>4</v>
      </c>
      <c r="H591" t="n">
        <v>0</v>
      </c>
      <c r="I591" t="n">
        <v>0</v>
      </c>
      <c r="J591" t="n">
        <v>0</v>
      </c>
      <c r="K591" t="n">
        <v>0</v>
      </c>
      <c r="L591" t="n">
        <v>0</v>
      </c>
      <c r="M591" t="n">
        <v>0</v>
      </c>
      <c r="N591" t="n">
        <v>0</v>
      </c>
      <c r="O591" t="n">
        <v>0</v>
      </c>
      <c r="P591" t="n">
        <v>0</v>
      </c>
      <c r="Q591" t="n">
        <v>0</v>
      </c>
      <c r="R591" s="2" t="inlineStr"/>
    </row>
    <row r="592" ht="15" customHeight="1">
      <c r="A592" t="inlineStr">
        <is>
          <t>A 9198-2025</t>
        </is>
      </c>
      <c r="B592" s="1" t="n">
        <v>45714</v>
      </c>
      <c r="C592" s="1" t="n">
        <v>45985</v>
      </c>
      <c r="D592" t="inlineStr">
        <is>
          <t>ÖREBRO LÄN</t>
        </is>
      </c>
      <c r="E592" t="inlineStr">
        <is>
          <t>LINDESBERG</t>
        </is>
      </c>
      <c r="G592" t="n">
        <v>3.3</v>
      </c>
      <c r="H592" t="n">
        <v>0</v>
      </c>
      <c r="I592" t="n">
        <v>0</v>
      </c>
      <c r="J592" t="n">
        <v>0</v>
      </c>
      <c r="K592" t="n">
        <v>0</v>
      </c>
      <c r="L592" t="n">
        <v>0</v>
      </c>
      <c r="M592" t="n">
        <v>0</v>
      </c>
      <c r="N592" t="n">
        <v>0</v>
      </c>
      <c r="O592" t="n">
        <v>0</v>
      </c>
      <c r="P592" t="n">
        <v>0</v>
      </c>
      <c r="Q592" t="n">
        <v>0</v>
      </c>
      <c r="R592" s="2" t="inlineStr"/>
    </row>
    <row r="593" ht="15" customHeight="1">
      <c r="A593" t="inlineStr">
        <is>
          <t>A 49183-2025</t>
        </is>
      </c>
      <c r="B593" s="1" t="n">
        <v>45938.39741898148</v>
      </c>
      <c r="C593" s="1" t="n">
        <v>45985</v>
      </c>
      <c r="D593" t="inlineStr">
        <is>
          <t>ÖREBRO LÄN</t>
        </is>
      </c>
      <c r="E593" t="inlineStr">
        <is>
          <t>LINDESBERG</t>
        </is>
      </c>
      <c r="G593" t="n">
        <v>4.4</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45985</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16618-2023</t>
        </is>
      </c>
      <c r="B595" s="1" t="n">
        <v>45030</v>
      </c>
      <c r="C595" s="1" t="n">
        <v>45985</v>
      </c>
      <c r="D595" t="inlineStr">
        <is>
          <t>ÖREBRO LÄN</t>
        </is>
      </c>
      <c r="E595" t="inlineStr">
        <is>
          <t>LINDESBERG</t>
        </is>
      </c>
      <c r="F595" t="inlineStr">
        <is>
          <t>Kommuner</t>
        </is>
      </c>
      <c r="G595" t="n">
        <v>4.6</v>
      </c>
      <c r="H595" t="n">
        <v>0</v>
      </c>
      <c r="I595" t="n">
        <v>0</v>
      </c>
      <c r="J595" t="n">
        <v>0</v>
      </c>
      <c r="K595" t="n">
        <v>0</v>
      </c>
      <c r="L595" t="n">
        <v>0</v>
      </c>
      <c r="M595" t="n">
        <v>0</v>
      </c>
      <c r="N595" t="n">
        <v>0</v>
      </c>
      <c r="O595" t="n">
        <v>0</v>
      </c>
      <c r="P595" t="n">
        <v>0</v>
      </c>
      <c r="Q595" t="n">
        <v>0</v>
      </c>
      <c r="R595" s="2" t="inlineStr"/>
    </row>
    <row r="596" ht="15" customHeight="1">
      <c r="A596" t="inlineStr">
        <is>
          <t>A 4298-2025</t>
        </is>
      </c>
      <c r="B596" s="1" t="n">
        <v>45685</v>
      </c>
      <c r="C596" s="1" t="n">
        <v>45985</v>
      </c>
      <c r="D596" t="inlineStr">
        <is>
          <t>ÖREBRO LÄN</t>
        </is>
      </c>
      <c r="E596" t="inlineStr">
        <is>
          <t>LINDESBERG</t>
        </is>
      </c>
      <c r="G596" t="n">
        <v>13.5</v>
      </c>
      <c r="H596" t="n">
        <v>0</v>
      </c>
      <c r="I596" t="n">
        <v>0</v>
      </c>
      <c r="J596" t="n">
        <v>0</v>
      </c>
      <c r="K596" t="n">
        <v>0</v>
      </c>
      <c r="L596" t="n">
        <v>0</v>
      </c>
      <c r="M596" t="n">
        <v>0</v>
      </c>
      <c r="N596" t="n">
        <v>0</v>
      </c>
      <c r="O596" t="n">
        <v>0</v>
      </c>
      <c r="P596" t="n">
        <v>0</v>
      </c>
      <c r="Q596" t="n">
        <v>0</v>
      </c>
      <c r="R596" s="2" t="inlineStr"/>
    </row>
    <row r="597" ht="15" customHeight="1">
      <c r="A597" t="inlineStr">
        <is>
          <t>A 49100-2025</t>
        </is>
      </c>
      <c r="B597" s="1" t="n">
        <v>45937.71556712963</v>
      </c>
      <c r="C597" s="1" t="n">
        <v>45985</v>
      </c>
      <c r="D597" t="inlineStr">
        <is>
          <t>ÖREBRO LÄN</t>
        </is>
      </c>
      <c r="E597" t="inlineStr">
        <is>
          <t>LINDESBERG</t>
        </is>
      </c>
      <c r="G597" t="n">
        <v>2.2</v>
      </c>
      <c r="H597" t="n">
        <v>0</v>
      </c>
      <c r="I597" t="n">
        <v>0</v>
      </c>
      <c r="J597" t="n">
        <v>0</v>
      </c>
      <c r="K597" t="n">
        <v>0</v>
      </c>
      <c r="L597" t="n">
        <v>0</v>
      </c>
      <c r="M597" t="n">
        <v>0</v>
      </c>
      <c r="N597" t="n">
        <v>0</v>
      </c>
      <c r="O597" t="n">
        <v>0</v>
      </c>
      <c r="P597" t="n">
        <v>0</v>
      </c>
      <c r="Q597" t="n">
        <v>0</v>
      </c>
      <c r="R597" s="2" t="inlineStr"/>
    </row>
    <row r="598" ht="15" customHeight="1">
      <c r="A598" t="inlineStr">
        <is>
          <t>A 4999-2025</t>
        </is>
      </c>
      <c r="B598" s="1" t="n">
        <v>45691.36253472222</v>
      </c>
      <c r="C598" s="1" t="n">
        <v>45985</v>
      </c>
      <c r="D598" t="inlineStr">
        <is>
          <t>ÖREBRO LÄN</t>
        </is>
      </c>
      <c r="E598" t="inlineStr">
        <is>
          <t>LINDESBERG</t>
        </is>
      </c>
      <c r="G598" t="n">
        <v>4.7</v>
      </c>
      <c r="H598" t="n">
        <v>0</v>
      </c>
      <c r="I598" t="n">
        <v>0</v>
      </c>
      <c r="J598" t="n">
        <v>0</v>
      </c>
      <c r="K598" t="n">
        <v>0</v>
      </c>
      <c r="L598" t="n">
        <v>0</v>
      </c>
      <c r="M598" t="n">
        <v>0</v>
      </c>
      <c r="N598" t="n">
        <v>0</v>
      </c>
      <c r="O598" t="n">
        <v>0</v>
      </c>
      <c r="P598" t="n">
        <v>0</v>
      </c>
      <c r="Q598" t="n">
        <v>0</v>
      </c>
      <c r="R598" s="2" t="inlineStr"/>
    </row>
    <row r="599" ht="15" customHeight="1">
      <c r="A599" t="inlineStr">
        <is>
          <t>A 57356-2025</t>
        </is>
      </c>
      <c r="B599" s="1" t="n">
        <v>45980.36633101852</v>
      </c>
      <c r="C599" s="1" t="n">
        <v>45985</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57358-2025</t>
        </is>
      </c>
      <c r="B600" s="1" t="n">
        <v>45980.36679398148</v>
      </c>
      <c r="C600" s="1" t="n">
        <v>45985</v>
      </c>
      <c r="D600" t="inlineStr">
        <is>
          <t>ÖREBRO LÄN</t>
        </is>
      </c>
      <c r="E600" t="inlineStr">
        <is>
          <t>LINDESBERG</t>
        </is>
      </c>
      <c r="F600" t="inlineStr">
        <is>
          <t>Sveaskog</t>
        </is>
      </c>
      <c r="G600" t="n">
        <v>4.2</v>
      </c>
      <c r="H600" t="n">
        <v>0</v>
      </c>
      <c r="I600" t="n">
        <v>0</v>
      </c>
      <c r="J600" t="n">
        <v>0</v>
      </c>
      <c r="K600" t="n">
        <v>0</v>
      </c>
      <c r="L600" t="n">
        <v>0</v>
      </c>
      <c r="M600" t="n">
        <v>0</v>
      </c>
      <c r="N600" t="n">
        <v>0</v>
      </c>
      <c r="O600" t="n">
        <v>0</v>
      </c>
      <c r="P600" t="n">
        <v>0</v>
      </c>
      <c r="Q600" t="n">
        <v>0</v>
      </c>
      <c r="R600" s="2" t="inlineStr"/>
    </row>
    <row r="601" ht="15" customHeight="1">
      <c r="A601" t="inlineStr">
        <is>
          <t>A 57363-2025</t>
        </is>
      </c>
      <c r="B601" s="1" t="n">
        <v>45980.3716087963</v>
      </c>
      <c r="C601" s="1" t="n">
        <v>45985</v>
      </c>
      <c r="D601" t="inlineStr">
        <is>
          <t>ÖREBRO LÄN</t>
        </is>
      </c>
      <c r="E601" t="inlineStr">
        <is>
          <t>LINDESBERG</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15892-2025</t>
        </is>
      </c>
      <c r="B602" s="1" t="n">
        <v>45749</v>
      </c>
      <c r="C602" s="1" t="n">
        <v>45985</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57315-2025</t>
        </is>
      </c>
      <c r="B603" s="1" t="n">
        <v>45980.00753472222</v>
      </c>
      <c r="C603" s="1" t="n">
        <v>45985</v>
      </c>
      <c r="D603" t="inlineStr">
        <is>
          <t>ÖREBRO LÄN</t>
        </is>
      </c>
      <c r="E603" t="inlineStr">
        <is>
          <t>LINDESBERG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57316-2025</t>
        </is>
      </c>
      <c r="B604" s="1" t="n">
        <v>45980.0115625</v>
      </c>
      <c r="C604" s="1" t="n">
        <v>45985</v>
      </c>
      <c r="D604" t="inlineStr">
        <is>
          <t>ÖREBRO LÄN</t>
        </is>
      </c>
      <c r="E604" t="inlineStr">
        <is>
          <t>LINDESBERG</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45985</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27702-2025</t>
        </is>
      </c>
      <c r="B606" s="1" t="n">
        <v>45813</v>
      </c>
      <c r="C606" s="1" t="n">
        <v>45985</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48867-2025</t>
        </is>
      </c>
      <c r="B607" s="1" t="n">
        <v>45937.4484837963</v>
      </c>
      <c r="C607" s="1" t="n">
        <v>45985</v>
      </c>
      <c r="D607" t="inlineStr">
        <is>
          <t>ÖREBRO LÄN</t>
        </is>
      </c>
      <c r="E607" t="inlineStr">
        <is>
          <t>LINDESBERG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49133-2025</t>
        </is>
      </c>
      <c r="B608" s="1" t="n">
        <v>45937.92319444445</v>
      </c>
      <c r="C608" s="1" t="n">
        <v>45985</v>
      </c>
      <c r="D608" t="inlineStr">
        <is>
          <t>ÖREBRO LÄN</t>
        </is>
      </c>
      <c r="E608" t="inlineStr">
        <is>
          <t>LINDESBERG</t>
        </is>
      </c>
      <c r="G608" t="n">
        <v>5</v>
      </c>
      <c r="H608" t="n">
        <v>0</v>
      </c>
      <c r="I608" t="n">
        <v>0</v>
      </c>
      <c r="J608" t="n">
        <v>0</v>
      </c>
      <c r="K608" t="n">
        <v>0</v>
      </c>
      <c r="L608" t="n">
        <v>0</v>
      </c>
      <c r="M608" t="n">
        <v>0</v>
      </c>
      <c r="N608" t="n">
        <v>0</v>
      </c>
      <c r="O608" t="n">
        <v>0</v>
      </c>
      <c r="P608" t="n">
        <v>0</v>
      </c>
      <c r="Q608" t="n">
        <v>0</v>
      </c>
      <c r="R608" s="2" t="inlineStr"/>
    </row>
    <row r="609" ht="15" customHeight="1">
      <c r="A609" t="inlineStr">
        <is>
          <t>A 57299-2025</t>
        </is>
      </c>
      <c r="B609" s="1" t="n">
        <v>45979.81347222222</v>
      </c>
      <c r="C609" s="1" t="n">
        <v>45985</v>
      </c>
      <c r="D609" t="inlineStr">
        <is>
          <t>ÖREBRO LÄN</t>
        </is>
      </c>
      <c r="E609" t="inlineStr">
        <is>
          <t>LINDESBERG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45985</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45985</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57300-2025</t>
        </is>
      </c>
      <c r="B612" s="1" t="n">
        <v>45979.81403935186</v>
      </c>
      <c r="C612" s="1" t="n">
        <v>45985</v>
      </c>
      <c r="D612" t="inlineStr">
        <is>
          <t>ÖREBRO LÄN</t>
        </is>
      </c>
      <c r="E612" t="inlineStr">
        <is>
          <t>LINDESBERG</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49707-2025</t>
        </is>
      </c>
      <c r="B613" s="1" t="n">
        <v>45939.67951388889</v>
      </c>
      <c r="C613" s="1" t="n">
        <v>45985</v>
      </c>
      <c r="D613" t="inlineStr">
        <is>
          <t>ÖREBRO LÄN</t>
        </is>
      </c>
      <c r="E613" t="inlineStr">
        <is>
          <t>LINDESBERG</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28082-2021</t>
        </is>
      </c>
      <c r="B614" s="1" t="n">
        <v>44355</v>
      </c>
      <c r="C614" s="1" t="n">
        <v>45985</v>
      </c>
      <c r="D614" t="inlineStr">
        <is>
          <t>ÖREBRO LÄN</t>
        </is>
      </c>
      <c r="E614" t="inlineStr">
        <is>
          <t>LINDESBERG</t>
        </is>
      </c>
      <c r="F614" t="inlineStr">
        <is>
          <t>Sveaskog</t>
        </is>
      </c>
      <c r="G614" t="n">
        <v>9.9</v>
      </c>
      <c r="H614" t="n">
        <v>0</v>
      </c>
      <c r="I614" t="n">
        <v>0</v>
      </c>
      <c r="J614" t="n">
        <v>0</v>
      </c>
      <c r="K614" t="n">
        <v>0</v>
      </c>
      <c r="L614" t="n">
        <v>0</v>
      </c>
      <c r="M614" t="n">
        <v>0</v>
      </c>
      <c r="N614" t="n">
        <v>0</v>
      </c>
      <c r="O614" t="n">
        <v>0</v>
      </c>
      <c r="P614" t="n">
        <v>0</v>
      </c>
      <c r="Q614" t="n">
        <v>0</v>
      </c>
      <c r="R614" s="2" t="inlineStr"/>
    </row>
    <row r="615" ht="15" customHeight="1">
      <c r="A615" t="inlineStr">
        <is>
          <t>A 57911-2022</t>
        </is>
      </c>
      <c r="B615" s="1" t="n">
        <v>44900.36149305556</v>
      </c>
      <c r="C615" s="1" t="n">
        <v>45985</v>
      </c>
      <c r="D615" t="inlineStr">
        <is>
          <t>ÖREBRO LÄN</t>
        </is>
      </c>
      <c r="E615" t="inlineStr">
        <is>
          <t>LINDESBERG</t>
        </is>
      </c>
      <c r="G615" t="n">
        <v>4.9</v>
      </c>
      <c r="H615" t="n">
        <v>0</v>
      </c>
      <c r="I615" t="n">
        <v>0</v>
      </c>
      <c r="J615" t="n">
        <v>0</v>
      </c>
      <c r="K615" t="n">
        <v>0</v>
      </c>
      <c r="L615" t="n">
        <v>0</v>
      </c>
      <c r="M615" t="n">
        <v>0</v>
      </c>
      <c r="N615" t="n">
        <v>0</v>
      </c>
      <c r="O615" t="n">
        <v>0</v>
      </c>
      <c r="P615" t="n">
        <v>0</v>
      </c>
      <c r="Q615" t="n">
        <v>0</v>
      </c>
      <c r="R615" s="2" t="inlineStr"/>
    </row>
    <row r="616" ht="15" customHeight="1">
      <c r="A616" t="inlineStr">
        <is>
          <t>A 64427-2021</t>
        </is>
      </c>
      <c r="B616" s="1" t="n">
        <v>44511</v>
      </c>
      <c r="C616" s="1" t="n">
        <v>45985</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19077-2025</t>
        </is>
      </c>
      <c r="B617" s="1" t="n">
        <v>45766.33309027777</v>
      </c>
      <c r="C617" s="1" t="n">
        <v>45985</v>
      </c>
      <c r="D617" t="inlineStr">
        <is>
          <t>ÖREBRO LÄN</t>
        </is>
      </c>
      <c r="E617" t="inlineStr">
        <is>
          <t>LINDESBERG</t>
        </is>
      </c>
      <c r="G617" t="n">
        <v>0</v>
      </c>
      <c r="H617" t="n">
        <v>0</v>
      </c>
      <c r="I617" t="n">
        <v>0</v>
      </c>
      <c r="J617" t="n">
        <v>0</v>
      </c>
      <c r="K617" t="n">
        <v>0</v>
      </c>
      <c r="L617" t="n">
        <v>0</v>
      </c>
      <c r="M617" t="n">
        <v>0</v>
      </c>
      <c r="N617" t="n">
        <v>0</v>
      </c>
      <c r="O617" t="n">
        <v>0</v>
      </c>
      <c r="P617" t="n">
        <v>0</v>
      </c>
      <c r="Q617" t="n">
        <v>0</v>
      </c>
      <c r="R617" s="2" t="inlineStr"/>
    </row>
    <row r="618" ht="15" customHeight="1">
      <c r="A618" t="inlineStr">
        <is>
          <t>A 58050-2025</t>
        </is>
      </c>
      <c r="B618" s="1" t="n">
        <v>45982.51603009259</v>
      </c>
      <c r="C618" s="1" t="n">
        <v>45985</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49544-2023</t>
        </is>
      </c>
      <c r="B619" s="1" t="n">
        <v>45211</v>
      </c>
      <c r="C619" s="1" t="n">
        <v>45985</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45982.52355324074</v>
      </c>
      <c r="C620" s="1" t="n">
        <v>45985</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49946-2025</t>
        </is>
      </c>
      <c r="B621" s="1" t="n">
        <v>45940.69862268519</v>
      </c>
      <c r="C621" s="1" t="n">
        <v>45985</v>
      </c>
      <c r="D621" t="inlineStr">
        <is>
          <t>ÖREBRO LÄN</t>
        </is>
      </c>
      <c r="E621" t="inlineStr">
        <is>
          <t>LINDESBERG</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49944-2025</t>
        </is>
      </c>
      <c r="B622" s="1" t="n">
        <v>45940.69643518519</v>
      </c>
      <c r="C622" s="1" t="n">
        <v>45985</v>
      </c>
      <c r="D622" t="inlineStr">
        <is>
          <t>ÖREBRO LÄN</t>
        </is>
      </c>
      <c r="E622" t="inlineStr">
        <is>
          <t>LINDESBERG</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49947-2025</t>
        </is>
      </c>
      <c r="B623" s="1" t="n">
        <v>45940.70018518518</v>
      </c>
      <c r="C623" s="1" t="n">
        <v>45985</v>
      </c>
      <c r="D623" t="inlineStr">
        <is>
          <t>ÖREBRO LÄN</t>
        </is>
      </c>
      <c r="E623" t="inlineStr">
        <is>
          <t>LINDESBERG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58166-2025</t>
        </is>
      </c>
      <c r="B624" s="1" t="n">
        <v>45982.71017361111</v>
      </c>
      <c r="C624" s="1" t="n">
        <v>45985</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15094-2025</t>
        </is>
      </c>
      <c r="B625" s="1" t="n">
        <v>45744.32981481482</v>
      </c>
      <c r="C625" s="1" t="n">
        <v>45985</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13969-2025</t>
        </is>
      </c>
      <c r="B626" s="1" t="n">
        <v>45738.43714120371</v>
      </c>
      <c r="C626" s="1" t="n">
        <v>45985</v>
      </c>
      <c r="D626" t="inlineStr">
        <is>
          <t>ÖREBRO LÄN</t>
        </is>
      </c>
      <c r="E626" t="inlineStr">
        <is>
          <t>LINDESBERG</t>
        </is>
      </c>
      <c r="G626" t="n">
        <v>1.5</v>
      </c>
      <c r="H626" t="n">
        <v>0</v>
      </c>
      <c r="I626" t="n">
        <v>0</v>
      </c>
      <c r="J626" t="n">
        <v>0</v>
      </c>
      <c r="K626" t="n">
        <v>0</v>
      </c>
      <c r="L626" t="n">
        <v>0</v>
      </c>
      <c r="M626" t="n">
        <v>0</v>
      </c>
      <c r="N626" t="n">
        <v>0</v>
      </c>
      <c r="O626" t="n">
        <v>0</v>
      </c>
      <c r="P626" t="n">
        <v>0</v>
      </c>
      <c r="Q626" t="n">
        <v>0</v>
      </c>
      <c r="R626" s="2" t="inlineStr"/>
    </row>
    <row r="627" ht="15" customHeight="1">
      <c r="A627" t="inlineStr">
        <is>
          <t>A 24352-2023</t>
        </is>
      </c>
      <c r="B627" s="1" t="n">
        <v>45082.31421296296</v>
      </c>
      <c r="C627" s="1" t="n">
        <v>45985</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45985</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36024-2021</t>
        </is>
      </c>
      <c r="B629" s="1" t="n">
        <v>44389</v>
      </c>
      <c r="C629" s="1" t="n">
        <v>45985</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49943-2025</t>
        </is>
      </c>
      <c r="B630" s="1" t="n">
        <v>45940.69521990741</v>
      </c>
      <c r="C630" s="1" t="n">
        <v>45985</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10823-2023</t>
        </is>
      </c>
      <c r="B631" s="1" t="n">
        <v>44990</v>
      </c>
      <c r="C631" s="1" t="n">
        <v>45985</v>
      </c>
      <c r="D631" t="inlineStr">
        <is>
          <t>ÖREBRO LÄN</t>
        </is>
      </c>
      <c r="E631" t="inlineStr">
        <is>
          <t>LINDESBERG</t>
        </is>
      </c>
      <c r="G631" t="n">
        <v>1.8</v>
      </c>
      <c r="H631" t="n">
        <v>0</v>
      </c>
      <c r="I631" t="n">
        <v>0</v>
      </c>
      <c r="J631" t="n">
        <v>0</v>
      </c>
      <c r="K631" t="n">
        <v>0</v>
      </c>
      <c r="L631" t="n">
        <v>0</v>
      </c>
      <c r="M631" t="n">
        <v>0</v>
      </c>
      <c r="N631" t="n">
        <v>0</v>
      </c>
      <c r="O631" t="n">
        <v>0</v>
      </c>
      <c r="P631" t="n">
        <v>0</v>
      </c>
      <c r="Q631" t="n">
        <v>0</v>
      </c>
      <c r="R631" s="2" t="inlineStr"/>
    </row>
    <row r="632" ht="15" customHeight="1">
      <c r="A632" t="inlineStr">
        <is>
          <t>A 58603-2023</t>
        </is>
      </c>
      <c r="B632" s="1" t="n">
        <v>45251</v>
      </c>
      <c r="C632" s="1" t="n">
        <v>45985</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13417-2025</t>
        </is>
      </c>
      <c r="B633" s="1" t="n">
        <v>45736.30940972222</v>
      </c>
      <c r="C633" s="1" t="n">
        <v>45985</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43066-2021</t>
        </is>
      </c>
      <c r="B634" s="1" t="n">
        <v>44431</v>
      </c>
      <c r="C634" s="1" t="n">
        <v>45985</v>
      </c>
      <c r="D634" t="inlineStr">
        <is>
          <t>ÖREBRO LÄN</t>
        </is>
      </c>
      <c r="E634" t="inlineStr">
        <is>
          <t>LINDESBERG</t>
        </is>
      </c>
      <c r="G634" t="n">
        <v>0.6</v>
      </c>
      <c r="H634" t="n">
        <v>0</v>
      </c>
      <c r="I634" t="n">
        <v>0</v>
      </c>
      <c r="J634" t="n">
        <v>0</v>
      </c>
      <c r="K634" t="n">
        <v>0</v>
      </c>
      <c r="L634" t="n">
        <v>0</v>
      </c>
      <c r="M634" t="n">
        <v>0</v>
      </c>
      <c r="N634" t="n">
        <v>0</v>
      </c>
      <c r="O634" t="n">
        <v>0</v>
      </c>
      <c r="P634" t="n">
        <v>0</v>
      </c>
      <c r="Q634" t="n">
        <v>0</v>
      </c>
      <c r="R634" s="2" t="inlineStr"/>
    </row>
    <row r="635" ht="15" customHeight="1">
      <c r="A635" t="inlineStr">
        <is>
          <t>A 23603-2023</t>
        </is>
      </c>
      <c r="B635" s="1" t="n">
        <v>45077</v>
      </c>
      <c r="C635" s="1" t="n">
        <v>45985</v>
      </c>
      <c r="D635" t="inlineStr">
        <is>
          <t>ÖREBRO LÄN</t>
        </is>
      </c>
      <c r="E635" t="inlineStr">
        <is>
          <t>LINDESBERG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23607-2023</t>
        </is>
      </c>
      <c r="B636" s="1" t="n">
        <v>45077</v>
      </c>
      <c r="C636" s="1" t="n">
        <v>45985</v>
      </c>
      <c r="D636" t="inlineStr">
        <is>
          <t>ÖREBRO LÄN</t>
        </is>
      </c>
      <c r="E636" t="inlineStr">
        <is>
          <t>LINDESBERG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23612-2023</t>
        </is>
      </c>
      <c r="B637" s="1" t="n">
        <v>45077</v>
      </c>
      <c r="C637" s="1" t="n">
        <v>45985</v>
      </c>
      <c r="D637" t="inlineStr">
        <is>
          <t>ÖREBRO LÄN</t>
        </is>
      </c>
      <c r="E637" t="inlineStr">
        <is>
          <t>LINDESBERG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23102-2023</t>
        </is>
      </c>
      <c r="B638" s="1" t="n">
        <v>45075.44152777778</v>
      </c>
      <c r="C638" s="1" t="n">
        <v>45985</v>
      </c>
      <c r="D638" t="inlineStr">
        <is>
          <t>ÖREBRO LÄN</t>
        </is>
      </c>
      <c r="E638" t="inlineStr">
        <is>
          <t>LINDESBERG</t>
        </is>
      </c>
      <c r="F638" t="inlineStr">
        <is>
          <t>Sveaskog</t>
        </is>
      </c>
      <c r="G638" t="n">
        <v>2.7</v>
      </c>
      <c r="H638" t="n">
        <v>0</v>
      </c>
      <c r="I638" t="n">
        <v>0</v>
      </c>
      <c r="J638" t="n">
        <v>0</v>
      </c>
      <c r="K638" t="n">
        <v>0</v>
      </c>
      <c r="L638" t="n">
        <v>0</v>
      </c>
      <c r="M638" t="n">
        <v>0</v>
      </c>
      <c r="N638" t="n">
        <v>0</v>
      </c>
      <c r="O638" t="n">
        <v>0</v>
      </c>
      <c r="P638" t="n">
        <v>0</v>
      </c>
      <c r="Q638" t="n">
        <v>0</v>
      </c>
      <c r="R638" s="2" t="inlineStr"/>
    </row>
    <row r="639" ht="15" customHeight="1">
      <c r="A639" t="inlineStr">
        <is>
          <t>A 15212-2025</t>
        </is>
      </c>
      <c r="B639" s="1" t="n">
        <v>45744.57673611111</v>
      </c>
      <c r="C639" s="1" t="n">
        <v>45985</v>
      </c>
      <c r="D639" t="inlineStr">
        <is>
          <t>ÖREBRO LÄN</t>
        </is>
      </c>
      <c r="E639" t="inlineStr">
        <is>
          <t>LINDESBERG</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3148-2023</t>
        </is>
      </c>
      <c r="B640" s="1" t="n">
        <v>44946.54424768518</v>
      </c>
      <c r="C640" s="1" t="n">
        <v>45985</v>
      </c>
      <c r="D640" t="inlineStr">
        <is>
          <t>ÖREBRO LÄN</t>
        </is>
      </c>
      <c r="E640" t="inlineStr">
        <is>
          <t>LINDESBERG</t>
        </is>
      </c>
      <c r="G640" t="n">
        <v>5.5</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45985</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61202-2023</t>
        </is>
      </c>
      <c r="B642" s="1" t="n">
        <v>45264.38084490741</v>
      </c>
      <c r="C642" s="1" t="n">
        <v>45985</v>
      </c>
      <c r="D642" t="inlineStr">
        <is>
          <t>ÖREBRO LÄN</t>
        </is>
      </c>
      <c r="E642" t="inlineStr">
        <is>
          <t>LINDESBERG</t>
        </is>
      </c>
      <c r="G642" t="n">
        <v>0.9</v>
      </c>
      <c r="H642" t="n">
        <v>0</v>
      </c>
      <c r="I642" t="n">
        <v>0</v>
      </c>
      <c r="J642" t="n">
        <v>0</v>
      </c>
      <c r="K642" t="n">
        <v>0</v>
      </c>
      <c r="L642" t="n">
        <v>0</v>
      </c>
      <c r="M642" t="n">
        <v>0</v>
      </c>
      <c r="N642" t="n">
        <v>0</v>
      </c>
      <c r="O642" t="n">
        <v>0</v>
      </c>
      <c r="P642" t="n">
        <v>0</v>
      </c>
      <c r="Q642" t="n">
        <v>0</v>
      </c>
      <c r="R642" s="2" t="inlineStr"/>
    </row>
    <row r="643" ht="15" customHeight="1">
      <c r="A643" t="inlineStr">
        <is>
          <t>A 14187-2024</t>
        </is>
      </c>
      <c r="B643" s="1" t="n">
        <v>45393.35787037037</v>
      </c>
      <c r="C643" s="1" t="n">
        <v>45985</v>
      </c>
      <c r="D643" t="inlineStr">
        <is>
          <t>ÖREBRO LÄN</t>
        </is>
      </c>
      <c r="E643" t="inlineStr">
        <is>
          <t>LINDESBERG</t>
        </is>
      </c>
      <c r="F643" t="inlineStr">
        <is>
          <t>Sveaskog</t>
        </is>
      </c>
      <c r="G643" t="n">
        <v>0.3</v>
      </c>
      <c r="H643" t="n">
        <v>0</v>
      </c>
      <c r="I643" t="n">
        <v>0</v>
      </c>
      <c r="J643" t="n">
        <v>0</v>
      </c>
      <c r="K643" t="n">
        <v>0</v>
      </c>
      <c r="L643" t="n">
        <v>0</v>
      </c>
      <c r="M643" t="n">
        <v>0</v>
      </c>
      <c r="N643" t="n">
        <v>0</v>
      </c>
      <c r="O643" t="n">
        <v>0</v>
      </c>
      <c r="P643" t="n">
        <v>0</v>
      </c>
      <c r="Q643" t="n">
        <v>0</v>
      </c>
      <c r="R643" s="2" t="inlineStr"/>
    </row>
    <row r="644" ht="15" customHeight="1">
      <c r="A644" t="inlineStr">
        <is>
          <t>A 195-2022</t>
        </is>
      </c>
      <c r="B644" s="1" t="n">
        <v>44564</v>
      </c>
      <c r="C644" s="1" t="n">
        <v>45985</v>
      </c>
      <c r="D644" t="inlineStr">
        <is>
          <t>ÖREBRO LÄN</t>
        </is>
      </c>
      <c r="E644" t="inlineStr">
        <is>
          <t>LINDESBERG</t>
        </is>
      </c>
      <c r="G644" t="n">
        <v>4.7</v>
      </c>
      <c r="H644" t="n">
        <v>0</v>
      </c>
      <c r="I644" t="n">
        <v>0</v>
      </c>
      <c r="J644" t="n">
        <v>0</v>
      </c>
      <c r="K644" t="n">
        <v>0</v>
      </c>
      <c r="L644" t="n">
        <v>0</v>
      </c>
      <c r="M644" t="n">
        <v>0</v>
      </c>
      <c r="N644" t="n">
        <v>0</v>
      </c>
      <c r="O644" t="n">
        <v>0</v>
      </c>
      <c r="P644" t="n">
        <v>0</v>
      </c>
      <c r="Q644" t="n">
        <v>0</v>
      </c>
      <c r="R644" s="2" t="inlineStr"/>
    </row>
    <row r="645" ht="15" customHeight="1">
      <c r="A645" t="inlineStr">
        <is>
          <t>A 29500-2023</t>
        </is>
      </c>
      <c r="B645" s="1" t="n">
        <v>45106</v>
      </c>
      <c r="C645" s="1" t="n">
        <v>45985</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45985</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265-2023</t>
        </is>
      </c>
      <c r="B647" s="1" t="n">
        <v>44928</v>
      </c>
      <c r="C647" s="1" t="n">
        <v>45985</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45985</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19392-2025</t>
        </is>
      </c>
      <c r="B649" s="1" t="n">
        <v>45769.66260416667</v>
      </c>
      <c r="C649" s="1" t="n">
        <v>45985</v>
      </c>
      <c r="D649" t="inlineStr">
        <is>
          <t>ÖREBRO LÄN</t>
        </is>
      </c>
      <c r="E649" t="inlineStr">
        <is>
          <t>LINDESBERG</t>
        </is>
      </c>
      <c r="G649" t="n">
        <v>6.5</v>
      </c>
      <c r="H649" t="n">
        <v>0</v>
      </c>
      <c r="I649" t="n">
        <v>0</v>
      </c>
      <c r="J649" t="n">
        <v>0</v>
      </c>
      <c r="K649" t="n">
        <v>0</v>
      </c>
      <c r="L649" t="n">
        <v>0</v>
      </c>
      <c r="M649" t="n">
        <v>0</v>
      </c>
      <c r="N649" t="n">
        <v>0</v>
      </c>
      <c r="O649" t="n">
        <v>0</v>
      </c>
      <c r="P649" t="n">
        <v>0</v>
      </c>
      <c r="Q649" t="n">
        <v>0</v>
      </c>
      <c r="R649" s="2" t="inlineStr"/>
    </row>
    <row r="650" ht="15" customHeight="1">
      <c r="A650" t="inlineStr">
        <is>
          <t>A 59052-2023</t>
        </is>
      </c>
      <c r="B650" s="1" t="n">
        <v>45252.78021990741</v>
      </c>
      <c r="C650" s="1" t="n">
        <v>45985</v>
      </c>
      <c r="D650" t="inlineStr">
        <is>
          <t>ÖREBRO LÄN</t>
        </is>
      </c>
      <c r="E650" t="inlineStr">
        <is>
          <t>LINDESBERG</t>
        </is>
      </c>
      <c r="G650" t="n">
        <v>4.2</v>
      </c>
      <c r="H650" t="n">
        <v>0</v>
      </c>
      <c r="I650" t="n">
        <v>0</v>
      </c>
      <c r="J650" t="n">
        <v>0</v>
      </c>
      <c r="K650" t="n">
        <v>0</v>
      </c>
      <c r="L650" t="n">
        <v>0</v>
      </c>
      <c r="M650" t="n">
        <v>0</v>
      </c>
      <c r="N650" t="n">
        <v>0</v>
      </c>
      <c r="O650" t="n">
        <v>0</v>
      </c>
      <c r="P650" t="n">
        <v>0</v>
      </c>
      <c r="Q650" t="n">
        <v>0</v>
      </c>
      <c r="R650" s="2" t="inlineStr"/>
    </row>
    <row r="651" ht="15" customHeight="1">
      <c r="A651" t="inlineStr">
        <is>
          <t>A 6-2023</t>
        </is>
      </c>
      <c r="B651" s="1" t="n">
        <v>44927.72487268518</v>
      </c>
      <c r="C651" s="1" t="n">
        <v>45985</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54864-2024</t>
        </is>
      </c>
      <c r="B652" s="1" t="n">
        <v>45618.59456018519</v>
      </c>
      <c r="C652" s="1" t="n">
        <v>45985</v>
      </c>
      <c r="D652" t="inlineStr">
        <is>
          <t>ÖREBRO LÄN</t>
        </is>
      </c>
      <c r="E652" t="inlineStr">
        <is>
          <t>LINDESBERG</t>
        </is>
      </c>
      <c r="F652" t="inlineStr">
        <is>
          <t>Sveaskog</t>
        </is>
      </c>
      <c r="G652" t="n">
        <v>4.4</v>
      </c>
      <c r="H652" t="n">
        <v>0</v>
      </c>
      <c r="I652" t="n">
        <v>0</v>
      </c>
      <c r="J652" t="n">
        <v>0</v>
      </c>
      <c r="K652" t="n">
        <v>0</v>
      </c>
      <c r="L652" t="n">
        <v>0</v>
      </c>
      <c r="M652" t="n">
        <v>0</v>
      </c>
      <c r="N652" t="n">
        <v>0</v>
      </c>
      <c r="O652" t="n">
        <v>0</v>
      </c>
      <c r="P652" t="n">
        <v>0</v>
      </c>
      <c r="Q652" t="n">
        <v>0</v>
      </c>
      <c r="R652" s="2" t="inlineStr"/>
    </row>
    <row r="653" ht="15" customHeight="1">
      <c r="A653" t="inlineStr">
        <is>
          <t>A 7211-2024</t>
        </is>
      </c>
      <c r="B653" s="1" t="n">
        <v>45344.623125</v>
      </c>
      <c r="C653" s="1" t="n">
        <v>45985</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15899-2025</t>
        </is>
      </c>
      <c r="B654" s="1" t="n">
        <v>45749.42258101852</v>
      </c>
      <c r="C654" s="1" t="n">
        <v>45985</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50275-2024</t>
        </is>
      </c>
      <c r="B655" s="1" t="n">
        <v>45600.60071759259</v>
      </c>
      <c r="C655" s="1" t="n">
        <v>45985</v>
      </c>
      <c r="D655" t="inlineStr">
        <is>
          <t>ÖREBRO LÄN</t>
        </is>
      </c>
      <c r="E655" t="inlineStr">
        <is>
          <t>LINDESBERG</t>
        </is>
      </c>
      <c r="G655" t="n">
        <v>4.3</v>
      </c>
      <c r="H655" t="n">
        <v>0</v>
      </c>
      <c r="I655" t="n">
        <v>0</v>
      </c>
      <c r="J655" t="n">
        <v>0</v>
      </c>
      <c r="K655" t="n">
        <v>0</v>
      </c>
      <c r="L655" t="n">
        <v>0</v>
      </c>
      <c r="M655" t="n">
        <v>0</v>
      </c>
      <c r="N655" t="n">
        <v>0</v>
      </c>
      <c r="O655" t="n">
        <v>0</v>
      </c>
      <c r="P655" t="n">
        <v>0</v>
      </c>
      <c r="Q655" t="n">
        <v>0</v>
      </c>
      <c r="R655" s="2" t="inlineStr"/>
    </row>
    <row r="656" ht="15" customHeight="1">
      <c r="A656" t="inlineStr">
        <is>
          <t>A 7992-2025</t>
        </is>
      </c>
      <c r="B656" s="1" t="n">
        <v>45707</v>
      </c>
      <c r="C656" s="1" t="n">
        <v>45985</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3294-2024</t>
        </is>
      </c>
      <c r="B657" s="1" t="n">
        <v>45316</v>
      </c>
      <c r="C657" s="1" t="n">
        <v>45985</v>
      </c>
      <c r="D657" t="inlineStr">
        <is>
          <t>ÖREBRO LÄN</t>
        </is>
      </c>
      <c r="E657" t="inlineStr">
        <is>
          <t>LINDESBERG</t>
        </is>
      </c>
      <c r="G657" t="n">
        <v>3</v>
      </c>
      <c r="H657" t="n">
        <v>0</v>
      </c>
      <c r="I657" t="n">
        <v>0</v>
      </c>
      <c r="J657" t="n">
        <v>0</v>
      </c>
      <c r="K657" t="n">
        <v>0</v>
      </c>
      <c r="L657" t="n">
        <v>0</v>
      </c>
      <c r="M657" t="n">
        <v>0</v>
      </c>
      <c r="N657" t="n">
        <v>0</v>
      </c>
      <c r="O657" t="n">
        <v>0</v>
      </c>
      <c r="P657" t="n">
        <v>0</v>
      </c>
      <c r="Q657" t="n">
        <v>0</v>
      </c>
      <c r="R657" s="2" t="inlineStr"/>
    </row>
    <row r="658" ht="15" customHeight="1">
      <c r="A658" t="inlineStr">
        <is>
          <t>A 41947-2023</t>
        </is>
      </c>
      <c r="B658" s="1" t="n">
        <v>45177.31795138889</v>
      </c>
      <c r="C658" s="1" t="n">
        <v>45985</v>
      </c>
      <c r="D658" t="inlineStr">
        <is>
          <t>ÖREBRO LÄN</t>
        </is>
      </c>
      <c r="E658" t="inlineStr">
        <is>
          <t>LINDESBERG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16447-2025</t>
        </is>
      </c>
      <c r="B659" s="1" t="n">
        <v>45751.50498842593</v>
      </c>
      <c r="C659" s="1" t="n">
        <v>45985</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29975-2023</t>
        </is>
      </c>
      <c r="B660" s="1" t="n">
        <v>45108.7553587963</v>
      </c>
      <c r="C660" s="1" t="n">
        <v>45985</v>
      </c>
      <c r="D660" t="inlineStr">
        <is>
          <t>ÖREBRO LÄN</t>
        </is>
      </c>
      <c r="E660" t="inlineStr">
        <is>
          <t>LINDESBERG</t>
        </is>
      </c>
      <c r="G660" t="n">
        <v>6.4</v>
      </c>
      <c r="H660" t="n">
        <v>0</v>
      </c>
      <c r="I660" t="n">
        <v>0</v>
      </c>
      <c r="J660" t="n">
        <v>0</v>
      </c>
      <c r="K660" t="n">
        <v>0</v>
      </c>
      <c r="L660" t="n">
        <v>0</v>
      </c>
      <c r="M660" t="n">
        <v>0</v>
      </c>
      <c r="N660" t="n">
        <v>0</v>
      </c>
      <c r="O660" t="n">
        <v>0</v>
      </c>
      <c r="P660" t="n">
        <v>0</v>
      </c>
      <c r="Q660" t="n">
        <v>0</v>
      </c>
      <c r="R660" s="2" t="inlineStr"/>
    </row>
    <row r="661" ht="15" customHeight="1">
      <c r="A661" t="inlineStr">
        <is>
          <t>A 16448-2025</t>
        </is>
      </c>
      <c r="B661" s="1" t="n">
        <v>45751.5056712963</v>
      </c>
      <c r="C661" s="1" t="n">
        <v>45985</v>
      </c>
      <c r="D661" t="inlineStr">
        <is>
          <t>ÖREBRO LÄN</t>
        </is>
      </c>
      <c r="E661" t="inlineStr">
        <is>
          <t>LINDESBERG</t>
        </is>
      </c>
      <c r="G661" t="n">
        <v>20.1</v>
      </c>
      <c r="H661" t="n">
        <v>0</v>
      </c>
      <c r="I661" t="n">
        <v>0</v>
      </c>
      <c r="J661" t="n">
        <v>0</v>
      </c>
      <c r="K661" t="n">
        <v>0</v>
      </c>
      <c r="L661" t="n">
        <v>0</v>
      </c>
      <c r="M661" t="n">
        <v>0</v>
      </c>
      <c r="N661" t="n">
        <v>0</v>
      </c>
      <c r="O661" t="n">
        <v>0</v>
      </c>
      <c r="P661" t="n">
        <v>0</v>
      </c>
      <c r="Q661" t="n">
        <v>0</v>
      </c>
      <c r="R661" s="2" t="inlineStr"/>
    </row>
    <row r="662" ht="15" customHeight="1">
      <c r="A662" t="inlineStr">
        <is>
          <t>A 7126-2025</t>
        </is>
      </c>
      <c r="B662" s="1" t="n">
        <v>45702</v>
      </c>
      <c r="C662" s="1" t="n">
        <v>45985</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40085-2023</t>
        </is>
      </c>
      <c r="B663" s="1" t="n">
        <v>45168.92155092592</v>
      </c>
      <c r="C663" s="1" t="n">
        <v>45985</v>
      </c>
      <c r="D663" t="inlineStr">
        <is>
          <t>ÖREBRO LÄN</t>
        </is>
      </c>
      <c r="E663" t="inlineStr">
        <is>
          <t>LINDESBERG</t>
        </is>
      </c>
      <c r="G663" t="n">
        <v>6.1</v>
      </c>
      <c r="H663" t="n">
        <v>0</v>
      </c>
      <c r="I663" t="n">
        <v>0</v>
      </c>
      <c r="J663" t="n">
        <v>0</v>
      </c>
      <c r="K663" t="n">
        <v>0</v>
      </c>
      <c r="L663" t="n">
        <v>0</v>
      </c>
      <c r="M663" t="n">
        <v>0</v>
      </c>
      <c r="N663" t="n">
        <v>0</v>
      </c>
      <c r="O663" t="n">
        <v>0</v>
      </c>
      <c r="P663" t="n">
        <v>0</v>
      </c>
      <c r="Q663" t="n">
        <v>0</v>
      </c>
      <c r="R663" s="2" t="inlineStr"/>
    </row>
    <row r="664" ht="15" customHeight="1">
      <c r="A664" t="inlineStr">
        <is>
          <t>A 28470-2023</t>
        </is>
      </c>
      <c r="B664" s="1" t="n">
        <v>45103</v>
      </c>
      <c r="C664" s="1" t="n">
        <v>45985</v>
      </c>
      <c r="D664" t="inlineStr">
        <is>
          <t>ÖREBRO LÄN</t>
        </is>
      </c>
      <c r="E664" t="inlineStr">
        <is>
          <t>LINDESBERG</t>
        </is>
      </c>
      <c r="G664" t="n">
        <v>6.7</v>
      </c>
      <c r="H664" t="n">
        <v>0</v>
      </c>
      <c r="I664" t="n">
        <v>0</v>
      </c>
      <c r="J664" t="n">
        <v>0</v>
      </c>
      <c r="K664" t="n">
        <v>0</v>
      </c>
      <c r="L664" t="n">
        <v>0</v>
      </c>
      <c r="M664" t="n">
        <v>0</v>
      </c>
      <c r="N664" t="n">
        <v>0</v>
      </c>
      <c r="O664" t="n">
        <v>0</v>
      </c>
      <c r="P664" t="n">
        <v>0</v>
      </c>
      <c r="Q664" t="n">
        <v>0</v>
      </c>
      <c r="R664" s="2" t="inlineStr"/>
    </row>
    <row r="665" ht="15" customHeight="1">
      <c r="A665" t="inlineStr">
        <is>
          <t>A 32002-2023</t>
        </is>
      </c>
      <c r="B665" s="1" t="n">
        <v>45119.46452546296</v>
      </c>
      <c r="C665" s="1" t="n">
        <v>45985</v>
      </c>
      <c r="D665" t="inlineStr">
        <is>
          <t>ÖREBRO LÄN</t>
        </is>
      </c>
      <c r="E665" t="inlineStr">
        <is>
          <t>LINDESBERG</t>
        </is>
      </c>
      <c r="F665" t="inlineStr">
        <is>
          <t>Kyrkan</t>
        </is>
      </c>
      <c r="G665" t="n">
        <v>0.6</v>
      </c>
      <c r="H665" t="n">
        <v>0</v>
      </c>
      <c r="I665" t="n">
        <v>0</v>
      </c>
      <c r="J665" t="n">
        <v>0</v>
      </c>
      <c r="K665" t="n">
        <v>0</v>
      </c>
      <c r="L665" t="n">
        <v>0</v>
      </c>
      <c r="M665" t="n">
        <v>0</v>
      </c>
      <c r="N665" t="n">
        <v>0</v>
      </c>
      <c r="O665" t="n">
        <v>0</v>
      </c>
      <c r="P665" t="n">
        <v>0</v>
      </c>
      <c r="Q665" t="n">
        <v>0</v>
      </c>
      <c r="R665" s="2" t="inlineStr"/>
    </row>
    <row r="666" ht="15" customHeight="1">
      <c r="A666" t="inlineStr">
        <is>
          <t>A 29849-2023</t>
        </is>
      </c>
      <c r="B666" s="1" t="n">
        <v>45107</v>
      </c>
      <c r="C666" s="1" t="n">
        <v>45985</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5784-2025</t>
        </is>
      </c>
      <c r="B667" s="1" t="n">
        <v>45694</v>
      </c>
      <c r="C667" s="1" t="n">
        <v>45985</v>
      </c>
      <c r="D667" t="inlineStr">
        <is>
          <t>ÖREBRO LÄN</t>
        </is>
      </c>
      <c r="E667" t="inlineStr">
        <is>
          <t>LINDESBERG</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69208-2021</t>
        </is>
      </c>
      <c r="B668" s="1" t="n">
        <v>44531.3575</v>
      </c>
      <c r="C668" s="1" t="n">
        <v>45985</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45038-2024</t>
        </is>
      </c>
      <c r="B669" s="1" t="n">
        <v>45575.53331018519</v>
      </c>
      <c r="C669" s="1" t="n">
        <v>45985</v>
      </c>
      <c r="D669" t="inlineStr">
        <is>
          <t>ÖREBRO LÄN</t>
        </is>
      </c>
      <c r="E669" t="inlineStr">
        <is>
          <t>LINDESBERG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45046-2024</t>
        </is>
      </c>
      <c r="B670" s="1" t="n">
        <v>45575.54489583334</v>
      </c>
      <c r="C670" s="1" t="n">
        <v>45985</v>
      </c>
      <c r="D670" t="inlineStr">
        <is>
          <t>ÖREBRO LÄN</t>
        </is>
      </c>
      <c r="E670" t="inlineStr">
        <is>
          <t>LINDESBERG</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38552-2023</t>
        </is>
      </c>
      <c r="B671" s="1" t="n">
        <v>45162.5978125</v>
      </c>
      <c r="C671" s="1" t="n">
        <v>45985</v>
      </c>
      <c r="D671" t="inlineStr">
        <is>
          <t>ÖREBRO LÄN</t>
        </is>
      </c>
      <c r="E671" t="inlineStr">
        <is>
          <t>LINDESBERG</t>
        </is>
      </c>
      <c r="G671" t="n">
        <v>10.4</v>
      </c>
      <c r="H671" t="n">
        <v>0</v>
      </c>
      <c r="I671" t="n">
        <v>0</v>
      </c>
      <c r="J671" t="n">
        <v>0</v>
      </c>
      <c r="K671" t="n">
        <v>0</v>
      </c>
      <c r="L671" t="n">
        <v>0</v>
      </c>
      <c r="M671" t="n">
        <v>0</v>
      </c>
      <c r="N671" t="n">
        <v>0</v>
      </c>
      <c r="O671" t="n">
        <v>0</v>
      </c>
      <c r="P671" t="n">
        <v>0</v>
      </c>
      <c r="Q671" t="n">
        <v>0</v>
      </c>
      <c r="R671" s="2" t="inlineStr"/>
    </row>
    <row r="672" ht="15" customHeight="1">
      <c r="A672" t="inlineStr">
        <is>
          <t>A 64084-2023</t>
        </is>
      </c>
      <c r="B672" s="1" t="n">
        <v>45279</v>
      </c>
      <c r="C672" s="1" t="n">
        <v>45985</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33424-2024</t>
        </is>
      </c>
      <c r="B673" s="1" t="n">
        <v>45519.51627314815</v>
      </c>
      <c r="C673" s="1" t="n">
        <v>45985</v>
      </c>
      <c r="D673" t="inlineStr">
        <is>
          <t>ÖREBRO LÄN</t>
        </is>
      </c>
      <c r="E673" t="inlineStr">
        <is>
          <t>LINDESBERG</t>
        </is>
      </c>
      <c r="F673" t="inlineStr">
        <is>
          <t>Sveaskog</t>
        </is>
      </c>
      <c r="G673" t="n">
        <v>0.1</v>
      </c>
      <c r="H673" t="n">
        <v>0</v>
      </c>
      <c r="I673" t="n">
        <v>0</v>
      </c>
      <c r="J673" t="n">
        <v>0</v>
      </c>
      <c r="K673" t="n">
        <v>0</v>
      </c>
      <c r="L673" t="n">
        <v>0</v>
      </c>
      <c r="M673" t="n">
        <v>0</v>
      </c>
      <c r="N673" t="n">
        <v>0</v>
      </c>
      <c r="O673" t="n">
        <v>0</v>
      </c>
      <c r="P673" t="n">
        <v>0</v>
      </c>
      <c r="Q673" t="n">
        <v>0</v>
      </c>
      <c r="R673" s="2" t="inlineStr"/>
    </row>
    <row r="674" ht="15" customHeight="1">
      <c r="A674" t="inlineStr">
        <is>
          <t>A 33427-2024</t>
        </is>
      </c>
      <c r="B674" s="1" t="n">
        <v>45519.52232638889</v>
      </c>
      <c r="C674" s="1" t="n">
        <v>45985</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36509-2024</t>
        </is>
      </c>
      <c r="B675" s="1" t="n">
        <v>45537.42240740741</v>
      </c>
      <c r="C675" s="1" t="n">
        <v>45985</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45985</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11559-2024</t>
        </is>
      </c>
      <c r="B677" s="1" t="n">
        <v>45373.30434027778</v>
      </c>
      <c r="C677" s="1" t="n">
        <v>45985</v>
      </c>
      <c r="D677" t="inlineStr">
        <is>
          <t>ÖREBRO LÄN</t>
        </is>
      </c>
      <c r="E677" t="inlineStr">
        <is>
          <t>LINDESBERG</t>
        </is>
      </c>
      <c r="F677" t="inlineStr">
        <is>
          <t>BillerudKorsnäs AB</t>
        </is>
      </c>
      <c r="G677" t="n">
        <v>1.9</v>
      </c>
      <c r="H677" t="n">
        <v>0</v>
      </c>
      <c r="I677" t="n">
        <v>0</v>
      </c>
      <c r="J677" t="n">
        <v>0</v>
      </c>
      <c r="K677" t="n">
        <v>0</v>
      </c>
      <c r="L677" t="n">
        <v>0</v>
      </c>
      <c r="M677" t="n">
        <v>0</v>
      </c>
      <c r="N677" t="n">
        <v>0</v>
      </c>
      <c r="O677" t="n">
        <v>0</v>
      </c>
      <c r="P677" t="n">
        <v>0</v>
      </c>
      <c r="Q677" t="n">
        <v>0</v>
      </c>
      <c r="R677" s="2" t="inlineStr"/>
    </row>
    <row r="678" ht="15" customHeight="1">
      <c r="A678" t="inlineStr">
        <is>
          <t>A 13472-2023</t>
        </is>
      </c>
      <c r="B678" s="1" t="n">
        <v>45005</v>
      </c>
      <c r="C678" s="1" t="n">
        <v>45985</v>
      </c>
      <c r="D678" t="inlineStr">
        <is>
          <t>ÖREBRO LÄN</t>
        </is>
      </c>
      <c r="E678" t="inlineStr">
        <is>
          <t>LINDESBERG</t>
        </is>
      </c>
      <c r="G678" t="n">
        <v>2.5</v>
      </c>
      <c r="H678" t="n">
        <v>0</v>
      </c>
      <c r="I678" t="n">
        <v>0</v>
      </c>
      <c r="J678" t="n">
        <v>0</v>
      </c>
      <c r="K678" t="n">
        <v>0</v>
      </c>
      <c r="L678" t="n">
        <v>0</v>
      </c>
      <c r="M678" t="n">
        <v>0</v>
      </c>
      <c r="N678" t="n">
        <v>0</v>
      </c>
      <c r="O678" t="n">
        <v>0</v>
      </c>
      <c r="P678" t="n">
        <v>0</v>
      </c>
      <c r="Q678" t="n">
        <v>0</v>
      </c>
      <c r="R678" s="2" t="inlineStr"/>
    </row>
    <row r="679" ht="15" customHeight="1">
      <c r="A679" t="inlineStr">
        <is>
          <t>A 52284-2024</t>
        </is>
      </c>
      <c r="B679" s="1" t="n">
        <v>45608</v>
      </c>
      <c r="C679" s="1" t="n">
        <v>45985</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38613-2024</t>
        </is>
      </c>
      <c r="B680" s="1" t="n">
        <v>45546.68743055555</v>
      </c>
      <c r="C680" s="1" t="n">
        <v>45985</v>
      </c>
      <c r="D680" t="inlineStr">
        <is>
          <t>ÖREBRO LÄN</t>
        </is>
      </c>
      <c r="E680" t="inlineStr">
        <is>
          <t>LINDESBERG</t>
        </is>
      </c>
      <c r="F680" t="inlineStr">
        <is>
          <t>Kyrkan</t>
        </is>
      </c>
      <c r="G680" t="n">
        <v>1.6</v>
      </c>
      <c r="H680" t="n">
        <v>0</v>
      </c>
      <c r="I680" t="n">
        <v>0</v>
      </c>
      <c r="J680" t="n">
        <v>0</v>
      </c>
      <c r="K680" t="n">
        <v>0</v>
      </c>
      <c r="L680" t="n">
        <v>0</v>
      </c>
      <c r="M680" t="n">
        <v>0</v>
      </c>
      <c r="N680" t="n">
        <v>0</v>
      </c>
      <c r="O680" t="n">
        <v>0</v>
      </c>
      <c r="P680" t="n">
        <v>0</v>
      </c>
      <c r="Q680" t="n">
        <v>0</v>
      </c>
      <c r="R680" s="2" t="inlineStr"/>
    </row>
    <row r="681" ht="15" customHeight="1">
      <c r="A681" t="inlineStr">
        <is>
          <t>A 73500-2021</t>
        </is>
      </c>
      <c r="B681" s="1" t="n">
        <v>44551</v>
      </c>
      <c r="C681" s="1" t="n">
        <v>45985</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56507-2021</t>
        </is>
      </c>
      <c r="B682" s="1" t="n">
        <v>44480.58034722223</v>
      </c>
      <c r="C682" s="1" t="n">
        <v>45985</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65194-2023</t>
        </is>
      </c>
      <c r="B683" s="1" t="n">
        <v>45289</v>
      </c>
      <c r="C683" s="1" t="n">
        <v>45985</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9436-2023</t>
        </is>
      </c>
      <c r="B684" s="1" t="n">
        <v>44981</v>
      </c>
      <c r="C684" s="1" t="n">
        <v>45985</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36121-2023</t>
        </is>
      </c>
      <c r="B685" s="1" t="n">
        <v>45148</v>
      </c>
      <c r="C685" s="1" t="n">
        <v>45985</v>
      </c>
      <c r="D685" t="inlineStr">
        <is>
          <t>ÖREBRO LÄN</t>
        </is>
      </c>
      <c r="E685" t="inlineStr">
        <is>
          <t>LINDESBERG</t>
        </is>
      </c>
      <c r="G685" t="n">
        <v>7.1</v>
      </c>
      <c r="H685" t="n">
        <v>0</v>
      </c>
      <c r="I685" t="n">
        <v>0</v>
      </c>
      <c r="J685" t="n">
        <v>0</v>
      </c>
      <c r="K685" t="n">
        <v>0</v>
      </c>
      <c r="L685" t="n">
        <v>0</v>
      </c>
      <c r="M685" t="n">
        <v>0</v>
      </c>
      <c r="N685" t="n">
        <v>0</v>
      </c>
      <c r="O685" t="n">
        <v>0</v>
      </c>
      <c r="P685" t="n">
        <v>0</v>
      </c>
      <c r="Q685" t="n">
        <v>0</v>
      </c>
      <c r="R685" s="2" t="inlineStr"/>
    </row>
    <row r="686" ht="15" customHeight="1">
      <c r="A686" t="inlineStr">
        <is>
          <t>A 34838-2023</t>
        </is>
      </c>
      <c r="B686" s="1" t="n">
        <v>45141.76530092592</v>
      </c>
      <c r="C686" s="1" t="n">
        <v>45985</v>
      </c>
      <c r="D686" t="inlineStr">
        <is>
          <t>ÖREBRO LÄN</t>
        </is>
      </c>
      <c r="E686" t="inlineStr">
        <is>
          <t>LINDESBERG</t>
        </is>
      </c>
      <c r="G686" t="n">
        <v>3</v>
      </c>
      <c r="H686" t="n">
        <v>0</v>
      </c>
      <c r="I686" t="n">
        <v>0</v>
      </c>
      <c r="J686" t="n">
        <v>0</v>
      </c>
      <c r="K686" t="n">
        <v>0</v>
      </c>
      <c r="L686" t="n">
        <v>0</v>
      </c>
      <c r="M686" t="n">
        <v>0</v>
      </c>
      <c r="N686" t="n">
        <v>0</v>
      </c>
      <c r="O686" t="n">
        <v>0</v>
      </c>
      <c r="P686" t="n">
        <v>0</v>
      </c>
      <c r="Q686" t="n">
        <v>0</v>
      </c>
      <c r="R686" s="2" t="inlineStr"/>
    </row>
    <row r="687" ht="15" customHeight="1">
      <c r="A687" t="inlineStr">
        <is>
          <t>A 31024-2023</t>
        </is>
      </c>
      <c r="B687" s="1" t="n">
        <v>45113</v>
      </c>
      <c r="C687" s="1" t="n">
        <v>45985</v>
      </c>
      <c r="D687" t="inlineStr">
        <is>
          <t>ÖREBRO LÄN</t>
        </is>
      </c>
      <c r="E687" t="inlineStr">
        <is>
          <t>LINDESBERG</t>
        </is>
      </c>
      <c r="G687" t="n">
        <v>5.1</v>
      </c>
      <c r="H687" t="n">
        <v>0</v>
      </c>
      <c r="I687" t="n">
        <v>0</v>
      </c>
      <c r="J687" t="n">
        <v>0</v>
      </c>
      <c r="K687" t="n">
        <v>0</v>
      </c>
      <c r="L687" t="n">
        <v>0</v>
      </c>
      <c r="M687" t="n">
        <v>0</v>
      </c>
      <c r="N687" t="n">
        <v>0</v>
      </c>
      <c r="O687" t="n">
        <v>0</v>
      </c>
      <c r="P687" t="n">
        <v>0</v>
      </c>
      <c r="Q687" t="n">
        <v>0</v>
      </c>
      <c r="R687" s="2" t="inlineStr"/>
    </row>
    <row r="688" ht="15" customHeight="1">
      <c r="A688" t="inlineStr">
        <is>
          <t>A 33281-2024</t>
        </is>
      </c>
      <c r="B688" s="1" t="n">
        <v>45518.71202546296</v>
      </c>
      <c r="C688" s="1" t="n">
        <v>45985</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33283-2024</t>
        </is>
      </c>
      <c r="B689" s="1" t="n">
        <v>45518.71591435185</v>
      </c>
      <c r="C689" s="1" t="n">
        <v>45985</v>
      </c>
      <c r="D689" t="inlineStr">
        <is>
          <t>ÖREBRO LÄN</t>
        </is>
      </c>
      <c r="E689" t="inlineStr">
        <is>
          <t>LINDESBERG</t>
        </is>
      </c>
      <c r="G689" t="n">
        <v>3.9</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45985</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48756-2024</t>
        </is>
      </c>
      <c r="B691" s="1" t="n">
        <v>45593.59681712963</v>
      </c>
      <c r="C691" s="1" t="n">
        <v>45985</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60449-2024</t>
        </is>
      </c>
      <c r="B692" s="1" t="n">
        <v>45643</v>
      </c>
      <c r="C692" s="1" t="n">
        <v>45985</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15060-2024</t>
        </is>
      </c>
      <c r="B693" s="1" t="n">
        <v>45399.56596064815</v>
      </c>
      <c r="C693" s="1" t="n">
        <v>45985</v>
      </c>
      <c r="D693" t="inlineStr">
        <is>
          <t>ÖREBRO LÄN</t>
        </is>
      </c>
      <c r="E693" t="inlineStr">
        <is>
          <t>LINDESBERG</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53510-2024</t>
        </is>
      </c>
      <c r="B694" s="1" t="n">
        <v>45614.5968287037</v>
      </c>
      <c r="C694" s="1" t="n">
        <v>45985</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34676-2023</t>
        </is>
      </c>
      <c r="B695" s="1" t="n">
        <v>45140</v>
      </c>
      <c r="C695" s="1" t="n">
        <v>45985</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61594-2024</t>
        </is>
      </c>
      <c r="B696" s="1" t="n">
        <v>45646.63482638889</v>
      </c>
      <c r="C696" s="1" t="n">
        <v>45985</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40563-2023</t>
        </is>
      </c>
      <c r="B697" s="1" t="n">
        <v>45170.45921296296</v>
      </c>
      <c r="C697" s="1" t="n">
        <v>45985</v>
      </c>
      <c r="D697" t="inlineStr">
        <is>
          <t>ÖREBRO LÄN</t>
        </is>
      </c>
      <c r="E697" t="inlineStr">
        <is>
          <t>LINDESBERG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7026-2024</t>
        </is>
      </c>
      <c r="B698" s="1" t="n">
        <v>45343.58587962963</v>
      </c>
      <c r="C698" s="1" t="n">
        <v>45985</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41353-2024</t>
        </is>
      </c>
      <c r="B699" s="1" t="n">
        <v>45559</v>
      </c>
      <c r="C699" s="1" t="n">
        <v>45985</v>
      </c>
      <c r="D699" t="inlineStr">
        <is>
          <t>ÖREBRO LÄN</t>
        </is>
      </c>
      <c r="E699" t="inlineStr">
        <is>
          <t>LINDESBERG</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51379-2023</t>
        </is>
      </c>
      <c r="B700" s="1" t="n">
        <v>45219</v>
      </c>
      <c r="C700" s="1" t="n">
        <v>45985</v>
      </c>
      <c r="D700" t="inlineStr">
        <is>
          <t>ÖREBRO LÄN</t>
        </is>
      </c>
      <c r="E700" t="inlineStr">
        <is>
          <t>LINDESBERG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5080-2024</t>
        </is>
      </c>
      <c r="B701" s="1" t="n">
        <v>45330</v>
      </c>
      <c r="C701" s="1" t="n">
        <v>45985</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12307-2025</t>
        </is>
      </c>
      <c r="B702" s="1" t="n">
        <v>45729.76231481481</v>
      </c>
      <c r="C702" s="1" t="n">
        <v>45985</v>
      </c>
      <c r="D702" t="inlineStr">
        <is>
          <t>ÖREBRO LÄN</t>
        </is>
      </c>
      <c r="E702" t="inlineStr">
        <is>
          <t>LINDESBERG</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45056-2024</t>
        </is>
      </c>
      <c r="B703" s="1" t="n">
        <v>45575.55273148148</v>
      </c>
      <c r="C703" s="1" t="n">
        <v>45985</v>
      </c>
      <c r="D703" t="inlineStr">
        <is>
          <t>ÖREBRO LÄN</t>
        </is>
      </c>
      <c r="E703" t="inlineStr">
        <is>
          <t>LINDESBERG</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45058-2024</t>
        </is>
      </c>
      <c r="B704" s="1" t="n">
        <v>45575.5547337963</v>
      </c>
      <c r="C704" s="1" t="n">
        <v>45985</v>
      </c>
      <c r="D704" t="inlineStr">
        <is>
          <t>ÖREBRO LÄN</t>
        </is>
      </c>
      <c r="E704" t="inlineStr">
        <is>
          <t>LINDESBERG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45063-2024</t>
        </is>
      </c>
      <c r="B705" s="1" t="n">
        <v>45575.55684027778</v>
      </c>
      <c r="C705" s="1" t="n">
        <v>45985</v>
      </c>
      <c r="D705" t="inlineStr">
        <is>
          <t>ÖREBRO LÄN</t>
        </is>
      </c>
      <c r="E705" t="inlineStr">
        <is>
          <t>LINDESBERG</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45072-2024</t>
        </is>
      </c>
      <c r="B706" s="1" t="n">
        <v>45575.56686342593</v>
      </c>
      <c r="C706" s="1" t="n">
        <v>45985</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45075-2024</t>
        </is>
      </c>
      <c r="B707" s="1" t="n">
        <v>45575.56820601852</v>
      </c>
      <c r="C707" s="1" t="n">
        <v>45985</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41948-2023</t>
        </is>
      </c>
      <c r="B708" s="1" t="n">
        <v>45177.33091435185</v>
      </c>
      <c r="C708" s="1" t="n">
        <v>45985</v>
      </c>
      <c r="D708" t="inlineStr">
        <is>
          <t>ÖREBRO LÄN</t>
        </is>
      </c>
      <c r="E708" t="inlineStr">
        <is>
          <t>LINDESBERG</t>
        </is>
      </c>
      <c r="F708" t="inlineStr">
        <is>
          <t>Kyrkan</t>
        </is>
      </c>
      <c r="G708" t="n">
        <v>1.4</v>
      </c>
      <c r="H708" t="n">
        <v>0</v>
      </c>
      <c r="I708" t="n">
        <v>0</v>
      </c>
      <c r="J708" t="n">
        <v>0</v>
      </c>
      <c r="K708" t="n">
        <v>0</v>
      </c>
      <c r="L708" t="n">
        <v>0</v>
      </c>
      <c r="M708" t="n">
        <v>0</v>
      </c>
      <c r="N708" t="n">
        <v>0</v>
      </c>
      <c r="O708" t="n">
        <v>0</v>
      </c>
      <c r="P708" t="n">
        <v>0</v>
      </c>
      <c r="Q708" t="n">
        <v>0</v>
      </c>
      <c r="R708" s="2" t="inlineStr"/>
    </row>
    <row r="709" ht="15" customHeight="1">
      <c r="A709" t="inlineStr">
        <is>
          <t>A 67016-2021</t>
        </is>
      </c>
      <c r="B709" s="1" t="n">
        <v>44522</v>
      </c>
      <c r="C709" s="1" t="n">
        <v>45985</v>
      </c>
      <c r="D709" t="inlineStr">
        <is>
          <t>ÖREBRO LÄN</t>
        </is>
      </c>
      <c r="E709" t="inlineStr">
        <is>
          <t>LINDESBERG</t>
        </is>
      </c>
      <c r="G709" t="n">
        <v>8</v>
      </c>
      <c r="H709" t="n">
        <v>0</v>
      </c>
      <c r="I709" t="n">
        <v>0</v>
      </c>
      <c r="J709" t="n">
        <v>0</v>
      </c>
      <c r="K709" t="n">
        <v>0</v>
      </c>
      <c r="L709" t="n">
        <v>0</v>
      </c>
      <c r="M709" t="n">
        <v>0</v>
      </c>
      <c r="N709" t="n">
        <v>0</v>
      </c>
      <c r="O709" t="n">
        <v>0</v>
      </c>
      <c r="P709" t="n">
        <v>0</v>
      </c>
      <c r="Q709" t="n">
        <v>0</v>
      </c>
      <c r="R709" s="2" t="inlineStr"/>
    </row>
    <row r="710" ht="15" customHeight="1">
      <c r="A710" t="inlineStr">
        <is>
          <t>A 10111-2022</t>
        </is>
      </c>
      <c r="B710" s="1" t="n">
        <v>44621.85737268518</v>
      </c>
      <c r="C710" s="1" t="n">
        <v>45985</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19960-2023</t>
        </is>
      </c>
      <c r="B711" s="1" t="n">
        <v>45054</v>
      </c>
      <c r="C711" s="1" t="n">
        <v>45985</v>
      </c>
      <c r="D711" t="inlineStr">
        <is>
          <t>ÖREBRO LÄN</t>
        </is>
      </c>
      <c r="E711" t="inlineStr">
        <is>
          <t>LINDESBERG</t>
        </is>
      </c>
      <c r="G711" t="n">
        <v>6.2</v>
      </c>
      <c r="H711" t="n">
        <v>0</v>
      </c>
      <c r="I711" t="n">
        <v>0</v>
      </c>
      <c r="J711" t="n">
        <v>0</v>
      </c>
      <c r="K711" t="n">
        <v>0</v>
      </c>
      <c r="L711" t="n">
        <v>0</v>
      </c>
      <c r="M711" t="n">
        <v>0</v>
      </c>
      <c r="N711" t="n">
        <v>0</v>
      </c>
      <c r="O711" t="n">
        <v>0</v>
      </c>
      <c r="P711" t="n">
        <v>0</v>
      </c>
      <c r="Q711" t="n">
        <v>0</v>
      </c>
      <c r="R711" s="2" t="inlineStr"/>
    </row>
    <row r="712" ht="15" customHeight="1">
      <c r="A712" t="inlineStr">
        <is>
          <t>A 50972-2023</t>
        </is>
      </c>
      <c r="B712" s="1" t="n">
        <v>45218</v>
      </c>
      <c r="C712" s="1" t="n">
        <v>45985</v>
      </c>
      <c r="D712" t="inlineStr">
        <is>
          <t>ÖREBRO LÄN</t>
        </is>
      </c>
      <c r="E712" t="inlineStr">
        <is>
          <t>LINDESBERG</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16919-2024</t>
        </is>
      </c>
      <c r="B713" s="1" t="n">
        <v>45411.65641203704</v>
      </c>
      <c r="C713" s="1" t="n">
        <v>45985</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33507-2023</t>
        </is>
      </c>
      <c r="B714" s="1" t="n">
        <v>45131</v>
      </c>
      <c r="C714" s="1" t="n">
        <v>45985</v>
      </c>
      <c r="D714" t="inlineStr">
        <is>
          <t>ÖREBRO LÄN</t>
        </is>
      </c>
      <c r="E714" t="inlineStr">
        <is>
          <t>LINDESBERG</t>
        </is>
      </c>
      <c r="G714" t="n">
        <v>3.2</v>
      </c>
      <c r="H714" t="n">
        <v>0</v>
      </c>
      <c r="I714" t="n">
        <v>0</v>
      </c>
      <c r="J714" t="n">
        <v>0</v>
      </c>
      <c r="K714" t="n">
        <v>0</v>
      </c>
      <c r="L714" t="n">
        <v>0</v>
      </c>
      <c r="M714" t="n">
        <v>0</v>
      </c>
      <c r="N714" t="n">
        <v>0</v>
      </c>
      <c r="O714" t="n">
        <v>0</v>
      </c>
      <c r="P714" t="n">
        <v>0</v>
      </c>
      <c r="Q714" t="n">
        <v>0</v>
      </c>
      <c r="R714" s="2" t="inlineStr"/>
    </row>
    <row r="715" ht="15" customHeight="1">
      <c r="A715" t="inlineStr">
        <is>
          <t>A 2406-2024</t>
        </is>
      </c>
      <c r="B715" s="1" t="n">
        <v>45310</v>
      </c>
      <c r="C715" s="1" t="n">
        <v>45985</v>
      </c>
      <c r="D715" t="inlineStr">
        <is>
          <t>ÖREBRO LÄN</t>
        </is>
      </c>
      <c r="E715" t="inlineStr">
        <is>
          <t>LINDESBERG</t>
        </is>
      </c>
      <c r="G715" t="n">
        <v>16.1</v>
      </c>
      <c r="H715" t="n">
        <v>0</v>
      </c>
      <c r="I715" t="n">
        <v>0</v>
      </c>
      <c r="J715" t="n">
        <v>0</v>
      </c>
      <c r="K715" t="n">
        <v>0</v>
      </c>
      <c r="L715" t="n">
        <v>0</v>
      </c>
      <c r="M715" t="n">
        <v>0</v>
      </c>
      <c r="N715" t="n">
        <v>0</v>
      </c>
      <c r="O715" t="n">
        <v>0</v>
      </c>
      <c r="P715" t="n">
        <v>0</v>
      </c>
      <c r="Q715" t="n">
        <v>0</v>
      </c>
      <c r="R715" s="2" t="inlineStr"/>
    </row>
    <row r="716" ht="15" customHeight="1">
      <c r="A716" t="inlineStr">
        <is>
          <t>A 17895-2022</t>
        </is>
      </c>
      <c r="B716" s="1" t="n">
        <v>44683</v>
      </c>
      <c r="C716" s="1" t="n">
        <v>45985</v>
      </c>
      <c r="D716" t="inlineStr">
        <is>
          <t>ÖREBRO LÄN</t>
        </is>
      </c>
      <c r="E716" t="inlineStr">
        <is>
          <t>LINDESBERG</t>
        </is>
      </c>
      <c r="G716" t="n">
        <v>1.3</v>
      </c>
      <c r="H716" t="n">
        <v>0</v>
      </c>
      <c r="I716" t="n">
        <v>0</v>
      </c>
      <c r="J716" t="n">
        <v>0</v>
      </c>
      <c r="K716" t="n">
        <v>0</v>
      </c>
      <c r="L716" t="n">
        <v>0</v>
      </c>
      <c r="M716" t="n">
        <v>0</v>
      </c>
      <c r="N716" t="n">
        <v>0</v>
      </c>
      <c r="O716" t="n">
        <v>0</v>
      </c>
      <c r="P716" t="n">
        <v>0</v>
      </c>
      <c r="Q716" t="n">
        <v>0</v>
      </c>
      <c r="R716" s="2" t="inlineStr"/>
    </row>
    <row r="717" ht="15" customHeight="1">
      <c r="A717" t="inlineStr">
        <is>
          <t>A 1395-2025</t>
        </is>
      </c>
      <c r="B717" s="1" t="n">
        <v>45667</v>
      </c>
      <c r="C717" s="1" t="n">
        <v>45985</v>
      </c>
      <c r="D717" t="inlineStr">
        <is>
          <t>ÖREBRO LÄN</t>
        </is>
      </c>
      <c r="E717" t="inlineStr">
        <is>
          <t>LINDESBERG</t>
        </is>
      </c>
      <c r="G717" t="n">
        <v>4.6</v>
      </c>
      <c r="H717" t="n">
        <v>0</v>
      </c>
      <c r="I717" t="n">
        <v>0</v>
      </c>
      <c r="J717" t="n">
        <v>0</v>
      </c>
      <c r="K717" t="n">
        <v>0</v>
      </c>
      <c r="L717" t="n">
        <v>0</v>
      </c>
      <c r="M717" t="n">
        <v>0</v>
      </c>
      <c r="N717" t="n">
        <v>0</v>
      </c>
      <c r="O717" t="n">
        <v>0</v>
      </c>
      <c r="P717" t="n">
        <v>0</v>
      </c>
      <c r="Q717" t="n">
        <v>0</v>
      </c>
      <c r="R717" s="2" t="inlineStr"/>
    </row>
    <row r="718" ht="15" customHeight="1">
      <c r="A718" t="inlineStr">
        <is>
          <t>A 52928-2024</t>
        </is>
      </c>
      <c r="B718" s="1" t="n">
        <v>45610</v>
      </c>
      <c r="C718" s="1" t="n">
        <v>45985</v>
      </c>
      <c r="D718" t="inlineStr">
        <is>
          <t>ÖREBRO LÄN</t>
        </is>
      </c>
      <c r="E718" t="inlineStr">
        <is>
          <t>LINDESBERG</t>
        </is>
      </c>
      <c r="G718" t="n">
        <v>8.6</v>
      </c>
      <c r="H718" t="n">
        <v>0</v>
      </c>
      <c r="I718" t="n">
        <v>0</v>
      </c>
      <c r="J718" t="n">
        <v>0</v>
      </c>
      <c r="K718" t="n">
        <v>0</v>
      </c>
      <c r="L718" t="n">
        <v>0</v>
      </c>
      <c r="M718" t="n">
        <v>0</v>
      </c>
      <c r="N718" t="n">
        <v>0</v>
      </c>
      <c r="O718" t="n">
        <v>0</v>
      </c>
      <c r="P718" t="n">
        <v>0</v>
      </c>
      <c r="Q718" t="n">
        <v>0</v>
      </c>
      <c r="R718" s="2" t="inlineStr"/>
    </row>
    <row r="719" ht="15" customHeight="1">
      <c r="A719" t="inlineStr">
        <is>
          <t>A 33716-2021</t>
        </is>
      </c>
      <c r="B719" s="1" t="n">
        <v>44378.46857638889</v>
      </c>
      <c r="C719" s="1" t="n">
        <v>45985</v>
      </c>
      <c r="D719" t="inlineStr">
        <is>
          <t>ÖREBRO LÄN</t>
        </is>
      </c>
      <c r="E719" t="inlineStr">
        <is>
          <t>LINDESBERG</t>
        </is>
      </c>
      <c r="G719" t="n">
        <v>4.6</v>
      </c>
      <c r="H719" t="n">
        <v>0</v>
      </c>
      <c r="I719" t="n">
        <v>0</v>
      </c>
      <c r="J719" t="n">
        <v>0</v>
      </c>
      <c r="K719" t="n">
        <v>0</v>
      </c>
      <c r="L719" t="n">
        <v>0</v>
      </c>
      <c r="M719" t="n">
        <v>0</v>
      </c>
      <c r="N719" t="n">
        <v>0</v>
      </c>
      <c r="O719" t="n">
        <v>0</v>
      </c>
      <c r="P719" t="n">
        <v>0</v>
      </c>
      <c r="Q719" t="n">
        <v>0</v>
      </c>
      <c r="R719" s="2" t="inlineStr"/>
    </row>
    <row r="720" ht="15" customHeight="1">
      <c r="A720" t="inlineStr">
        <is>
          <t>A 40970-2023</t>
        </is>
      </c>
      <c r="B720" s="1" t="n">
        <v>45173</v>
      </c>
      <c r="C720" s="1" t="n">
        <v>45985</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13729-2025</t>
        </is>
      </c>
      <c r="B721" s="1" t="n">
        <v>45737.3846412037</v>
      </c>
      <c r="C721" s="1" t="n">
        <v>45985</v>
      </c>
      <c r="D721" t="inlineStr">
        <is>
          <t>ÖREBRO LÄN</t>
        </is>
      </c>
      <c r="E721" t="inlineStr">
        <is>
          <t>LINDESBERG</t>
        </is>
      </c>
      <c r="F721" t="inlineStr">
        <is>
          <t>Sveaskog</t>
        </is>
      </c>
      <c r="G721" t="n">
        <v>5.4</v>
      </c>
      <c r="H721" t="n">
        <v>0</v>
      </c>
      <c r="I721" t="n">
        <v>0</v>
      </c>
      <c r="J721" t="n">
        <v>0</v>
      </c>
      <c r="K721" t="n">
        <v>0</v>
      </c>
      <c r="L721" t="n">
        <v>0</v>
      </c>
      <c r="M721" t="n">
        <v>0</v>
      </c>
      <c r="N721" t="n">
        <v>0</v>
      </c>
      <c r="O721" t="n">
        <v>0</v>
      </c>
      <c r="P721" t="n">
        <v>0</v>
      </c>
      <c r="Q721" t="n">
        <v>0</v>
      </c>
      <c r="R721" s="2" t="inlineStr"/>
    </row>
    <row r="722" ht="15" customHeight="1">
      <c r="A722" t="inlineStr">
        <is>
          <t>A 60492-2024</t>
        </is>
      </c>
      <c r="B722" s="1" t="n">
        <v>45642</v>
      </c>
      <c r="C722" s="1" t="n">
        <v>45985</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40117-2023</t>
        </is>
      </c>
      <c r="B723" s="1" t="n">
        <v>45168.94197916667</v>
      </c>
      <c r="C723" s="1" t="n">
        <v>45985</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11366-2024</t>
        </is>
      </c>
      <c r="B724" s="1" t="n">
        <v>45372.40246527778</v>
      </c>
      <c r="C724" s="1" t="n">
        <v>45985</v>
      </c>
      <c r="D724" t="inlineStr">
        <is>
          <t>ÖREBRO LÄN</t>
        </is>
      </c>
      <c r="E724" t="inlineStr">
        <is>
          <t>LINDESBERG</t>
        </is>
      </c>
      <c r="G724" t="n">
        <v>4.4</v>
      </c>
      <c r="H724" t="n">
        <v>0</v>
      </c>
      <c r="I724" t="n">
        <v>0</v>
      </c>
      <c r="J724" t="n">
        <v>0</v>
      </c>
      <c r="K724" t="n">
        <v>0</v>
      </c>
      <c r="L724" t="n">
        <v>0</v>
      </c>
      <c r="M724" t="n">
        <v>0</v>
      </c>
      <c r="N724" t="n">
        <v>0</v>
      </c>
      <c r="O724" t="n">
        <v>0</v>
      </c>
      <c r="P724" t="n">
        <v>0</v>
      </c>
      <c r="Q724" t="n">
        <v>0</v>
      </c>
      <c r="R724" s="2" t="inlineStr"/>
    </row>
    <row r="725" ht="15" customHeight="1">
      <c r="A725" t="inlineStr">
        <is>
          <t>A 60943-2024</t>
        </is>
      </c>
      <c r="B725" s="1" t="n">
        <v>45645.3737962963</v>
      </c>
      <c r="C725" s="1" t="n">
        <v>45985</v>
      </c>
      <c r="D725" t="inlineStr">
        <is>
          <t>ÖREBRO LÄN</t>
        </is>
      </c>
      <c r="E725" t="inlineStr">
        <is>
          <t>LINDESBERG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56912-2024</t>
        </is>
      </c>
      <c r="B726" s="1" t="n">
        <v>45628.59233796296</v>
      </c>
      <c r="C726" s="1" t="n">
        <v>45985</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47620-2023</t>
        </is>
      </c>
      <c r="B727" s="1" t="n">
        <v>45203.510625</v>
      </c>
      <c r="C727" s="1" t="n">
        <v>45985</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44010-2023</t>
        </is>
      </c>
      <c r="B728" s="1" t="n">
        <v>45188</v>
      </c>
      <c r="C728" s="1" t="n">
        <v>45985</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45985</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45985</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45985</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45985</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45985</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27440-2023</t>
        </is>
      </c>
      <c r="B734" s="1" t="n">
        <v>45097.39893518519</v>
      </c>
      <c r="C734" s="1" t="n">
        <v>45985</v>
      </c>
      <c r="D734" t="inlineStr">
        <is>
          <t>ÖREBRO LÄN</t>
        </is>
      </c>
      <c r="E734" t="inlineStr">
        <is>
          <t>LINDESBERG</t>
        </is>
      </c>
      <c r="G734" t="n">
        <v>6.6</v>
      </c>
      <c r="H734" t="n">
        <v>0</v>
      </c>
      <c r="I734" t="n">
        <v>0</v>
      </c>
      <c r="J734" t="n">
        <v>0</v>
      </c>
      <c r="K734" t="n">
        <v>0</v>
      </c>
      <c r="L734" t="n">
        <v>0</v>
      </c>
      <c r="M734" t="n">
        <v>0</v>
      </c>
      <c r="N734" t="n">
        <v>0</v>
      </c>
      <c r="O734" t="n">
        <v>0</v>
      </c>
      <c r="P734" t="n">
        <v>0</v>
      </c>
      <c r="Q734" t="n">
        <v>0</v>
      </c>
      <c r="R734" s="2" t="inlineStr"/>
    </row>
    <row r="735" ht="15" customHeight="1">
      <c r="A735" t="inlineStr">
        <is>
          <t>A 40905-2023</t>
        </is>
      </c>
      <c r="B735" s="1" t="n">
        <v>45173.39315972223</v>
      </c>
      <c r="C735" s="1" t="n">
        <v>45985</v>
      </c>
      <c r="D735" t="inlineStr">
        <is>
          <t>ÖREBRO LÄN</t>
        </is>
      </c>
      <c r="E735" t="inlineStr">
        <is>
          <t>LINDESBERG</t>
        </is>
      </c>
      <c r="G735" t="n">
        <v>0.5</v>
      </c>
      <c r="H735" t="n">
        <v>0</v>
      </c>
      <c r="I735" t="n">
        <v>0</v>
      </c>
      <c r="J735" t="n">
        <v>0</v>
      </c>
      <c r="K735" t="n">
        <v>0</v>
      </c>
      <c r="L735" t="n">
        <v>0</v>
      </c>
      <c r="M735" t="n">
        <v>0</v>
      </c>
      <c r="N735" t="n">
        <v>0</v>
      </c>
      <c r="O735" t="n">
        <v>0</v>
      </c>
      <c r="P735" t="n">
        <v>0</v>
      </c>
      <c r="Q735" t="n">
        <v>0</v>
      </c>
      <c r="R735" s="2" t="inlineStr"/>
    </row>
    <row r="736" ht="15" customHeight="1">
      <c r="A736" t="inlineStr">
        <is>
          <t>A 41951-2023</t>
        </is>
      </c>
      <c r="B736" s="1" t="n">
        <v>45177.33991898148</v>
      </c>
      <c r="C736" s="1" t="n">
        <v>45985</v>
      </c>
      <c r="D736" t="inlineStr">
        <is>
          <t>ÖREBRO LÄN</t>
        </is>
      </c>
      <c r="E736" t="inlineStr">
        <is>
          <t>LINDESBERG</t>
        </is>
      </c>
      <c r="F736" t="inlineStr">
        <is>
          <t>Kyrkan</t>
        </is>
      </c>
      <c r="G736" t="n">
        <v>3.3</v>
      </c>
      <c r="H736" t="n">
        <v>0</v>
      </c>
      <c r="I736" t="n">
        <v>0</v>
      </c>
      <c r="J736" t="n">
        <v>0</v>
      </c>
      <c r="K736" t="n">
        <v>0</v>
      </c>
      <c r="L736" t="n">
        <v>0</v>
      </c>
      <c r="M736" t="n">
        <v>0</v>
      </c>
      <c r="N736" t="n">
        <v>0</v>
      </c>
      <c r="O736" t="n">
        <v>0</v>
      </c>
      <c r="P736" t="n">
        <v>0</v>
      </c>
      <c r="Q736" t="n">
        <v>0</v>
      </c>
      <c r="R736" s="2" t="inlineStr"/>
    </row>
    <row r="737" ht="15" customHeight="1">
      <c r="A737" t="inlineStr">
        <is>
          <t>A 4310-2025</t>
        </is>
      </c>
      <c r="B737" s="1" t="n">
        <v>45685</v>
      </c>
      <c r="C737" s="1" t="n">
        <v>45985</v>
      </c>
      <c r="D737" t="inlineStr">
        <is>
          <t>ÖREBRO LÄN</t>
        </is>
      </c>
      <c r="E737" t="inlineStr">
        <is>
          <t>LINDESBERG</t>
        </is>
      </c>
      <c r="G737" t="n">
        <v>1.2</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45985</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45985</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45985</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7990-2025</t>
        </is>
      </c>
      <c r="B741" s="1" t="n">
        <v>45707</v>
      </c>
      <c r="C741" s="1" t="n">
        <v>45985</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61691-2023</t>
        </is>
      </c>
      <c r="B742" s="1" t="n">
        <v>45265.64142361111</v>
      </c>
      <c r="C742" s="1" t="n">
        <v>45985</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37507-2023</t>
        </is>
      </c>
      <c r="B743" s="1" t="n">
        <v>45158.41768518519</v>
      </c>
      <c r="C743" s="1" t="n">
        <v>45985</v>
      </c>
      <c r="D743" t="inlineStr">
        <is>
          <t>ÖREBRO LÄN</t>
        </is>
      </c>
      <c r="E743" t="inlineStr">
        <is>
          <t>LINDESBERG</t>
        </is>
      </c>
      <c r="G743" t="n">
        <v>0.6</v>
      </c>
      <c r="H743" t="n">
        <v>0</v>
      </c>
      <c r="I743" t="n">
        <v>0</v>
      </c>
      <c r="J743" t="n">
        <v>0</v>
      </c>
      <c r="K743" t="n">
        <v>0</v>
      </c>
      <c r="L743" t="n">
        <v>0</v>
      </c>
      <c r="M743" t="n">
        <v>0</v>
      </c>
      <c r="N743" t="n">
        <v>0</v>
      </c>
      <c r="O743" t="n">
        <v>0</v>
      </c>
      <c r="P743" t="n">
        <v>0</v>
      </c>
      <c r="Q743" t="n">
        <v>0</v>
      </c>
      <c r="R743" s="2" t="inlineStr"/>
    </row>
    <row r="744" ht="15" customHeight="1">
      <c r="A744" t="inlineStr">
        <is>
          <t>A 41576-2021</t>
        </is>
      </c>
      <c r="B744" s="1" t="n">
        <v>44425</v>
      </c>
      <c r="C744" s="1" t="n">
        <v>45985</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46675-2023</t>
        </is>
      </c>
      <c r="B745" s="1" t="n">
        <v>45194</v>
      </c>
      <c r="C745" s="1" t="n">
        <v>45985</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34434-2023</t>
        </is>
      </c>
      <c r="B746" s="1" t="n">
        <v>45139.63480324074</v>
      </c>
      <c r="C746" s="1" t="n">
        <v>45985</v>
      </c>
      <c r="D746" t="inlineStr">
        <is>
          <t>ÖREBRO LÄN</t>
        </is>
      </c>
      <c r="E746" t="inlineStr">
        <is>
          <t>LINDESBERG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54432-2023</t>
        </is>
      </c>
      <c r="B747" s="1" t="n">
        <v>45233.42121527778</v>
      </c>
      <c r="C747" s="1" t="n">
        <v>45985</v>
      </c>
      <c r="D747" t="inlineStr">
        <is>
          <t>ÖREBRO LÄN</t>
        </is>
      </c>
      <c r="E747" t="inlineStr">
        <is>
          <t>LINDESBERG</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15933-2025</t>
        </is>
      </c>
      <c r="B748" s="1" t="n">
        <v>45749.47251157407</v>
      </c>
      <c r="C748" s="1" t="n">
        <v>45985</v>
      </c>
      <c r="D748" t="inlineStr">
        <is>
          <t>ÖREBRO LÄN</t>
        </is>
      </c>
      <c r="E748" t="inlineStr">
        <is>
          <t>LINDESBERG</t>
        </is>
      </c>
      <c r="G748" t="n">
        <v>6.1</v>
      </c>
      <c r="H748" t="n">
        <v>0</v>
      </c>
      <c r="I748" t="n">
        <v>0</v>
      </c>
      <c r="J748" t="n">
        <v>0</v>
      </c>
      <c r="K748" t="n">
        <v>0</v>
      </c>
      <c r="L748" t="n">
        <v>0</v>
      </c>
      <c r="M748" t="n">
        <v>0</v>
      </c>
      <c r="N748" t="n">
        <v>0</v>
      </c>
      <c r="O748" t="n">
        <v>0</v>
      </c>
      <c r="P748" t="n">
        <v>0</v>
      </c>
      <c r="Q748" t="n">
        <v>0</v>
      </c>
      <c r="R748" s="2" t="inlineStr"/>
    </row>
    <row r="749" ht="15" customHeight="1">
      <c r="A749" t="inlineStr">
        <is>
          <t>A 15936-2025</t>
        </is>
      </c>
      <c r="B749" s="1" t="n">
        <v>45749.4737962963</v>
      </c>
      <c r="C749" s="1" t="n">
        <v>45985</v>
      </c>
      <c r="D749" t="inlineStr">
        <is>
          <t>ÖREBRO LÄN</t>
        </is>
      </c>
      <c r="E749" t="inlineStr">
        <is>
          <t>LINDESBERG</t>
        </is>
      </c>
      <c r="G749" t="n">
        <v>22.3</v>
      </c>
      <c r="H749" t="n">
        <v>0</v>
      </c>
      <c r="I749" t="n">
        <v>0</v>
      </c>
      <c r="J749" t="n">
        <v>0</v>
      </c>
      <c r="K749" t="n">
        <v>0</v>
      </c>
      <c r="L749" t="n">
        <v>0</v>
      </c>
      <c r="M749" t="n">
        <v>0</v>
      </c>
      <c r="N749" t="n">
        <v>0</v>
      </c>
      <c r="O749" t="n">
        <v>0</v>
      </c>
      <c r="P749" t="n">
        <v>0</v>
      </c>
      <c r="Q749" t="n">
        <v>0</v>
      </c>
      <c r="R749" s="2" t="inlineStr"/>
    </row>
    <row r="750" ht="15" customHeight="1">
      <c r="A750" t="inlineStr">
        <is>
          <t>A 1490-2024</t>
        </is>
      </c>
      <c r="B750" s="1" t="n">
        <v>45305</v>
      </c>
      <c r="C750" s="1" t="n">
        <v>45985</v>
      </c>
      <c r="D750" t="inlineStr">
        <is>
          <t>ÖREBRO LÄN</t>
        </is>
      </c>
      <c r="E750" t="inlineStr">
        <is>
          <t>LINDESBERG</t>
        </is>
      </c>
      <c r="G750" t="n">
        <v>17.6</v>
      </c>
      <c r="H750" t="n">
        <v>0</v>
      </c>
      <c r="I750" t="n">
        <v>0</v>
      </c>
      <c r="J750" t="n">
        <v>0</v>
      </c>
      <c r="K750" t="n">
        <v>0</v>
      </c>
      <c r="L750" t="n">
        <v>0</v>
      </c>
      <c r="M750" t="n">
        <v>0</v>
      </c>
      <c r="N750" t="n">
        <v>0</v>
      </c>
      <c r="O750" t="n">
        <v>0</v>
      </c>
      <c r="P750" t="n">
        <v>0</v>
      </c>
      <c r="Q750" t="n">
        <v>0</v>
      </c>
      <c r="R750" s="2" t="inlineStr"/>
    </row>
    <row r="751" ht="15" customHeight="1">
      <c r="A751" t="inlineStr">
        <is>
          <t>A 53168-2023</t>
        </is>
      </c>
      <c r="B751" s="1" t="n">
        <v>45229</v>
      </c>
      <c r="C751" s="1" t="n">
        <v>45985</v>
      </c>
      <c r="D751" t="inlineStr">
        <is>
          <t>ÖREBRO LÄN</t>
        </is>
      </c>
      <c r="E751" t="inlineStr">
        <is>
          <t>LINDESBERG</t>
        </is>
      </c>
      <c r="G751" t="n">
        <v>1.5</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45985</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4603-2024</t>
        </is>
      </c>
      <c r="B753" s="1" t="n">
        <v>45328</v>
      </c>
      <c r="C753" s="1" t="n">
        <v>45985</v>
      </c>
      <c r="D753" t="inlineStr">
        <is>
          <t>ÖREBRO LÄN</t>
        </is>
      </c>
      <c r="E753" t="inlineStr">
        <is>
          <t>LINDESBERG</t>
        </is>
      </c>
      <c r="F753" t="inlineStr">
        <is>
          <t>BillerudKorsnäs AB</t>
        </is>
      </c>
      <c r="G753" t="n">
        <v>4.3</v>
      </c>
      <c r="H753" t="n">
        <v>0</v>
      </c>
      <c r="I753" t="n">
        <v>0</v>
      </c>
      <c r="J753" t="n">
        <v>0</v>
      </c>
      <c r="K753" t="n">
        <v>0</v>
      </c>
      <c r="L753" t="n">
        <v>0</v>
      </c>
      <c r="M753" t="n">
        <v>0</v>
      </c>
      <c r="N753" t="n">
        <v>0</v>
      </c>
      <c r="O753" t="n">
        <v>0</v>
      </c>
      <c r="P753" t="n">
        <v>0</v>
      </c>
      <c r="Q753" t="n">
        <v>0</v>
      </c>
      <c r="R753" s="2" t="inlineStr"/>
    </row>
    <row r="754" ht="15" customHeight="1">
      <c r="A754" t="inlineStr">
        <is>
          <t>A 53062-2023</t>
        </is>
      </c>
      <c r="B754" s="1" t="n">
        <v>45227.31859953704</v>
      </c>
      <c r="C754" s="1" t="n">
        <v>45985</v>
      </c>
      <c r="D754" t="inlineStr">
        <is>
          <t>ÖREBRO LÄN</t>
        </is>
      </c>
      <c r="E754" t="inlineStr">
        <is>
          <t>LINDESBERG</t>
        </is>
      </c>
      <c r="G754" t="n">
        <v>3.1</v>
      </c>
      <c r="H754" t="n">
        <v>0</v>
      </c>
      <c r="I754" t="n">
        <v>0</v>
      </c>
      <c r="J754" t="n">
        <v>0</v>
      </c>
      <c r="K754" t="n">
        <v>0</v>
      </c>
      <c r="L754" t="n">
        <v>0</v>
      </c>
      <c r="M754" t="n">
        <v>0</v>
      </c>
      <c r="N754" t="n">
        <v>0</v>
      </c>
      <c r="O754" t="n">
        <v>0</v>
      </c>
      <c r="P754" t="n">
        <v>0</v>
      </c>
      <c r="Q754" t="n">
        <v>0</v>
      </c>
      <c r="R754" s="2" t="inlineStr"/>
    </row>
    <row r="755" ht="15" customHeight="1">
      <c r="A755" t="inlineStr">
        <is>
          <t>A 8902-2024</t>
        </is>
      </c>
      <c r="B755" s="1" t="n">
        <v>45357.34521990741</v>
      </c>
      <c r="C755" s="1" t="n">
        <v>45985</v>
      </c>
      <c r="D755" t="inlineStr">
        <is>
          <t>ÖREBRO LÄN</t>
        </is>
      </c>
      <c r="E755" t="inlineStr">
        <is>
          <t>LINDESBERG</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59631-2023</t>
        </is>
      </c>
      <c r="B756" s="1" t="n">
        <v>45254.68105324074</v>
      </c>
      <c r="C756" s="1" t="n">
        <v>45985</v>
      </c>
      <c r="D756" t="inlineStr">
        <is>
          <t>ÖREBRO LÄN</t>
        </is>
      </c>
      <c r="E756" t="inlineStr">
        <is>
          <t>LINDESBERG</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19110-2025</t>
        </is>
      </c>
      <c r="B757" s="1" t="n">
        <v>45768.49947916667</v>
      </c>
      <c r="C757" s="1" t="n">
        <v>45985</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21245-2024</t>
        </is>
      </c>
      <c r="B758" s="1" t="n">
        <v>45440</v>
      </c>
      <c r="C758" s="1" t="n">
        <v>45985</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29350-2022</t>
        </is>
      </c>
      <c r="B759" s="1" t="n">
        <v>44753</v>
      </c>
      <c r="C759" s="1" t="n">
        <v>45985</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10836-2024</t>
        </is>
      </c>
      <c r="B760" s="1" t="n">
        <v>45369</v>
      </c>
      <c r="C760" s="1" t="n">
        <v>45985</v>
      </c>
      <c r="D760" t="inlineStr">
        <is>
          <t>ÖREBRO LÄN</t>
        </is>
      </c>
      <c r="E760" t="inlineStr">
        <is>
          <t>LINDESBERG</t>
        </is>
      </c>
      <c r="G760" t="n">
        <v>2.8</v>
      </c>
      <c r="H760" t="n">
        <v>0</v>
      </c>
      <c r="I760" t="n">
        <v>0</v>
      </c>
      <c r="J760" t="n">
        <v>0</v>
      </c>
      <c r="K760" t="n">
        <v>0</v>
      </c>
      <c r="L760" t="n">
        <v>0</v>
      </c>
      <c r="M760" t="n">
        <v>0</v>
      </c>
      <c r="N760" t="n">
        <v>0</v>
      </c>
      <c r="O760" t="n">
        <v>0</v>
      </c>
      <c r="P760" t="n">
        <v>0</v>
      </c>
      <c r="Q760" t="n">
        <v>0</v>
      </c>
      <c r="R760" s="2" t="inlineStr"/>
    </row>
    <row r="761" ht="15" customHeight="1">
      <c r="A761" t="inlineStr">
        <is>
          <t>A 2414-2024</t>
        </is>
      </c>
      <c r="B761" s="1" t="n">
        <v>45310.87931712963</v>
      </c>
      <c r="C761" s="1" t="n">
        <v>45985</v>
      </c>
      <c r="D761" t="inlineStr">
        <is>
          <t>ÖREBRO LÄN</t>
        </is>
      </c>
      <c r="E761" t="inlineStr">
        <is>
          <t>LINDESBERG</t>
        </is>
      </c>
      <c r="G761" t="n">
        <v>7.2</v>
      </c>
      <c r="H761" t="n">
        <v>0</v>
      </c>
      <c r="I761" t="n">
        <v>0</v>
      </c>
      <c r="J761" t="n">
        <v>0</v>
      </c>
      <c r="K761" t="n">
        <v>0</v>
      </c>
      <c r="L761" t="n">
        <v>0</v>
      </c>
      <c r="M761" t="n">
        <v>0</v>
      </c>
      <c r="N761" t="n">
        <v>0</v>
      </c>
      <c r="O761" t="n">
        <v>0</v>
      </c>
      <c r="P761" t="n">
        <v>0</v>
      </c>
      <c r="Q761" t="n">
        <v>0</v>
      </c>
      <c r="R761" s="2" t="inlineStr"/>
    </row>
    <row r="762" ht="15" customHeight="1">
      <c r="A762" t="inlineStr">
        <is>
          <t>A 28463-2024</t>
        </is>
      </c>
      <c r="B762" s="1" t="n">
        <v>45477.70315972222</v>
      </c>
      <c r="C762" s="1" t="n">
        <v>45985</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63668-2023</t>
        </is>
      </c>
      <c r="B763" s="1" t="n">
        <v>45274</v>
      </c>
      <c r="C763" s="1" t="n">
        <v>45985</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8139-2023</t>
        </is>
      </c>
      <c r="B764" s="1" t="n">
        <v>44970</v>
      </c>
      <c r="C764" s="1" t="n">
        <v>45985</v>
      </c>
      <c r="D764" t="inlineStr">
        <is>
          <t>ÖREBRO LÄN</t>
        </is>
      </c>
      <c r="E764" t="inlineStr">
        <is>
          <t>LINDESBERG</t>
        </is>
      </c>
      <c r="G764" t="n">
        <v>3.6</v>
      </c>
      <c r="H764" t="n">
        <v>0</v>
      </c>
      <c r="I764" t="n">
        <v>0</v>
      </c>
      <c r="J764" t="n">
        <v>0</v>
      </c>
      <c r="K764" t="n">
        <v>0</v>
      </c>
      <c r="L764" t="n">
        <v>0</v>
      </c>
      <c r="M764" t="n">
        <v>0</v>
      </c>
      <c r="N764" t="n">
        <v>0</v>
      </c>
      <c r="O764" t="n">
        <v>0</v>
      </c>
      <c r="P764" t="n">
        <v>0</v>
      </c>
      <c r="Q764" t="n">
        <v>0</v>
      </c>
      <c r="R764" s="2" t="inlineStr"/>
    </row>
    <row r="765" ht="15" customHeight="1">
      <c r="A765" t="inlineStr">
        <is>
          <t>A 12276-2025</t>
        </is>
      </c>
      <c r="B765" s="1" t="n">
        <v>45729.65061342593</v>
      </c>
      <c r="C765" s="1" t="n">
        <v>45985</v>
      </c>
      <c r="D765" t="inlineStr">
        <is>
          <t>ÖREBRO LÄN</t>
        </is>
      </c>
      <c r="E765" t="inlineStr">
        <is>
          <t>LINDESBERG</t>
        </is>
      </c>
      <c r="G765" t="n">
        <v>7.6</v>
      </c>
      <c r="H765" t="n">
        <v>0</v>
      </c>
      <c r="I765" t="n">
        <v>0</v>
      </c>
      <c r="J765" t="n">
        <v>0</v>
      </c>
      <c r="K765" t="n">
        <v>0</v>
      </c>
      <c r="L765" t="n">
        <v>0</v>
      </c>
      <c r="M765" t="n">
        <v>0</v>
      </c>
      <c r="N765" t="n">
        <v>0</v>
      </c>
      <c r="O765" t="n">
        <v>0</v>
      </c>
      <c r="P765" t="n">
        <v>0</v>
      </c>
      <c r="Q765" t="n">
        <v>0</v>
      </c>
      <c r="R765" s="2" t="inlineStr"/>
    </row>
    <row r="766" ht="15" customHeight="1">
      <c r="A766" t="inlineStr">
        <is>
          <t>A 36291-2022</t>
        </is>
      </c>
      <c r="B766" s="1" t="n">
        <v>44803.64361111111</v>
      </c>
      <c r="C766" s="1" t="n">
        <v>45985</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61597-2023</t>
        </is>
      </c>
      <c r="B767" s="1" t="n">
        <v>45265.49225694445</v>
      </c>
      <c r="C767" s="1" t="n">
        <v>45985</v>
      </c>
      <c r="D767" t="inlineStr">
        <is>
          <t>ÖREBRO LÄN</t>
        </is>
      </c>
      <c r="E767" t="inlineStr">
        <is>
          <t>LINDESBERG</t>
        </is>
      </c>
      <c r="G767" t="n">
        <v>10.3</v>
      </c>
      <c r="H767" t="n">
        <v>0</v>
      </c>
      <c r="I767" t="n">
        <v>0</v>
      </c>
      <c r="J767" t="n">
        <v>0</v>
      </c>
      <c r="K767" t="n">
        <v>0</v>
      </c>
      <c r="L767" t="n">
        <v>0</v>
      </c>
      <c r="M767" t="n">
        <v>0</v>
      </c>
      <c r="N767" t="n">
        <v>0</v>
      </c>
      <c r="O767" t="n">
        <v>0</v>
      </c>
      <c r="P767" t="n">
        <v>0</v>
      </c>
      <c r="Q767" t="n">
        <v>0</v>
      </c>
      <c r="R767" s="2" t="inlineStr"/>
    </row>
    <row r="768" ht="15" customHeight="1">
      <c r="A768" t="inlineStr">
        <is>
          <t>A 62968-2023</t>
        </is>
      </c>
      <c r="B768" s="1" t="n">
        <v>45272.57385416667</v>
      </c>
      <c r="C768" s="1" t="n">
        <v>45985</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24270-2023</t>
        </is>
      </c>
      <c r="B769" s="1" t="n">
        <v>45079</v>
      </c>
      <c r="C769" s="1" t="n">
        <v>45985</v>
      </c>
      <c r="D769" t="inlineStr">
        <is>
          <t>ÖREBRO LÄN</t>
        </is>
      </c>
      <c r="E769" t="inlineStr">
        <is>
          <t>LINDESBERG</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24271-2023</t>
        </is>
      </c>
      <c r="B770" s="1" t="n">
        <v>45079</v>
      </c>
      <c r="C770" s="1" t="n">
        <v>45985</v>
      </c>
      <c r="D770" t="inlineStr">
        <is>
          <t>ÖREBRO LÄN</t>
        </is>
      </c>
      <c r="E770" t="inlineStr">
        <is>
          <t>LINDESBERG</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62866-2023</t>
        </is>
      </c>
      <c r="B771" s="1" t="n">
        <v>45272.36168981482</v>
      </c>
      <c r="C771" s="1" t="n">
        <v>45985</v>
      </c>
      <c r="D771" t="inlineStr">
        <is>
          <t>ÖREBRO LÄN</t>
        </is>
      </c>
      <c r="E771" t="inlineStr">
        <is>
          <t>LINDESBERG</t>
        </is>
      </c>
      <c r="G771" t="n">
        <v>14.5</v>
      </c>
      <c r="H771" t="n">
        <v>0</v>
      </c>
      <c r="I771" t="n">
        <v>0</v>
      </c>
      <c r="J771" t="n">
        <v>0</v>
      </c>
      <c r="K771" t="n">
        <v>0</v>
      </c>
      <c r="L771" t="n">
        <v>0</v>
      </c>
      <c r="M771" t="n">
        <v>0</v>
      </c>
      <c r="N771" t="n">
        <v>0</v>
      </c>
      <c r="O771" t="n">
        <v>0</v>
      </c>
      <c r="P771" t="n">
        <v>0</v>
      </c>
      <c r="Q771" t="n">
        <v>0</v>
      </c>
      <c r="R771" s="2" t="inlineStr"/>
    </row>
    <row r="772" ht="15" customHeight="1">
      <c r="A772" t="inlineStr">
        <is>
          <t>A 13416-2025</t>
        </is>
      </c>
      <c r="B772" s="1" t="n">
        <v>45736.308125</v>
      </c>
      <c r="C772" s="1" t="n">
        <v>45985</v>
      </c>
      <c r="D772" t="inlineStr">
        <is>
          <t>ÖREBRO LÄN</t>
        </is>
      </c>
      <c r="E772" t="inlineStr">
        <is>
          <t>LINDESBERG</t>
        </is>
      </c>
      <c r="G772" t="n">
        <v>2.2</v>
      </c>
      <c r="H772" t="n">
        <v>0</v>
      </c>
      <c r="I772" t="n">
        <v>0</v>
      </c>
      <c r="J772" t="n">
        <v>0</v>
      </c>
      <c r="K772" t="n">
        <v>0</v>
      </c>
      <c r="L772" t="n">
        <v>0</v>
      </c>
      <c r="M772" t="n">
        <v>0</v>
      </c>
      <c r="N772" t="n">
        <v>0</v>
      </c>
      <c r="O772" t="n">
        <v>0</v>
      </c>
      <c r="P772" t="n">
        <v>0</v>
      </c>
      <c r="Q772" t="n">
        <v>0</v>
      </c>
      <c r="R772" s="2" t="inlineStr"/>
    </row>
    <row r="773" ht="15" customHeight="1">
      <c r="A773" t="inlineStr">
        <is>
          <t>A 4013-2025</t>
        </is>
      </c>
      <c r="B773" s="1" t="n">
        <v>45684.5790162037</v>
      </c>
      <c r="C773" s="1" t="n">
        <v>45985</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44803-2024</t>
        </is>
      </c>
      <c r="B774" s="1" t="n">
        <v>45574.65087962963</v>
      </c>
      <c r="C774" s="1" t="n">
        <v>45985</v>
      </c>
      <c r="D774" t="inlineStr">
        <is>
          <t>ÖREBRO LÄN</t>
        </is>
      </c>
      <c r="E774" t="inlineStr">
        <is>
          <t>LINDESBERG</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27130-2024</t>
        </is>
      </c>
      <c r="B775" s="1" t="n">
        <v>45471.52072916667</v>
      </c>
      <c r="C775" s="1" t="n">
        <v>45985</v>
      </c>
      <c r="D775" t="inlineStr">
        <is>
          <t>ÖREBRO LÄN</t>
        </is>
      </c>
      <c r="E775" t="inlineStr">
        <is>
          <t>LINDESBERG</t>
        </is>
      </c>
      <c r="G775" t="n">
        <v>2</v>
      </c>
      <c r="H775" t="n">
        <v>0</v>
      </c>
      <c r="I775" t="n">
        <v>0</v>
      </c>
      <c r="J775" t="n">
        <v>0</v>
      </c>
      <c r="K775" t="n">
        <v>0</v>
      </c>
      <c r="L775" t="n">
        <v>0</v>
      </c>
      <c r="M775" t="n">
        <v>0</v>
      </c>
      <c r="N775" t="n">
        <v>0</v>
      </c>
      <c r="O775" t="n">
        <v>0</v>
      </c>
      <c r="P775" t="n">
        <v>0</v>
      </c>
      <c r="Q775" t="n">
        <v>0</v>
      </c>
      <c r="R775" s="2" t="inlineStr"/>
    </row>
    <row r="776" ht="15" customHeight="1">
      <c r="A776" t="inlineStr">
        <is>
          <t>A 59804-2023</t>
        </is>
      </c>
      <c r="B776" s="1" t="n">
        <v>45257.48188657407</v>
      </c>
      <c r="C776" s="1" t="n">
        <v>45985</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27434-2023</t>
        </is>
      </c>
      <c r="B777" s="1" t="n">
        <v>45097.38688657407</v>
      </c>
      <c r="C777" s="1" t="n">
        <v>45985</v>
      </c>
      <c r="D777" t="inlineStr">
        <is>
          <t>ÖREBRO LÄN</t>
        </is>
      </c>
      <c r="E777" t="inlineStr">
        <is>
          <t>LINDESBERG</t>
        </is>
      </c>
      <c r="G777" t="n">
        <v>10.7</v>
      </c>
      <c r="H777" t="n">
        <v>0</v>
      </c>
      <c r="I777" t="n">
        <v>0</v>
      </c>
      <c r="J777" t="n">
        <v>0</v>
      </c>
      <c r="K777" t="n">
        <v>0</v>
      </c>
      <c r="L777" t="n">
        <v>0</v>
      </c>
      <c r="M777" t="n">
        <v>0</v>
      </c>
      <c r="N777" t="n">
        <v>0</v>
      </c>
      <c r="O777" t="n">
        <v>0</v>
      </c>
      <c r="P777" t="n">
        <v>0</v>
      </c>
      <c r="Q777" t="n">
        <v>0</v>
      </c>
      <c r="R777" s="2" t="inlineStr"/>
    </row>
    <row r="778" ht="15" customHeight="1">
      <c r="A778" t="inlineStr">
        <is>
          <t>A 45060-2024</t>
        </is>
      </c>
      <c r="B778" s="1" t="n">
        <v>45575.55570601852</v>
      </c>
      <c r="C778" s="1" t="n">
        <v>45985</v>
      </c>
      <c r="D778" t="inlineStr">
        <is>
          <t>ÖREBRO LÄN</t>
        </is>
      </c>
      <c r="E778" t="inlineStr">
        <is>
          <t>LINDESBERG</t>
        </is>
      </c>
      <c r="F778" t="inlineStr">
        <is>
          <t>Sveaskog</t>
        </is>
      </c>
      <c r="G778" t="n">
        <v>4.6</v>
      </c>
      <c r="H778" t="n">
        <v>0</v>
      </c>
      <c r="I778" t="n">
        <v>0</v>
      </c>
      <c r="J778" t="n">
        <v>0</v>
      </c>
      <c r="K778" t="n">
        <v>0</v>
      </c>
      <c r="L778" t="n">
        <v>0</v>
      </c>
      <c r="M778" t="n">
        <v>0</v>
      </c>
      <c r="N778" t="n">
        <v>0</v>
      </c>
      <c r="O778" t="n">
        <v>0</v>
      </c>
      <c r="P778" t="n">
        <v>0</v>
      </c>
      <c r="Q778" t="n">
        <v>0</v>
      </c>
      <c r="R778" s="2" t="inlineStr"/>
    </row>
    <row r="779" ht="15" customHeight="1">
      <c r="A779" t="inlineStr">
        <is>
          <t>A 72706-2021</t>
        </is>
      </c>
      <c r="B779" s="1" t="n">
        <v>44546.67222222222</v>
      </c>
      <c r="C779" s="1" t="n">
        <v>45985</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53366-2023</t>
        </is>
      </c>
      <c r="B780" s="1" t="n">
        <v>45229</v>
      </c>
      <c r="C780" s="1" t="n">
        <v>45985</v>
      </c>
      <c r="D780" t="inlineStr">
        <is>
          <t>ÖREBRO LÄN</t>
        </is>
      </c>
      <c r="E780" t="inlineStr">
        <is>
          <t>LINDESBERG</t>
        </is>
      </c>
      <c r="G780" t="n">
        <v>1.9</v>
      </c>
      <c r="H780" t="n">
        <v>0</v>
      </c>
      <c r="I780" t="n">
        <v>0</v>
      </c>
      <c r="J780" t="n">
        <v>0</v>
      </c>
      <c r="K780" t="n">
        <v>0</v>
      </c>
      <c r="L780" t="n">
        <v>0</v>
      </c>
      <c r="M780" t="n">
        <v>0</v>
      </c>
      <c r="N780" t="n">
        <v>0</v>
      </c>
      <c r="O780" t="n">
        <v>0</v>
      </c>
      <c r="P780" t="n">
        <v>0</v>
      </c>
      <c r="Q780" t="n">
        <v>0</v>
      </c>
      <c r="R780" s="2" t="inlineStr"/>
    </row>
    <row r="781" ht="15" customHeight="1">
      <c r="A781" t="inlineStr">
        <is>
          <t>A 19219-2023</t>
        </is>
      </c>
      <c r="B781" s="1" t="n">
        <v>45048</v>
      </c>
      <c r="C781" s="1" t="n">
        <v>45985</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19043-2023</t>
        </is>
      </c>
      <c r="B782" s="1" t="n">
        <v>45047.7181712963</v>
      </c>
      <c r="C782" s="1" t="n">
        <v>45985</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27031-2024</t>
        </is>
      </c>
      <c r="B783" s="1" t="n">
        <v>45471.42659722222</v>
      </c>
      <c r="C783" s="1" t="n">
        <v>45985</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38696-2024</t>
        </is>
      </c>
      <c r="B784" s="1" t="n">
        <v>45547.36590277778</v>
      </c>
      <c r="C784" s="1" t="n">
        <v>45985</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66214-2020</t>
        </is>
      </c>
      <c r="B785" s="1" t="n">
        <v>44175</v>
      </c>
      <c r="C785" s="1" t="n">
        <v>45985</v>
      </c>
      <c r="D785" t="inlineStr">
        <is>
          <t>ÖREBRO LÄN</t>
        </is>
      </c>
      <c r="E785" t="inlineStr">
        <is>
          <t>LINDESBERG</t>
        </is>
      </c>
      <c r="G785" t="n">
        <v>3.7</v>
      </c>
      <c r="H785" t="n">
        <v>0</v>
      </c>
      <c r="I785" t="n">
        <v>0</v>
      </c>
      <c r="J785" t="n">
        <v>0</v>
      </c>
      <c r="K785" t="n">
        <v>0</v>
      </c>
      <c r="L785" t="n">
        <v>0</v>
      </c>
      <c r="M785" t="n">
        <v>0</v>
      </c>
      <c r="N785" t="n">
        <v>0</v>
      </c>
      <c r="O785" t="n">
        <v>0</v>
      </c>
      <c r="P785" t="n">
        <v>0</v>
      </c>
      <c r="Q785" t="n">
        <v>0</v>
      </c>
      <c r="R785" s="2" t="inlineStr"/>
    </row>
    <row r="786" ht="15" customHeight="1">
      <c r="A786" t="inlineStr">
        <is>
          <t>A 4924-2021</t>
        </is>
      </c>
      <c r="B786" s="1" t="n">
        <v>44227</v>
      </c>
      <c r="C786" s="1" t="n">
        <v>45985</v>
      </c>
      <c r="D786" t="inlineStr">
        <is>
          <t>ÖREBRO LÄN</t>
        </is>
      </c>
      <c r="E786" t="inlineStr">
        <is>
          <t>LINDESBERG</t>
        </is>
      </c>
      <c r="G786" t="n">
        <v>1.6</v>
      </c>
      <c r="H786" t="n">
        <v>0</v>
      </c>
      <c r="I786" t="n">
        <v>0</v>
      </c>
      <c r="J786" t="n">
        <v>0</v>
      </c>
      <c r="K786" t="n">
        <v>0</v>
      </c>
      <c r="L786" t="n">
        <v>0</v>
      </c>
      <c r="M786" t="n">
        <v>0</v>
      </c>
      <c r="N786" t="n">
        <v>0</v>
      </c>
      <c r="O786" t="n">
        <v>0</v>
      </c>
      <c r="P786" t="n">
        <v>0</v>
      </c>
      <c r="Q786" t="n">
        <v>0</v>
      </c>
      <c r="R786" s="2" t="inlineStr"/>
    </row>
    <row r="787" ht="15" customHeight="1">
      <c r="A787" t="inlineStr">
        <is>
          <t>A 54663-2021</t>
        </is>
      </c>
      <c r="B787" s="1" t="n">
        <v>44473.6343287037</v>
      </c>
      <c r="C787" s="1" t="n">
        <v>45985</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32262-2021</t>
        </is>
      </c>
      <c r="B788" s="1" t="n">
        <v>44371.47609953704</v>
      </c>
      <c r="C788" s="1" t="n">
        <v>45985</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48265-2021</t>
        </is>
      </c>
      <c r="B789" s="1" t="n">
        <v>44449</v>
      </c>
      <c r="C789" s="1" t="n">
        <v>45985</v>
      </c>
      <c r="D789" t="inlineStr">
        <is>
          <t>ÖREBRO LÄN</t>
        </is>
      </c>
      <c r="E789" t="inlineStr">
        <is>
          <t>LINDESBERG</t>
        </is>
      </c>
      <c r="G789" t="n">
        <v>23.7</v>
      </c>
      <c r="H789" t="n">
        <v>0</v>
      </c>
      <c r="I789" t="n">
        <v>0</v>
      </c>
      <c r="J789" t="n">
        <v>0</v>
      </c>
      <c r="K789" t="n">
        <v>0</v>
      </c>
      <c r="L789" t="n">
        <v>0</v>
      </c>
      <c r="M789" t="n">
        <v>0</v>
      </c>
      <c r="N789" t="n">
        <v>0</v>
      </c>
      <c r="O789" t="n">
        <v>0</v>
      </c>
      <c r="P789" t="n">
        <v>0</v>
      </c>
      <c r="Q789" t="n">
        <v>0</v>
      </c>
      <c r="R789" s="2" t="inlineStr"/>
    </row>
    <row r="790" ht="15" customHeight="1">
      <c r="A790" t="inlineStr">
        <is>
          <t>A 14028-2023</t>
        </is>
      </c>
      <c r="B790" s="1" t="n">
        <v>45008</v>
      </c>
      <c r="C790" s="1" t="n">
        <v>45985</v>
      </c>
      <c r="D790" t="inlineStr">
        <is>
          <t>ÖREBRO LÄN</t>
        </is>
      </c>
      <c r="E790" t="inlineStr">
        <is>
          <t>LINDESBERG</t>
        </is>
      </c>
      <c r="F790" t="inlineStr">
        <is>
          <t>Kyrkan</t>
        </is>
      </c>
      <c r="G790" t="n">
        <v>1.1</v>
      </c>
      <c r="H790" t="n">
        <v>0</v>
      </c>
      <c r="I790" t="n">
        <v>0</v>
      </c>
      <c r="J790" t="n">
        <v>0</v>
      </c>
      <c r="K790" t="n">
        <v>0</v>
      </c>
      <c r="L790" t="n">
        <v>0</v>
      </c>
      <c r="M790" t="n">
        <v>0</v>
      </c>
      <c r="N790" t="n">
        <v>0</v>
      </c>
      <c r="O790" t="n">
        <v>0</v>
      </c>
      <c r="P790" t="n">
        <v>0</v>
      </c>
      <c r="Q790" t="n">
        <v>0</v>
      </c>
      <c r="R790" s="2" t="inlineStr"/>
    </row>
    <row r="791" ht="15" customHeight="1">
      <c r="A791" t="inlineStr">
        <is>
          <t>A 57069-2022</t>
        </is>
      </c>
      <c r="B791" s="1" t="n">
        <v>44895</v>
      </c>
      <c r="C791" s="1" t="n">
        <v>45985</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61405-2022</t>
        </is>
      </c>
      <c r="B792" s="1" t="n">
        <v>44916</v>
      </c>
      <c r="C792" s="1" t="n">
        <v>45985</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9961-2023</t>
        </is>
      </c>
      <c r="B793" s="1" t="n">
        <v>44979</v>
      </c>
      <c r="C793" s="1" t="n">
        <v>45985</v>
      </c>
      <c r="D793" t="inlineStr">
        <is>
          <t>ÖREBRO LÄN</t>
        </is>
      </c>
      <c r="E793" t="inlineStr">
        <is>
          <t>LINDESBERG</t>
        </is>
      </c>
      <c r="G793" t="n">
        <v>4.8</v>
      </c>
      <c r="H793" t="n">
        <v>0</v>
      </c>
      <c r="I793" t="n">
        <v>0</v>
      </c>
      <c r="J793" t="n">
        <v>0</v>
      </c>
      <c r="K793" t="n">
        <v>0</v>
      </c>
      <c r="L793" t="n">
        <v>0</v>
      </c>
      <c r="M793" t="n">
        <v>0</v>
      </c>
      <c r="N793" t="n">
        <v>0</v>
      </c>
      <c r="O793" t="n">
        <v>0</v>
      </c>
      <c r="P793" t="n">
        <v>0</v>
      </c>
      <c r="Q793" t="n">
        <v>0</v>
      </c>
      <c r="R793" s="2" t="inlineStr"/>
    </row>
    <row r="794" ht="15" customHeight="1">
      <c r="A794" t="inlineStr">
        <is>
          <t>A 45041-2024</t>
        </is>
      </c>
      <c r="B794" s="1" t="n">
        <v>45575.53690972222</v>
      </c>
      <c r="C794" s="1" t="n">
        <v>45985</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45068-2024</t>
        </is>
      </c>
      <c r="B795" s="1" t="n">
        <v>45575.56256944445</v>
      </c>
      <c r="C795" s="1" t="n">
        <v>45985</v>
      </c>
      <c r="D795" t="inlineStr">
        <is>
          <t>ÖREBRO LÄN</t>
        </is>
      </c>
      <c r="E795" t="inlineStr">
        <is>
          <t>LINDESBERG</t>
        </is>
      </c>
      <c r="F795" t="inlineStr">
        <is>
          <t>Sveaskog</t>
        </is>
      </c>
      <c r="G795" t="n">
        <v>16.5</v>
      </c>
      <c r="H795" t="n">
        <v>0</v>
      </c>
      <c r="I795" t="n">
        <v>0</v>
      </c>
      <c r="J795" t="n">
        <v>0</v>
      </c>
      <c r="K795" t="n">
        <v>0</v>
      </c>
      <c r="L795" t="n">
        <v>0</v>
      </c>
      <c r="M795" t="n">
        <v>0</v>
      </c>
      <c r="N795" t="n">
        <v>0</v>
      </c>
      <c r="O795" t="n">
        <v>0</v>
      </c>
      <c r="P795" t="n">
        <v>0</v>
      </c>
      <c r="Q795" t="n">
        <v>0</v>
      </c>
      <c r="R795" s="2" t="inlineStr"/>
    </row>
    <row r="796" ht="15" customHeight="1">
      <c r="A796" t="inlineStr">
        <is>
          <t>A 39419-2023</t>
        </is>
      </c>
      <c r="B796" s="1" t="n">
        <v>45166.68493055556</v>
      </c>
      <c r="C796" s="1" t="n">
        <v>45985</v>
      </c>
      <c r="D796" t="inlineStr">
        <is>
          <t>ÖREBRO LÄN</t>
        </is>
      </c>
      <c r="E796" t="inlineStr">
        <is>
          <t>LINDESBERG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10825-2021</t>
        </is>
      </c>
      <c r="B797" s="1" t="n">
        <v>44259</v>
      </c>
      <c r="C797" s="1" t="n">
        <v>45985</v>
      </c>
      <c r="D797" t="inlineStr">
        <is>
          <t>ÖREBRO LÄN</t>
        </is>
      </c>
      <c r="E797" t="inlineStr">
        <is>
          <t>LINDESBERG</t>
        </is>
      </c>
      <c r="G797" t="n">
        <v>7.4</v>
      </c>
      <c r="H797" t="n">
        <v>0</v>
      </c>
      <c r="I797" t="n">
        <v>0</v>
      </c>
      <c r="J797" t="n">
        <v>0</v>
      </c>
      <c r="K797" t="n">
        <v>0</v>
      </c>
      <c r="L797" t="n">
        <v>0</v>
      </c>
      <c r="M797" t="n">
        <v>0</v>
      </c>
      <c r="N797" t="n">
        <v>0</v>
      </c>
      <c r="O797" t="n">
        <v>0</v>
      </c>
      <c r="P797" t="n">
        <v>0</v>
      </c>
      <c r="Q797" t="n">
        <v>0</v>
      </c>
      <c r="R797" s="2" t="inlineStr"/>
    </row>
    <row r="798" ht="15" customHeight="1">
      <c r="A798" t="inlineStr">
        <is>
          <t>A 15745-2024</t>
        </is>
      </c>
      <c r="B798" s="1" t="n">
        <v>45404.55239583334</v>
      </c>
      <c r="C798" s="1" t="n">
        <v>45985</v>
      </c>
      <c r="D798" t="inlineStr">
        <is>
          <t>ÖREBRO LÄN</t>
        </is>
      </c>
      <c r="E798" t="inlineStr">
        <is>
          <t>LINDESBERG</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15750-2024</t>
        </is>
      </c>
      <c r="B799" s="1" t="n">
        <v>45404.55601851852</v>
      </c>
      <c r="C799" s="1" t="n">
        <v>45985</v>
      </c>
      <c r="D799" t="inlineStr">
        <is>
          <t>ÖREBRO LÄN</t>
        </is>
      </c>
      <c r="E799" t="inlineStr">
        <is>
          <t>LINDESBERG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60115-2022</t>
        </is>
      </c>
      <c r="B800" s="1" t="n">
        <v>44902</v>
      </c>
      <c r="C800" s="1" t="n">
        <v>45985</v>
      </c>
      <c r="D800" t="inlineStr">
        <is>
          <t>ÖREBRO LÄN</t>
        </is>
      </c>
      <c r="E800" t="inlineStr">
        <is>
          <t>LINDESBERG</t>
        </is>
      </c>
      <c r="G800" t="n">
        <v>0.5</v>
      </c>
      <c r="H800" t="n">
        <v>0</v>
      </c>
      <c r="I800" t="n">
        <v>0</v>
      </c>
      <c r="J800" t="n">
        <v>0</v>
      </c>
      <c r="K800" t="n">
        <v>0</v>
      </c>
      <c r="L800" t="n">
        <v>0</v>
      </c>
      <c r="M800" t="n">
        <v>0</v>
      </c>
      <c r="N800" t="n">
        <v>0</v>
      </c>
      <c r="O800" t="n">
        <v>0</v>
      </c>
      <c r="P800" t="n">
        <v>0</v>
      </c>
      <c r="Q800" t="n">
        <v>0</v>
      </c>
      <c r="R800" s="2" t="inlineStr"/>
    </row>
    <row r="801" ht="15" customHeight="1">
      <c r="A801" t="inlineStr">
        <is>
          <t>A 29857-2023</t>
        </is>
      </c>
      <c r="B801" s="1" t="n">
        <v>45107</v>
      </c>
      <c r="C801" s="1" t="n">
        <v>45985</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44664-2023</t>
        </is>
      </c>
      <c r="B802" s="1" t="n">
        <v>45189</v>
      </c>
      <c r="C802" s="1" t="n">
        <v>45985</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18610-2021</t>
        </is>
      </c>
      <c r="B803" s="1" t="n">
        <v>44306.6371412037</v>
      </c>
      <c r="C803" s="1" t="n">
        <v>45985</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19026-2021</t>
        </is>
      </c>
      <c r="B804" s="1" t="n">
        <v>44308</v>
      </c>
      <c r="C804" s="1" t="n">
        <v>45985</v>
      </c>
      <c r="D804" t="inlineStr">
        <is>
          <t>ÖREBRO LÄN</t>
        </is>
      </c>
      <c r="E804" t="inlineStr">
        <is>
          <t>LINDESBERG</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47535-2022</t>
        </is>
      </c>
      <c r="B805" s="1" t="n">
        <v>44853.79818287037</v>
      </c>
      <c r="C805" s="1" t="n">
        <v>45985</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30830-2024</t>
        </is>
      </c>
      <c r="B806" s="1" t="n">
        <v>45497</v>
      </c>
      <c r="C806" s="1" t="n">
        <v>45985</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59395-2022</t>
        </is>
      </c>
      <c r="B807" s="1" t="n">
        <v>44906.73321759259</v>
      </c>
      <c r="C807" s="1" t="n">
        <v>45985</v>
      </c>
      <c r="D807" t="inlineStr">
        <is>
          <t>ÖREBRO LÄN</t>
        </is>
      </c>
      <c r="E807" t="inlineStr">
        <is>
          <t>LINDESBERG</t>
        </is>
      </c>
      <c r="G807" t="n">
        <v>4.3</v>
      </c>
      <c r="H807" t="n">
        <v>0</v>
      </c>
      <c r="I807" t="n">
        <v>0</v>
      </c>
      <c r="J807" t="n">
        <v>0</v>
      </c>
      <c r="K807" t="n">
        <v>0</v>
      </c>
      <c r="L807" t="n">
        <v>0</v>
      </c>
      <c r="M807" t="n">
        <v>0</v>
      </c>
      <c r="N807" t="n">
        <v>0</v>
      </c>
      <c r="O807" t="n">
        <v>0</v>
      </c>
      <c r="P807" t="n">
        <v>0</v>
      </c>
      <c r="Q807" t="n">
        <v>0</v>
      </c>
      <c r="R807" s="2" t="inlineStr"/>
    </row>
    <row r="808" ht="15" customHeight="1">
      <c r="A808" t="inlineStr">
        <is>
          <t>A 55272-2023</t>
        </is>
      </c>
      <c r="B808" s="1" t="n">
        <v>45237.67819444444</v>
      </c>
      <c r="C808" s="1" t="n">
        <v>45985</v>
      </c>
      <c r="D808" t="inlineStr">
        <is>
          <t>ÖREBRO LÄN</t>
        </is>
      </c>
      <c r="E808" t="inlineStr">
        <is>
          <t>LINDESBERG</t>
        </is>
      </c>
      <c r="G808" t="n">
        <v>2.4</v>
      </c>
      <c r="H808" t="n">
        <v>0</v>
      </c>
      <c r="I808" t="n">
        <v>0</v>
      </c>
      <c r="J808" t="n">
        <v>0</v>
      </c>
      <c r="K808" t="n">
        <v>0</v>
      </c>
      <c r="L808" t="n">
        <v>0</v>
      </c>
      <c r="M808" t="n">
        <v>0</v>
      </c>
      <c r="N808" t="n">
        <v>0</v>
      </c>
      <c r="O808" t="n">
        <v>0</v>
      </c>
      <c r="P808" t="n">
        <v>0</v>
      </c>
      <c r="Q808" t="n">
        <v>0</v>
      </c>
      <c r="R808" s="2" t="inlineStr"/>
    </row>
    <row r="809" ht="15" customHeight="1">
      <c r="A809" t="inlineStr">
        <is>
          <t>A 53597-2024</t>
        </is>
      </c>
      <c r="B809" s="1" t="n">
        <v>45614.68083333333</v>
      </c>
      <c r="C809" s="1" t="n">
        <v>45985</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27576-2024</t>
        </is>
      </c>
      <c r="B810" s="1" t="n">
        <v>45474.65005787037</v>
      </c>
      <c r="C810" s="1" t="n">
        <v>45985</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21986-2023</t>
        </is>
      </c>
      <c r="B811" s="1" t="n">
        <v>45068</v>
      </c>
      <c r="C811" s="1" t="n">
        <v>45985</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52930-2024</t>
        </is>
      </c>
      <c r="B812" s="1" t="n">
        <v>45610.7466087963</v>
      </c>
      <c r="C812" s="1" t="n">
        <v>45985</v>
      </c>
      <c r="D812" t="inlineStr">
        <is>
          <t>ÖREBRO LÄN</t>
        </is>
      </c>
      <c r="E812" t="inlineStr">
        <is>
          <t>LINDESBERG</t>
        </is>
      </c>
      <c r="G812" t="n">
        <v>2.8</v>
      </c>
      <c r="H812" t="n">
        <v>0</v>
      </c>
      <c r="I812" t="n">
        <v>0</v>
      </c>
      <c r="J812" t="n">
        <v>0</v>
      </c>
      <c r="K812" t="n">
        <v>0</v>
      </c>
      <c r="L812" t="n">
        <v>0</v>
      </c>
      <c r="M812" t="n">
        <v>0</v>
      </c>
      <c r="N812" t="n">
        <v>0</v>
      </c>
      <c r="O812" t="n">
        <v>0</v>
      </c>
      <c r="P812" t="n">
        <v>0</v>
      </c>
      <c r="Q812" t="n">
        <v>0</v>
      </c>
      <c r="R812" s="2" t="inlineStr"/>
    </row>
    <row r="813" ht="15" customHeight="1">
      <c r="A813" t="inlineStr">
        <is>
          <t>A 2103-2022</t>
        </is>
      </c>
      <c r="B813" s="1" t="n">
        <v>44577.81121527778</v>
      </c>
      <c r="C813" s="1" t="n">
        <v>45985</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54860-2024</t>
        </is>
      </c>
      <c r="B814" s="1" t="n">
        <v>45618.59219907408</v>
      </c>
      <c r="C814" s="1" t="n">
        <v>45985</v>
      </c>
      <c r="D814" t="inlineStr">
        <is>
          <t>ÖREBRO LÄN</t>
        </is>
      </c>
      <c r="E814" t="inlineStr">
        <is>
          <t>LINDESBERG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49358-2023</t>
        </is>
      </c>
      <c r="B815" s="1" t="n">
        <v>45211</v>
      </c>
      <c r="C815" s="1" t="n">
        <v>45985</v>
      </c>
      <c r="D815" t="inlineStr">
        <is>
          <t>ÖREBRO LÄN</t>
        </is>
      </c>
      <c r="E815" t="inlineStr">
        <is>
          <t>LINDESBERG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23579-2022</t>
        </is>
      </c>
      <c r="B816" s="1" t="n">
        <v>44721.52627314815</v>
      </c>
      <c r="C816" s="1" t="n">
        <v>45985</v>
      </c>
      <c r="D816" t="inlineStr">
        <is>
          <t>ÖREBRO LÄN</t>
        </is>
      </c>
      <c r="E816" t="inlineStr">
        <is>
          <t>LINDESBERG</t>
        </is>
      </c>
      <c r="G816" t="n">
        <v>0.7</v>
      </c>
      <c r="H816" t="n">
        <v>0</v>
      </c>
      <c r="I816" t="n">
        <v>0</v>
      </c>
      <c r="J816" t="n">
        <v>0</v>
      </c>
      <c r="K816" t="n">
        <v>0</v>
      </c>
      <c r="L816" t="n">
        <v>0</v>
      </c>
      <c r="M816" t="n">
        <v>0</v>
      </c>
      <c r="N816" t="n">
        <v>0</v>
      </c>
      <c r="O816" t="n">
        <v>0</v>
      </c>
      <c r="P816" t="n">
        <v>0</v>
      </c>
      <c r="Q816" t="n">
        <v>0</v>
      </c>
      <c r="R816" s="2" t="inlineStr"/>
    </row>
    <row r="817" ht="15" customHeight="1">
      <c r="A817" t="inlineStr">
        <is>
          <t>A 32009-2023</t>
        </is>
      </c>
      <c r="B817" s="1" t="n">
        <v>45119</v>
      </c>
      <c r="C817" s="1" t="n">
        <v>45985</v>
      </c>
      <c r="D817" t="inlineStr">
        <is>
          <t>ÖREBRO LÄN</t>
        </is>
      </c>
      <c r="E817" t="inlineStr">
        <is>
          <t>LINDESBERG</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46647-2024</t>
        </is>
      </c>
      <c r="B818" s="1" t="n">
        <v>45583</v>
      </c>
      <c r="C818" s="1" t="n">
        <v>45985</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23260-2024</t>
        </is>
      </c>
      <c r="B819" s="1" t="n">
        <v>45453.36664351852</v>
      </c>
      <c r="C819" s="1" t="n">
        <v>45985</v>
      </c>
      <c r="D819" t="inlineStr">
        <is>
          <t>ÖREBRO LÄN</t>
        </is>
      </c>
      <c r="E819" t="inlineStr">
        <is>
          <t>LINDESBERG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26067-2022</t>
        </is>
      </c>
      <c r="B820" s="1" t="n">
        <v>44734.64337962963</v>
      </c>
      <c r="C820" s="1" t="n">
        <v>45985</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3233-2023</t>
        </is>
      </c>
      <c r="B821" s="1" t="n">
        <v>44946</v>
      </c>
      <c r="C821" s="1" t="n">
        <v>45985</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5047-2023</t>
        </is>
      </c>
      <c r="B822" s="1" t="n">
        <v>44958.58982638889</v>
      </c>
      <c r="C822" s="1" t="n">
        <v>45985</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8836-2023</t>
        </is>
      </c>
      <c r="B823" s="1" t="n">
        <v>44978</v>
      </c>
      <c r="C823" s="1" t="n">
        <v>45985</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38460-2024</t>
        </is>
      </c>
      <c r="B824" s="1" t="n">
        <v>45546.46497685185</v>
      </c>
      <c r="C824" s="1" t="n">
        <v>45985</v>
      </c>
      <c r="D824" t="inlineStr">
        <is>
          <t>ÖREBRO LÄN</t>
        </is>
      </c>
      <c r="E824" t="inlineStr">
        <is>
          <t>LINDESBERG</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46219-2022</t>
        </is>
      </c>
      <c r="B825" s="1" t="n">
        <v>44846</v>
      </c>
      <c r="C825" s="1" t="n">
        <v>45985</v>
      </c>
      <c r="D825" t="inlineStr">
        <is>
          <t>ÖREBRO LÄN</t>
        </is>
      </c>
      <c r="E825" t="inlineStr">
        <is>
          <t>LINDESBERG</t>
        </is>
      </c>
      <c r="G825" t="n">
        <v>6</v>
      </c>
      <c r="H825" t="n">
        <v>0</v>
      </c>
      <c r="I825" t="n">
        <v>0</v>
      </c>
      <c r="J825" t="n">
        <v>0</v>
      </c>
      <c r="K825" t="n">
        <v>0</v>
      </c>
      <c r="L825" t="n">
        <v>0</v>
      </c>
      <c r="M825" t="n">
        <v>0</v>
      </c>
      <c r="N825" t="n">
        <v>0</v>
      </c>
      <c r="O825" t="n">
        <v>0</v>
      </c>
      <c r="P825" t="n">
        <v>0</v>
      </c>
      <c r="Q825" t="n">
        <v>0</v>
      </c>
      <c r="R825" s="2" t="inlineStr"/>
    </row>
    <row r="826" ht="15" customHeight="1">
      <c r="A826" t="inlineStr">
        <is>
          <t>A 11953-2024</t>
        </is>
      </c>
      <c r="B826" s="1" t="n">
        <v>45376.70292824074</v>
      </c>
      <c r="C826" s="1" t="n">
        <v>45985</v>
      </c>
      <c r="D826" t="inlineStr">
        <is>
          <t>ÖREBRO LÄN</t>
        </is>
      </c>
      <c r="E826" t="inlineStr">
        <is>
          <t>LINDESBERG</t>
        </is>
      </c>
      <c r="G826" t="n">
        <v>5.7</v>
      </c>
      <c r="H826" t="n">
        <v>0</v>
      </c>
      <c r="I826" t="n">
        <v>0</v>
      </c>
      <c r="J826" t="n">
        <v>0</v>
      </c>
      <c r="K826" t="n">
        <v>0</v>
      </c>
      <c r="L826" t="n">
        <v>0</v>
      </c>
      <c r="M826" t="n">
        <v>0</v>
      </c>
      <c r="N826" t="n">
        <v>0</v>
      </c>
      <c r="O826" t="n">
        <v>0</v>
      </c>
      <c r="P826" t="n">
        <v>0</v>
      </c>
      <c r="Q826" t="n">
        <v>0</v>
      </c>
      <c r="R826" s="2" t="inlineStr"/>
    </row>
    <row r="827" ht="15" customHeight="1">
      <c r="A827" t="inlineStr">
        <is>
          <t>A 4440-2024</t>
        </is>
      </c>
      <c r="B827" s="1" t="n">
        <v>45327</v>
      </c>
      <c r="C827" s="1" t="n">
        <v>45985</v>
      </c>
      <c r="D827" t="inlineStr">
        <is>
          <t>ÖREBRO LÄN</t>
        </is>
      </c>
      <c r="E827" t="inlineStr">
        <is>
          <t>LINDESBERG</t>
        </is>
      </c>
      <c r="F827" t="inlineStr">
        <is>
          <t>BillerudKorsnäs AB</t>
        </is>
      </c>
      <c r="G827" t="n">
        <v>2</v>
      </c>
      <c r="H827" t="n">
        <v>0</v>
      </c>
      <c r="I827" t="n">
        <v>0</v>
      </c>
      <c r="J827" t="n">
        <v>0</v>
      </c>
      <c r="K827" t="n">
        <v>0</v>
      </c>
      <c r="L827" t="n">
        <v>0</v>
      </c>
      <c r="M827" t="n">
        <v>0</v>
      </c>
      <c r="N827" t="n">
        <v>0</v>
      </c>
      <c r="O827" t="n">
        <v>0</v>
      </c>
      <c r="P827" t="n">
        <v>0</v>
      </c>
      <c r="Q827" t="n">
        <v>0</v>
      </c>
      <c r="R827" s="2" t="inlineStr"/>
    </row>
    <row r="828" ht="15" customHeight="1">
      <c r="A828" t="inlineStr">
        <is>
          <t>A 48244-2024</t>
        </is>
      </c>
      <c r="B828" s="1" t="n">
        <v>45590.39471064815</v>
      </c>
      <c r="C828" s="1" t="n">
        <v>45985</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59633-2023</t>
        </is>
      </c>
      <c r="B829" s="1" t="n">
        <v>45254</v>
      </c>
      <c r="C829" s="1" t="n">
        <v>45985</v>
      </c>
      <c r="D829" t="inlineStr">
        <is>
          <t>ÖREBRO LÄN</t>
        </is>
      </c>
      <c r="E829" t="inlineStr">
        <is>
          <t>LINDESBERG</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18418-2025</t>
        </is>
      </c>
      <c r="B830" s="1" t="n">
        <v>45762.61817129629</v>
      </c>
      <c r="C830" s="1" t="n">
        <v>45985</v>
      </c>
      <c r="D830" t="inlineStr">
        <is>
          <t>ÖREBRO LÄN</t>
        </is>
      </c>
      <c r="E830" t="inlineStr">
        <is>
          <t>LINDESBERG</t>
        </is>
      </c>
      <c r="G830" t="n">
        <v>2.3</v>
      </c>
      <c r="H830" t="n">
        <v>0</v>
      </c>
      <c r="I830" t="n">
        <v>0</v>
      </c>
      <c r="J830" t="n">
        <v>0</v>
      </c>
      <c r="K830" t="n">
        <v>0</v>
      </c>
      <c r="L830" t="n">
        <v>0</v>
      </c>
      <c r="M830" t="n">
        <v>0</v>
      </c>
      <c r="N830" t="n">
        <v>0</v>
      </c>
      <c r="O830" t="n">
        <v>0</v>
      </c>
      <c r="P830" t="n">
        <v>0</v>
      </c>
      <c r="Q830" t="n">
        <v>0</v>
      </c>
      <c r="R830" s="2" t="inlineStr"/>
    </row>
    <row r="831" ht="15" customHeight="1">
      <c r="A831" t="inlineStr">
        <is>
          <t>A 23649-2023</t>
        </is>
      </c>
      <c r="B831" s="1" t="n">
        <v>45074</v>
      </c>
      <c r="C831" s="1" t="n">
        <v>45985</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43081-2021</t>
        </is>
      </c>
      <c r="B832" s="1" t="n">
        <v>44431</v>
      </c>
      <c r="C832" s="1" t="n">
        <v>45985</v>
      </c>
      <c r="D832" t="inlineStr">
        <is>
          <t>ÖREBRO LÄN</t>
        </is>
      </c>
      <c r="E832" t="inlineStr">
        <is>
          <t>LINDESBERG</t>
        </is>
      </c>
      <c r="G832" t="n">
        <v>0.5</v>
      </c>
      <c r="H832" t="n">
        <v>0</v>
      </c>
      <c r="I832" t="n">
        <v>0</v>
      </c>
      <c r="J832" t="n">
        <v>0</v>
      </c>
      <c r="K832" t="n">
        <v>0</v>
      </c>
      <c r="L832" t="n">
        <v>0</v>
      </c>
      <c r="M832" t="n">
        <v>0</v>
      </c>
      <c r="N832" t="n">
        <v>0</v>
      </c>
      <c r="O832" t="n">
        <v>0</v>
      </c>
      <c r="P832" t="n">
        <v>0</v>
      </c>
      <c r="Q832" t="n">
        <v>0</v>
      </c>
      <c r="R832" s="2" t="inlineStr"/>
    </row>
    <row r="833" ht="15" customHeight="1">
      <c r="A833" t="inlineStr">
        <is>
          <t>A 51071-2022</t>
        </is>
      </c>
      <c r="B833" s="1" t="n">
        <v>44868.36924768519</v>
      </c>
      <c r="C833" s="1" t="n">
        <v>45985</v>
      </c>
      <c r="D833" t="inlineStr">
        <is>
          <t>ÖREBRO LÄN</t>
        </is>
      </c>
      <c r="E833" t="inlineStr">
        <is>
          <t>LINDESBERG</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44449-2023</t>
        </is>
      </c>
      <c r="B834" s="1" t="n">
        <v>45189.38135416667</v>
      </c>
      <c r="C834" s="1" t="n">
        <v>45985</v>
      </c>
      <c r="D834" t="inlineStr">
        <is>
          <t>ÖREBRO LÄN</t>
        </is>
      </c>
      <c r="E834" t="inlineStr">
        <is>
          <t>LINDESBERG</t>
        </is>
      </c>
      <c r="G834" t="n">
        <v>13.7</v>
      </c>
      <c r="H834" t="n">
        <v>0</v>
      </c>
      <c r="I834" t="n">
        <v>0</v>
      </c>
      <c r="J834" t="n">
        <v>0</v>
      </c>
      <c r="K834" t="n">
        <v>0</v>
      </c>
      <c r="L834" t="n">
        <v>0</v>
      </c>
      <c r="M834" t="n">
        <v>0</v>
      </c>
      <c r="N834" t="n">
        <v>0</v>
      </c>
      <c r="O834" t="n">
        <v>0</v>
      </c>
      <c r="P834" t="n">
        <v>0</v>
      </c>
      <c r="Q834" t="n">
        <v>0</v>
      </c>
      <c r="R834" s="2" t="inlineStr"/>
    </row>
    <row r="835" ht="15" customHeight="1">
      <c r="A835" t="inlineStr">
        <is>
          <t>A 15894-2025</t>
        </is>
      </c>
      <c r="B835" s="1" t="n">
        <v>45749</v>
      </c>
      <c r="C835" s="1" t="n">
        <v>45985</v>
      </c>
      <c r="D835" t="inlineStr">
        <is>
          <t>ÖREBRO LÄN</t>
        </is>
      </c>
      <c r="E835" t="inlineStr">
        <is>
          <t>LINDESBERG</t>
        </is>
      </c>
      <c r="G835" t="n">
        <v>1.5</v>
      </c>
      <c r="H835" t="n">
        <v>0</v>
      </c>
      <c r="I835" t="n">
        <v>0</v>
      </c>
      <c r="J835" t="n">
        <v>0</v>
      </c>
      <c r="K835" t="n">
        <v>0</v>
      </c>
      <c r="L835" t="n">
        <v>0</v>
      </c>
      <c r="M835" t="n">
        <v>0</v>
      </c>
      <c r="N835" t="n">
        <v>0</v>
      </c>
      <c r="O835" t="n">
        <v>0</v>
      </c>
      <c r="P835" t="n">
        <v>0</v>
      </c>
      <c r="Q835" t="n">
        <v>0</v>
      </c>
      <c r="R835" s="2" t="inlineStr"/>
    </row>
    <row r="836" ht="15" customHeight="1">
      <c r="A836" t="inlineStr">
        <is>
          <t>A 34436-2023</t>
        </is>
      </c>
      <c r="B836" s="1" t="n">
        <v>45139.64328703703</v>
      </c>
      <c r="C836" s="1" t="n">
        <v>45985</v>
      </c>
      <c r="D836" t="inlineStr">
        <is>
          <t>ÖREBRO LÄN</t>
        </is>
      </c>
      <c r="E836" t="inlineStr">
        <is>
          <t>LINDESBERG</t>
        </is>
      </c>
      <c r="F836" t="inlineStr">
        <is>
          <t>Kyrkan</t>
        </is>
      </c>
      <c r="G836" t="n">
        <v>5.8</v>
      </c>
      <c r="H836" t="n">
        <v>0</v>
      </c>
      <c r="I836" t="n">
        <v>0</v>
      </c>
      <c r="J836" t="n">
        <v>0</v>
      </c>
      <c r="K836" t="n">
        <v>0</v>
      </c>
      <c r="L836" t="n">
        <v>0</v>
      </c>
      <c r="M836" t="n">
        <v>0</v>
      </c>
      <c r="N836" t="n">
        <v>0</v>
      </c>
      <c r="O836" t="n">
        <v>0</v>
      </c>
      <c r="P836" t="n">
        <v>0</v>
      </c>
      <c r="Q836" t="n">
        <v>0</v>
      </c>
      <c r="R836" s="2" t="inlineStr"/>
    </row>
    <row r="837" ht="15" customHeight="1">
      <c r="A837" t="inlineStr">
        <is>
          <t>A 45078-2024</t>
        </is>
      </c>
      <c r="B837" s="1" t="n">
        <v>45575.57104166667</v>
      </c>
      <c r="C837" s="1" t="n">
        <v>45985</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27001-2024</t>
        </is>
      </c>
      <c r="B838" s="1" t="n">
        <v>45471.38995370371</v>
      </c>
      <c r="C838" s="1" t="n">
        <v>45985</v>
      </c>
      <c r="D838" t="inlineStr">
        <is>
          <t>ÖREBRO LÄN</t>
        </is>
      </c>
      <c r="E838" t="inlineStr">
        <is>
          <t>LINDESBERG</t>
        </is>
      </c>
      <c r="G838" t="n">
        <v>2.8</v>
      </c>
      <c r="H838" t="n">
        <v>0</v>
      </c>
      <c r="I838" t="n">
        <v>0</v>
      </c>
      <c r="J838" t="n">
        <v>0</v>
      </c>
      <c r="K838" t="n">
        <v>0</v>
      </c>
      <c r="L838" t="n">
        <v>0</v>
      </c>
      <c r="M838" t="n">
        <v>0</v>
      </c>
      <c r="N838" t="n">
        <v>0</v>
      </c>
      <c r="O838" t="n">
        <v>0</v>
      </c>
      <c r="P838" t="n">
        <v>0</v>
      </c>
      <c r="Q838" t="n">
        <v>0</v>
      </c>
      <c r="R838" s="2" t="inlineStr"/>
    </row>
    <row r="839" ht="15" customHeight="1">
      <c r="A839" t="inlineStr">
        <is>
          <t>A 20467-2023</t>
        </is>
      </c>
      <c r="B839" s="1" t="n">
        <v>45057</v>
      </c>
      <c r="C839" s="1" t="n">
        <v>45985</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25012-2023</t>
        </is>
      </c>
      <c r="B840" s="1" t="n">
        <v>45085</v>
      </c>
      <c r="C840" s="1" t="n">
        <v>45985</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26778-2023</t>
        </is>
      </c>
      <c r="B841" s="1" t="n">
        <v>45093.48221064815</v>
      </c>
      <c r="C841" s="1" t="n">
        <v>45985</v>
      </c>
      <c r="D841" t="inlineStr">
        <is>
          <t>ÖREBRO LÄN</t>
        </is>
      </c>
      <c r="E841" t="inlineStr">
        <is>
          <t>LINDESBERG</t>
        </is>
      </c>
      <c r="G841" t="n">
        <v>7.5</v>
      </c>
      <c r="H841" t="n">
        <v>0</v>
      </c>
      <c r="I841" t="n">
        <v>0</v>
      </c>
      <c r="J841" t="n">
        <v>0</v>
      </c>
      <c r="K841" t="n">
        <v>0</v>
      </c>
      <c r="L841" t="n">
        <v>0</v>
      </c>
      <c r="M841" t="n">
        <v>0</v>
      </c>
      <c r="N841" t="n">
        <v>0</v>
      </c>
      <c r="O841" t="n">
        <v>0</v>
      </c>
      <c r="P841" t="n">
        <v>0</v>
      </c>
      <c r="Q841" t="n">
        <v>0</v>
      </c>
      <c r="R841" s="2" t="inlineStr"/>
    </row>
    <row r="842" ht="15" customHeight="1">
      <c r="A842" t="inlineStr">
        <is>
          <t>A 50170-2022</t>
        </is>
      </c>
      <c r="B842" s="1" t="n">
        <v>44865.600625</v>
      </c>
      <c r="C842" s="1" t="n">
        <v>45985</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1354-2024</t>
        </is>
      </c>
      <c r="B843" s="1" t="n">
        <v>45303</v>
      </c>
      <c r="C843" s="1" t="n">
        <v>45985</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33886-2024</t>
        </is>
      </c>
      <c r="B844" s="1" t="n">
        <v>45523.31621527778</v>
      </c>
      <c r="C844" s="1" t="n">
        <v>45985</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50285-2022</t>
        </is>
      </c>
      <c r="B845" s="1" t="n">
        <v>44865.87770833333</v>
      </c>
      <c r="C845" s="1" t="n">
        <v>45985</v>
      </c>
      <c r="D845" t="inlineStr">
        <is>
          <t>ÖREBRO LÄN</t>
        </is>
      </c>
      <c r="E845" t="inlineStr">
        <is>
          <t>LINDESBERG</t>
        </is>
      </c>
      <c r="G845" t="n">
        <v>2.5</v>
      </c>
      <c r="H845" t="n">
        <v>0</v>
      </c>
      <c r="I845" t="n">
        <v>0</v>
      </c>
      <c r="J845" t="n">
        <v>0</v>
      </c>
      <c r="K845" t="n">
        <v>0</v>
      </c>
      <c r="L845" t="n">
        <v>0</v>
      </c>
      <c r="M845" t="n">
        <v>0</v>
      </c>
      <c r="N845" t="n">
        <v>0</v>
      </c>
      <c r="O845" t="n">
        <v>0</v>
      </c>
      <c r="P845" t="n">
        <v>0</v>
      </c>
      <c r="Q845" t="n">
        <v>0</v>
      </c>
      <c r="R845" s="2" t="inlineStr"/>
    </row>
    <row r="846" ht="15" customHeight="1">
      <c r="A846" t="inlineStr">
        <is>
          <t>A 1405-2025</t>
        </is>
      </c>
      <c r="B846" s="1" t="n">
        <v>45667</v>
      </c>
      <c r="C846" s="1" t="n">
        <v>45985</v>
      </c>
      <c r="D846" t="inlineStr">
        <is>
          <t>ÖREBRO LÄN</t>
        </is>
      </c>
      <c r="E846" t="inlineStr">
        <is>
          <t>LINDESBERG</t>
        </is>
      </c>
      <c r="F846" t="inlineStr">
        <is>
          <t>Allmännings- och besparingsskogar</t>
        </is>
      </c>
      <c r="G846" t="n">
        <v>3.1</v>
      </c>
      <c r="H846" t="n">
        <v>0</v>
      </c>
      <c r="I846" t="n">
        <v>0</v>
      </c>
      <c r="J846" t="n">
        <v>0</v>
      </c>
      <c r="K846" t="n">
        <v>0</v>
      </c>
      <c r="L846" t="n">
        <v>0</v>
      </c>
      <c r="M846" t="n">
        <v>0</v>
      </c>
      <c r="N846" t="n">
        <v>0</v>
      </c>
      <c r="O846" t="n">
        <v>0</v>
      </c>
      <c r="P846" t="n">
        <v>0</v>
      </c>
      <c r="Q846" t="n">
        <v>0</v>
      </c>
      <c r="R846" s="2" t="inlineStr"/>
    </row>
    <row r="847" ht="15" customHeight="1">
      <c r="A847" t="inlineStr">
        <is>
          <t>A 40456-2023</t>
        </is>
      </c>
      <c r="B847" s="1" t="n">
        <v>45170</v>
      </c>
      <c r="C847" s="1" t="n">
        <v>45985</v>
      </c>
      <c r="D847" t="inlineStr">
        <is>
          <t>ÖREBRO LÄN</t>
        </is>
      </c>
      <c r="E847" t="inlineStr">
        <is>
          <t>LINDESBERG</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28562-2023</t>
        </is>
      </c>
      <c r="B848" s="1" t="n">
        <v>45103.53614583334</v>
      </c>
      <c r="C848" s="1" t="n">
        <v>45985</v>
      </c>
      <c r="D848" t="inlineStr">
        <is>
          <t>ÖREBRO LÄN</t>
        </is>
      </c>
      <c r="E848" t="inlineStr">
        <is>
          <t>LINDESBERG</t>
        </is>
      </c>
      <c r="G848" t="n">
        <v>2</v>
      </c>
      <c r="H848" t="n">
        <v>0</v>
      </c>
      <c r="I848" t="n">
        <v>0</v>
      </c>
      <c r="J848" t="n">
        <v>0</v>
      </c>
      <c r="K848" t="n">
        <v>0</v>
      </c>
      <c r="L848" t="n">
        <v>0</v>
      </c>
      <c r="M848" t="n">
        <v>0</v>
      </c>
      <c r="N848" t="n">
        <v>0</v>
      </c>
      <c r="O848" t="n">
        <v>0</v>
      </c>
      <c r="P848" t="n">
        <v>0</v>
      </c>
      <c r="Q848" t="n">
        <v>0</v>
      </c>
      <c r="R848" s="2" t="inlineStr"/>
    </row>
    <row r="849" ht="15" customHeight="1">
      <c r="A849" t="inlineStr">
        <is>
          <t>A 17463-2023</t>
        </is>
      </c>
      <c r="B849" s="1" t="n">
        <v>45036</v>
      </c>
      <c r="C849" s="1" t="n">
        <v>45985</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6511-2025</t>
        </is>
      </c>
      <c r="B850" s="1" t="n">
        <v>45699.65424768518</v>
      </c>
      <c r="C850" s="1" t="n">
        <v>45985</v>
      </c>
      <c r="D850" t="inlineStr">
        <is>
          <t>ÖREBRO LÄN</t>
        </is>
      </c>
      <c r="E850" t="inlineStr">
        <is>
          <t>LINDESBERG</t>
        </is>
      </c>
      <c r="G850" t="n">
        <v>9.1</v>
      </c>
      <c r="H850" t="n">
        <v>0</v>
      </c>
      <c r="I850" t="n">
        <v>0</v>
      </c>
      <c r="J850" t="n">
        <v>0</v>
      </c>
      <c r="K850" t="n">
        <v>0</v>
      </c>
      <c r="L850" t="n">
        <v>0</v>
      </c>
      <c r="M850" t="n">
        <v>0</v>
      </c>
      <c r="N850" t="n">
        <v>0</v>
      </c>
      <c r="O850" t="n">
        <v>0</v>
      </c>
      <c r="P850" t="n">
        <v>0</v>
      </c>
      <c r="Q850" t="n">
        <v>0</v>
      </c>
      <c r="R850" s="2" t="inlineStr"/>
    </row>
    <row r="851" ht="15" customHeight="1">
      <c r="A851" t="inlineStr">
        <is>
          <t>A 16791-2024</t>
        </is>
      </c>
      <c r="B851" s="1" t="n">
        <v>45411.42858796296</v>
      </c>
      <c r="C851" s="1" t="n">
        <v>45985</v>
      </c>
      <c r="D851" t="inlineStr">
        <is>
          <t>ÖREBRO LÄN</t>
        </is>
      </c>
      <c r="E851" t="inlineStr">
        <is>
          <t>LINDESBERG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22829-2023</t>
        </is>
      </c>
      <c r="B852" s="1" t="n">
        <v>45072.42776620371</v>
      </c>
      <c r="C852" s="1" t="n">
        <v>45985</v>
      </c>
      <c r="D852" t="inlineStr">
        <is>
          <t>ÖREBRO LÄN</t>
        </is>
      </c>
      <c r="E852" t="inlineStr">
        <is>
          <t>LINDESBERG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60105-2022</t>
        </is>
      </c>
      <c r="B853" s="1" t="n">
        <v>44902</v>
      </c>
      <c r="C853" s="1" t="n">
        <v>45985</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53046-2024</t>
        </is>
      </c>
      <c r="B854" s="1" t="n">
        <v>45611.44960648148</v>
      </c>
      <c r="C854" s="1" t="n">
        <v>45985</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45043.40300925926</v>
      </c>
      <c r="C855" s="1" t="n">
        <v>45985</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51539-2024</t>
        </is>
      </c>
      <c r="B856" s="1" t="n">
        <v>45604.58837962963</v>
      </c>
      <c r="C856" s="1" t="n">
        <v>45985</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15852-2025</t>
        </is>
      </c>
      <c r="B857" s="1" t="n">
        <v>45749</v>
      </c>
      <c r="C857" s="1" t="n">
        <v>45985</v>
      </c>
      <c r="D857" t="inlineStr">
        <is>
          <t>ÖREBRO LÄN</t>
        </is>
      </c>
      <c r="E857" t="inlineStr">
        <is>
          <t>LINDESBERG</t>
        </is>
      </c>
      <c r="G857" t="n">
        <v>8.9</v>
      </c>
      <c r="H857" t="n">
        <v>0</v>
      </c>
      <c r="I857" t="n">
        <v>0</v>
      </c>
      <c r="J857" t="n">
        <v>0</v>
      </c>
      <c r="K857" t="n">
        <v>0</v>
      </c>
      <c r="L857" t="n">
        <v>0</v>
      </c>
      <c r="M857" t="n">
        <v>0</v>
      </c>
      <c r="N857" t="n">
        <v>0</v>
      </c>
      <c r="O857" t="n">
        <v>0</v>
      </c>
      <c r="P857" t="n">
        <v>0</v>
      </c>
      <c r="Q857" t="n">
        <v>0</v>
      </c>
      <c r="R857" s="2" t="inlineStr"/>
    </row>
    <row r="858" ht="15" customHeight="1">
      <c r="A858" t="inlineStr">
        <is>
          <t>A 34539-2024</t>
        </is>
      </c>
      <c r="B858" s="1" t="n">
        <v>45525.7374537037</v>
      </c>
      <c r="C858" s="1" t="n">
        <v>45985</v>
      </c>
      <c r="D858" t="inlineStr">
        <is>
          <t>ÖREBRO LÄN</t>
        </is>
      </c>
      <c r="E858" t="inlineStr">
        <is>
          <t>LINDESBERG</t>
        </is>
      </c>
      <c r="G858" t="n">
        <v>5.4</v>
      </c>
      <c r="H858" t="n">
        <v>0</v>
      </c>
      <c r="I858" t="n">
        <v>0</v>
      </c>
      <c r="J858" t="n">
        <v>0</v>
      </c>
      <c r="K858" t="n">
        <v>0</v>
      </c>
      <c r="L858" t="n">
        <v>0</v>
      </c>
      <c r="M858" t="n">
        <v>0</v>
      </c>
      <c r="N858" t="n">
        <v>0</v>
      </c>
      <c r="O858" t="n">
        <v>0</v>
      </c>
      <c r="P858" t="n">
        <v>0</v>
      </c>
      <c r="Q858" t="n">
        <v>0</v>
      </c>
      <c r="R858" s="2" t="inlineStr"/>
    </row>
    <row r="859" ht="15" customHeight="1">
      <c r="A859" t="inlineStr">
        <is>
          <t>A 35739-2024</t>
        </is>
      </c>
      <c r="B859" s="1" t="n">
        <v>45532</v>
      </c>
      <c r="C859" s="1" t="n">
        <v>45985</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1383-2025</t>
        </is>
      </c>
      <c r="B860" s="1" t="n">
        <v>45667</v>
      </c>
      <c r="C860" s="1" t="n">
        <v>45985</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10057-2025</t>
        </is>
      </c>
      <c r="B861" s="1" t="n">
        <v>45719.52871527777</v>
      </c>
      <c r="C861" s="1" t="n">
        <v>45985</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13823-2021</t>
        </is>
      </c>
      <c r="B862" s="1" t="n">
        <v>44276</v>
      </c>
      <c r="C862" s="1" t="n">
        <v>45985</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43247-2023</t>
        </is>
      </c>
      <c r="B863" s="1" t="n">
        <v>45183.48666666666</v>
      </c>
      <c r="C863" s="1" t="n">
        <v>45985</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626-2025</t>
        </is>
      </c>
      <c r="B864" s="1" t="n">
        <v>45664</v>
      </c>
      <c r="C864" s="1" t="n">
        <v>45985</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43046-2022</t>
        </is>
      </c>
      <c r="B865" s="1" t="n">
        <v>44833</v>
      </c>
      <c r="C865" s="1" t="n">
        <v>45985</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57795-2021</t>
        </is>
      </c>
      <c r="B866" s="1" t="n">
        <v>44484</v>
      </c>
      <c r="C866" s="1" t="n">
        <v>45985</v>
      </c>
      <c r="D866" t="inlineStr">
        <is>
          <t>ÖREBRO LÄN</t>
        </is>
      </c>
      <c r="E866" t="inlineStr">
        <is>
          <t>LINDESBERG</t>
        </is>
      </c>
      <c r="G866" t="n">
        <v>39.4</v>
      </c>
      <c r="H866" t="n">
        <v>0</v>
      </c>
      <c r="I866" t="n">
        <v>0</v>
      </c>
      <c r="J866" t="n">
        <v>0</v>
      </c>
      <c r="K866" t="n">
        <v>0</v>
      </c>
      <c r="L866" t="n">
        <v>0</v>
      </c>
      <c r="M866" t="n">
        <v>0</v>
      </c>
      <c r="N866" t="n">
        <v>0</v>
      </c>
      <c r="O866" t="n">
        <v>0</v>
      </c>
      <c r="P866" t="n">
        <v>0</v>
      </c>
      <c r="Q866" t="n">
        <v>0</v>
      </c>
      <c r="R866" s="2" t="inlineStr"/>
    </row>
    <row r="867" ht="15" customHeight="1">
      <c r="A867" t="inlineStr">
        <is>
          <t>A 43433-2024</t>
        </is>
      </c>
      <c r="B867" s="1" t="n">
        <v>45568.64523148148</v>
      </c>
      <c r="C867" s="1" t="n">
        <v>45985</v>
      </c>
      <c r="D867" t="inlineStr">
        <is>
          <t>ÖREBRO LÄN</t>
        </is>
      </c>
      <c r="E867" t="inlineStr">
        <is>
          <t>LINDESBERG</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6604-2024</t>
        </is>
      </c>
      <c r="B868" s="1" t="n">
        <v>45341.56577546296</v>
      </c>
      <c r="C868" s="1" t="n">
        <v>45985</v>
      </c>
      <c r="D868" t="inlineStr">
        <is>
          <t>ÖREBRO LÄN</t>
        </is>
      </c>
      <c r="E868" t="inlineStr">
        <is>
          <t>LINDESBERG</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5550-2024</t>
        </is>
      </c>
      <c r="B869" s="1" t="n">
        <v>45334</v>
      </c>
      <c r="C869" s="1" t="n">
        <v>45985</v>
      </c>
      <c r="D869" t="inlineStr">
        <is>
          <t>ÖREBRO LÄN</t>
        </is>
      </c>
      <c r="E869" t="inlineStr">
        <is>
          <t>LINDESBERG</t>
        </is>
      </c>
      <c r="G869" t="n">
        <v>0.6</v>
      </c>
      <c r="H869" t="n">
        <v>0</v>
      </c>
      <c r="I869" t="n">
        <v>0</v>
      </c>
      <c r="J869" t="n">
        <v>0</v>
      </c>
      <c r="K869" t="n">
        <v>0</v>
      </c>
      <c r="L869" t="n">
        <v>0</v>
      </c>
      <c r="M869" t="n">
        <v>0</v>
      </c>
      <c r="N869" t="n">
        <v>0</v>
      </c>
      <c r="O869" t="n">
        <v>0</v>
      </c>
      <c r="P869" t="n">
        <v>0</v>
      </c>
      <c r="Q869" t="n">
        <v>0</v>
      </c>
      <c r="R869" s="2" t="inlineStr"/>
    </row>
    <row r="870" ht="15" customHeight="1">
      <c r="A870" t="inlineStr">
        <is>
          <t>A 63125-2023</t>
        </is>
      </c>
      <c r="B870" s="1" t="n">
        <v>45273</v>
      </c>
      <c r="C870" s="1" t="n">
        <v>45985</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15752-2024</t>
        </is>
      </c>
      <c r="B871" s="1" t="n">
        <v>45404.55681712963</v>
      </c>
      <c r="C871" s="1" t="n">
        <v>45985</v>
      </c>
      <c r="D871" t="inlineStr">
        <is>
          <t>ÖREBRO LÄN</t>
        </is>
      </c>
      <c r="E871" t="inlineStr">
        <is>
          <t>LINDESBERG</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35229-2024</t>
        </is>
      </c>
      <c r="B872" s="1" t="n">
        <v>45530</v>
      </c>
      <c r="C872" s="1" t="n">
        <v>45985</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50986-2023</t>
        </is>
      </c>
      <c r="B873" s="1" t="n">
        <v>45218</v>
      </c>
      <c r="C873" s="1" t="n">
        <v>45985</v>
      </c>
      <c r="D873" t="inlineStr">
        <is>
          <t>ÖREBRO LÄN</t>
        </is>
      </c>
      <c r="E873" t="inlineStr">
        <is>
          <t>LINDESBERG</t>
        </is>
      </c>
      <c r="F873" t="inlineStr">
        <is>
          <t>Sveaskog</t>
        </is>
      </c>
      <c r="G873" t="n">
        <v>3.1</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45985</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44675-2021</t>
        </is>
      </c>
      <c r="B875" s="1" t="n">
        <v>44438</v>
      </c>
      <c r="C875" s="1" t="n">
        <v>45985</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32829-2024</t>
        </is>
      </c>
      <c r="B876" s="1" t="n">
        <v>45516.59447916667</v>
      </c>
      <c r="C876" s="1" t="n">
        <v>45985</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43416-2024</t>
        </is>
      </c>
      <c r="B877" s="1" t="n">
        <v>45568.62625</v>
      </c>
      <c r="C877" s="1" t="n">
        <v>45985</v>
      </c>
      <c r="D877" t="inlineStr">
        <is>
          <t>ÖREBRO LÄN</t>
        </is>
      </c>
      <c r="E877" t="inlineStr">
        <is>
          <t>LINDESBERG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54859-2024</t>
        </is>
      </c>
      <c r="B878" s="1" t="n">
        <v>45618.58962962963</v>
      </c>
      <c r="C878" s="1" t="n">
        <v>45985</v>
      </c>
      <c r="D878" t="inlineStr">
        <is>
          <t>ÖREBRO LÄN</t>
        </is>
      </c>
      <c r="E878" t="inlineStr">
        <is>
          <t>LINDESBERG</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10654-2023</t>
        </is>
      </c>
      <c r="B879" s="1" t="n">
        <v>44984</v>
      </c>
      <c r="C879" s="1" t="n">
        <v>45985</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30534-2023</t>
        </is>
      </c>
      <c r="B880" s="1" t="n">
        <v>45111</v>
      </c>
      <c r="C880" s="1" t="n">
        <v>45985</v>
      </c>
      <c r="D880" t="inlineStr">
        <is>
          <t>ÖREBRO LÄN</t>
        </is>
      </c>
      <c r="E880" t="inlineStr">
        <is>
          <t>LINDESBERG</t>
        </is>
      </c>
      <c r="G880" t="n">
        <v>0.7</v>
      </c>
      <c r="H880" t="n">
        <v>0</v>
      </c>
      <c r="I880" t="n">
        <v>0</v>
      </c>
      <c r="J880" t="n">
        <v>0</v>
      </c>
      <c r="K880" t="n">
        <v>0</v>
      </c>
      <c r="L880" t="n">
        <v>0</v>
      </c>
      <c r="M880" t="n">
        <v>0</v>
      </c>
      <c r="N880" t="n">
        <v>0</v>
      </c>
      <c r="O880" t="n">
        <v>0</v>
      </c>
      <c r="P880" t="n">
        <v>0</v>
      </c>
      <c r="Q880" t="n">
        <v>0</v>
      </c>
      <c r="R880" s="2" t="inlineStr"/>
    </row>
    <row r="881" ht="15" customHeight="1">
      <c r="A881" t="inlineStr">
        <is>
          <t>A 27013-2024</t>
        </is>
      </c>
      <c r="B881" s="1" t="n">
        <v>45471.40384259259</v>
      </c>
      <c r="C881" s="1" t="n">
        <v>45985</v>
      </c>
      <c r="D881" t="inlineStr">
        <is>
          <t>ÖREBRO LÄN</t>
        </is>
      </c>
      <c r="E881" t="inlineStr">
        <is>
          <t>LINDESBERG</t>
        </is>
      </c>
      <c r="G881" t="n">
        <v>5.2</v>
      </c>
      <c r="H881" t="n">
        <v>0</v>
      </c>
      <c r="I881" t="n">
        <v>0</v>
      </c>
      <c r="J881" t="n">
        <v>0</v>
      </c>
      <c r="K881" t="n">
        <v>0</v>
      </c>
      <c r="L881" t="n">
        <v>0</v>
      </c>
      <c r="M881" t="n">
        <v>0</v>
      </c>
      <c r="N881" t="n">
        <v>0</v>
      </c>
      <c r="O881" t="n">
        <v>0</v>
      </c>
      <c r="P881" t="n">
        <v>0</v>
      </c>
      <c r="Q881" t="n">
        <v>0</v>
      </c>
      <c r="R881" s="2" t="inlineStr"/>
    </row>
    <row r="882" ht="15" customHeight="1">
      <c r="A882" t="inlineStr">
        <is>
          <t>A 9140-2025</t>
        </is>
      </c>
      <c r="B882" s="1" t="n">
        <v>45714.31533564815</v>
      </c>
      <c r="C882" s="1" t="n">
        <v>45985</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28469-2023</t>
        </is>
      </c>
      <c r="B883" s="1" t="n">
        <v>45103</v>
      </c>
      <c r="C883" s="1" t="n">
        <v>45985</v>
      </c>
      <c r="D883" t="inlineStr">
        <is>
          <t>ÖREBRO LÄN</t>
        </is>
      </c>
      <c r="E883" t="inlineStr">
        <is>
          <t>LINDESBERG</t>
        </is>
      </c>
      <c r="G883" t="n">
        <v>0.3</v>
      </c>
      <c r="H883" t="n">
        <v>0</v>
      </c>
      <c r="I883" t="n">
        <v>0</v>
      </c>
      <c r="J883" t="n">
        <v>0</v>
      </c>
      <c r="K883" t="n">
        <v>0</v>
      </c>
      <c r="L883" t="n">
        <v>0</v>
      </c>
      <c r="M883" t="n">
        <v>0</v>
      </c>
      <c r="N883" t="n">
        <v>0</v>
      </c>
      <c r="O883" t="n">
        <v>0</v>
      </c>
      <c r="P883" t="n">
        <v>0</v>
      </c>
      <c r="Q883" t="n">
        <v>0</v>
      </c>
      <c r="R883" s="2" t="inlineStr"/>
    </row>
    <row r="884" ht="15" customHeight="1">
      <c r="A884" t="inlineStr">
        <is>
          <t>A 12278-2025</t>
        </is>
      </c>
      <c r="B884" s="1" t="n">
        <v>45729.65171296296</v>
      </c>
      <c r="C884" s="1" t="n">
        <v>45985</v>
      </c>
      <c r="D884" t="inlineStr">
        <is>
          <t>ÖREBRO LÄN</t>
        </is>
      </c>
      <c r="E884" t="inlineStr">
        <is>
          <t>LINDESBERG</t>
        </is>
      </c>
      <c r="G884" t="n">
        <v>3.2</v>
      </c>
      <c r="H884" t="n">
        <v>0</v>
      </c>
      <c r="I884" t="n">
        <v>0</v>
      </c>
      <c r="J884" t="n">
        <v>0</v>
      </c>
      <c r="K884" t="n">
        <v>0</v>
      </c>
      <c r="L884" t="n">
        <v>0</v>
      </c>
      <c r="M884" t="n">
        <v>0</v>
      </c>
      <c r="N884" t="n">
        <v>0</v>
      </c>
      <c r="O884" t="n">
        <v>0</v>
      </c>
      <c r="P884" t="n">
        <v>0</v>
      </c>
      <c r="Q884" t="n">
        <v>0</v>
      </c>
      <c r="R884" s="2" t="inlineStr"/>
    </row>
    <row r="885" ht="15" customHeight="1">
      <c r="A885" t="inlineStr">
        <is>
          <t>A 20954-2024</t>
        </is>
      </c>
      <c r="B885" s="1" t="n">
        <v>45439.56605324074</v>
      </c>
      <c r="C885" s="1" t="n">
        <v>45985</v>
      </c>
      <c r="D885" t="inlineStr">
        <is>
          <t>ÖREBRO LÄN</t>
        </is>
      </c>
      <c r="E885" t="inlineStr">
        <is>
          <t>LINDESBERG</t>
        </is>
      </c>
      <c r="G885" t="n">
        <v>0.9</v>
      </c>
      <c r="H885" t="n">
        <v>0</v>
      </c>
      <c r="I885" t="n">
        <v>0</v>
      </c>
      <c r="J885" t="n">
        <v>0</v>
      </c>
      <c r="K885" t="n">
        <v>0</v>
      </c>
      <c r="L885" t="n">
        <v>0</v>
      </c>
      <c r="M885" t="n">
        <v>0</v>
      </c>
      <c r="N885" t="n">
        <v>0</v>
      </c>
      <c r="O885" t="n">
        <v>0</v>
      </c>
      <c r="P885" t="n">
        <v>0</v>
      </c>
      <c r="Q885" t="n">
        <v>0</v>
      </c>
      <c r="R885" s="2" t="inlineStr"/>
    </row>
    <row r="886" ht="15" customHeight="1">
      <c r="A886" t="inlineStr">
        <is>
          <t>A 7120-2025</t>
        </is>
      </c>
      <c r="B886" s="1" t="n">
        <v>45702</v>
      </c>
      <c r="C886" s="1" t="n">
        <v>45985</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36773-2024</t>
        </is>
      </c>
      <c r="B887" s="1" t="n">
        <v>45538</v>
      </c>
      <c r="C887" s="1" t="n">
        <v>45985</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53897-2024</t>
        </is>
      </c>
      <c r="B888" s="1" t="n">
        <v>45615.69570601852</v>
      </c>
      <c r="C888" s="1" t="n">
        <v>45985</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12692-2024</t>
        </is>
      </c>
      <c r="B889" s="1" t="n">
        <v>45384.43418981481</v>
      </c>
      <c r="C889" s="1" t="n">
        <v>45985</v>
      </c>
      <c r="D889" t="inlineStr">
        <is>
          <t>ÖREBRO LÄN</t>
        </is>
      </c>
      <c r="E889" t="inlineStr">
        <is>
          <t>LINDESBERG</t>
        </is>
      </c>
      <c r="G889" t="n">
        <v>5.2</v>
      </c>
      <c r="H889" t="n">
        <v>0</v>
      </c>
      <c r="I889" t="n">
        <v>0</v>
      </c>
      <c r="J889" t="n">
        <v>0</v>
      </c>
      <c r="K889" t="n">
        <v>0</v>
      </c>
      <c r="L889" t="n">
        <v>0</v>
      </c>
      <c r="M889" t="n">
        <v>0</v>
      </c>
      <c r="N889" t="n">
        <v>0</v>
      </c>
      <c r="O889" t="n">
        <v>0</v>
      </c>
      <c r="P889" t="n">
        <v>0</v>
      </c>
      <c r="Q889" t="n">
        <v>0</v>
      </c>
      <c r="R889" s="2" t="inlineStr"/>
    </row>
    <row r="890" ht="15" customHeight="1">
      <c r="A890" t="inlineStr">
        <is>
          <t>A 15325-2024</t>
        </is>
      </c>
      <c r="B890" s="1" t="n">
        <v>45400.6709837963</v>
      </c>
      <c r="C890" s="1" t="n">
        <v>45985</v>
      </c>
      <c r="D890" t="inlineStr">
        <is>
          <t>ÖREBRO LÄN</t>
        </is>
      </c>
      <c r="E890" t="inlineStr">
        <is>
          <t>LINDESBERG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7119-2025</t>
        </is>
      </c>
      <c r="B891" s="1" t="n">
        <v>45702</v>
      </c>
      <c r="C891" s="1" t="n">
        <v>45985</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20804-2025</t>
        </is>
      </c>
      <c r="B892" s="1" t="n">
        <v>45776.65518518518</v>
      </c>
      <c r="C892" s="1" t="n">
        <v>45985</v>
      </c>
      <c r="D892" t="inlineStr">
        <is>
          <t>ÖREBRO LÄN</t>
        </is>
      </c>
      <c r="E892" t="inlineStr">
        <is>
          <t>LINDESBERG</t>
        </is>
      </c>
      <c r="G892" t="n">
        <v>3.2</v>
      </c>
      <c r="H892" t="n">
        <v>0</v>
      </c>
      <c r="I892" t="n">
        <v>0</v>
      </c>
      <c r="J892" t="n">
        <v>0</v>
      </c>
      <c r="K892" t="n">
        <v>0</v>
      </c>
      <c r="L892" t="n">
        <v>0</v>
      </c>
      <c r="M892" t="n">
        <v>0</v>
      </c>
      <c r="N892" t="n">
        <v>0</v>
      </c>
      <c r="O892" t="n">
        <v>0</v>
      </c>
      <c r="P892" t="n">
        <v>0</v>
      </c>
      <c r="Q892" t="n">
        <v>0</v>
      </c>
      <c r="R892" s="2" t="inlineStr"/>
    </row>
    <row r="893" ht="15" customHeight="1">
      <c r="A893" t="inlineStr">
        <is>
          <t>A 20923-2025</t>
        </is>
      </c>
      <c r="B893" s="1" t="n">
        <v>45777.41673611111</v>
      </c>
      <c r="C893" s="1" t="n">
        <v>45985</v>
      </c>
      <c r="D893" t="inlineStr">
        <is>
          <t>ÖREBRO LÄN</t>
        </is>
      </c>
      <c r="E893" t="inlineStr">
        <is>
          <t>LINDESBERG</t>
        </is>
      </c>
      <c r="F893" t="inlineStr">
        <is>
          <t>Sveaskog</t>
        </is>
      </c>
      <c r="G893" t="n">
        <v>10.3</v>
      </c>
      <c r="H893" t="n">
        <v>0</v>
      </c>
      <c r="I893" t="n">
        <v>0</v>
      </c>
      <c r="J893" t="n">
        <v>0</v>
      </c>
      <c r="K893" t="n">
        <v>0</v>
      </c>
      <c r="L893" t="n">
        <v>0</v>
      </c>
      <c r="M893" t="n">
        <v>0</v>
      </c>
      <c r="N893" t="n">
        <v>0</v>
      </c>
      <c r="O893" t="n">
        <v>0</v>
      </c>
      <c r="P893" t="n">
        <v>0</v>
      </c>
      <c r="Q893" t="n">
        <v>0</v>
      </c>
      <c r="R893" s="2" t="inlineStr"/>
    </row>
    <row r="894" ht="15" customHeight="1">
      <c r="A894" t="inlineStr">
        <is>
          <t>A 20950-2025</t>
        </is>
      </c>
      <c r="B894" s="1" t="n">
        <v>45777.43878472222</v>
      </c>
      <c r="C894" s="1" t="n">
        <v>45985</v>
      </c>
      <c r="D894" t="inlineStr">
        <is>
          <t>ÖREBRO LÄN</t>
        </is>
      </c>
      <c r="E894" t="inlineStr">
        <is>
          <t>LINDESBERG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12795-2025</t>
        </is>
      </c>
      <c r="B895" s="1" t="n">
        <v>45733.60959490741</v>
      </c>
      <c r="C895" s="1" t="n">
        <v>45985</v>
      </c>
      <c r="D895" t="inlineStr">
        <is>
          <t>ÖREBRO LÄN</t>
        </is>
      </c>
      <c r="E895" t="inlineStr">
        <is>
          <t>LINDESBERG</t>
        </is>
      </c>
      <c r="G895" t="n">
        <v>10.8</v>
      </c>
      <c r="H895" t="n">
        <v>0</v>
      </c>
      <c r="I895" t="n">
        <v>0</v>
      </c>
      <c r="J895" t="n">
        <v>0</v>
      </c>
      <c r="K895" t="n">
        <v>0</v>
      </c>
      <c r="L895" t="n">
        <v>0</v>
      </c>
      <c r="M895" t="n">
        <v>0</v>
      </c>
      <c r="N895" t="n">
        <v>0</v>
      </c>
      <c r="O895" t="n">
        <v>0</v>
      </c>
      <c r="P895" t="n">
        <v>0</v>
      </c>
      <c r="Q895" t="n">
        <v>0</v>
      </c>
      <c r="R895" s="2" t="inlineStr"/>
    </row>
    <row r="896" ht="15" customHeight="1">
      <c r="A896" t="inlineStr">
        <is>
          <t>A 20930-2025</t>
        </is>
      </c>
      <c r="B896" s="1" t="n">
        <v>45777.42628472222</v>
      </c>
      <c r="C896" s="1" t="n">
        <v>45985</v>
      </c>
      <c r="D896" t="inlineStr">
        <is>
          <t>ÖREBRO LÄN</t>
        </is>
      </c>
      <c r="E896" t="inlineStr">
        <is>
          <t>LINDESBERG</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20944-2025</t>
        </is>
      </c>
      <c r="B897" s="1" t="n">
        <v>45777</v>
      </c>
      <c r="C897" s="1" t="n">
        <v>45985</v>
      </c>
      <c r="D897" t="inlineStr">
        <is>
          <t>ÖREBRO LÄN</t>
        </is>
      </c>
      <c r="E897" t="inlineStr">
        <is>
          <t>LINDESBERG</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21812-2025</t>
        </is>
      </c>
      <c r="B898" s="1" t="n">
        <v>45783.71833333333</v>
      </c>
      <c r="C898" s="1" t="n">
        <v>45985</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45985</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43195-2024</t>
        </is>
      </c>
      <c r="B900" s="1" t="n">
        <v>45567.68003472222</v>
      </c>
      <c r="C900" s="1" t="n">
        <v>45985</v>
      </c>
      <c r="D900" t="inlineStr">
        <is>
          <t>ÖREBRO LÄN</t>
        </is>
      </c>
      <c r="E900" t="inlineStr">
        <is>
          <t>LINDESBERG</t>
        </is>
      </c>
      <c r="G900" t="n">
        <v>27.8</v>
      </c>
      <c r="H900" t="n">
        <v>0</v>
      </c>
      <c r="I900" t="n">
        <v>0</v>
      </c>
      <c r="J900" t="n">
        <v>0</v>
      </c>
      <c r="K900" t="n">
        <v>0</v>
      </c>
      <c r="L900" t="n">
        <v>0</v>
      </c>
      <c r="M900" t="n">
        <v>0</v>
      </c>
      <c r="N900" t="n">
        <v>0</v>
      </c>
      <c r="O900" t="n">
        <v>0</v>
      </c>
      <c r="P900" t="n">
        <v>0</v>
      </c>
      <c r="Q900" t="n">
        <v>0</v>
      </c>
      <c r="R900" s="2" t="inlineStr"/>
    </row>
    <row r="901" ht="15" customHeight="1">
      <c r="A901" t="inlineStr">
        <is>
          <t>A 24583-2024</t>
        </is>
      </c>
      <c r="B901" s="1" t="n">
        <v>45460.46358796296</v>
      </c>
      <c r="C901" s="1" t="n">
        <v>45985</v>
      </c>
      <c r="D901" t="inlineStr">
        <is>
          <t>ÖREBRO LÄN</t>
        </is>
      </c>
      <c r="E901" t="inlineStr">
        <is>
          <t>LINDESBERG</t>
        </is>
      </c>
      <c r="G901" t="n">
        <v>13.7</v>
      </c>
      <c r="H901" t="n">
        <v>0</v>
      </c>
      <c r="I901" t="n">
        <v>0</v>
      </c>
      <c r="J901" t="n">
        <v>0</v>
      </c>
      <c r="K901" t="n">
        <v>0</v>
      </c>
      <c r="L901" t="n">
        <v>0</v>
      </c>
      <c r="M901" t="n">
        <v>0</v>
      </c>
      <c r="N901" t="n">
        <v>0</v>
      </c>
      <c r="O901" t="n">
        <v>0</v>
      </c>
      <c r="P901" t="n">
        <v>0</v>
      </c>
      <c r="Q901" t="n">
        <v>0</v>
      </c>
      <c r="R901" s="2" t="inlineStr"/>
    </row>
    <row r="902">
      <c r="A902" t="inlineStr">
        <is>
          <t>A 28776-2023</t>
        </is>
      </c>
      <c r="B902" s="1" t="n">
        <v>45104.34107638889</v>
      </c>
      <c r="C902" s="1" t="n">
        <v>45985</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2025-11-24T10:22:16Z</dcterms:created>
  <dcterms:modified xmlns:dcterms="http://purl.org/dc/terms/" xmlns:xsi="http://www.w3.org/2001/XMLSchema-instance" xsi:type="dcterms:W3CDTF">2025-11-24T10:22:17Z</dcterms:modified>
</cp:coreProperties>
</file>