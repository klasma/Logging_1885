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46106</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46106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54241-2025</t>
        </is>
      </c>
      <c r="B13" s="1" t="n">
        <v>45964.63199074074</v>
      </c>
      <c r="C13" s="1" t="n">
        <v>46106</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46106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46106</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46106</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46106</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46106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46106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46106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46106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46106</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46106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8178-2026</t>
        </is>
      </c>
      <c r="B26" s="1" t="n">
        <v>46064.41263888889</v>
      </c>
      <c r="C26" s="1" t="n">
        <v>46106</v>
      </c>
      <c r="D26" t="inlineStr">
        <is>
          <t>ÖREBRO LÄN</t>
        </is>
      </c>
      <c r="E26" t="inlineStr">
        <is>
          <t>LINDESBERG</t>
        </is>
      </c>
      <c r="G26" t="n">
        <v>2.4</v>
      </c>
      <c r="H26" t="n">
        <v>1</v>
      </c>
      <c r="I26" t="n">
        <v>1</v>
      </c>
      <c r="J26" t="n">
        <v>1</v>
      </c>
      <c r="K26" t="n">
        <v>0</v>
      </c>
      <c r="L26" t="n">
        <v>1</v>
      </c>
      <c r="M26" t="n">
        <v>0</v>
      </c>
      <c r="N26" t="n">
        <v>0</v>
      </c>
      <c r="O26" t="n">
        <v>2</v>
      </c>
      <c r="P26" t="n">
        <v>1</v>
      </c>
      <c r="Q26" t="n">
        <v>3</v>
      </c>
      <c r="R26" s="2" t="inlineStr">
        <is>
          <t>Asknätfjäril
Gul taggsvamp
Thomsons trägnagare</t>
        </is>
      </c>
      <c r="S26">
        <f>HYPERLINK("https://klasma.github.io/Logging_1885/artfynd/A 8178-2026 artfynd.xlsx", "A 8178-2026")</f>
        <v/>
      </c>
      <c r="T26">
        <f>HYPERLINK("https://klasma.github.io/Logging_1885/kartor/A 8178-2026 karta.png", "A 8178-2026")</f>
        <v/>
      </c>
      <c r="V26">
        <f>HYPERLINK("https://klasma.github.io/Logging_1885/klagomål/A 8178-2026 FSC-klagomål.docx", "A 8178-2026")</f>
        <v/>
      </c>
      <c r="W26">
        <f>HYPERLINK("https://klasma.github.io/Logging_1885/klagomålsmail/A 8178-2026 FSC-klagomål mail.docx", "A 8178-2026")</f>
        <v/>
      </c>
      <c r="X26">
        <f>HYPERLINK("https://klasma.github.io/Logging_1885/tillsyn/A 8178-2026 tillsynsbegäran.docx", "A 8178-2026")</f>
        <v/>
      </c>
      <c r="Y26">
        <f>HYPERLINK("https://klasma.github.io/Logging_1885/tillsynsmail/A 8178-2026 tillsynsbegäran mail.docx", "A 8178-2026")</f>
        <v/>
      </c>
    </row>
    <row r="27" ht="15" customHeight="1">
      <c r="A27" t="inlineStr">
        <is>
          <t>A 8196-2026</t>
        </is>
      </c>
      <c r="B27" s="1" t="n">
        <v>46064.4325</v>
      </c>
      <c r="C27" s="1" t="n">
        <v>46106</v>
      </c>
      <c r="D27" t="inlineStr">
        <is>
          <t>ÖREBRO LÄN</t>
        </is>
      </c>
      <c r="E27" t="inlineStr">
        <is>
          <t>LINDESBERG</t>
        </is>
      </c>
      <c r="G27" t="n">
        <v>1.3</v>
      </c>
      <c r="H27" t="n">
        <v>1</v>
      </c>
      <c r="I27" t="n">
        <v>2</v>
      </c>
      <c r="J27" t="n">
        <v>1</v>
      </c>
      <c r="K27" t="n">
        <v>0</v>
      </c>
      <c r="L27" t="n">
        <v>0</v>
      </c>
      <c r="M27" t="n">
        <v>0</v>
      </c>
      <c r="N27" t="n">
        <v>0</v>
      </c>
      <c r="O27" t="n">
        <v>1</v>
      </c>
      <c r="P27" t="n">
        <v>0</v>
      </c>
      <c r="Q27" t="n">
        <v>3</v>
      </c>
      <c r="R27" s="2" t="inlineStr">
        <is>
          <t>Spillkråka
Thomsons trägnagare
Västlig hakmossa</t>
        </is>
      </c>
      <c r="S27">
        <f>HYPERLINK("https://klasma.github.io/Logging_1885/artfynd/A 8196-2026 artfynd.xlsx", "A 8196-2026")</f>
        <v/>
      </c>
      <c r="T27">
        <f>HYPERLINK("https://klasma.github.io/Logging_1885/kartor/A 8196-2026 karta.png", "A 8196-2026")</f>
        <v/>
      </c>
      <c r="V27">
        <f>HYPERLINK("https://klasma.github.io/Logging_1885/klagomål/A 8196-2026 FSC-klagomål.docx", "A 8196-2026")</f>
        <v/>
      </c>
      <c r="W27">
        <f>HYPERLINK("https://klasma.github.io/Logging_1885/klagomålsmail/A 8196-2026 FSC-klagomål mail.docx", "A 8196-2026")</f>
        <v/>
      </c>
      <c r="X27">
        <f>HYPERLINK("https://klasma.github.io/Logging_1885/tillsyn/A 8196-2026 tillsynsbegäran.docx", "A 8196-2026")</f>
        <v/>
      </c>
      <c r="Y27">
        <f>HYPERLINK("https://klasma.github.io/Logging_1885/tillsynsmail/A 8196-2026 tillsynsbegäran mail.docx", "A 8196-2026")</f>
        <v/>
      </c>
      <c r="Z27">
        <f>HYPERLINK("https://klasma.github.io/Logging_1885/fåglar/A 8196-2026 prioriterade fågelarter.docx", "A 8196-2026")</f>
        <v/>
      </c>
    </row>
    <row r="28" ht="15" customHeight="1">
      <c r="A28" t="inlineStr">
        <is>
          <t>A 8195-2026</t>
        </is>
      </c>
      <c r="B28" s="1" t="n">
        <v>46064.43017361111</v>
      </c>
      <c r="C28" s="1" t="n">
        <v>46106</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46106</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46106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46106</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1475-2025</t>
        </is>
      </c>
      <c r="B32" s="1" t="n">
        <v>45670</v>
      </c>
      <c r="C32" s="1" t="n">
        <v>46106</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46106</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46106</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46106</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46106</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46106</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14807-2021</t>
        </is>
      </c>
      <c r="B38" s="1" t="n">
        <v>44280</v>
      </c>
      <c r="C38" s="1" t="n">
        <v>46106</v>
      </c>
      <c r="D38" t="inlineStr">
        <is>
          <t>ÖREBRO LÄN</t>
        </is>
      </c>
      <c r="E38" t="inlineStr">
        <is>
          <t>LINDESBERG</t>
        </is>
      </c>
      <c r="G38" t="n">
        <v>2</v>
      </c>
      <c r="H38" t="n">
        <v>1</v>
      </c>
      <c r="I38" t="n">
        <v>0</v>
      </c>
      <c r="J38" t="n">
        <v>0</v>
      </c>
      <c r="K38" t="n">
        <v>0</v>
      </c>
      <c r="L38" t="n">
        <v>2</v>
      </c>
      <c r="M38" t="n">
        <v>0</v>
      </c>
      <c r="N38" t="n">
        <v>0</v>
      </c>
      <c r="O38" t="n">
        <v>2</v>
      </c>
      <c r="P38" t="n">
        <v>2</v>
      </c>
      <c r="Q38" t="n">
        <v>2</v>
      </c>
      <c r="R38" s="2" t="inlineStr">
        <is>
          <t>Ask
Asknätfjäril</t>
        </is>
      </c>
      <c r="S38">
        <f>HYPERLINK("https://klasma.github.io/Logging_1885/artfynd/A 14807-2021 artfynd.xlsx", "A 14807-2021")</f>
        <v/>
      </c>
      <c r="T38">
        <f>HYPERLINK("https://klasma.github.io/Logging_1885/kartor/A 14807-2021 karta.png", "A 14807-2021")</f>
        <v/>
      </c>
      <c r="V38">
        <f>HYPERLINK("https://klasma.github.io/Logging_1885/klagomål/A 14807-2021 FSC-klagomål.docx", "A 14807-2021")</f>
        <v/>
      </c>
      <c r="W38">
        <f>HYPERLINK("https://klasma.github.io/Logging_1885/klagomålsmail/A 14807-2021 FSC-klagomål mail.docx", "A 14807-2021")</f>
        <v/>
      </c>
      <c r="X38">
        <f>HYPERLINK("https://klasma.github.io/Logging_1885/tillsyn/A 14807-2021 tillsynsbegäran.docx", "A 14807-2021")</f>
        <v/>
      </c>
      <c r="Y38">
        <f>HYPERLINK("https://klasma.github.io/Logging_1885/tillsynsmail/A 14807-2021 tillsynsbegäran mail.docx", "A 14807-2021")</f>
        <v/>
      </c>
    </row>
    <row r="39" ht="15" customHeight="1">
      <c r="A39" t="inlineStr">
        <is>
          <t>A 15687-2023</t>
        </is>
      </c>
      <c r="B39" s="1" t="n">
        <v>45021</v>
      </c>
      <c r="C39" s="1" t="n">
        <v>46106</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33574-2022</t>
        </is>
      </c>
      <c r="B40" s="1" t="n">
        <v>44789</v>
      </c>
      <c r="C40" s="1" t="n">
        <v>46106</v>
      </c>
      <c r="D40" t="inlineStr">
        <is>
          <t>ÖREBRO LÄN</t>
        </is>
      </c>
      <c r="E40" t="inlineStr">
        <is>
          <t>LINDESBERG</t>
        </is>
      </c>
      <c r="G40" t="n">
        <v>11.5</v>
      </c>
      <c r="H40" t="n">
        <v>1</v>
      </c>
      <c r="I40" t="n">
        <v>1</v>
      </c>
      <c r="J40" t="n">
        <v>0</v>
      </c>
      <c r="K40" t="n">
        <v>1</v>
      </c>
      <c r="L40" t="n">
        <v>0</v>
      </c>
      <c r="M40" t="n">
        <v>0</v>
      </c>
      <c r="N40" t="n">
        <v>0</v>
      </c>
      <c r="O40" t="n">
        <v>1</v>
      </c>
      <c r="P40" t="n">
        <v>1</v>
      </c>
      <c r="Q40" t="n">
        <v>2</v>
      </c>
      <c r="R40" s="2" t="inlineStr">
        <is>
          <t>Knärot
Vedticka</t>
        </is>
      </c>
      <c r="S40">
        <f>HYPERLINK("https://klasma.github.io/Logging_1885/artfynd/A 33574-2022 artfynd.xlsx", "A 33574-2022")</f>
        <v/>
      </c>
      <c r="T40">
        <f>HYPERLINK("https://klasma.github.io/Logging_1885/kartor/A 33574-2022 karta.png", "A 33574-2022")</f>
        <v/>
      </c>
      <c r="U40">
        <f>HYPERLINK("https://klasma.github.io/Logging_1885/knärot/A 33574-2022 karta knärot.png", "A 33574-2022")</f>
        <v/>
      </c>
      <c r="V40">
        <f>HYPERLINK("https://klasma.github.io/Logging_1885/klagomål/A 33574-2022 FSC-klagomål.docx", "A 33574-2022")</f>
        <v/>
      </c>
      <c r="W40">
        <f>HYPERLINK("https://klasma.github.io/Logging_1885/klagomålsmail/A 33574-2022 FSC-klagomål mail.docx", "A 33574-2022")</f>
        <v/>
      </c>
      <c r="X40">
        <f>HYPERLINK("https://klasma.github.io/Logging_1885/tillsyn/A 33574-2022 tillsynsbegäran.docx", "A 33574-2022")</f>
        <v/>
      </c>
      <c r="Y40">
        <f>HYPERLINK("https://klasma.github.io/Logging_1885/tillsynsmail/A 33574-2022 tillsynsbegäran mail.docx", "A 33574-2022")</f>
        <v/>
      </c>
    </row>
    <row r="41" ht="15" customHeight="1">
      <c r="A41" t="inlineStr">
        <is>
          <t>A 53686-2024</t>
        </is>
      </c>
      <c r="B41" s="1" t="n">
        <v>45615</v>
      </c>
      <c r="C41" s="1" t="n">
        <v>46106</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38380-2024</t>
        </is>
      </c>
      <c r="B42" s="1" t="n">
        <v>45546.28121527778</v>
      </c>
      <c r="C42" s="1" t="n">
        <v>46106</v>
      </c>
      <c r="D42" t="inlineStr">
        <is>
          <t>ÖREBRO LÄN</t>
        </is>
      </c>
      <c r="E42" t="inlineStr">
        <is>
          <t>LINDESBERG</t>
        </is>
      </c>
      <c r="G42" t="n">
        <v>6.8</v>
      </c>
      <c r="H42" t="n">
        <v>2</v>
      </c>
      <c r="I42" t="n">
        <v>0</v>
      </c>
      <c r="J42" t="n">
        <v>0</v>
      </c>
      <c r="K42" t="n">
        <v>0</v>
      </c>
      <c r="L42" t="n">
        <v>0</v>
      </c>
      <c r="M42" t="n">
        <v>0</v>
      </c>
      <c r="N42" t="n">
        <v>0</v>
      </c>
      <c r="O42" t="n">
        <v>0</v>
      </c>
      <c r="P42" t="n">
        <v>0</v>
      </c>
      <c r="Q42" t="n">
        <v>2</v>
      </c>
      <c r="R42" s="2" t="inlineStr">
        <is>
          <t>Blåsippa
Gullviva</t>
        </is>
      </c>
      <c r="S42">
        <f>HYPERLINK("https://klasma.github.io/Logging_1885/artfynd/A 38380-2024 artfynd.xlsx", "A 38380-2024")</f>
        <v/>
      </c>
      <c r="T42">
        <f>HYPERLINK("https://klasma.github.io/Logging_1885/kartor/A 38380-2024 karta.png", "A 38380-2024")</f>
        <v/>
      </c>
      <c r="V42">
        <f>HYPERLINK("https://klasma.github.io/Logging_1885/klagomål/A 38380-2024 FSC-klagomål.docx", "A 38380-2024")</f>
        <v/>
      </c>
      <c r="W42">
        <f>HYPERLINK("https://klasma.github.io/Logging_1885/klagomålsmail/A 38380-2024 FSC-klagomål mail.docx", "A 38380-2024")</f>
        <v/>
      </c>
      <c r="X42">
        <f>HYPERLINK("https://klasma.github.io/Logging_1885/tillsyn/A 38380-2024 tillsynsbegäran.docx", "A 38380-2024")</f>
        <v/>
      </c>
      <c r="Y42">
        <f>HYPERLINK("https://klasma.github.io/Logging_1885/tillsynsmail/A 38380-2024 tillsynsbegäran mail.docx", "A 38380-2024")</f>
        <v/>
      </c>
    </row>
    <row r="43" ht="15" customHeight="1">
      <c r="A43" t="inlineStr">
        <is>
          <t>A 32713-2021</t>
        </is>
      </c>
      <c r="B43" s="1" t="n">
        <v>44375</v>
      </c>
      <c r="C43" s="1" t="n">
        <v>46106</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46106</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46106</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46106</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46106</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33286-2024</t>
        </is>
      </c>
      <c r="B48" s="1" t="n">
        <v>45518</v>
      </c>
      <c r="C48" s="1" t="n">
        <v>46106</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45051-2024</t>
        </is>
      </c>
      <c r="B49" s="1" t="n">
        <v>45575.54934027778</v>
      </c>
      <c r="C49" s="1" t="n">
        <v>46106</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46106</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3729-2023</t>
        </is>
      </c>
      <c r="B51" s="1" t="n">
        <v>44949</v>
      </c>
      <c r="C51" s="1" t="n">
        <v>46106</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31052-2025</t>
        </is>
      </c>
      <c r="B52" s="1" t="n">
        <v>45832.56153935185</v>
      </c>
      <c r="C52" s="1" t="n">
        <v>46106</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30347-2025</t>
        </is>
      </c>
      <c r="B53" s="1" t="n">
        <v>45827.53077546296</v>
      </c>
      <c r="C53" s="1" t="n">
        <v>46106</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64513-2023</t>
        </is>
      </c>
      <c r="B54" s="1" t="n">
        <v>45281</v>
      </c>
      <c r="C54" s="1" t="n">
        <v>46106</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46106</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36669-2024</t>
        </is>
      </c>
      <c r="B56" s="1" t="n">
        <v>45537.64484953704</v>
      </c>
      <c r="C56" s="1" t="n">
        <v>46106</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45467-2025</t>
        </is>
      </c>
      <c r="B57" s="1" t="n">
        <v>45922.49990740741</v>
      </c>
      <c r="C57" s="1" t="n">
        <v>46106</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37834-2025</t>
        </is>
      </c>
      <c r="B58" s="1" t="n">
        <v>45881.42446759259</v>
      </c>
      <c r="C58" s="1" t="n">
        <v>46106</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 agg.</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67013-2021</t>
        </is>
      </c>
      <c r="B59" s="1" t="n">
        <v>44522</v>
      </c>
      <c r="C59" s="1" t="n">
        <v>46106</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48956-2025</t>
        </is>
      </c>
      <c r="B60" s="1" t="n">
        <v>45937.54982638889</v>
      </c>
      <c r="C60" s="1" t="n">
        <v>46106</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50777-2025</t>
        </is>
      </c>
      <c r="B61" s="1" t="n">
        <v>45946.45171296296</v>
      </c>
      <c r="C61" s="1" t="n">
        <v>46106</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50766-2025</t>
        </is>
      </c>
      <c r="B62" s="1" t="n">
        <v>45946.44423611111</v>
      </c>
      <c r="C62" s="1" t="n">
        <v>46106</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50768-2025</t>
        </is>
      </c>
      <c r="B63" s="1" t="n">
        <v>45946.44790509259</v>
      </c>
      <c r="C63" s="1" t="n">
        <v>46106</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52105-2025</t>
        </is>
      </c>
      <c r="B64" s="1" t="n">
        <v>45952.68596064814</v>
      </c>
      <c r="C64" s="1" t="n">
        <v>46106</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46106</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46106</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54857-2024</t>
        </is>
      </c>
      <c r="B67" s="1" t="n">
        <v>45618.58876157407</v>
      </c>
      <c r="C67" s="1" t="n">
        <v>46106</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46106</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57362-2025</t>
        </is>
      </c>
      <c r="B69" s="1" t="n">
        <v>45980.37108796297</v>
      </c>
      <c r="C69" s="1" t="n">
        <v>46106</v>
      </c>
      <c r="D69" t="inlineStr">
        <is>
          <t>ÖREBRO LÄN</t>
        </is>
      </c>
      <c r="E69" t="inlineStr">
        <is>
          <t>LINDESBERG</t>
        </is>
      </c>
      <c r="F69" t="inlineStr">
        <is>
          <t>Sveaskog</t>
        </is>
      </c>
      <c r="G69" t="n">
        <v>1.2</v>
      </c>
      <c r="H69" t="n">
        <v>0</v>
      </c>
      <c r="I69" t="n">
        <v>1</v>
      </c>
      <c r="J69" t="n">
        <v>0</v>
      </c>
      <c r="K69" t="n">
        <v>0</v>
      </c>
      <c r="L69" t="n">
        <v>0</v>
      </c>
      <c r="M69" t="n">
        <v>0</v>
      </c>
      <c r="N69" t="n">
        <v>0</v>
      </c>
      <c r="O69" t="n">
        <v>0</v>
      </c>
      <c r="P69" t="n">
        <v>0</v>
      </c>
      <c r="Q69" t="n">
        <v>1</v>
      </c>
      <c r="R69" s="2" t="inlineStr">
        <is>
          <t>Svart trolldruva</t>
        </is>
      </c>
      <c r="S69">
        <f>HYPERLINK("https://klasma.github.io/Logging_1885/artfynd/A 57362-2025 artfynd.xlsx", "A 57362-2025")</f>
        <v/>
      </c>
      <c r="T69">
        <f>HYPERLINK("https://klasma.github.io/Logging_1885/kartor/A 57362-2025 karta.png", "A 57362-2025")</f>
        <v/>
      </c>
      <c r="V69">
        <f>HYPERLINK("https://klasma.github.io/Logging_1885/klagomål/A 57362-2025 FSC-klagomål.docx", "A 57362-2025")</f>
        <v/>
      </c>
      <c r="W69">
        <f>HYPERLINK("https://klasma.github.io/Logging_1885/klagomålsmail/A 57362-2025 FSC-klagomål mail.docx", "A 57362-2025")</f>
        <v/>
      </c>
      <c r="X69">
        <f>HYPERLINK("https://klasma.github.io/Logging_1885/tillsyn/A 57362-2025 tillsynsbegäran.docx", "A 57362-2025")</f>
        <v/>
      </c>
      <c r="Y69">
        <f>HYPERLINK("https://klasma.github.io/Logging_1885/tillsynsmail/A 57362-2025 tillsynsbegäran mail.docx", "A 57362-2025")</f>
        <v/>
      </c>
    </row>
    <row r="70" ht="15" customHeight="1">
      <c r="A70" t="inlineStr">
        <is>
          <t>A 57355-2025</t>
        </is>
      </c>
      <c r="B70" s="1" t="n">
        <v>45980.3659375</v>
      </c>
      <c r="C70" s="1" t="n">
        <v>46106</v>
      </c>
      <c r="D70" t="inlineStr">
        <is>
          <t>ÖREBRO LÄN</t>
        </is>
      </c>
      <c r="E70" t="inlineStr">
        <is>
          <t>LINDESBERG</t>
        </is>
      </c>
      <c r="F70" t="inlineStr">
        <is>
          <t>Sveaskog</t>
        </is>
      </c>
      <c r="G70" t="n">
        <v>2.7</v>
      </c>
      <c r="H70" t="n">
        <v>0</v>
      </c>
      <c r="I70" t="n">
        <v>0</v>
      </c>
      <c r="J70" t="n">
        <v>1</v>
      </c>
      <c r="K70" t="n">
        <v>0</v>
      </c>
      <c r="L70" t="n">
        <v>0</v>
      </c>
      <c r="M70" t="n">
        <v>0</v>
      </c>
      <c r="N70" t="n">
        <v>0</v>
      </c>
      <c r="O70" t="n">
        <v>1</v>
      </c>
      <c r="P70" t="n">
        <v>0</v>
      </c>
      <c r="Q70" t="n">
        <v>1</v>
      </c>
      <c r="R70" s="2" t="inlineStr">
        <is>
          <t>Orange taggsvamp</t>
        </is>
      </c>
      <c r="S70">
        <f>HYPERLINK("https://klasma.github.io/Logging_1885/artfynd/A 57355-2025 artfynd.xlsx", "A 57355-2025")</f>
        <v/>
      </c>
      <c r="T70">
        <f>HYPERLINK("https://klasma.github.io/Logging_1885/kartor/A 57355-2025 karta.png", "A 57355-2025")</f>
        <v/>
      </c>
      <c r="V70">
        <f>HYPERLINK("https://klasma.github.io/Logging_1885/klagomål/A 57355-2025 FSC-klagomål.docx", "A 57355-2025")</f>
        <v/>
      </c>
      <c r="W70">
        <f>HYPERLINK("https://klasma.github.io/Logging_1885/klagomålsmail/A 57355-2025 FSC-klagomål mail.docx", "A 57355-2025")</f>
        <v/>
      </c>
      <c r="X70">
        <f>HYPERLINK("https://klasma.github.io/Logging_1885/tillsyn/A 57355-2025 tillsynsbegäran.docx", "A 57355-2025")</f>
        <v/>
      </c>
      <c r="Y70">
        <f>HYPERLINK("https://klasma.github.io/Logging_1885/tillsynsmail/A 57355-2025 tillsynsbegäran mail.docx", "A 57355-2025")</f>
        <v/>
      </c>
    </row>
    <row r="71" ht="15" customHeight="1">
      <c r="A71" t="inlineStr">
        <is>
          <t>A 28569-2024</t>
        </is>
      </c>
      <c r="B71" s="1" t="n">
        <v>45478.39592592593</v>
      </c>
      <c r="C71" s="1" t="n">
        <v>46106</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8186-2026</t>
        </is>
      </c>
      <c r="B72" s="1" t="n">
        <v>46064.42189814815</v>
      </c>
      <c r="C72" s="1" t="n">
        <v>46106</v>
      </c>
      <c r="D72" t="inlineStr">
        <is>
          <t>ÖREBRO LÄN</t>
        </is>
      </c>
      <c r="E72" t="inlineStr">
        <is>
          <t>LINDESBERG</t>
        </is>
      </c>
      <c r="G72" t="n">
        <v>2.4</v>
      </c>
      <c r="H72" t="n">
        <v>1</v>
      </c>
      <c r="I72" t="n">
        <v>0</v>
      </c>
      <c r="J72" t="n">
        <v>0</v>
      </c>
      <c r="K72" t="n">
        <v>0</v>
      </c>
      <c r="L72" t="n">
        <v>1</v>
      </c>
      <c r="M72" t="n">
        <v>0</v>
      </c>
      <c r="N72" t="n">
        <v>0</v>
      </c>
      <c r="O72" t="n">
        <v>1</v>
      </c>
      <c r="P72" t="n">
        <v>1</v>
      </c>
      <c r="Q72" t="n">
        <v>1</v>
      </c>
      <c r="R72" s="2" t="inlineStr">
        <is>
          <t>Asknätfjäril</t>
        </is>
      </c>
      <c r="S72">
        <f>HYPERLINK("https://klasma.github.io/Logging_1885/artfynd/A 8186-2026 artfynd.xlsx", "A 8186-2026")</f>
        <v/>
      </c>
      <c r="T72">
        <f>HYPERLINK("https://klasma.github.io/Logging_1885/kartor/A 8186-2026 karta.png", "A 8186-2026")</f>
        <v/>
      </c>
      <c r="V72">
        <f>HYPERLINK("https://klasma.github.io/Logging_1885/klagomål/A 8186-2026 FSC-klagomål.docx", "A 8186-2026")</f>
        <v/>
      </c>
      <c r="W72">
        <f>HYPERLINK("https://klasma.github.io/Logging_1885/klagomålsmail/A 8186-2026 FSC-klagomål mail.docx", "A 8186-2026")</f>
        <v/>
      </c>
      <c r="X72">
        <f>HYPERLINK("https://klasma.github.io/Logging_1885/tillsyn/A 8186-2026 tillsynsbegäran.docx", "A 8186-2026")</f>
        <v/>
      </c>
      <c r="Y72">
        <f>HYPERLINK("https://klasma.github.io/Logging_1885/tillsynsmail/A 8186-2026 tillsynsbegäran mail.docx", "A 8186-2026")</f>
        <v/>
      </c>
    </row>
    <row r="73" ht="15" customHeight="1">
      <c r="A73" t="inlineStr">
        <is>
          <t>A 8172-2026</t>
        </is>
      </c>
      <c r="B73" s="1" t="n">
        <v>46064</v>
      </c>
      <c r="C73" s="1" t="n">
        <v>46106</v>
      </c>
      <c r="D73" t="inlineStr">
        <is>
          <t>ÖREBRO LÄN</t>
        </is>
      </c>
      <c r="E73" t="inlineStr">
        <is>
          <t>LINDESBERG</t>
        </is>
      </c>
      <c r="G73" t="n">
        <v>2.9</v>
      </c>
      <c r="H73" t="n">
        <v>0</v>
      </c>
      <c r="I73" t="n">
        <v>0</v>
      </c>
      <c r="J73" t="n">
        <v>0</v>
      </c>
      <c r="K73" t="n">
        <v>0</v>
      </c>
      <c r="L73" t="n">
        <v>1</v>
      </c>
      <c r="M73" t="n">
        <v>0</v>
      </c>
      <c r="N73" t="n">
        <v>0</v>
      </c>
      <c r="O73" t="n">
        <v>1</v>
      </c>
      <c r="P73" t="n">
        <v>1</v>
      </c>
      <c r="Q73" t="n">
        <v>1</v>
      </c>
      <c r="R73" s="2" t="inlineStr">
        <is>
          <t>Bågtuss</t>
        </is>
      </c>
      <c r="S73">
        <f>HYPERLINK("https://klasma.github.io/Logging_1885/artfynd/A 8172-2026 artfynd.xlsx", "A 8172-2026")</f>
        <v/>
      </c>
      <c r="T73">
        <f>HYPERLINK("https://klasma.github.io/Logging_1885/kartor/A 8172-2026 karta.png", "A 8172-2026")</f>
        <v/>
      </c>
      <c r="U73">
        <f>HYPERLINK("https://klasma.github.io/Logging_1885/knärot/A 8172-2026 karta knärot.png", "A 8172-2026")</f>
        <v/>
      </c>
      <c r="V73">
        <f>HYPERLINK("https://klasma.github.io/Logging_1885/klagomål/A 8172-2026 FSC-klagomål.docx", "A 8172-2026")</f>
        <v/>
      </c>
      <c r="W73">
        <f>HYPERLINK("https://klasma.github.io/Logging_1885/klagomålsmail/A 8172-2026 FSC-klagomål mail.docx", "A 8172-2026")</f>
        <v/>
      </c>
      <c r="X73">
        <f>HYPERLINK("https://klasma.github.io/Logging_1885/tillsyn/A 8172-2026 tillsynsbegäran.docx", "A 8172-2026")</f>
        <v/>
      </c>
      <c r="Y73">
        <f>HYPERLINK("https://klasma.github.io/Logging_1885/tillsynsmail/A 8172-2026 tillsynsbegäran mail.docx", "A 8172-2026")</f>
        <v/>
      </c>
    </row>
    <row r="74" ht="15" customHeight="1">
      <c r="A74" t="inlineStr">
        <is>
          <t>A 8175-2026</t>
        </is>
      </c>
      <c r="B74" s="1" t="n">
        <v>46064</v>
      </c>
      <c r="C74" s="1" t="n">
        <v>46106</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Svart trolldruva</t>
        </is>
      </c>
      <c r="S74">
        <f>HYPERLINK("https://klasma.github.io/Logging_1885/artfynd/A 8175-2026 artfynd.xlsx", "A 8175-2026")</f>
        <v/>
      </c>
      <c r="T74">
        <f>HYPERLINK("https://klasma.github.io/Logging_1885/kartor/A 8175-2026 karta.png", "A 8175-2026")</f>
        <v/>
      </c>
      <c r="V74">
        <f>HYPERLINK("https://klasma.github.io/Logging_1885/klagomål/A 8175-2026 FSC-klagomål.docx", "A 8175-2026")</f>
        <v/>
      </c>
      <c r="W74">
        <f>HYPERLINK("https://klasma.github.io/Logging_1885/klagomålsmail/A 8175-2026 FSC-klagomål mail.docx", "A 8175-2026")</f>
        <v/>
      </c>
      <c r="X74">
        <f>HYPERLINK("https://klasma.github.io/Logging_1885/tillsyn/A 8175-2026 tillsynsbegäran.docx", "A 8175-2026")</f>
        <v/>
      </c>
      <c r="Y74">
        <f>HYPERLINK("https://klasma.github.io/Logging_1885/tillsynsmail/A 8175-2026 tillsynsbegäran mail.docx", "A 8175-2026")</f>
        <v/>
      </c>
    </row>
    <row r="75" ht="15" customHeight="1">
      <c r="A75" t="inlineStr">
        <is>
          <t>A 16791-2024</t>
        </is>
      </c>
      <c r="B75" s="1" t="n">
        <v>45411.42858796296</v>
      </c>
      <c r="C75" s="1" t="n">
        <v>46106</v>
      </c>
      <c r="D75" t="inlineStr">
        <is>
          <t>ÖREBRO LÄN</t>
        </is>
      </c>
      <c r="E75" t="inlineStr">
        <is>
          <t>LINDESBERG</t>
        </is>
      </c>
      <c r="G75" t="n">
        <v>16.1</v>
      </c>
      <c r="H75" t="n">
        <v>1</v>
      </c>
      <c r="I75" t="n">
        <v>0</v>
      </c>
      <c r="J75" t="n">
        <v>1</v>
      </c>
      <c r="K75" t="n">
        <v>0</v>
      </c>
      <c r="L75" t="n">
        <v>0</v>
      </c>
      <c r="M75" t="n">
        <v>0</v>
      </c>
      <c r="N75" t="n">
        <v>0</v>
      </c>
      <c r="O75" t="n">
        <v>1</v>
      </c>
      <c r="P75" t="n">
        <v>0</v>
      </c>
      <c r="Q75" t="n">
        <v>1</v>
      </c>
      <c r="R75" s="2" t="inlineStr">
        <is>
          <t>Spillkråka</t>
        </is>
      </c>
      <c r="S75">
        <f>HYPERLINK("https://klasma.github.io/Logging_1885/artfynd/A 16791-2024 artfynd.xlsx", "A 16791-2024")</f>
        <v/>
      </c>
      <c r="T75">
        <f>HYPERLINK("https://klasma.github.io/Logging_1885/kartor/A 16791-2024 karta.png", "A 16791-2024")</f>
        <v/>
      </c>
      <c r="V75">
        <f>HYPERLINK("https://klasma.github.io/Logging_1885/klagomål/A 16791-2024 FSC-klagomål.docx", "A 16791-2024")</f>
        <v/>
      </c>
      <c r="W75">
        <f>HYPERLINK("https://klasma.github.io/Logging_1885/klagomålsmail/A 16791-2024 FSC-klagomål mail.docx", "A 16791-2024")</f>
        <v/>
      </c>
      <c r="X75">
        <f>HYPERLINK("https://klasma.github.io/Logging_1885/tillsyn/A 16791-2024 tillsynsbegäran.docx", "A 16791-2024")</f>
        <v/>
      </c>
      <c r="Y75">
        <f>HYPERLINK("https://klasma.github.io/Logging_1885/tillsynsmail/A 16791-2024 tillsynsbegäran mail.docx", "A 16791-2024")</f>
        <v/>
      </c>
      <c r="Z75">
        <f>HYPERLINK("https://klasma.github.io/Logging_1885/fåglar/A 16791-2024 prioriterade fågelarter.docx", "A 16791-2024")</f>
        <v/>
      </c>
    </row>
    <row r="76" ht="15" customHeight="1">
      <c r="A76" t="inlineStr">
        <is>
          <t>A 53600-2024</t>
        </is>
      </c>
      <c r="B76" s="1" t="n">
        <v>45614.68596064814</v>
      </c>
      <c r="C76" s="1" t="n">
        <v>46106</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2829-2026</t>
        </is>
      </c>
      <c r="B77" s="1" t="n">
        <v>46038.45296296296</v>
      </c>
      <c r="C77" s="1" t="n">
        <v>46106</v>
      </c>
      <c r="D77" t="inlineStr">
        <is>
          <t>ÖREBRO LÄN</t>
        </is>
      </c>
      <c r="E77" t="inlineStr">
        <is>
          <t>LINDESBERG</t>
        </is>
      </c>
      <c r="G77" t="n">
        <v>6.3</v>
      </c>
      <c r="H77" t="n">
        <v>0</v>
      </c>
      <c r="I77" t="n">
        <v>1</v>
      </c>
      <c r="J77" t="n">
        <v>0</v>
      </c>
      <c r="K77" t="n">
        <v>0</v>
      </c>
      <c r="L77" t="n">
        <v>0</v>
      </c>
      <c r="M77" t="n">
        <v>0</v>
      </c>
      <c r="N77" t="n">
        <v>0</v>
      </c>
      <c r="O77" t="n">
        <v>0</v>
      </c>
      <c r="P77" t="n">
        <v>0</v>
      </c>
      <c r="Q77" t="n">
        <v>1</v>
      </c>
      <c r="R77" s="2" t="inlineStr">
        <is>
          <t>Vedticka</t>
        </is>
      </c>
      <c r="S77">
        <f>HYPERLINK("https://klasma.github.io/Logging_1885/artfynd/A 2829-2026 artfynd.xlsx", "A 2829-2026")</f>
        <v/>
      </c>
      <c r="T77">
        <f>HYPERLINK("https://klasma.github.io/Logging_1885/kartor/A 2829-2026 karta.png", "A 2829-2026")</f>
        <v/>
      </c>
      <c r="U77">
        <f>HYPERLINK("https://klasma.github.io/Logging_1885/knärot/A 2829-2026 karta knärot.png", "A 2829-2026")</f>
        <v/>
      </c>
      <c r="V77">
        <f>HYPERLINK("https://klasma.github.io/Logging_1885/klagomål/A 2829-2026 FSC-klagomål.docx", "A 2829-2026")</f>
        <v/>
      </c>
      <c r="W77">
        <f>HYPERLINK("https://klasma.github.io/Logging_1885/klagomålsmail/A 2829-2026 FSC-klagomål mail.docx", "A 2829-2026")</f>
        <v/>
      </c>
      <c r="X77">
        <f>HYPERLINK("https://klasma.github.io/Logging_1885/tillsyn/A 2829-2026 tillsynsbegäran.docx", "A 2829-2026")</f>
        <v/>
      </c>
      <c r="Y77">
        <f>HYPERLINK("https://klasma.github.io/Logging_1885/tillsynsmail/A 2829-2026 tillsynsbegäran mail.docx", "A 2829-2026")</f>
        <v/>
      </c>
    </row>
    <row r="78" ht="15" customHeight="1">
      <c r="A78" t="inlineStr">
        <is>
          <t>A 70466-2021</t>
        </is>
      </c>
      <c r="B78" s="1" t="n">
        <v>44536</v>
      </c>
      <c r="C78" s="1" t="n">
        <v>46106</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46106</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46106</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46106</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46106</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46106</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46106</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46106</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46106</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46106</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46106</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46106</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46106</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46106</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46106</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46106</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46106</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46106</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46106</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46106</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46106</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46106</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46106</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46106</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46106</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46106</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46106</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46106</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46106</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46106</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46106</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46106</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46106</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46106</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46106</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46106</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46106</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46106</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46106</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46106</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46106</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46106</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46106</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46106</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46106</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46106</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46106</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46106</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46106</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46106</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46106</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46106</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46106</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46106</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46106</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46106</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46106</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46106</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46106</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46106</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46106</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46106</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46106</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46106</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46106</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46106</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46106</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46106</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46106</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46106</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46106</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46106</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28741-2021</t>
        </is>
      </c>
      <c r="B151" s="1" t="n">
        <v>44357</v>
      </c>
      <c r="C151" s="1" t="n">
        <v>46106</v>
      </c>
      <c r="D151" t="inlineStr">
        <is>
          <t>ÖREBRO LÄN</t>
        </is>
      </c>
      <c r="E151" t="inlineStr">
        <is>
          <t>LINDESBERG</t>
        </is>
      </c>
      <c r="G151" t="n">
        <v>1.7</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46106</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46106</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46106</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46106</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46106</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46106</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46106</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46106</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46106</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46106</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46106</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46106</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46106</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46106</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46106</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46106</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46106</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46106</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46106</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46106</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46106</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46106</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46106</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46106</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46106</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46106</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46106</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46106</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46106</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46106</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46106</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46106</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46106</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46106</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46106</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46106</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46106</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46106</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46106</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46106</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46106</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46106</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46106</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46106</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46106</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46106</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46106</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46106</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46106</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46106</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46106</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46106</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46106</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46106</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46106</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46106</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46106</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46106</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46106</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46106</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2406-2024</t>
        </is>
      </c>
      <c r="B213" s="1" t="n">
        <v>45310</v>
      </c>
      <c r="C213" s="1" t="n">
        <v>46106</v>
      </c>
      <c r="D213" t="inlineStr">
        <is>
          <t>ÖREBRO LÄN</t>
        </is>
      </c>
      <c r="E213" t="inlineStr">
        <is>
          <t>LINDESBERG</t>
        </is>
      </c>
      <c r="G213" t="n">
        <v>16.1</v>
      </c>
      <c r="H213" t="n">
        <v>0</v>
      </c>
      <c r="I213" t="n">
        <v>0</v>
      </c>
      <c r="J213" t="n">
        <v>0</v>
      </c>
      <c r="K213" t="n">
        <v>0</v>
      </c>
      <c r="L213" t="n">
        <v>0</v>
      </c>
      <c r="M213" t="n">
        <v>0</v>
      </c>
      <c r="N213" t="n">
        <v>0</v>
      </c>
      <c r="O213" t="n">
        <v>0</v>
      </c>
      <c r="P213" t="n">
        <v>0</v>
      </c>
      <c r="Q213" t="n">
        <v>0</v>
      </c>
      <c r="R213" s="2" t="inlineStr"/>
    </row>
    <row r="214" ht="15" customHeight="1">
      <c r="A214" t="inlineStr">
        <is>
          <t>A 13417-2025</t>
        </is>
      </c>
      <c r="B214" s="1" t="n">
        <v>45736.30940972222</v>
      </c>
      <c r="C214" s="1" t="n">
        <v>46106</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35230-2024</t>
        </is>
      </c>
      <c r="B215" s="1" t="n">
        <v>45530</v>
      </c>
      <c r="C215" s="1" t="n">
        <v>46106</v>
      </c>
      <c r="D215" t="inlineStr">
        <is>
          <t>ÖREBRO LÄN</t>
        </is>
      </c>
      <c r="E215" t="inlineStr">
        <is>
          <t>LINDESBERG</t>
        </is>
      </c>
      <c r="G215" t="n">
        <v>1.7</v>
      </c>
      <c r="H215" t="n">
        <v>0</v>
      </c>
      <c r="I215" t="n">
        <v>0</v>
      </c>
      <c r="J215" t="n">
        <v>0</v>
      </c>
      <c r="K215" t="n">
        <v>0</v>
      </c>
      <c r="L215" t="n">
        <v>0</v>
      </c>
      <c r="M215" t="n">
        <v>0</v>
      </c>
      <c r="N215" t="n">
        <v>0</v>
      </c>
      <c r="O215" t="n">
        <v>0</v>
      </c>
      <c r="P215" t="n">
        <v>0</v>
      </c>
      <c r="Q215" t="n">
        <v>0</v>
      </c>
      <c r="R215" s="2" t="inlineStr"/>
    </row>
    <row r="216" ht="15" customHeight="1">
      <c r="A216" t="inlineStr">
        <is>
          <t>A 65194-2023</t>
        </is>
      </c>
      <c r="B216" s="1" t="n">
        <v>45289</v>
      </c>
      <c r="C216" s="1" t="n">
        <v>46106</v>
      </c>
      <c r="D216" t="inlineStr">
        <is>
          <t>ÖREBRO LÄN</t>
        </is>
      </c>
      <c r="E216" t="inlineStr">
        <is>
          <t>LINDESBERG</t>
        </is>
      </c>
      <c r="G216" t="n">
        <v>1</v>
      </c>
      <c r="H216" t="n">
        <v>0</v>
      </c>
      <c r="I216" t="n">
        <v>0</v>
      </c>
      <c r="J216" t="n">
        <v>0</v>
      </c>
      <c r="K216" t="n">
        <v>0</v>
      </c>
      <c r="L216" t="n">
        <v>0</v>
      </c>
      <c r="M216" t="n">
        <v>0</v>
      </c>
      <c r="N216" t="n">
        <v>0</v>
      </c>
      <c r="O216" t="n">
        <v>0</v>
      </c>
      <c r="P216" t="n">
        <v>0</v>
      </c>
      <c r="Q216" t="n">
        <v>0</v>
      </c>
      <c r="R216" s="2" t="inlineStr"/>
    </row>
    <row r="217" ht="15" customHeight="1">
      <c r="A217" t="inlineStr">
        <is>
          <t>A 33282-2024</t>
        </is>
      </c>
      <c r="B217" s="1" t="n">
        <v>45518.71482638889</v>
      </c>
      <c r="C217" s="1" t="n">
        <v>46106</v>
      </c>
      <c r="D217" t="inlineStr">
        <is>
          <t>ÖREBRO LÄN</t>
        </is>
      </c>
      <c r="E217" t="inlineStr">
        <is>
          <t>LINDESBERG</t>
        </is>
      </c>
      <c r="G217" t="n">
        <v>7.5</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46106</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46106</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46106</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46106</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46106</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35739-2024</t>
        </is>
      </c>
      <c r="B223" s="1" t="n">
        <v>45532</v>
      </c>
      <c r="C223" s="1" t="n">
        <v>46106</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46106</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46106</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46106</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8213-2023</t>
        </is>
      </c>
      <c r="B227" s="1" t="n">
        <v>44974.55693287037</v>
      </c>
      <c r="C227" s="1" t="n">
        <v>46106</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17895-2022</t>
        </is>
      </c>
      <c r="B228" s="1" t="n">
        <v>44683</v>
      </c>
      <c r="C228" s="1" t="n">
        <v>46106</v>
      </c>
      <c r="D228" t="inlineStr">
        <is>
          <t>ÖREBRO LÄN</t>
        </is>
      </c>
      <c r="E228" t="inlineStr">
        <is>
          <t>LINDESBERG</t>
        </is>
      </c>
      <c r="G228" t="n">
        <v>1.3</v>
      </c>
      <c r="H228" t="n">
        <v>0</v>
      </c>
      <c r="I228" t="n">
        <v>0</v>
      </c>
      <c r="J228" t="n">
        <v>0</v>
      </c>
      <c r="K228" t="n">
        <v>0</v>
      </c>
      <c r="L228" t="n">
        <v>0</v>
      </c>
      <c r="M228" t="n">
        <v>0</v>
      </c>
      <c r="N228" t="n">
        <v>0</v>
      </c>
      <c r="O228" t="n">
        <v>0</v>
      </c>
      <c r="P228" t="n">
        <v>0</v>
      </c>
      <c r="Q228" t="n">
        <v>0</v>
      </c>
      <c r="R228" s="2" t="inlineStr"/>
    </row>
    <row r="229" ht="15" customHeight="1">
      <c r="A229" t="inlineStr">
        <is>
          <t>A 16618-2023</t>
        </is>
      </c>
      <c r="B229" s="1" t="n">
        <v>45030</v>
      </c>
      <c r="C229" s="1" t="n">
        <v>46106</v>
      </c>
      <c r="D229" t="inlineStr">
        <is>
          <t>ÖREBRO LÄN</t>
        </is>
      </c>
      <c r="E229" t="inlineStr">
        <is>
          <t>LINDESBERG</t>
        </is>
      </c>
      <c r="F229" t="inlineStr">
        <is>
          <t>Kommuner</t>
        </is>
      </c>
      <c r="G229" t="n">
        <v>4.6</v>
      </c>
      <c r="H229" t="n">
        <v>0</v>
      </c>
      <c r="I229" t="n">
        <v>0</v>
      </c>
      <c r="J229" t="n">
        <v>0</v>
      </c>
      <c r="K229" t="n">
        <v>0</v>
      </c>
      <c r="L229" t="n">
        <v>0</v>
      </c>
      <c r="M229" t="n">
        <v>0</v>
      </c>
      <c r="N229" t="n">
        <v>0</v>
      </c>
      <c r="O229" t="n">
        <v>0</v>
      </c>
      <c r="P229" t="n">
        <v>0</v>
      </c>
      <c r="Q229" t="n">
        <v>0</v>
      </c>
      <c r="R229" s="2" t="inlineStr"/>
    </row>
    <row r="230" ht="15" customHeight="1">
      <c r="A230" t="inlineStr">
        <is>
          <t>A 51539-2024</t>
        </is>
      </c>
      <c r="B230" s="1" t="n">
        <v>45604.58837962963</v>
      </c>
      <c r="C230" s="1" t="n">
        <v>46106</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15752-2024</t>
        </is>
      </c>
      <c r="B231" s="1" t="n">
        <v>45404.55681712963</v>
      </c>
      <c r="C231" s="1" t="n">
        <v>46106</v>
      </c>
      <c r="D231" t="inlineStr">
        <is>
          <t>ÖREBRO LÄN</t>
        </is>
      </c>
      <c r="E231" t="inlineStr">
        <is>
          <t>LINDESBERG</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12692-2024</t>
        </is>
      </c>
      <c r="B232" s="1" t="n">
        <v>45384.43418981481</v>
      </c>
      <c r="C232" s="1" t="n">
        <v>46106</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53046-2024</t>
        </is>
      </c>
      <c r="B233" s="1" t="n">
        <v>45611.44960648148</v>
      </c>
      <c r="C233" s="1" t="n">
        <v>46106</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61594-2024</t>
        </is>
      </c>
      <c r="B234" s="1" t="n">
        <v>45646.63482638889</v>
      </c>
      <c r="C234" s="1" t="n">
        <v>46106</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2569-2023</t>
        </is>
      </c>
      <c r="B235" s="1" t="n">
        <v>44943.73792824074</v>
      </c>
      <c r="C235" s="1" t="n">
        <v>46106</v>
      </c>
      <c r="D235" t="inlineStr">
        <is>
          <t>ÖREBRO LÄN</t>
        </is>
      </c>
      <c r="E235" t="inlineStr">
        <is>
          <t>LINDESBERG</t>
        </is>
      </c>
      <c r="G235" t="n">
        <v>2.3</v>
      </c>
      <c r="H235" t="n">
        <v>0</v>
      </c>
      <c r="I235" t="n">
        <v>0</v>
      </c>
      <c r="J235" t="n">
        <v>0</v>
      </c>
      <c r="K235" t="n">
        <v>0</v>
      </c>
      <c r="L235" t="n">
        <v>0</v>
      </c>
      <c r="M235" t="n">
        <v>0</v>
      </c>
      <c r="N235" t="n">
        <v>0</v>
      </c>
      <c r="O235" t="n">
        <v>0</v>
      </c>
      <c r="P235" t="n">
        <v>0</v>
      </c>
      <c r="Q235" t="n">
        <v>0</v>
      </c>
      <c r="R235" s="2" t="inlineStr"/>
    </row>
    <row r="236" ht="15" customHeight="1">
      <c r="A236" t="inlineStr">
        <is>
          <t>A 17115-2025</t>
        </is>
      </c>
      <c r="B236" s="1" t="n">
        <v>45755.68247685185</v>
      </c>
      <c r="C236" s="1" t="n">
        <v>46106</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37507-2023</t>
        </is>
      </c>
      <c r="B237" s="1" t="n">
        <v>45158.41768518519</v>
      </c>
      <c r="C237" s="1" t="n">
        <v>46106</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34676-2023</t>
        </is>
      </c>
      <c r="B238" s="1" t="n">
        <v>45140</v>
      </c>
      <c r="C238" s="1" t="n">
        <v>46106</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19960-2023</t>
        </is>
      </c>
      <c r="B239" s="1" t="n">
        <v>45054</v>
      </c>
      <c r="C239" s="1" t="n">
        <v>46106</v>
      </c>
      <c r="D239" t="inlineStr">
        <is>
          <t>ÖREBRO LÄN</t>
        </is>
      </c>
      <c r="E239" t="inlineStr">
        <is>
          <t>LINDESBERG</t>
        </is>
      </c>
      <c r="G239" t="n">
        <v>6.2</v>
      </c>
      <c r="H239" t="n">
        <v>0</v>
      </c>
      <c r="I239" t="n">
        <v>0</v>
      </c>
      <c r="J239" t="n">
        <v>0</v>
      </c>
      <c r="K239" t="n">
        <v>0</v>
      </c>
      <c r="L239" t="n">
        <v>0</v>
      </c>
      <c r="M239" t="n">
        <v>0</v>
      </c>
      <c r="N239" t="n">
        <v>0</v>
      </c>
      <c r="O239" t="n">
        <v>0</v>
      </c>
      <c r="P239" t="n">
        <v>0</v>
      </c>
      <c r="Q239" t="n">
        <v>0</v>
      </c>
      <c r="R239" s="2" t="inlineStr"/>
    </row>
    <row r="240" ht="15" customHeight="1">
      <c r="A240" t="inlineStr">
        <is>
          <t>A 16447-2025</t>
        </is>
      </c>
      <c r="B240" s="1" t="n">
        <v>45751.50498842593</v>
      </c>
      <c r="C240" s="1" t="n">
        <v>46106</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46039-2024</t>
        </is>
      </c>
      <c r="B241" s="1" t="n">
        <v>45580.73525462963</v>
      </c>
      <c r="C241" s="1" t="n">
        <v>46106</v>
      </c>
      <c r="D241" t="inlineStr">
        <is>
          <t>ÖREBRO LÄN</t>
        </is>
      </c>
      <c r="E241" t="inlineStr">
        <is>
          <t>LINDESBERG</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46647-2024</t>
        </is>
      </c>
      <c r="B242" s="1" t="n">
        <v>45583</v>
      </c>
      <c r="C242" s="1" t="n">
        <v>46106</v>
      </c>
      <c r="D242" t="inlineStr">
        <is>
          <t>ÖREBRO LÄN</t>
        </is>
      </c>
      <c r="E242" t="inlineStr">
        <is>
          <t>LINDESBERG</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43247-2023</t>
        </is>
      </c>
      <c r="B243" s="1" t="n">
        <v>45183.48666666666</v>
      </c>
      <c r="C243" s="1" t="n">
        <v>46106</v>
      </c>
      <c r="D243" t="inlineStr">
        <is>
          <t>ÖREBRO LÄN</t>
        </is>
      </c>
      <c r="E243" t="inlineStr">
        <is>
          <t>LINDESBERG</t>
        </is>
      </c>
      <c r="G243" t="n">
        <v>3</v>
      </c>
      <c r="H243" t="n">
        <v>0</v>
      </c>
      <c r="I243" t="n">
        <v>0</v>
      </c>
      <c r="J243" t="n">
        <v>0</v>
      </c>
      <c r="K243" t="n">
        <v>0</v>
      </c>
      <c r="L243" t="n">
        <v>0</v>
      </c>
      <c r="M243" t="n">
        <v>0</v>
      </c>
      <c r="N243" t="n">
        <v>0</v>
      </c>
      <c r="O243" t="n">
        <v>0</v>
      </c>
      <c r="P243" t="n">
        <v>0</v>
      </c>
      <c r="Q243" t="n">
        <v>0</v>
      </c>
      <c r="R243" s="2" t="inlineStr"/>
    </row>
    <row r="244" ht="15" customHeight="1">
      <c r="A244" t="inlineStr">
        <is>
          <t>A 47535-2022</t>
        </is>
      </c>
      <c r="B244" s="1" t="n">
        <v>44853.79818287037</v>
      </c>
      <c r="C244" s="1" t="n">
        <v>46106</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43433-2024</t>
        </is>
      </c>
      <c r="B245" s="1" t="n">
        <v>45568.64523148148</v>
      </c>
      <c r="C245" s="1" t="n">
        <v>46106</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53189-2023</t>
        </is>
      </c>
      <c r="B246" s="1" t="n">
        <v>45194</v>
      </c>
      <c r="C246" s="1" t="n">
        <v>46106</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23102-2023</t>
        </is>
      </c>
      <c r="B247" s="1" t="n">
        <v>45075.44152777778</v>
      </c>
      <c r="C247" s="1" t="n">
        <v>46106</v>
      </c>
      <c r="D247" t="inlineStr">
        <is>
          <t>ÖREBRO LÄN</t>
        </is>
      </c>
      <c r="E247" t="inlineStr">
        <is>
          <t>LINDESBERG</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2414-2024</t>
        </is>
      </c>
      <c r="B248" s="1" t="n">
        <v>45310.87931712963</v>
      </c>
      <c r="C248" s="1" t="n">
        <v>46106</v>
      </c>
      <c r="D248" t="inlineStr">
        <is>
          <t>ÖREBRO LÄN</t>
        </is>
      </c>
      <c r="E248" t="inlineStr">
        <is>
          <t>LINDESBERG</t>
        </is>
      </c>
      <c r="G248" t="n">
        <v>7.2</v>
      </c>
      <c r="H248" t="n">
        <v>0</v>
      </c>
      <c r="I248" t="n">
        <v>0</v>
      </c>
      <c r="J248" t="n">
        <v>0</v>
      </c>
      <c r="K248" t="n">
        <v>0</v>
      </c>
      <c r="L248" t="n">
        <v>0</v>
      </c>
      <c r="M248" t="n">
        <v>0</v>
      </c>
      <c r="N248" t="n">
        <v>0</v>
      </c>
      <c r="O248" t="n">
        <v>0</v>
      </c>
      <c r="P248" t="n">
        <v>0</v>
      </c>
      <c r="Q248" t="n">
        <v>0</v>
      </c>
      <c r="R248" s="2" t="inlineStr"/>
    </row>
    <row r="249" ht="15" customHeight="1">
      <c r="A249" t="inlineStr">
        <is>
          <t>A 1490-2024</t>
        </is>
      </c>
      <c r="B249" s="1" t="n">
        <v>45305</v>
      </c>
      <c r="C249" s="1" t="n">
        <v>46106</v>
      </c>
      <c r="D249" t="inlineStr">
        <is>
          <t>ÖREBRO LÄN</t>
        </is>
      </c>
      <c r="E249" t="inlineStr">
        <is>
          <t>LINDESBERG</t>
        </is>
      </c>
      <c r="G249" t="n">
        <v>17.6</v>
      </c>
      <c r="H249" t="n">
        <v>0</v>
      </c>
      <c r="I249" t="n">
        <v>0</v>
      </c>
      <c r="J249" t="n">
        <v>0</v>
      </c>
      <c r="K249" t="n">
        <v>0</v>
      </c>
      <c r="L249" t="n">
        <v>0</v>
      </c>
      <c r="M249" t="n">
        <v>0</v>
      </c>
      <c r="N249" t="n">
        <v>0</v>
      </c>
      <c r="O249" t="n">
        <v>0</v>
      </c>
      <c r="P249" t="n">
        <v>0</v>
      </c>
      <c r="Q249" t="n">
        <v>0</v>
      </c>
      <c r="R249" s="2" t="inlineStr"/>
    </row>
    <row r="250" ht="15" customHeight="1">
      <c r="A250" t="inlineStr">
        <is>
          <t>A 7201-2024</t>
        </is>
      </c>
      <c r="B250" s="1" t="n">
        <v>45344.6027662037</v>
      </c>
      <c r="C250" s="1" t="n">
        <v>46106</v>
      </c>
      <c r="D250" t="inlineStr">
        <is>
          <t>ÖREBRO LÄN</t>
        </is>
      </c>
      <c r="E250" t="inlineStr">
        <is>
          <t>LINDESBERG</t>
        </is>
      </c>
      <c r="G250" t="n">
        <v>4.7</v>
      </c>
      <c r="H250" t="n">
        <v>0</v>
      </c>
      <c r="I250" t="n">
        <v>0</v>
      </c>
      <c r="J250" t="n">
        <v>0</v>
      </c>
      <c r="K250" t="n">
        <v>0</v>
      </c>
      <c r="L250" t="n">
        <v>0</v>
      </c>
      <c r="M250" t="n">
        <v>0</v>
      </c>
      <c r="N250" t="n">
        <v>0</v>
      </c>
      <c r="O250" t="n">
        <v>0</v>
      </c>
      <c r="P250" t="n">
        <v>0</v>
      </c>
      <c r="Q250" t="n">
        <v>0</v>
      </c>
      <c r="R250" s="2" t="inlineStr"/>
    </row>
    <row r="251" ht="15" customHeight="1">
      <c r="A251" t="inlineStr">
        <is>
          <t>A 5080-2024</t>
        </is>
      </c>
      <c r="B251" s="1" t="n">
        <v>45330</v>
      </c>
      <c r="C251" s="1" t="n">
        <v>46106</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52284-2024</t>
        </is>
      </c>
      <c r="B252" s="1" t="n">
        <v>45608</v>
      </c>
      <c r="C252" s="1" t="n">
        <v>46106</v>
      </c>
      <c r="D252" t="inlineStr">
        <is>
          <t>ÖREBRO LÄN</t>
        </is>
      </c>
      <c r="E252" t="inlineStr">
        <is>
          <t>LINDESBERG</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15895-2025</t>
        </is>
      </c>
      <c r="B253" s="1" t="n">
        <v>45749</v>
      </c>
      <c r="C253" s="1" t="n">
        <v>46106</v>
      </c>
      <c r="D253" t="inlineStr">
        <is>
          <t>ÖREBRO LÄN</t>
        </is>
      </c>
      <c r="E253" t="inlineStr">
        <is>
          <t>LINDESBERG</t>
        </is>
      </c>
      <c r="G253" t="n">
        <v>1</v>
      </c>
      <c r="H253" t="n">
        <v>0</v>
      </c>
      <c r="I253" t="n">
        <v>0</v>
      </c>
      <c r="J253" t="n">
        <v>0</v>
      </c>
      <c r="K253" t="n">
        <v>0</v>
      </c>
      <c r="L253" t="n">
        <v>0</v>
      </c>
      <c r="M253" t="n">
        <v>0</v>
      </c>
      <c r="N253" t="n">
        <v>0</v>
      </c>
      <c r="O253" t="n">
        <v>0</v>
      </c>
      <c r="P253" t="n">
        <v>0</v>
      </c>
      <c r="Q253" t="n">
        <v>0</v>
      </c>
      <c r="R253" s="2" t="inlineStr"/>
    </row>
    <row r="254" ht="15" customHeight="1">
      <c r="A254" t="inlineStr">
        <is>
          <t>A 4440-2024</t>
        </is>
      </c>
      <c r="B254" s="1" t="n">
        <v>45327</v>
      </c>
      <c r="C254" s="1" t="n">
        <v>46106</v>
      </c>
      <c r="D254" t="inlineStr">
        <is>
          <t>ÖREBRO LÄN</t>
        </is>
      </c>
      <c r="E254" t="inlineStr">
        <is>
          <t>LINDESBERG</t>
        </is>
      </c>
      <c r="F254" t="inlineStr">
        <is>
          <t>BillerudKorsnäs AB</t>
        </is>
      </c>
      <c r="G254" t="n">
        <v>2</v>
      </c>
      <c r="H254" t="n">
        <v>0</v>
      </c>
      <c r="I254" t="n">
        <v>0</v>
      </c>
      <c r="J254" t="n">
        <v>0</v>
      </c>
      <c r="K254" t="n">
        <v>0</v>
      </c>
      <c r="L254" t="n">
        <v>0</v>
      </c>
      <c r="M254" t="n">
        <v>0</v>
      </c>
      <c r="N254" t="n">
        <v>0</v>
      </c>
      <c r="O254" t="n">
        <v>0</v>
      </c>
      <c r="P254" t="n">
        <v>0</v>
      </c>
      <c r="Q254" t="n">
        <v>0</v>
      </c>
      <c r="R254" s="2" t="inlineStr"/>
    </row>
    <row r="255" ht="15" customHeight="1">
      <c r="A255" t="inlineStr">
        <is>
          <t>A 27434-2023</t>
        </is>
      </c>
      <c r="B255" s="1" t="n">
        <v>45097.38688657407</v>
      </c>
      <c r="C255" s="1" t="n">
        <v>46106</v>
      </c>
      <c r="D255" t="inlineStr">
        <is>
          <t>ÖREBRO LÄN</t>
        </is>
      </c>
      <c r="E255" t="inlineStr">
        <is>
          <t>LINDESBERG</t>
        </is>
      </c>
      <c r="G255" t="n">
        <v>10.7</v>
      </c>
      <c r="H255" t="n">
        <v>0</v>
      </c>
      <c r="I255" t="n">
        <v>0</v>
      </c>
      <c r="J255" t="n">
        <v>0</v>
      </c>
      <c r="K255" t="n">
        <v>0</v>
      </c>
      <c r="L255" t="n">
        <v>0</v>
      </c>
      <c r="M255" t="n">
        <v>0</v>
      </c>
      <c r="N255" t="n">
        <v>0</v>
      </c>
      <c r="O255" t="n">
        <v>0</v>
      </c>
      <c r="P255" t="n">
        <v>0</v>
      </c>
      <c r="Q255" t="n">
        <v>0</v>
      </c>
      <c r="R255" s="2" t="inlineStr"/>
    </row>
    <row r="256" ht="15" customHeight="1">
      <c r="A256" t="inlineStr">
        <is>
          <t>A 23649-2023</t>
        </is>
      </c>
      <c r="B256" s="1" t="n">
        <v>45074</v>
      </c>
      <c r="C256" s="1" t="n">
        <v>46106</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15899-2025</t>
        </is>
      </c>
      <c r="B257" s="1" t="n">
        <v>45749.42258101852</v>
      </c>
      <c r="C257" s="1" t="n">
        <v>46106</v>
      </c>
      <c r="D257" t="inlineStr">
        <is>
          <t>ÖREBRO LÄN</t>
        </is>
      </c>
      <c r="E257" t="inlineStr">
        <is>
          <t>LINDESBERG</t>
        </is>
      </c>
      <c r="G257" t="n">
        <v>6.6</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46106</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46106</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46106</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56561-2023</t>
        </is>
      </c>
      <c r="B261" s="1" t="n">
        <v>45243</v>
      </c>
      <c r="C261" s="1" t="n">
        <v>46106</v>
      </c>
      <c r="D261" t="inlineStr">
        <is>
          <t>ÖREBRO LÄN</t>
        </is>
      </c>
      <c r="E261" t="inlineStr">
        <is>
          <t>LINDESBERG</t>
        </is>
      </c>
      <c r="G261" t="n">
        <v>1.9</v>
      </c>
      <c r="H261" t="n">
        <v>0</v>
      </c>
      <c r="I261" t="n">
        <v>0</v>
      </c>
      <c r="J261" t="n">
        <v>0</v>
      </c>
      <c r="K261" t="n">
        <v>0</v>
      </c>
      <c r="L261" t="n">
        <v>0</v>
      </c>
      <c r="M261" t="n">
        <v>0</v>
      </c>
      <c r="N261" t="n">
        <v>0</v>
      </c>
      <c r="O261" t="n">
        <v>0</v>
      </c>
      <c r="P261" t="n">
        <v>0</v>
      </c>
      <c r="Q261" t="n">
        <v>0</v>
      </c>
      <c r="R261" s="2" t="inlineStr"/>
    </row>
    <row r="262" ht="15" customHeight="1">
      <c r="A262" t="inlineStr">
        <is>
          <t>A 56579-2023</t>
        </is>
      </c>
      <c r="B262" s="1" t="n">
        <v>45243.62420138889</v>
      </c>
      <c r="C262" s="1" t="n">
        <v>46106</v>
      </c>
      <c r="D262" t="inlineStr">
        <is>
          <t>ÖREBRO LÄN</t>
        </is>
      </c>
      <c r="E262" t="inlineStr">
        <is>
          <t>LINDESBERG</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56582-2023</t>
        </is>
      </c>
      <c r="B263" s="1" t="n">
        <v>45243</v>
      </c>
      <c r="C263" s="1" t="n">
        <v>46106</v>
      </c>
      <c r="D263" t="inlineStr">
        <is>
          <t>ÖREBRO LÄN</t>
        </is>
      </c>
      <c r="E263" t="inlineStr">
        <is>
          <t>LINDESBERG</t>
        </is>
      </c>
      <c r="F263" t="inlineStr">
        <is>
          <t>Naturvårdsverket</t>
        </is>
      </c>
      <c r="G263" t="n">
        <v>2.3</v>
      </c>
      <c r="H263" t="n">
        <v>0</v>
      </c>
      <c r="I263" t="n">
        <v>0</v>
      </c>
      <c r="J263" t="n">
        <v>0</v>
      </c>
      <c r="K263" t="n">
        <v>0</v>
      </c>
      <c r="L263" t="n">
        <v>0</v>
      </c>
      <c r="M263" t="n">
        <v>0</v>
      </c>
      <c r="N263" t="n">
        <v>0</v>
      </c>
      <c r="O263" t="n">
        <v>0</v>
      </c>
      <c r="P263" t="n">
        <v>0</v>
      </c>
      <c r="Q263" t="n">
        <v>0</v>
      </c>
      <c r="R263" s="2" t="inlineStr"/>
    </row>
    <row r="264" ht="15" customHeight="1">
      <c r="A264" t="inlineStr">
        <is>
          <t>A 41947-2023</t>
        </is>
      </c>
      <c r="B264" s="1" t="n">
        <v>45177.31795138889</v>
      </c>
      <c r="C264" s="1" t="n">
        <v>46106</v>
      </c>
      <c r="D264" t="inlineStr">
        <is>
          <t>ÖREBRO LÄN</t>
        </is>
      </c>
      <c r="E264" t="inlineStr">
        <is>
          <t>LINDESBERG</t>
        </is>
      </c>
      <c r="F264" t="inlineStr">
        <is>
          <t>Kyrkan</t>
        </is>
      </c>
      <c r="G264" t="n">
        <v>0.7</v>
      </c>
      <c r="H264" t="n">
        <v>0</v>
      </c>
      <c r="I264" t="n">
        <v>0</v>
      </c>
      <c r="J264" t="n">
        <v>0</v>
      </c>
      <c r="K264" t="n">
        <v>0</v>
      </c>
      <c r="L264" t="n">
        <v>0</v>
      </c>
      <c r="M264" t="n">
        <v>0</v>
      </c>
      <c r="N264" t="n">
        <v>0</v>
      </c>
      <c r="O264" t="n">
        <v>0</v>
      </c>
      <c r="P264" t="n">
        <v>0</v>
      </c>
      <c r="Q264" t="n">
        <v>0</v>
      </c>
      <c r="R264" s="2" t="inlineStr"/>
    </row>
    <row r="265" ht="15" customHeight="1">
      <c r="A265" t="inlineStr">
        <is>
          <t>A 37738-2024</t>
        </is>
      </c>
      <c r="B265" s="1" t="n">
        <v>45541.66916666667</v>
      </c>
      <c r="C265" s="1" t="n">
        <v>46106</v>
      </c>
      <c r="D265" t="inlineStr">
        <is>
          <t>ÖREBRO LÄN</t>
        </is>
      </c>
      <c r="E265" t="inlineStr">
        <is>
          <t>LINDESBERG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15933-2025</t>
        </is>
      </c>
      <c r="B266" s="1" t="n">
        <v>45749.47251157407</v>
      </c>
      <c r="C266" s="1" t="n">
        <v>46106</v>
      </c>
      <c r="D266" t="inlineStr">
        <is>
          <t>ÖREBRO LÄN</t>
        </is>
      </c>
      <c r="E266" t="inlineStr">
        <is>
          <t>LINDESBERG</t>
        </is>
      </c>
      <c r="G266" t="n">
        <v>6.1</v>
      </c>
      <c r="H266" t="n">
        <v>0</v>
      </c>
      <c r="I266" t="n">
        <v>0</v>
      </c>
      <c r="J266" t="n">
        <v>0</v>
      </c>
      <c r="K266" t="n">
        <v>0</v>
      </c>
      <c r="L266" t="n">
        <v>0</v>
      </c>
      <c r="M266" t="n">
        <v>0</v>
      </c>
      <c r="N266" t="n">
        <v>0</v>
      </c>
      <c r="O266" t="n">
        <v>0</v>
      </c>
      <c r="P266" t="n">
        <v>0</v>
      </c>
      <c r="Q266" t="n">
        <v>0</v>
      </c>
      <c r="R266" s="2" t="inlineStr"/>
    </row>
    <row r="267" ht="15" customHeight="1">
      <c r="A267" t="inlineStr">
        <is>
          <t>A 29938-2024</t>
        </is>
      </c>
      <c r="B267" s="1" t="n">
        <v>45488.41480324074</v>
      </c>
      <c r="C267" s="1" t="n">
        <v>46106</v>
      </c>
      <c r="D267" t="inlineStr">
        <is>
          <t>ÖREBRO LÄN</t>
        </is>
      </c>
      <c r="E267" t="inlineStr">
        <is>
          <t>LINDESBERG</t>
        </is>
      </c>
      <c r="G267" t="n">
        <v>4</v>
      </c>
      <c r="H267" t="n">
        <v>0</v>
      </c>
      <c r="I267" t="n">
        <v>0</v>
      </c>
      <c r="J267" t="n">
        <v>0</v>
      </c>
      <c r="K267" t="n">
        <v>0</v>
      </c>
      <c r="L267" t="n">
        <v>0</v>
      </c>
      <c r="M267" t="n">
        <v>0</v>
      </c>
      <c r="N267" t="n">
        <v>0</v>
      </c>
      <c r="O267" t="n">
        <v>0</v>
      </c>
      <c r="P267" t="n">
        <v>0</v>
      </c>
      <c r="Q267" t="n">
        <v>0</v>
      </c>
      <c r="R267" s="2" t="inlineStr"/>
    </row>
    <row r="268" ht="15" customHeight="1">
      <c r="A268" t="inlineStr">
        <is>
          <t>A 62968-2023</t>
        </is>
      </c>
      <c r="B268" s="1" t="n">
        <v>45272.57385416667</v>
      </c>
      <c r="C268" s="1" t="n">
        <v>46106</v>
      </c>
      <c r="D268" t="inlineStr">
        <is>
          <t>ÖREBRO LÄN</t>
        </is>
      </c>
      <c r="E268" t="inlineStr">
        <is>
          <t>LINDESBERG</t>
        </is>
      </c>
      <c r="G268" t="n">
        <v>0.6</v>
      </c>
      <c r="H268" t="n">
        <v>0</v>
      </c>
      <c r="I268" t="n">
        <v>0</v>
      </c>
      <c r="J268" t="n">
        <v>0</v>
      </c>
      <c r="K268" t="n">
        <v>0</v>
      </c>
      <c r="L268" t="n">
        <v>0</v>
      </c>
      <c r="M268" t="n">
        <v>0</v>
      </c>
      <c r="N268" t="n">
        <v>0</v>
      </c>
      <c r="O268" t="n">
        <v>0</v>
      </c>
      <c r="P268" t="n">
        <v>0</v>
      </c>
      <c r="Q268" t="n">
        <v>0</v>
      </c>
      <c r="R268" s="2" t="inlineStr"/>
    </row>
    <row r="269" ht="15" customHeight="1">
      <c r="A269" t="inlineStr">
        <is>
          <t>A 10564-2023</t>
        </is>
      </c>
      <c r="B269" s="1" t="n">
        <v>44988</v>
      </c>
      <c r="C269" s="1" t="n">
        <v>46106</v>
      </c>
      <c r="D269" t="inlineStr">
        <is>
          <t>ÖREBRO LÄN</t>
        </is>
      </c>
      <c r="E269" t="inlineStr">
        <is>
          <t>LINDESBERG</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15936-2025</t>
        </is>
      </c>
      <c r="B270" s="1" t="n">
        <v>45749.4737962963</v>
      </c>
      <c r="C270" s="1" t="n">
        <v>46106</v>
      </c>
      <c r="D270" t="inlineStr">
        <is>
          <t>ÖREBRO LÄN</t>
        </is>
      </c>
      <c r="E270" t="inlineStr">
        <is>
          <t>LINDESBERG</t>
        </is>
      </c>
      <c r="G270" t="n">
        <v>22.3</v>
      </c>
      <c r="H270" t="n">
        <v>0</v>
      </c>
      <c r="I270" t="n">
        <v>0</v>
      </c>
      <c r="J270" t="n">
        <v>0</v>
      </c>
      <c r="K270" t="n">
        <v>0</v>
      </c>
      <c r="L270" t="n">
        <v>0</v>
      </c>
      <c r="M270" t="n">
        <v>0</v>
      </c>
      <c r="N270" t="n">
        <v>0</v>
      </c>
      <c r="O270" t="n">
        <v>0</v>
      </c>
      <c r="P270" t="n">
        <v>0</v>
      </c>
      <c r="Q270" t="n">
        <v>0</v>
      </c>
      <c r="R270" s="2" t="inlineStr"/>
    </row>
    <row r="271" ht="15" customHeight="1">
      <c r="A271" t="inlineStr">
        <is>
          <t>A 30830-2024</t>
        </is>
      </c>
      <c r="B271" s="1" t="n">
        <v>45497</v>
      </c>
      <c r="C271" s="1" t="n">
        <v>46106</v>
      </c>
      <c r="D271" t="inlineStr">
        <is>
          <t>ÖREBRO LÄN</t>
        </is>
      </c>
      <c r="E271" t="inlineStr">
        <is>
          <t>LINDESBERG</t>
        </is>
      </c>
      <c r="G271" t="n">
        <v>2.8</v>
      </c>
      <c r="H271" t="n">
        <v>0</v>
      </c>
      <c r="I271" t="n">
        <v>0</v>
      </c>
      <c r="J271" t="n">
        <v>0</v>
      </c>
      <c r="K271" t="n">
        <v>0</v>
      </c>
      <c r="L271" t="n">
        <v>0</v>
      </c>
      <c r="M271" t="n">
        <v>0</v>
      </c>
      <c r="N271" t="n">
        <v>0</v>
      </c>
      <c r="O271" t="n">
        <v>0</v>
      </c>
      <c r="P271" t="n">
        <v>0</v>
      </c>
      <c r="Q271" t="n">
        <v>0</v>
      </c>
      <c r="R271" s="2" t="inlineStr"/>
    </row>
    <row r="272" ht="15" customHeight="1">
      <c r="A272" t="inlineStr">
        <is>
          <t>A 36291-2022</t>
        </is>
      </c>
      <c r="B272" s="1" t="n">
        <v>44803.64361111111</v>
      </c>
      <c r="C272" s="1" t="n">
        <v>46106</v>
      </c>
      <c r="D272" t="inlineStr">
        <is>
          <t>ÖREBRO LÄN</t>
        </is>
      </c>
      <c r="E272" t="inlineStr">
        <is>
          <t>LINDESBERG</t>
        </is>
      </c>
      <c r="G272" t="n">
        <v>3.8</v>
      </c>
      <c r="H272" t="n">
        <v>0</v>
      </c>
      <c r="I272" t="n">
        <v>0</v>
      </c>
      <c r="J272" t="n">
        <v>0</v>
      </c>
      <c r="K272" t="n">
        <v>0</v>
      </c>
      <c r="L272" t="n">
        <v>0</v>
      </c>
      <c r="M272" t="n">
        <v>0</v>
      </c>
      <c r="N272" t="n">
        <v>0</v>
      </c>
      <c r="O272" t="n">
        <v>0</v>
      </c>
      <c r="P272" t="n">
        <v>0</v>
      </c>
      <c r="Q272" t="n">
        <v>0</v>
      </c>
      <c r="R272" s="2" t="inlineStr"/>
    </row>
    <row r="273" ht="15" customHeight="1">
      <c r="A273" t="inlineStr">
        <is>
          <t>A 4999-2025</t>
        </is>
      </c>
      <c r="B273" s="1" t="n">
        <v>45691.36253472222</v>
      </c>
      <c r="C273" s="1" t="n">
        <v>46106</v>
      </c>
      <c r="D273" t="inlineStr">
        <is>
          <t>ÖREBRO LÄN</t>
        </is>
      </c>
      <c r="E273" t="inlineStr">
        <is>
          <t>LINDESBERG</t>
        </is>
      </c>
      <c r="G273" t="n">
        <v>4.7</v>
      </c>
      <c r="H273" t="n">
        <v>0</v>
      </c>
      <c r="I273" t="n">
        <v>0</v>
      </c>
      <c r="J273" t="n">
        <v>0</v>
      </c>
      <c r="K273" t="n">
        <v>0</v>
      </c>
      <c r="L273" t="n">
        <v>0</v>
      </c>
      <c r="M273" t="n">
        <v>0</v>
      </c>
      <c r="N273" t="n">
        <v>0</v>
      </c>
      <c r="O273" t="n">
        <v>0</v>
      </c>
      <c r="P273" t="n">
        <v>0</v>
      </c>
      <c r="Q273" t="n">
        <v>0</v>
      </c>
      <c r="R273" s="2" t="inlineStr"/>
    </row>
    <row r="274" ht="15" customHeight="1">
      <c r="A274" t="inlineStr">
        <is>
          <t>A 15941-2025</t>
        </is>
      </c>
      <c r="B274" s="1" t="n">
        <v>45749</v>
      </c>
      <c r="C274" s="1" t="n">
        <v>46106</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10836-2024</t>
        </is>
      </c>
      <c r="B275" s="1" t="n">
        <v>45369</v>
      </c>
      <c r="C275" s="1" t="n">
        <v>46106</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23536-2023</t>
        </is>
      </c>
      <c r="B276" s="1" t="n">
        <v>45077</v>
      </c>
      <c r="C276" s="1" t="n">
        <v>46106</v>
      </c>
      <c r="D276" t="inlineStr">
        <is>
          <t>ÖREBRO LÄN</t>
        </is>
      </c>
      <c r="E276" t="inlineStr">
        <is>
          <t>LINDESBERG</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46106</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15213-2025</t>
        </is>
      </c>
      <c r="B278" s="1" t="n">
        <v>45744.57851851852</v>
      </c>
      <c r="C278" s="1" t="n">
        <v>46106</v>
      </c>
      <c r="D278" t="inlineStr">
        <is>
          <t>ÖREBRO LÄN</t>
        </is>
      </c>
      <c r="E278" t="inlineStr">
        <is>
          <t>LINDESBERG</t>
        </is>
      </c>
      <c r="F278" t="inlineStr">
        <is>
          <t>Sveaskog</t>
        </is>
      </c>
      <c r="G278" t="n">
        <v>4</v>
      </c>
      <c r="H278" t="n">
        <v>0</v>
      </c>
      <c r="I278" t="n">
        <v>0</v>
      </c>
      <c r="J278" t="n">
        <v>0</v>
      </c>
      <c r="K278" t="n">
        <v>0</v>
      </c>
      <c r="L278" t="n">
        <v>0</v>
      </c>
      <c r="M278" t="n">
        <v>0</v>
      </c>
      <c r="N278" t="n">
        <v>0</v>
      </c>
      <c r="O278" t="n">
        <v>0</v>
      </c>
      <c r="P278" t="n">
        <v>0</v>
      </c>
      <c r="Q278" t="n">
        <v>0</v>
      </c>
      <c r="R278" s="2" t="inlineStr"/>
    </row>
    <row r="279" ht="15" customHeight="1">
      <c r="A279" t="inlineStr">
        <is>
          <t>A 55631-2022</t>
        </is>
      </c>
      <c r="B279" s="1" t="n">
        <v>44888.4577662037</v>
      </c>
      <c r="C279" s="1" t="n">
        <v>46106</v>
      </c>
      <c r="D279" t="inlineStr">
        <is>
          <t>ÖREBRO LÄN</t>
        </is>
      </c>
      <c r="E279" t="inlineStr">
        <is>
          <t>LINDESBERG</t>
        </is>
      </c>
      <c r="G279" t="n">
        <v>4.4</v>
      </c>
      <c r="H279" t="n">
        <v>0</v>
      </c>
      <c r="I279" t="n">
        <v>0</v>
      </c>
      <c r="J279" t="n">
        <v>0</v>
      </c>
      <c r="K279" t="n">
        <v>0</v>
      </c>
      <c r="L279" t="n">
        <v>0</v>
      </c>
      <c r="M279" t="n">
        <v>0</v>
      </c>
      <c r="N279" t="n">
        <v>0</v>
      </c>
      <c r="O279" t="n">
        <v>0</v>
      </c>
      <c r="P279" t="n">
        <v>0</v>
      </c>
      <c r="Q279" t="n">
        <v>0</v>
      </c>
      <c r="R279" s="2" t="inlineStr"/>
    </row>
    <row r="280" ht="15" customHeight="1">
      <c r="A280" t="inlineStr">
        <is>
          <t>A 265-2023</t>
        </is>
      </c>
      <c r="B280" s="1" t="n">
        <v>44928</v>
      </c>
      <c r="C280" s="1" t="n">
        <v>46106</v>
      </c>
      <c r="D280" t="inlineStr">
        <is>
          <t>ÖREBRO LÄN</t>
        </is>
      </c>
      <c r="E280" t="inlineStr">
        <is>
          <t>LINDESBERG</t>
        </is>
      </c>
      <c r="G280" t="n">
        <v>2.4</v>
      </c>
      <c r="H280" t="n">
        <v>0</v>
      </c>
      <c r="I280" t="n">
        <v>0</v>
      </c>
      <c r="J280" t="n">
        <v>0</v>
      </c>
      <c r="K280" t="n">
        <v>0</v>
      </c>
      <c r="L280" t="n">
        <v>0</v>
      </c>
      <c r="M280" t="n">
        <v>0</v>
      </c>
      <c r="N280" t="n">
        <v>0</v>
      </c>
      <c r="O280" t="n">
        <v>0</v>
      </c>
      <c r="P280" t="n">
        <v>0</v>
      </c>
      <c r="Q280" t="n">
        <v>0</v>
      </c>
      <c r="R280" s="2" t="inlineStr"/>
    </row>
    <row r="281" ht="15" customHeight="1">
      <c r="A281" t="inlineStr">
        <is>
          <t>A 19914-2024</t>
        </is>
      </c>
      <c r="B281" s="1" t="n">
        <v>45433.58099537037</v>
      </c>
      <c r="C281" s="1" t="n">
        <v>46106</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60115-2022</t>
        </is>
      </c>
      <c r="B282" s="1" t="n">
        <v>44902</v>
      </c>
      <c r="C282" s="1" t="n">
        <v>46106</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29975-2023</t>
        </is>
      </c>
      <c r="B283" s="1" t="n">
        <v>45108.7553587963</v>
      </c>
      <c r="C283" s="1" t="n">
        <v>46106</v>
      </c>
      <c r="D283" t="inlineStr">
        <is>
          <t>ÖREBRO LÄN</t>
        </is>
      </c>
      <c r="E283" t="inlineStr">
        <is>
          <t>LINDESBERG</t>
        </is>
      </c>
      <c r="G283" t="n">
        <v>6.4</v>
      </c>
      <c r="H283" t="n">
        <v>0</v>
      </c>
      <c r="I283" t="n">
        <v>0</v>
      </c>
      <c r="J283" t="n">
        <v>0</v>
      </c>
      <c r="K283" t="n">
        <v>0</v>
      </c>
      <c r="L283" t="n">
        <v>0</v>
      </c>
      <c r="M283" t="n">
        <v>0</v>
      </c>
      <c r="N283" t="n">
        <v>0</v>
      </c>
      <c r="O283" t="n">
        <v>0</v>
      </c>
      <c r="P283" t="n">
        <v>0</v>
      </c>
      <c r="Q283" t="n">
        <v>0</v>
      </c>
      <c r="R283" s="2" t="inlineStr"/>
    </row>
    <row r="284" ht="15" customHeight="1">
      <c r="A284" t="inlineStr">
        <is>
          <t>A 40905-2023</t>
        </is>
      </c>
      <c r="B284" s="1" t="n">
        <v>45173.39315972223</v>
      </c>
      <c r="C284" s="1" t="n">
        <v>46106</v>
      </c>
      <c r="D284" t="inlineStr">
        <is>
          <t>ÖREBRO LÄN</t>
        </is>
      </c>
      <c r="E284" t="inlineStr">
        <is>
          <t>LINDESBERG</t>
        </is>
      </c>
      <c r="G284" t="n">
        <v>0.5</v>
      </c>
      <c r="H284" t="n">
        <v>0</v>
      </c>
      <c r="I284" t="n">
        <v>0</v>
      </c>
      <c r="J284" t="n">
        <v>0</v>
      </c>
      <c r="K284" t="n">
        <v>0</v>
      </c>
      <c r="L284" t="n">
        <v>0</v>
      </c>
      <c r="M284" t="n">
        <v>0</v>
      </c>
      <c r="N284" t="n">
        <v>0</v>
      </c>
      <c r="O284" t="n">
        <v>0</v>
      </c>
      <c r="P284" t="n">
        <v>0</v>
      </c>
      <c r="Q284" t="n">
        <v>0</v>
      </c>
      <c r="R284" s="2" t="inlineStr"/>
    </row>
    <row r="285" ht="15" customHeight="1">
      <c r="A285" t="inlineStr">
        <is>
          <t>A 15212-2025</t>
        </is>
      </c>
      <c r="B285" s="1" t="n">
        <v>45744.57673611111</v>
      </c>
      <c r="C285" s="1" t="n">
        <v>46106</v>
      </c>
      <c r="D285" t="inlineStr">
        <is>
          <t>ÖREBRO LÄN</t>
        </is>
      </c>
      <c r="E285" t="inlineStr">
        <is>
          <t>LINDESBERG</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40085-2023</t>
        </is>
      </c>
      <c r="B286" s="1" t="n">
        <v>45168.92155092592</v>
      </c>
      <c r="C286" s="1" t="n">
        <v>46106</v>
      </c>
      <c r="D286" t="inlineStr">
        <is>
          <t>ÖREBRO LÄN</t>
        </is>
      </c>
      <c r="E286" t="inlineStr">
        <is>
          <t>LINDESBERG</t>
        </is>
      </c>
      <c r="G286" t="n">
        <v>6.1</v>
      </c>
      <c r="H286" t="n">
        <v>0</v>
      </c>
      <c r="I286" t="n">
        <v>0</v>
      </c>
      <c r="J286" t="n">
        <v>0</v>
      </c>
      <c r="K286" t="n">
        <v>0</v>
      </c>
      <c r="L286" t="n">
        <v>0</v>
      </c>
      <c r="M286" t="n">
        <v>0</v>
      </c>
      <c r="N286" t="n">
        <v>0</v>
      </c>
      <c r="O286" t="n">
        <v>0</v>
      </c>
      <c r="P286" t="n">
        <v>0</v>
      </c>
      <c r="Q286" t="n">
        <v>0</v>
      </c>
      <c r="R286" s="2" t="inlineStr"/>
    </row>
    <row r="287" ht="15" customHeight="1">
      <c r="A287" t="inlineStr">
        <is>
          <t>A 40117-2023</t>
        </is>
      </c>
      <c r="B287" s="1" t="n">
        <v>45168.94197916667</v>
      </c>
      <c r="C287" s="1" t="n">
        <v>46106</v>
      </c>
      <c r="D287" t="inlineStr">
        <is>
          <t>ÖREBRO LÄN</t>
        </is>
      </c>
      <c r="E287" t="inlineStr">
        <is>
          <t>LINDESBERG</t>
        </is>
      </c>
      <c r="G287" t="n">
        <v>2.3</v>
      </c>
      <c r="H287" t="n">
        <v>0</v>
      </c>
      <c r="I287" t="n">
        <v>0</v>
      </c>
      <c r="J287" t="n">
        <v>0</v>
      </c>
      <c r="K287" t="n">
        <v>0</v>
      </c>
      <c r="L287" t="n">
        <v>0</v>
      </c>
      <c r="M287" t="n">
        <v>0</v>
      </c>
      <c r="N287" t="n">
        <v>0</v>
      </c>
      <c r="O287" t="n">
        <v>0</v>
      </c>
      <c r="P287" t="n">
        <v>0</v>
      </c>
      <c r="Q287" t="n">
        <v>0</v>
      </c>
      <c r="R287" s="2" t="inlineStr"/>
    </row>
    <row r="288" ht="15" customHeight="1">
      <c r="A288" t="inlineStr">
        <is>
          <t>A 9966-2023</t>
        </is>
      </c>
      <c r="B288" s="1" t="n">
        <v>44979</v>
      </c>
      <c r="C288" s="1" t="n">
        <v>46106</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21390-2024</t>
        </is>
      </c>
      <c r="B289" s="1" t="n">
        <v>45441.30899305556</v>
      </c>
      <c r="C289" s="1" t="n">
        <v>46106</v>
      </c>
      <c r="D289" t="inlineStr">
        <is>
          <t>ÖREBRO LÄN</t>
        </is>
      </c>
      <c r="E289" t="inlineStr">
        <is>
          <t>LINDESBERG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21392-2024</t>
        </is>
      </c>
      <c r="B290" s="1" t="n">
        <v>45441.30998842593</v>
      </c>
      <c r="C290" s="1" t="n">
        <v>46106</v>
      </c>
      <c r="D290" t="inlineStr">
        <is>
          <t>ÖREBRO LÄN</t>
        </is>
      </c>
      <c r="E290" t="inlineStr">
        <is>
          <t>LINDESBERG</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60941-2024</t>
        </is>
      </c>
      <c r="B291" s="1" t="n">
        <v>45645.3712037037</v>
      </c>
      <c r="C291" s="1" t="n">
        <v>46106</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17823-2021</t>
        </is>
      </c>
      <c r="B292" s="1" t="n">
        <v>44300</v>
      </c>
      <c r="C292" s="1" t="n">
        <v>46106</v>
      </c>
      <c r="D292" t="inlineStr">
        <is>
          <t>ÖREBRO LÄN</t>
        </is>
      </c>
      <c r="E292" t="inlineStr">
        <is>
          <t>LINDESBERG</t>
        </is>
      </c>
      <c r="G292" t="n">
        <v>3.9</v>
      </c>
      <c r="H292" t="n">
        <v>0</v>
      </c>
      <c r="I292" t="n">
        <v>0</v>
      </c>
      <c r="J292" t="n">
        <v>0</v>
      </c>
      <c r="K292" t="n">
        <v>0</v>
      </c>
      <c r="L292" t="n">
        <v>0</v>
      </c>
      <c r="M292" t="n">
        <v>0</v>
      </c>
      <c r="N292" t="n">
        <v>0</v>
      </c>
      <c r="O292" t="n">
        <v>0</v>
      </c>
      <c r="P292" t="n">
        <v>0</v>
      </c>
      <c r="Q292" t="n">
        <v>0</v>
      </c>
      <c r="R292" s="2" t="inlineStr"/>
    </row>
    <row r="293" ht="15" customHeight="1">
      <c r="A293" t="inlineStr">
        <is>
          <t>A 56507-2021</t>
        </is>
      </c>
      <c r="B293" s="1" t="n">
        <v>44480.58034722223</v>
      </c>
      <c r="C293" s="1" t="n">
        <v>46106</v>
      </c>
      <c r="D293" t="inlineStr">
        <is>
          <t>ÖREBRO LÄN</t>
        </is>
      </c>
      <c r="E293" t="inlineStr">
        <is>
          <t>LINDESBERG</t>
        </is>
      </c>
      <c r="G293" t="n">
        <v>2.3</v>
      </c>
      <c r="H293" t="n">
        <v>0</v>
      </c>
      <c r="I293" t="n">
        <v>0</v>
      </c>
      <c r="J293" t="n">
        <v>0</v>
      </c>
      <c r="K293" t="n">
        <v>0</v>
      </c>
      <c r="L293" t="n">
        <v>0</v>
      </c>
      <c r="M293" t="n">
        <v>0</v>
      </c>
      <c r="N293" t="n">
        <v>0</v>
      </c>
      <c r="O293" t="n">
        <v>0</v>
      </c>
      <c r="P293" t="n">
        <v>0</v>
      </c>
      <c r="Q293" t="n">
        <v>0</v>
      </c>
      <c r="R293" s="2" t="inlineStr"/>
    </row>
    <row r="294" ht="15" customHeight="1">
      <c r="A294" t="inlineStr">
        <is>
          <t>A 24944-2024</t>
        </is>
      </c>
      <c r="B294" s="1" t="n">
        <v>45461.62924768519</v>
      </c>
      <c r="C294" s="1" t="n">
        <v>46106</v>
      </c>
      <c r="D294" t="inlineStr">
        <is>
          <t>ÖREBRO LÄN</t>
        </is>
      </c>
      <c r="E294" t="inlineStr">
        <is>
          <t>LINDESBERG</t>
        </is>
      </c>
      <c r="F294" t="inlineStr">
        <is>
          <t>Kyrkan</t>
        </is>
      </c>
      <c r="G294" t="n">
        <v>13.7</v>
      </c>
      <c r="H294" t="n">
        <v>0</v>
      </c>
      <c r="I294" t="n">
        <v>0</v>
      </c>
      <c r="J294" t="n">
        <v>0</v>
      </c>
      <c r="K294" t="n">
        <v>0</v>
      </c>
      <c r="L294" t="n">
        <v>0</v>
      </c>
      <c r="M294" t="n">
        <v>0</v>
      </c>
      <c r="N294" t="n">
        <v>0</v>
      </c>
      <c r="O294" t="n">
        <v>0</v>
      </c>
      <c r="P294" t="n">
        <v>0</v>
      </c>
      <c r="Q294" t="n">
        <v>0</v>
      </c>
      <c r="R294" s="2" t="inlineStr"/>
    </row>
    <row r="295" ht="15" customHeight="1">
      <c r="A295" t="inlineStr">
        <is>
          <t>A 27296-2025</t>
        </is>
      </c>
      <c r="B295" s="1" t="n">
        <v>45812.56952546296</v>
      </c>
      <c r="C295" s="1" t="n">
        <v>46106</v>
      </c>
      <c r="D295" t="inlineStr">
        <is>
          <t>ÖREBRO LÄN</t>
        </is>
      </c>
      <c r="E295" t="inlineStr">
        <is>
          <t>LINDESBERG</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47069-2023</t>
        </is>
      </c>
      <c r="B296" s="1" t="n">
        <v>45201</v>
      </c>
      <c r="C296" s="1" t="n">
        <v>46106</v>
      </c>
      <c r="D296" t="inlineStr">
        <is>
          <t>ÖREBRO LÄN</t>
        </is>
      </c>
      <c r="E296" t="inlineStr">
        <is>
          <t>LINDESBERG</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47074-2023</t>
        </is>
      </c>
      <c r="B297" s="1" t="n">
        <v>45201.60283564815</v>
      </c>
      <c r="C297" s="1" t="n">
        <v>46106</v>
      </c>
      <c r="D297" t="inlineStr">
        <is>
          <t>ÖREBRO LÄN</t>
        </is>
      </c>
      <c r="E297" t="inlineStr">
        <is>
          <t>LINDESBERG</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4997-2024</t>
        </is>
      </c>
      <c r="B298" s="1" t="n">
        <v>45329</v>
      </c>
      <c r="C298" s="1" t="n">
        <v>46106</v>
      </c>
      <c r="D298" t="inlineStr">
        <is>
          <t>ÖREBRO LÄN</t>
        </is>
      </c>
      <c r="E298" t="inlineStr">
        <is>
          <t>LINDESBERG</t>
        </is>
      </c>
      <c r="F298" t="inlineStr">
        <is>
          <t>BillerudKorsnäs AB</t>
        </is>
      </c>
      <c r="G298" t="n">
        <v>3</v>
      </c>
      <c r="H298" t="n">
        <v>0</v>
      </c>
      <c r="I298" t="n">
        <v>0</v>
      </c>
      <c r="J298" t="n">
        <v>0</v>
      </c>
      <c r="K298" t="n">
        <v>0</v>
      </c>
      <c r="L298" t="n">
        <v>0</v>
      </c>
      <c r="M298" t="n">
        <v>0</v>
      </c>
      <c r="N298" t="n">
        <v>0</v>
      </c>
      <c r="O298" t="n">
        <v>0</v>
      </c>
      <c r="P298" t="n">
        <v>0</v>
      </c>
      <c r="Q298" t="n">
        <v>0</v>
      </c>
      <c r="R298" s="2" t="inlineStr"/>
    </row>
    <row r="299" ht="15" customHeight="1">
      <c r="A299" t="inlineStr">
        <is>
          <t>A 33284-2024</t>
        </is>
      </c>
      <c r="B299" s="1" t="n">
        <v>45518.71721064814</v>
      </c>
      <c r="C299" s="1" t="n">
        <v>46106</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33716-2021</t>
        </is>
      </c>
      <c r="B300" s="1" t="n">
        <v>44378.46857638889</v>
      </c>
      <c r="C300" s="1" t="n">
        <v>46106</v>
      </c>
      <c r="D300" t="inlineStr">
        <is>
          <t>ÖREBRO LÄN</t>
        </is>
      </c>
      <c r="E300" t="inlineStr">
        <is>
          <t>LINDESBERG</t>
        </is>
      </c>
      <c r="G300" t="n">
        <v>4.6</v>
      </c>
      <c r="H300" t="n">
        <v>0</v>
      </c>
      <c r="I300" t="n">
        <v>0</v>
      </c>
      <c r="J300" t="n">
        <v>0</v>
      </c>
      <c r="K300" t="n">
        <v>0</v>
      </c>
      <c r="L300" t="n">
        <v>0</v>
      </c>
      <c r="M300" t="n">
        <v>0</v>
      </c>
      <c r="N300" t="n">
        <v>0</v>
      </c>
      <c r="O300" t="n">
        <v>0</v>
      </c>
      <c r="P300" t="n">
        <v>0</v>
      </c>
      <c r="Q300" t="n">
        <v>0</v>
      </c>
      <c r="R300" s="2" t="inlineStr"/>
    </row>
    <row r="301" ht="15" customHeight="1">
      <c r="A301" t="inlineStr">
        <is>
          <t>A 6989-2026</t>
        </is>
      </c>
      <c r="B301" s="1" t="n">
        <v>46057.60342592592</v>
      </c>
      <c r="C301" s="1" t="n">
        <v>46106</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38696-2024</t>
        </is>
      </c>
      <c r="B302" s="1" t="n">
        <v>45547.36590277778</v>
      </c>
      <c r="C302" s="1" t="n">
        <v>46106</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14034-2026</t>
        </is>
      </c>
      <c r="B303" s="1" t="n">
        <v>46098.79559027778</v>
      </c>
      <c r="C303" s="1" t="n">
        <v>46106</v>
      </c>
      <c r="D303" t="inlineStr">
        <is>
          <t>ÖREBRO LÄN</t>
        </is>
      </c>
      <c r="E303" t="inlineStr">
        <is>
          <t>LINDESBERG</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19219-2023</t>
        </is>
      </c>
      <c r="B304" s="1" t="n">
        <v>45048</v>
      </c>
      <c r="C304" s="1" t="n">
        <v>46106</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1742-2022</t>
        </is>
      </c>
      <c r="B305" s="1" t="n">
        <v>44574.50425925926</v>
      </c>
      <c r="C305" s="1" t="n">
        <v>46106</v>
      </c>
      <c r="D305" t="inlineStr">
        <is>
          <t>ÖREBRO LÄN</t>
        </is>
      </c>
      <c r="E305" t="inlineStr">
        <is>
          <t>LINDESBERG</t>
        </is>
      </c>
      <c r="G305" t="n">
        <v>0.9</v>
      </c>
      <c r="H305" t="n">
        <v>0</v>
      </c>
      <c r="I305" t="n">
        <v>0</v>
      </c>
      <c r="J305" t="n">
        <v>0</v>
      </c>
      <c r="K305" t="n">
        <v>0</v>
      </c>
      <c r="L305" t="n">
        <v>0</v>
      </c>
      <c r="M305" t="n">
        <v>0</v>
      </c>
      <c r="N305" t="n">
        <v>0</v>
      </c>
      <c r="O305" t="n">
        <v>0</v>
      </c>
      <c r="P305" t="n">
        <v>0</v>
      </c>
      <c r="Q305" t="n">
        <v>0</v>
      </c>
      <c r="R305" s="2" t="inlineStr"/>
    </row>
    <row r="306" ht="15" customHeight="1">
      <c r="A306" t="inlineStr">
        <is>
          <t>A 27300-2025</t>
        </is>
      </c>
      <c r="B306" s="1" t="n">
        <v>45812.57143518519</v>
      </c>
      <c r="C306" s="1" t="n">
        <v>46106</v>
      </c>
      <c r="D306" t="inlineStr">
        <is>
          <t>ÖREBRO LÄN</t>
        </is>
      </c>
      <c r="E306" t="inlineStr">
        <is>
          <t>LINDESBERG</t>
        </is>
      </c>
      <c r="F306" t="inlineStr">
        <is>
          <t>Sveaskog</t>
        </is>
      </c>
      <c r="G306" t="n">
        <v>19.7</v>
      </c>
      <c r="H306" t="n">
        <v>0</v>
      </c>
      <c r="I306" t="n">
        <v>0</v>
      </c>
      <c r="J306" t="n">
        <v>0</v>
      </c>
      <c r="K306" t="n">
        <v>0</v>
      </c>
      <c r="L306" t="n">
        <v>0</v>
      </c>
      <c r="M306" t="n">
        <v>0</v>
      </c>
      <c r="N306" t="n">
        <v>0</v>
      </c>
      <c r="O306" t="n">
        <v>0</v>
      </c>
      <c r="P306" t="n">
        <v>0</v>
      </c>
      <c r="Q306" t="n">
        <v>0</v>
      </c>
      <c r="R306" s="2" t="inlineStr"/>
    </row>
    <row r="307" ht="15" customHeight="1">
      <c r="A307" t="inlineStr">
        <is>
          <t>A 27309-2025</t>
        </is>
      </c>
      <c r="B307" s="1" t="n">
        <v>45812.57452546297</v>
      </c>
      <c r="C307" s="1" t="n">
        <v>46106</v>
      </c>
      <c r="D307" t="inlineStr">
        <is>
          <t>ÖREBRO LÄN</t>
        </is>
      </c>
      <c r="E307" t="inlineStr">
        <is>
          <t>LINDESBERG</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27311-2025</t>
        </is>
      </c>
      <c r="B308" s="1" t="n">
        <v>45812.57604166667</v>
      </c>
      <c r="C308" s="1" t="n">
        <v>46106</v>
      </c>
      <c r="D308" t="inlineStr">
        <is>
          <t>ÖREBRO LÄN</t>
        </is>
      </c>
      <c r="E308" t="inlineStr">
        <is>
          <t>LINDESBERG</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3756-2026</t>
        </is>
      </c>
      <c r="B309" s="1" t="n">
        <v>46043</v>
      </c>
      <c r="C309" s="1" t="n">
        <v>46106</v>
      </c>
      <c r="D309" t="inlineStr">
        <is>
          <t>ÖREBRO LÄN</t>
        </is>
      </c>
      <c r="E309" t="inlineStr">
        <is>
          <t>LINDESBERG</t>
        </is>
      </c>
      <c r="G309" t="n">
        <v>6.3</v>
      </c>
      <c r="H309" t="n">
        <v>0</v>
      </c>
      <c r="I309" t="n">
        <v>0</v>
      </c>
      <c r="J309" t="n">
        <v>0</v>
      </c>
      <c r="K309" t="n">
        <v>0</v>
      </c>
      <c r="L309" t="n">
        <v>0</v>
      </c>
      <c r="M309" t="n">
        <v>0</v>
      </c>
      <c r="N309" t="n">
        <v>0</v>
      </c>
      <c r="O309" t="n">
        <v>0</v>
      </c>
      <c r="P309" t="n">
        <v>0</v>
      </c>
      <c r="Q309" t="n">
        <v>0</v>
      </c>
      <c r="R309" s="2" t="inlineStr"/>
    </row>
    <row r="310" ht="15" customHeight="1">
      <c r="A310" t="inlineStr">
        <is>
          <t>A 6520-2026</t>
        </is>
      </c>
      <c r="B310" s="1" t="n">
        <v>46056.40149305556</v>
      </c>
      <c r="C310" s="1" t="n">
        <v>46106</v>
      </c>
      <c r="D310" t="inlineStr">
        <is>
          <t>ÖREBRO LÄN</t>
        </is>
      </c>
      <c r="E310" t="inlineStr">
        <is>
          <t>LINDESBERG</t>
        </is>
      </c>
      <c r="G310" t="n">
        <v>2.2</v>
      </c>
      <c r="H310" t="n">
        <v>0</v>
      </c>
      <c r="I310" t="n">
        <v>0</v>
      </c>
      <c r="J310" t="n">
        <v>0</v>
      </c>
      <c r="K310" t="n">
        <v>0</v>
      </c>
      <c r="L310" t="n">
        <v>0</v>
      </c>
      <c r="M310" t="n">
        <v>0</v>
      </c>
      <c r="N310" t="n">
        <v>0</v>
      </c>
      <c r="O310" t="n">
        <v>0</v>
      </c>
      <c r="P310" t="n">
        <v>0</v>
      </c>
      <c r="Q310" t="n">
        <v>0</v>
      </c>
      <c r="R310" s="2" t="inlineStr"/>
    </row>
    <row r="311" ht="15" customHeight="1">
      <c r="A311" t="inlineStr">
        <is>
          <t>A 6524-2026</t>
        </is>
      </c>
      <c r="B311" s="1" t="n">
        <v>46056.40425925926</v>
      </c>
      <c r="C311" s="1" t="n">
        <v>46106</v>
      </c>
      <c r="D311" t="inlineStr">
        <is>
          <t>ÖREBRO LÄN</t>
        </is>
      </c>
      <c r="E311" t="inlineStr">
        <is>
          <t>LINDESBERG</t>
        </is>
      </c>
      <c r="G311" t="n">
        <v>0.6</v>
      </c>
      <c r="H311" t="n">
        <v>0</v>
      </c>
      <c r="I311" t="n">
        <v>0</v>
      </c>
      <c r="J311" t="n">
        <v>0</v>
      </c>
      <c r="K311" t="n">
        <v>0</v>
      </c>
      <c r="L311" t="n">
        <v>0</v>
      </c>
      <c r="M311" t="n">
        <v>0</v>
      </c>
      <c r="N311" t="n">
        <v>0</v>
      </c>
      <c r="O311" t="n">
        <v>0</v>
      </c>
      <c r="P311" t="n">
        <v>0</v>
      </c>
      <c r="Q311" t="n">
        <v>0</v>
      </c>
      <c r="R311" s="2" t="inlineStr"/>
    </row>
    <row r="312" ht="15" customHeight="1">
      <c r="A312" t="inlineStr">
        <is>
          <t>A 52928-2024</t>
        </is>
      </c>
      <c r="B312" s="1" t="n">
        <v>45610</v>
      </c>
      <c r="C312" s="1" t="n">
        <v>46106</v>
      </c>
      <c r="D312" t="inlineStr">
        <is>
          <t>ÖREBRO LÄN</t>
        </is>
      </c>
      <c r="E312" t="inlineStr">
        <is>
          <t>LINDESBERG</t>
        </is>
      </c>
      <c r="G312" t="n">
        <v>8.6</v>
      </c>
      <c r="H312" t="n">
        <v>0</v>
      </c>
      <c r="I312" t="n">
        <v>0</v>
      </c>
      <c r="J312" t="n">
        <v>0</v>
      </c>
      <c r="K312" t="n">
        <v>0</v>
      </c>
      <c r="L312" t="n">
        <v>0</v>
      </c>
      <c r="M312" t="n">
        <v>0</v>
      </c>
      <c r="N312" t="n">
        <v>0</v>
      </c>
      <c r="O312" t="n">
        <v>0</v>
      </c>
      <c r="P312" t="n">
        <v>0</v>
      </c>
      <c r="Q312" t="n">
        <v>0</v>
      </c>
      <c r="R312" s="2" t="inlineStr"/>
    </row>
    <row r="313" ht="15" customHeight="1">
      <c r="A313" t="inlineStr">
        <is>
          <t>A 73500-2021</t>
        </is>
      </c>
      <c r="B313" s="1" t="n">
        <v>44551</v>
      </c>
      <c r="C313" s="1" t="n">
        <v>46106</v>
      </c>
      <c r="D313" t="inlineStr">
        <is>
          <t>ÖREBRO LÄN</t>
        </is>
      </c>
      <c r="E313" t="inlineStr">
        <is>
          <t>LINDESBERG</t>
        </is>
      </c>
      <c r="G313" t="n">
        <v>1.1</v>
      </c>
      <c r="H313" t="n">
        <v>0</v>
      </c>
      <c r="I313" t="n">
        <v>0</v>
      </c>
      <c r="J313" t="n">
        <v>0</v>
      </c>
      <c r="K313" t="n">
        <v>0</v>
      </c>
      <c r="L313" t="n">
        <v>0</v>
      </c>
      <c r="M313" t="n">
        <v>0</v>
      </c>
      <c r="N313" t="n">
        <v>0</v>
      </c>
      <c r="O313" t="n">
        <v>0</v>
      </c>
      <c r="P313" t="n">
        <v>0</v>
      </c>
      <c r="Q313" t="n">
        <v>0</v>
      </c>
      <c r="R313" s="2" t="inlineStr"/>
    </row>
    <row r="314" ht="15" customHeight="1">
      <c r="A314" t="inlineStr">
        <is>
          <t>A 28040-2025</t>
        </is>
      </c>
      <c r="B314" s="1" t="n">
        <v>45817.6455324074</v>
      </c>
      <c r="C314" s="1" t="n">
        <v>46106</v>
      </c>
      <c r="D314" t="inlineStr">
        <is>
          <t>ÖREBRO LÄN</t>
        </is>
      </c>
      <c r="E314" t="inlineStr">
        <is>
          <t>LINDESBERG</t>
        </is>
      </c>
      <c r="G314" t="n">
        <v>1.4</v>
      </c>
      <c r="H314" t="n">
        <v>0</v>
      </c>
      <c r="I314" t="n">
        <v>0</v>
      </c>
      <c r="J314" t="n">
        <v>0</v>
      </c>
      <c r="K314" t="n">
        <v>0</v>
      </c>
      <c r="L314" t="n">
        <v>0</v>
      </c>
      <c r="M314" t="n">
        <v>0</v>
      </c>
      <c r="N314" t="n">
        <v>0</v>
      </c>
      <c r="O314" t="n">
        <v>0</v>
      </c>
      <c r="P314" t="n">
        <v>0</v>
      </c>
      <c r="Q314" t="n">
        <v>0</v>
      </c>
      <c r="R314" s="2" t="inlineStr"/>
    </row>
    <row r="315" ht="15" customHeight="1">
      <c r="A315" t="inlineStr">
        <is>
          <t>A 38861-2025</t>
        </is>
      </c>
      <c r="B315" s="1" t="n">
        <v>45887.56101851852</v>
      </c>
      <c r="C315" s="1" t="n">
        <v>46106</v>
      </c>
      <c r="D315" t="inlineStr">
        <is>
          <t>ÖREBRO LÄN</t>
        </is>
      </c>
      <c r="E315" t="inlineStr">
        <is>
          <t>LINDESBERG</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16864-2022</t>
        </is>
      </c>
      <c r="B316" s="1" t="n">
        <v>44675</v>
      </c>
      <c r="C316" s="1" t="n">
        <v>46106</v>
      </c>
      <c r="D316" t="inlineStr">
        <is>
          <t>ÖREBRO LÄN</t>
        </is>
      </c>
      <c r="E316" t="inlineStr">
        <is>
          <t>LINDESBERG</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39429-2025</t>
        </is>
      </c>
      <c r="B317" s="1" t="n">
        <v>45889.67577546297</v>
      </c>
      <c r="C317" s="1" t="n">
        <v>46106</v>
      </c>
      <c r="D317" t="inlineStr">
        <is>
          <t>ÖREBRO LÄN</t>
        </is>
      </c>
      <c r="E317" t="inlineStr">
        <is>
          <t>LINDESBERG</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39421-2025</t>
        </is>
      </c>
      <c r="B318" s="1" t="n">
        <v>45889.66935185185</v>
      </c>
      <c r="C318" s="1" t="n">
        <v>46106</v>
      </c>
      <c r="D318" t="inlineStr">
        <is>
          <t>ÖREBRO LÄN</t>
        </is>
      </c>
      <c r="E318" t="inlineStr">
        <is>
          <t>LINDESBERG</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39424-2025</t>
        </is>
      </c>
      <c r="B319" s="1" t="n">
        <v>45889.67290509259</v>
      </c>
      <c r="C319" s="1" t="n">
        <v>46106</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28877-2025</t>
        </is>
      </c>
      <c r="B320" s="1" t="n">
        <v>45820.61684027778</v>
      </c>
      <c r="C320" s="1" t="n">
        <v>46106</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28991-2025</t>
        </is>
      </c>
      <c r="B321" s="1" t="n">
        <v>45821.37199074074</v>
      </c>
      <c r="C321" s="1" t="n">
        <v>46106</v>
      </c>
      <c r="D321" t="inlineStr">
        <is>
          <t>ÖREBRO LÄN</t>
        </is>
      </c>
      <c r="E321" t="inlineStr">
        <is>
          <t>LINDESBERG</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11953-2024</t>
        </is>
      </c>
      <c r="B322" s="1" t="n">
        <v>45376.70292824074</v>
      </c>
      <c r="C322" s="1" t="n">
        <v>46106</v>
      </c>
      <c r="D322" t="inlineStr">
        <is>
          <t>ÖREBRO LÄN</t>
        </is>
      </c>
      <c r="E322" t="inlineStr">
        <is>
          <t>LINDESBERG</t>
        </is>
      </c>
      <c r="G322" t="n">
        <v>5.7</v>
      </c>
      <c r="H322" t="n">
        <v>0</v>
      </c>
      <c r="I322" t="n">
        <v>0</v>
      </c>
      <c r="J322" t="n">
        <v>0</v>
      </c>
      <c r="K322" t="n">
        <v>0</v>
      </c>
      <c r="L322" t="n">
        <v>0</v>
      </c>
      <c r="M322" t="n">
        <v>0</v>
      </c>
      <c r="N322" t="n">
        <v>0</v>
      </c>
      <c r="O322" t="n">
        <v>0</v>
      </c>
      <c r="P322" t="n">
        <v>0</v>
      </c>
      <c r="Q322" t="n">
        <v>0</v>
      </c>
      <c r="R322" s="2" t="inlineStr"/>
    </row>
    <row r="323" ht="15" customHeight="1">
      <c r="A323" t="inlineStr">
        <is>
          <t>A 50170-2022</t>
        </is>
      </c>
      <c r="B323" s="1" t="n">
        <v>44865.600625</v>
      </c>
      <c r="C323" s="1" t="n">
        <v>46106</v>
      </c>
      <c r="D323" t="inlineStr">
        <is>
          <t>ÖREBRO LÄN</t>
        </is>
      </c>
      <c r="E323" t="inlineStr">
        <is>
          <t>LINDESBERG</t>
        </is>
      </c>
      <c r="G323" t="n">
        <v>2.1</v>
      </c>
      <c r="H323" t="n">
        <v>0</v>
      </c>
      <c r="I323" t="n">
        <v>0</v>
      </c>
      <c r="J323" t="n">
        <v>0</v>
      </c>
      <c r="K323" t="n">
        <v>0</v>
      </c>
      <c r="L323" t="n">
        <v>0</v>
      </c>
      <c r="M323" t="n">
        <v>0</v>
      </c>
      <c r="N323" t="n">
        <v>0</v>
      </c>
      <c r="O323" t="n">
        <v>0</v>
      </c>
      <c r="P323" t="n">
        <v>0</v>
      </c>
      <c r="Q323" t="n">
        <v>0</v>
      </c>
      <c r="R323" s="2" t="inlineStr"/>
    </row>
    <row r="324" ht="15" customHeight="1">
      <c r="A324" t="inlineStr">
        <is>
          <t>A 29049-2025</t>
        </is>
      </c>
      <c r="B324" s="1" t="n">
        <v>45821.46135416667</v>
      </c>
      <c r="C324" s="1" t="n">
        <v>46106</v>
      </c>
      <c r="D324" t="inlineStr">
        <is>
          <t>ÖREBRO LÄN</t>
        </is>
      </c>
      <c r="E324" t="inlineStr">
        <is>
          <t>LINDESBERG</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29051-2025</t>
        </is>
      </c>
      <c r="B325" s="1" t="n">
        <v>45821.46486111111</v>
      </c>
      <c r="C325" s="1" t="n">
        <v>46106</v>
      </c>
      <c r="D325" t="inlineStr">
        <is>
          <t>ÖREBRO LÄN</t>
        </is>
      </c>
      <c r="E325" t="inlineStr">
        <is>
          <t>LINDESBERG</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29037-2025</t>
        </is>
      </c>
      <c r="B326" s="1" t="n">
        <v>45821.44521990741</v>
      </c>
      <c r="C326" s="1" t="n">
        <v>46106</v>
      </c>
      <c r="D326" t="inlineStr">
        <is>
          <t>ÖREBRO LÄN</t>
        </is>
      </c>
      <c r="E326" t="inlineStr">
        <is>
          <t>LINDESBERG</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28469-2023</t>
        </is>
      </c>
      <c r="B327" s="1" t="n">
        <v>45103</v>
      </c>
      <c r="C327" s="1" t="n">
        <v>46106</v>
      </c>
      <c r="D327" t="inlineStr">
        <is>
          <t>ÖREBRO LÄN</t>
        </is>
      </c>
      <c r="E327" t="inlineStr">
        <is>
          <t>LINDESBERG</t>
        </is>
      </c>
      <c r="G327" t="n">
        <v>0.3</v>
      </c>
      <c r="H327" t="n">
        <v>0</v>
      </c>
      <c r="I327" t="n">
        <v>0</v>
      </c>
      <c r="J327" t="n">
        <v>0</v>
      </c>
      <c r="K327" t="n">
        <v>0</v>
      </c>
      <c r="L327" t="n">
        <v>0</v>
      </c>
      <c r="M327" t="n">
        <v>0</v>
      </c>
      <c r="N327" t="n">
        <v>0</v>
      </c>
      <c r="O327" t="n">
        <v>0</v>
      </c>
      <c r="P327" t="n">
        <v>0</v>
      </c>
      <c r="Q327" t="n">
        <v>0</v>
      </c>
      <c r="R327" s="2" t="inlineStr"/>
    </row>
    <row r="328" ht="15" customHeight="1">
      <c r="A328" t="inlineStr">
        <is>
          <t>A 72706-2021</t>
        </is>
      </c>
      <c r="B328" s="1" t="n">
        <v>44546.67222222222</v>
      </c>
      <c r="C328" s="1" t="n">
        <v>46106</v>
      </c>
      <c r="D328" t="inlineStr">
        <is>
          <t>ÖREBRO LÄN</t>
        </is>
      </c>
      <c r="E328" t="inlineStr">
        <is>
          <t>LINDESBERG</t>
        </is>
      </c>
      <c r="G328" t="n">
        <v>1.7</v>
      </c>
      <c r="H328" t="n">
        <v>0</v>
      </c>
      <c r="I328" t="n">
        <v>0</v>
      </c>
      <c r="J328" t="n">
        <v>0</v>
      </c>
      <c r="K328" t="n">
        <v>0</v>
      </c>
      <c r="L328" t="n">
        <v>0</v>
      </c>
      <c r="M328" t="n">
        <v>0</v>
      </c>
      <c r="N328" t="n">
        <v>0</v>
      </c>
      <c r="O328" t="n">
        <v>0</v>
      </c>
      <c r="P328" t="n">
        <v>0</v>
      </c>
      <c r="Q328" t="n">
        <v>0</v>
      </c>
      <c r="R328" s="2" t="inlineStr"/>
    </row>
    <row r="329" ht="15" customHeight="1">
      <c r="A329" t="inlineStr">
        <is>
          <t>A 45481-2023</t>
        </is>
      </c>
      <c r="B329" s="1" t="n">
        <v>45194</v>
      </c>
      <c r="C329" s="1" t="n">
        <v>46106</v>
      </c>
      <c r="D329" t="inlineStr">
        <is>
          <t>ÖREBRO LÄN</t>
        </is>
      </c>
      <c r="E329" t="inlineStr">
        <is>
          <t>LINDESBERG</t>
        </is>
      </c>
      <c r="G329" t="n">
        <v>2.1</v>
      </c>
      <c r="H329" t="n">
        <v>0</v>
      </c>
      <c r="I329" t="n">
        <v>0</v>
      </c>
      <c r="J329" t="n">
        <v>0</v>
      </c>
      <c r="K329" t="n">
        <v>0</v>
      </c>
      <c r="L329" t="n">
        <v>0</v>
      </c>
      <c r="M329" t="n">
        <v>0</v>
      </c>
      <c r="N329" t="n">
        <v>0</v>
      </c>
      <c r="O329" t="n">
        <v>0</v>
      </c>
      <c r="P329" t="n">
        <v>0</v>
      </c>
      <c r="Q329" t="n">
        <v>0</v>
      </c>
      <c r="R329" s="2" t="inlineStr"/>
    </row>
    <row r="330" ht="15" customHeight="1">
      <c r="A330" t="inlineStr">
        <is>
          <t>A 59766-2022</t>
        </is>
      </c>
      <c r="B330" s="1" t="n">
        <v>44908.49152777778</v>
      </c>
      <c r="C330" s="1" t="n">
        <v>46106</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40347-2025</t>
        </is>
      </c>
      <c r="B331" s="1" t="n">
        <v>45895.4790625</v>
      </c>
      <c r="C331" s="1" t="n">
        <v>46106</v>
      </c>
      <c r="D331" t="inlineStr">
        <is>
          <t>ÖREBRO LÄN</t>
        </is>
      </c>
      <c r="E331" t="inlineStr">
        <is>
          <t>LINDESBERG</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27013-2024</t>
        </is>
      </c>
      <c r="B332" s="1" t="n">
        <v>45471.40384259259</v>
      </c>
      <c r="C332" s="1" t="n">
        <v>46106</v>
      </c>
      <c r="D332" t="inlineStr">
        <is>
          <t>ÖREBRO LÄN</t>
        </is>
      </c>
      <c r="E332" t="inlineStr">
        <is>
          <t>LINDESBERG</t>
        </is>
      </c>
      <c r="G332" t="n">
        <v>5.2</v>
      </c>
      <c r="H332" t="n">
        <v>0</v>
      </c>
      <c r="I332" t="n">
        <v>0</v>
      </c>
      <c r="J332" t="n">
        <v>0</v>
      </c>
      <c r="K332" t="n">
        <v>0</v>
      </c>
      <c r="L332" t="n">
        <v>0</v>
      </c>
      <c r="M332" t="n">
        <v>0</v>
      </c>
      <c r="N332" t="n">
        <v>0</v>
      </c>
      <c r="O332" t="n">
        <v>0</v>
      </c>
      <c r="P332" t="n">
        <v>0</v>
      </c>
      <c r="Q332" t="n">
        <v>0</v>
      </c>
      <c r="R332" s="2" t="inlineStr"/>
    </row>
    <row r="333" ht="15" customHeight="1">
      <c r="A333" t="inlineStr">
        <is>
          <t>A 40346-2025</t>
        </is>
      </c>
      <c r="B333" s="1" t="n">
        <v>45895.47704861111</v>
      </c>
      <c r="C333" s="1" t="n">
        <v>46106</v>
      </c>
      <c r="D333" t="inlineStr">
        <is>
          <t>ÖREBRO LÄN</t>
        </is>
      </c>
      <c r="E333" t="inlineStr">
        <is>
          <t>LINDESBERG</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40351-2025</t>
        </is>
      </c>
      <c r="B334" s="1" t="n">
        <v>45895.48394675926</v>
      </c>
      <c r="C334" s="1" t="n">
        <v>46106</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40366-2025</t>
        </is>
      </c>
      <c r="B335" s="1" t="n">
        <v>45895.49994212963</v>
      </c>
      <c r="C335" s="1" t="n">
        <v>46106</v>
      </c>
      <c r="D335" t="inlineStr">
        <is>
          <t>ÖREBRO LÄN</t>
        </is>
      </c>
      <c r="E335" t="inlineStr">
        <is>
          <t>LINDESBERG</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30341-2025</t>
        </is>
      </c>
      <c r="B336" s="1" t="n">
        <v>45827.51862268519</v>
      </c>
      <c r="C336" s="1" t="n">
        <v>46106</v>
      </c>
      <c r="D336" t="inlineStr">
        <is>
          <t>ÖREBRO LÄN</t>
        </is>
      </c>
      <c r="E336" t="inlineStr">
        <is>
          <t>LINDESBERG</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30000-2025</t>
        </is>
      </c>
      <c r="B337" s="1" t="n">
        <v>45826.52024305556</v>
      </c>
      <c r="C337" s="1" t="n">
        <v>46106</v>
      </c>
      <c r="D337" t="inlineStr">
        <is>
          <t>ÖREBRO LÄN</t>
        </is>
      </c>
      <c r="E337" t="inlineStr">
        <is>
          <t>LINDESBERG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7990-2025</t>
        </is>
      </c>
      <c r="B338" s="1" t="n">
        <v>45707</v>
      </c>
      <c r="C338" s="1" t="n">
        <v>46106</v>
      </c>
      <c r="D338" t="inlineStr">
        <is>
          <t>ÖREBRO LÄN</t>
        </is>
      </c>
      <c r="E338" t="inlineStr">
        <is>
          <t>LINDESBERG</t>
        </is>
      </c>
      <c r="G338" t="n">
        <v>4.4</v>
      </c>
      <c r="H338" t="n">
        <v>0</v>
      </c>
      <c r="I338" t="n">
        <v>0</v>
      </c>
      <c r="J338" t="n">
        <v>0</v>
      </c>
      <c r="K338" t="n">
        <v>0</v>
      </c>
      <c r="L338" t="n">
        <v>0</v>
      </c>
      <c r="M338" t="n">
        <v>0</v>
      </c>
      <c r="N338" t="n">
        <v>0</v>
      </c>
      <c r="O338" t="n">
        <v>0</v>
      </c>
      <c r="P338" t="n">
        <v>0</v>
      </c>
      <c r="Q338" t="n">
        <v>0</v>
      </c>
      <c r="R338" s="2" t="inlineStr"/>
    </row>
    <row r="339" ht="15" customHeight="1">
      <c r="A339" t="inlineStr">
        <is>
          <t>A 30381-2025</t>
        </is>
      </c>
      <c r="B339" s="1" t="n">
        <v>45827.56939814815</v>
      </c>
      <c r="C339" s="1" t="n">
        <v>46106</v>
      </c>
      <c r="D339" t="inlineStr">
        <is>
          <t>ÖREBRO LÄN</t>
        </is>
      </c>
      <c r="E339" t="inlineStr">
        <is>
          <t>LINDESBERG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40357-2025</t>
        </is>
      </c>
      <c r="B340" s="1" t="n">
        <v>45895.48927083334</v>
      </c>
      <c r="C340" s="1" t="n">
        <v>46106</v>
      </c>
      <c r="D340" t="inlineStr">
        <is>
          <t>ÖREBRO LÄN</t>
        </is>
      </c>
      <c r="E340" t="inlineStr">
        <is>
          <t>LINDESBERG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7098-2026</t>
        </is>
      </c>
      <c r="B341" s="1" t="n">
        <v>46058.35196759259</v>
      </c>
      <c r="C341" s="1" t="n">
        <v>46106</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27134-2024</t>
        </is>
      </c>
      <c r="B342" s="1" t="n">
        <v>45471.52878472222</v>
      </c>
      <c r="C342" s="1" t="n">
        <v>46106</v>
      </c>
      <c r="D342" t="inlineStr">
        <is>
          <t>ÖREBRO LÄN</t>
        </is>
      </c>
      <c r="E342" t="inlineStr">
        <is>
          <t>LINDESBERG</t>
        </is>
      </c>
      <c r="G342" t="n">
        <v>0.7</v>
      </c>
      <c r="H342" t="n">
        <v>0</v>
      </c>
      <c r="I342" t="n">
        <v>0</v>
      </c>
      <c r="J342" t="n">
        <v>0</v>
      </c>
      <c r="K342" t="n">
        <v>0</v>
      </c>
      <c r="L342" t="n">
        <v>0</v>
      </c>
      <c r="M342" t="n">
        <v>0</v>
      </c>
      <c r="N342" t="n">
        <v>0</v>
      </c>
      <c r="O342" t="n">
        <v>0</v>
      </c>
      <c r="P342" t="n">
        <v>0</v>
      </c>
      <c r="Q342" t="n">
        <v>0</v>
      </c>
      <c r="R342" s="2" t="inlineStr"/>
    </row>
    <row r="343" ht="15" customHeight="1">
      <c r="A343" t="inlineStr">
        <is>
          <t>A 30340-2025</t>
        </is>
      </c>
      <c r="B343" s="1" t="n">
        <v>45827.51753472222</v>
      </c>
      <c r="C343" s="1" t="n">
        <v>46106</v>
      </c>
      <c r="D343" t="inlineStr">
        <is>
          <t>ÖREBRO LÄN</t>
        </is>
      </c>
      <c r="E343" t="inlineStr">
        <is>
          <t>LINDESBERG</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30342-2025</t>
        </is>
      </c>
      <c r="B344" s="1" t="n">
        <v>45827.51956018519</v>
      </c>
      <c r="C344" s="1" t="n">
        <v>46106</v>
      </c>
      <c r="D344" t="inlineStr">
        <is>
          <t>ÖREBRO LÄN</t>
        </is>
      </c>
      <c r="E344" t="inlineStr">
        <is>
          <t>LINDESBERG</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36121-2023</t>
        </is>
      </c>
      <c r="B345" s="1" t="n">
        <v>45148</v>
      </c>
      <c r="C345" s="1" t="n">
        <v>46106</v>
      </c>
      <c r="D345" t="inlineStr">
        <is>
          <t>ÖREBRO LÄN</t>
        </is>
      </c>
      <c r="E345" t="inlineStr">
        <is>
          <t>LINDESBERG</t>
        </is>
      </c>
      <c r="G345" t="n">
        <v>7.1</v>
      </c>
      <c r="H345" t="n">
        <v>0</v>
      </c>
      <c r="I345" t="n">
        <v>0</v>
      </c>
      <c r="J345" t="n">
        <v>0</v>
      </c>
      <c r="K345" t="n">
        <v>0</v>
      </c>
      <c r="L345" t="n">
        <v>0</v>
      </c>
      <c r="M345" t="n">
        <v>0</v>
      </c>
      <c r="N345" t="n">
        <v>0</v>
      </c>
      <c r="O345" t="n">
        <v>0</v>
      </c>
      <c r="P345" t="n">
        <v>0</v>
      </c>
      <c r="Q345" t="n">
        <v>0</v>
      </c>
      <c r="R345" s="2" t="inlineStr"/>
    </row>
    <row r="346" ht="15" customHeight="1">
      <c r="A346" t="inlineStr">
        <is>
          <t>A 36280-2023</t>
        </is>
      </c>
      <c r="B346" s="1" t="n">
        <v>45152.34586805556</v>
      </c>
      <c r="C346" s="1" t="n">
        <v>46106</v>
      </c>
      <c r="D346" t="inlineStr">
        <is>
          <t>ÖREBRO LÄN</t>
        </is>
      </c>
      <c r="E346" t="inlineStr">
        <is>
          <t>LINDESBERG</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30339-2025</t>
        </is>
      </c>
      <c r="B347" s="1" t="n">
        <v>45827.51628472222</v>
      </c>
      <c r="C347" s="1" t="n">
        <v>46106</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44449-2023</t>
        </is>
      </c>
      <c r="B348" s="1" t="n">
        <v>45189.38135416667</v>
      </c>
      <c r="C348" s="1" t="n">
        <v>46106</v>
      </c>
      <c r="D348" t="inlineStr">
        <is>
          <t>ÖREBRO LÄN</t>
        </is>
      </c>
      <c r="E348" t="inlineStr">
        <is>
          <t>LINDESBERG</t>
        </is>
      </c>
      <c r="G348" t="n">
        <v>13.7</v>
      </c>
      <c r="H348" t="n">
        <v>0</v>
      </c>
      <c r="I348" t="n">
        <v>0</v>
      </c>
      <c r="J348" t="n">
        <v>0</v>
      </c>
      <c r="K348" t="n">
        <v>0</v>
      </c>
      <c r="L348" t="n">
        <v>0</v>
      </c>
      <c r="M348" t="n">
        <v>0</v>
      </c>
      <c r="N348" t="n">
        <v>0</v>
      </c>
      <c r="O348" t="n">
        <v>0</v>
      </c>
      <c r="P348" t="n">
        <v>0</v>
      </c>
      <c r="Q348" t="n">
        <v>0</v>
      </c>
      <c r="R348" s="2" t="inlineStr"/>
    </row>
    <row r="349" ht="15" customHeight="1">
      <c r="A349" t="inlineStr">
        <is>
          <t>A 34029-2024</t>
        </is>
      </c>
      <c r="B349" s="1" t="n">
        <v>45523</v>
      </c>
      <c r="C349" s="1" t="n">
        <v>46106</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7202-2026</t>
        </is>
      </c>
      <c r="B350" s="1" t="n">
        <v>46058.52864583334</v>
      </c>
      <c r="C350" s="1" t="n">
        <v>46106</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2103-2022</t>
        </is>
      </c>
      <c r="B351" s="1" t="n">
        <v>44577.81121527778</v>
      </c>
      <c r="C351" s="1" t="n">
        <v>46106</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41340-2025</t>
        </is>
      </c>
      <c r="B352" s="1" t="n">
        <v>45899.38057870371</v>
      </c>
      <c r="C352" s="1" t="n">
        <v>46106</v>
      </c>
      <c r="D352" t="inlineStr">
        <is>
          <t>ÖREBRO LÄN</t>
        </is>
      </c>
      <c r="E352" t="inlineStr">
        <is>
          <t>LINDESBERG</t>
        </is>
      </c>
      <c r="G352" t="n">
        <v>16.5</v>
      </c>
      <c r="H352" t="n">
        <v>0</v>
      </c>
      <c r="I352" t="n">
        <v>0</v>
      </c>
      <c r="J352" t="n">
        <v>0</v>
      </c>
      <c r="K352" t="n">
        <v>0</v>
      </c>
      <c r="L352" t="n">
        <v>0</v>
      </c>
      <c r="M352" t="n">
        <v>0</v>
      </c>
      <c r="N352" t="n">
        <v>0</v>
      </c>
      <c r="O352" t="n">
        <v>0</v>
      </c>
      <c r="P352" t="n">
        <v>0</v>
      </c>
      <c r="Q352" t="n">
        <v>0</v>
      </c>
      <c r="R352" s="2" t="inlineStr"/>
    </row>
    <row r="353" ht="15" customHeight="1">
      <c r="A353" t="inlineStr">
        <is>
          <t>A 13968-2025</t>
        </is>
      </c>
      <c r="B353" s="1" t="n">
        <v>45738.42981481482</v>
      </c>
      <c r="C353" s="1" t="n">
        <v>46106</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41027-2025</t>
        </is>
      </c>
      <c r="B354" s="1" t="n">
        <v>45898.37138888889</v>
      </c>
      <c r="C354" s="1" t="n">
        <v>46106</v>
      </c>
      <c r="D354" t="inlineStr">
        <is>
          <t>ÖREBRO LÄN</t>
        </is>
      </c>
      <c r="E354" t="inlineStr">
        <is>
          <t>LINDESBERG</t>
        </is>
      </c>
      <c r="G354" t="n">
        <v>4.7</v>
      </c>
      <c r="H354" t="n">
        <v>0</v>
      </c>
      <c r="I354" t="n">
        <v>0</v>
      </c>
      <c r="J354" t="n">
        <v>0</v>
      </c>
      <c r="K354" t="n">
        <v>0</v>
      </c>
      <c r="L354" t="n">
        <v>0</v>
      </c>
      <c r="M354" t="n">
        <v>0</v>
      </c>
      <c r="N354" t="n">
        <v>0</v>
      </c>
      <c r="O354" t="n">
        <v>0</v>
      </c>
      <c r="P354" t="n">
        <v>0</v>
      </c>
      <c r="Q354" t="n">
        <v>0</v>
      </c>
      <c r="R354" s="2" t="inlineStr"/>
    </row>
    <row r="355" ht="15" customHeight="1">
      <c r="A355" t="inlineStr">
        <is>
          <t>A 33424-2024</t>
        </is>
      </c>
      <c r="B355" s="1" t="n">
        <v>45519.51627314815</v>
      </c>
      <c r="C355" s="1" t="n">
        <v>46106</v>
      </c>
      <c r="D355" t="inlineStr">
        <is>
          <t>ÖREBRO LÄN</t>
        </is>
      </c>
      <c r="E355" t="inlineStr">
        <is>
          <t>LINDESBERG</t>
        </is>
      </c>
      <c r="F355" t="inlineStr">
        <is>
          <t>Sveaskog</t>
        </is>
      </c>
      <c r="G355" t="n">
        <v>0.1</v>
      </c>
      <c r="H355" t="n">
        <v>0</v>
      </c>
      <c r="I355" t="n">
        <v>0</v>
      </c>
      <c r="J355" t="n">
        <v>0</v>
      </c>
      <c r="K355" t="n">
        <v>0</v>
      </c>
      <c r="L355" t="n">
        <v>0</v>
      </c>
      <c r="M355" t="n">
        <v>0</v>
      </c>
      <c r="N355" t="n">
        <v>0</v>
      </c>
      <c r="O355" t="n">
        <v>0</v>
      </c>
      <c r="P355" t="n">
        <v>0</v>
      </c>
      <c r="Q355" t="n">
        <v>0</v>
      </c>
      <c r="R355" s="2" t="inlineStr"/>
    </row>
    <row r="356" ht="15" customHeight="1">
      <c r="A356" t="inlineStr">
        <is>
          <t>A 57911-2022</t>
        </is>
      </c>
      <c r="B356" s="1" t="n">
        <v>44900.36149305556</v>
      </c>
      <c r="C356" s="1" t="n">
        <v>46106</v>
      </c>
      <c r="D356" t="inlineStr">
        <is>
          <t>ÖREBRO LÄN</t>
        </is>
      </c>
      <c r="E356" t="inlineStr">
        <is>
          <t>LINDESBERG</t>
        </is>
      </c>
      <c r="G356" t="n">
        <v>4.9</v>
      </c>
      <c r="H356" t="n">
        <v>0</v>
      </c>
      <c r="I356" t="n">
        <v>0</v>
      </c>
      <c r="J356" t="n">
        <v>0</v>
      </c>
      <c r="K356" t="n">
        <v>0</v>
      </c>
      <c r="L356" t="n">
        <v>0</v>
      </c>
      <c r="M356" t="n">
        <v>0</v>
      </c>
      <c r="N356" t="n">
        <v>0</v>
      </c>
      <c r="O356" t="n">
        <v>0</v>
      </c>
      <c r="P356" t="n">
        <v>0</v>
      </c>
      <c r="Q356" t="n">
        <v>0</v>
      </c>
      <c r="R356" s="2" t="inlineStr"/>
    </row>
    <row r="357" ht="15" customHeight="1">
      <c r="A357" t="inlineStr">
        <is>
          <t>A 28032-2023</t>
        </is>
      </c>
      <c r="B357" s="1" t="n">
        <v>45099</v>
      </c>
      <c r="C357" s="1" t="n">
        <v>46106</v>
      </c>
      <c r="D357" t="inlineStr">
        <is>
          <t>ÖREBRO LÄN</t>
        </is>
      </c>
      <c r="E357" t="inlineStr">
        <is>
          <t>LINDESBERG</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62608-2021</t>
        </is>
      </c>
      <c r="B358" s="1" t="n">
        <v>44503</v>
      </c>
      <c r="C358" s="1" t="n">
        <v>46106</v>
      </c>
      <c r="D358" t="inlineStr">
        <is>
          <t>ÖREBRO LÄN</t>
        </is>
      </c>
      <c r="E358" t="inlineStr">
        <is>
          <t>LINDESBERG</t>
        </is>
      </c>
      <c r="G358" t="n">
        <v>1.4</v>
      </c>
      <c r="H358" t="n">
        <v>0</v>
      </c>
      <c r="I358" t="n">
        <v>0</v>
      </c>
      <c r="J358" t="n">
        <v>0</v>
      </c>
      <c r="K358" t="n">
        <v>0</v>
      </c>
      <c r="L358" t="n">
        <v>0</v>
      </c>
      <c r="M358" t="n">
        <v>0</v>
      </c>
      <c r="N358" t="n">
        <v>0</v>
      </c>
      <c r="O358" t="n">
        <v>0</v>
      </c>
      <c r="P358" t="n">
        <v>0</v>
      </c>
      <c r="Q358" t="n">
        <v>0</v>
      </c>
      <c r="R358" s="2" t="inlineStr"/>
    </row>
    <row r="359" ht="15" customHeight="1">
      <c r="A359" t="inlineStr">
        <is>
          <t>A 31220-2025</t>
        </is>
      </c>
      <c r="B359" s="1" t="n">
        <v>45832.76100694444</v>
      </c>
      <c r="C359" s="1" t="n">
        <v>46106</v>
      </c>
      <c r="D359" t="inlineStr">
        <is>
          <t>ÖREBRO LÄN</t>
        </is>
      </c>
      <c r="E359" t="inlineStr">
        <is>
          <t>LINDESBERG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31221-2025</t>
        </is>
      </c>
      <c r="B360" s="1" t="n">
        <v>45832.76491898148</v>
      </c>
      <c r="C360" s="1" t="n">
        <v>46106</v>
      </c>
      <c r="D360" t="inlineStr">
        <is>
          <t>ÖREBRO LÄN</t>
        </is>
      </c>
      <c r="E360" t="inlineStr">
        <is>
          <t>LINDESBERG</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73860-2021</t>
        </is>
      </c>
      <c r="B361" s="1" t="n">
        <v>44553.35407407407</v>
      </c>
      <c r="C361" s="1" t="n">
        <v>46106</v>
      </c>
      <c r="D361" t="inlineStr">
        <is>
          <t>ÖREBRO LÄN</t>
        </is>
      </c>
      <c r="E361" t="inlineStr">
        <is>
          <t>LINDESBERG</t>
        </is>
      </c>
      <c r="G361" t="n">
        <v>12.7</v>
      </c>
      <c r="H361" t="n">
        <v>0</v>
      </c>
      <c r="I361" t="n">
        <v>0</v>
      </c>
      <c r="J361" t="n">
        <v>0</v>
      </c>
      <c r="K361" t="n">
        <v>0</v>
      </c>
      <c r="L361" t="n">
        <v>0</v>
      </c>
      <c r="M361" t="n">
        <v>0</v>
      </c>
      <c r="N361" t="n">
        <v>0</v>
      </c>
      <c r="O361" t="n">
        <v>0</v>
      </c>
      <c r="P361" t="n">
        <v>0</v>
      </c>
      <c r="Q361" t="n">
        <v>0</v>
      </c>
      <c r="R361" s="2" t="inlineStr"/>
    </row>
    <row r="362" ht="15" customHeight="1">
      <c r="A362" t="inlineStr">
        <is>
          <t>A 49094-2024</t>
        </is>
      </c>
      <c r="B362" s="1" t="n">
        <v>45594.63747685185</v>
      </c>
      <c r="C362" s="1" t="n">
        <v>46106</v>
      </c>
      <c r="D362" t="inlineStr">
        <is>
          <t>ÖREBRO LÄN</t>
        </is>
      </c>
      <c r="E362" t="inlineStr">
        <is>
          <t>LINDESBERG</t>
        </is>
      </c>
      <c r="G362" t="n">
        <v>3.8</v>
      </c>
      <c r="H362" t="n">
        <v>0</v>
      </c>
      <c r="I362" t="n">
        <v>0</v>
      </c>
      <c r="J362" t="n">
        <v>0</v>
      </c>
      <c r="K362" t="n">
        <v>0</v>
      </c>
      <c r="L362" t="n">
        <v>0</v>
      </c>
      <c r="M362" t="n">
        <v>0</v>
      </c>
      <c r="N362" t="n">
        <v>0</v>
      </c>
      <c r="O362" t="n">
        <v>0</v>
      </c>
      <c r="P362" t="n">
        <v>0</v>
      </c>
      <c r="Q362" t="n">
        <v>0</v>
      </c>
      <c r="R362" s="2" t="inlineStr"/>
    </row>
    <row r="363" ht="15" customHeight="1">
      <c r="A363" t="inlineStr">
        <is>
          <t>A 31000-2025</t>
        </is>
      </c>
      <c r="B363" s="1" t="n">
        <v>45832.49325231482</v>
      </c>
      <c r="C363" s="1" t="n">
        <v>46106</v>
      </c>
      <c r="D363" t="inlineStr">
        <is>
          <t>ÖREBRO LÄN</t>
        </is>
      </c>
      <c r="E363" t="inlineStr">
        <is>
          <t>LINDESBERG</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31018-2025</t>
        </is>
      </c>
      <c r="B364" s="1" t="n">
        <v>45832.51255787037</v>
      </c>
      <c r="C364" s="1" t="n">
        <v>46106</v>
      </c>
      <c r="D364" t="inlineStr">
        <is>
          <t>ÖREBRO LÄN</t>
        </is>
      </c>
      <c r="E364" t="inlineStr">
        <is>
          <t>LINDESBERG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3803-2023</t>
        </is>
      </c>
      <c r="B365" s="1" t="n">
        <v>44951.5830324074</v>
      </c>
      <c r="C365" s="1" t="n">
        <v>46106</v>
      </c>
      <c r="D365" t="inlineStr">
        <is>
          <t>ÖREBRO LÄN</t>
        </is>
      </c>
      <c r="E365" t="inlineStr">
        <is>
          <t>LINDESBERG</t>
        </is>
      </c>
      <c r="G365" t="n">
        <v>0.9</v>
      </c>
      <c r="H365" t="n">
        <v>0</v>
      </c>
      <c r="I365" t="n">
        <v>0</v>
      </c>
      <c r="J365" t="n">
        <v>0</v>
      </c>
      <c r="K365" t="n">
        <v>0</v>
      </c>
      <c r="L365" t="n">
        <v>0</v>
      </c>
      <c r="M365" t="n">
        <v>0</v>
      </c>
      <c r="N365" t="n">
        <v>0</v>
      </c>
      <c r="O365" t="n">
        <v>0</v>
      </c>
      <c r="P365" t="n">
        <v>0</v>
      </c>
      <c r="Q365" t="n">
        <v>0</v>
      </c>
      <c r="R365" s="2" t="inlineStr"/>
    </row>
    <row r="366" ht="15" customHeight="1">
      <c r="A366" t="inlineStr">
        <is>
          <t>A 31049-2025</t>
        </is>
      </c>
      <c r="B366" s="1" t="n">
        <v>45832.55810185185</v>
      </c>
      <c r="C366" s="1" t="n">
        <v>46106</v>
      </c>
      <c r="D366" t="inlineStr">
        <is>
          <t>ÖREBRO LÄN</t>
        </is>
      </c>
      <c r="E366" t="inlineStr">
        <is>
          <t>LINDESBERG</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7069-2026</t>
        </is>
      </c>
      <c r="B367" s="1" t="n">
        <v>46058.30956018518</v>
      </c>
      <c r="C367" s="1" t="n">
        <v>46106</v>
      </c>
      <c r="D367" t="inlineStr">
        <is>
          <t>ÖREBRO LÄN</t>
        </is>
      </c>
      <c r="E367" t="inlineStr">
        <is>
          <t>LINDESBERG</t>
        </is>
      </c>
      <c r="G367" t="n">
        <v>0.9</v>
      </c>
      <c r="H367" t="n">
        <v>0</v>
      </c>
      <c r="I367" t="n">
        <v>0</v>
      </c>
      <c r="J367" t="n">
        <v>0</v>
      </c>
      <c r="K367" t="n">
        <v>0</v>
      </c>
      <c r="L367" t="n">
        <v>0</v>
      </c>
      <c r="M367" t="n">
        <v>0</v>
      </c>
      <c r="N367" t="n">
        <v>0</v>
      </c>
      <c r="O367" t="n">
        <v>0</v>
      </c>
      <c r="P367" t="n">
        <v>0</v>
      </c>
      <c r="Q367" t="n">
        <v>0</v>
      </c>
      <c r="R367" s="2" t="inlineStr"/>
    </row>
    <row r="368" ht="15" customHeight="1">
      <c r="A368" t="inlineStr">
        <is>
          <t>A 7121-2026</t>
        </is>
      </c>
      <c r="B368" s="1" t="n">
        <v>46058.38300925926</v>
      </c>
      <c r="C368" s="1" t="n">
        <v>46106</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31213-2025</t>
        </is>
      </c>
      <c r="B369" s="1" t="n">
        <v>45832.72778935185</v>
      </c>
      <c r="C369" s="1" t="n">
        <v>46106</v>
      </c>
      <c r="D369" t="inlineStr">
        <is>
          <t>ÖREBRO LÄN</t>
        </is>
      </c>
      <c r="E369" t="inlineStr">
        <is>
          <t>LINDESBERG</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11581-2024</t>
        </is>
      </c>
      <c r="B370" s="1" t="n">
        <v>45373.34383101852</v>
      </c>
      <c r="C370" s="1" t="n">
        <v>46106</v>
      </c>
      <c r="D370" t="inlineStr">
        <is>
          <t>ÖREBRO LÄN</t>
        </is>
      </c>
      <c r="E370" t="inlineStr">
        <is>
          <t>LINDESBERG</t>
        </is>
      </c>
      <c r="F370" t="inlineStr">
        <is>
          <t>BillerudKorsnäs AB</t>
        </is>
      </c>
      <c r="G370" t="n">
        <v>3.9</v>
      </c>
      <c r="H370" t="n">
        <v>0</v>
      </c>
      <c r="I370" t="n">
        <v>0</v>
      </c>
      <c r="J370" t="n">
        <v>0</v>
      </c>
      <c r="K370" t="n">
        <v>0</v>
      </c>
      <c r="L370" t="n">
        <v>0</v>
      </c>
      <c r="M370" t="n">
        <v>0</v>
      </c>
      <c r="N370" t="n">
        <v>0</v>
      </c>
      <c r="O370" t="n">
        <v>0</v>
      </c>
      <c r="P370" t="n">
        <v>0</v>
      </c>
      <c r="Q370" t="n">
        <v>0</v>
      </c>
      <c r="R370" s="2" t="inlineStr"/>
    </row>
    <row r="371" ht="15" customHeight="1">
      <c r="A371" t="inlineStr">
        <is>
          <t>A 14680-2026</t>
        </is>
      </c>
      <c r="B371" s="1" t="n">
        <v>46101.48212962963</v>
      </c>
      <c r="C371" s="1" t="n">
        <v>46106</v>
      </c>
      <c r="D371" t="inlineStr">
        <is>
          <t>ÖREBRO LÄN</t>
        </is>
      </c>
      <c r="E371" t="inlineStr">
        <is>
          <t>LINDESBERG</t>
        </is>
      </c>
      <c r="G371" t="n">
        <v>1</v>
      </c>
      <c r="H371" t="n">
        <v>0</v>
      </c>
      <c r="I371" t="n">
        <v>0</v>
      </c>
      <c r="J371" t="n">
        <v>0</v>
      </c>
      <c r="K371" t="n">
        <v>0</v>
      </c>
      <c r="L371" t="n">
        <v>0</v>
      </c>
      <c r="M371" t="n">
        <v>0</v>
      </c>
      <c r="N371" t="n">
        <v>0</v>
      </c>
      <c r="O371" t="n">
        <v>0</v>
      </c>
      <c r="P371" t="n">
        <v>0</v>
      </c>
      <c r="Q371" t="n">
        <v>0</v>
      </c>
      <c r="R371" s="2" t="inlineStr"/>
    </row>
    <row r="372" ht="15" customHeight="1">
      <c r="A372" t="inlineStr">
        <is>
          <t>A 31085-2025</t>
        </is>
      </c>
      <c r="B372" s="1" t="n">
        <v>45832.5902662037</v>
      </c>
      <c r="C372" s="1" t="n">
        <v>46106</v>
      </c>
      <c r="D372" t="inlineStr">
        <is>
          <t>ÖREBRO LÄN</t>
        </is>
      </c>
      <c r="E372" t="inlineStr">
        <is>
          <t>LINDESBERG</t>
        </is>
      </c>
      <c r="F372" t="inlineStr">
        <is>
          <t>Sveaskog</t>
        </is>
      </c>
      <c r="G372" t="n">
        <v>0.3</v>
      </c>
      <c r="H372" t="n">
        <v>0</v>
      </c>
      <c r="I372" t="n">
        <v>0</v>
      </c>
      <c r="J372" t="n">
        <v>0</v>
      </c>
      <c r="K372" t="n">
        <v>0</v>
      </c>
      <c r="L372" t="n">
        <v>0</v>
      </c>
      <c r="M372" t="n">
        <v>0</v>
      </c>
      <c r="N372" t="n">
        <v>0</v>
      </c>
      <c r="O372" t="n">
        <v>0</v>
      </c>
      <c r="P372" t="n">
        <v>0</v>
      </c>
      <c r="Q372" t="n">
        <v>0</v>
      </c>
      <c r="R372" s="2" t="inlineStr"/>
    </row>
    <row r="373" ht="15" customHeight="1">
      <c r="A373" t="inlineStr">
        <is>
          <t>A 31215-2025</t>
        </is>
      </c>
      <c r="B373" s="1" t="n">
        <v>45832.74418981482</v>
      </c>
      <c r="C373" s="1" t="n">
        <v>46106</v>
      </c>
      <c r="D373" t="inlineStr">
        <is>
          <t>ÖREBRO LÄN</t>
        </is>
      </c>
      <c r="E373" t="inlineStr">
        <is>
          <t>LINDESBERG</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41889-2025</t>
        </is>
      </c>
      <c r="B374" s="1" t="n">
        <v>45903.37475694445</v>
      </c>
      <c r="C374" s="1" t="n">
        <v>46106</v>
      </c>
      <c r="D374" t="inlineStr">
        <is>
          <t>ÖREBRO LÄN</t>
        </is>
      </c>
      <c r="E374" t="inlineStr">
        <is>
          <t>LINDESBERG</t>
        </is>
      </c>
      <c r="F374" t="inlineStr">
        <is>
          <t>Sveaskog</t>
        </is>
      </c>
      <c r="G374" t="n">
        <v>7.7</v>
      </c>
      <c r="H374" t="n">
        <v>0</v>
      </c>
      <c r="I374" t="n">
        <v>0</v>
      </c>
      <c r="J374" t="n">
        <v>0</v>
      </c>
      <c r="K374" t="n">
        <v>0</v>
      </c>
      <c r="L374" t="n">
        <v>0</v>
      </c>
      <c r="M374" t="n">
        <v>0</v>
      </c>
      <c r="N374" t="n">
        <v>0</v>
      </c>
      <c r="O374" t="n">
        <v>0</v>
      </c>
      <c r="P374" t="n">
        <v>0</v>
      </c>
      <c r="Q374" t="n">
        <v>0</v>
      </c>
      <c r="R374" s="2" t="inlineStr"/>
    </row>
    <row r="375" ht="15" customHeight="1">
      <c r="A375" t="inlineStr">
        <is>
          <t>A 31003-2025</t>
        </is>
      </c>
      <c r="B375" s="1" t="n">
        <v>45832.49579861111</v>
      </c>
      <c r="C375" s="1" t="n">
        <v>46106</v>
      </c>
      <c r="D375" t="inlineStr">
        <is>
          <t>ÖREBRO LÄN</t>
        </is>
      </c>
      <c r="E375" t="inlineStr">
        <is>
          <t>LINDESBERG</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31014-2025</t>
        </is>
      </c>
      <c r="B376" s="1" t="n">
        <v>45832.51028935185</v>
      </c>
      <c r="C376" s="1" t="n">
        <v>46106</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33507-2023</t>
        </is>
      </c>
      <c r="B377" s="1" t="n">
        <v>45131</v>
      </c>
      <c r="C377" s="1" t="n">
        <v>46106</v>
      </c>
      <c r="D377" t="inlineStr">
        <is>
          <t>ÖREBRO LÄN</t>
        </is>
      </c>
      <c r="E377" t="inlineStr">
        <is>
          <t>LINDESBERG</t>
        </is>
      </c>
      <c r="G377" t="n">
        <v>3.2</v>
      </c>
      <c r="H377" t="n">
        <v>0</v>
      </c>
      <c r="I377" t="n">
        <v>0</v>
      </c>
      <c r="J377" t="n">
        <v>0</v>
      </c>
      <c r="K377" t="n">
        <v>0</v>
      </c>
      <c r="L377" t="n">
        <v>0</v>
      </c>
      <c r="M377" t="n">
        <v>0</v>
      </c>
      <c r="N377" t="n">
        <v>0</v>
      </c>
      <c r="O377" t="n">
        <v>0</v>
      </c>
      <c r="P377" t="n">
        <v>0</v>
      </c>
      <c r="Q377" t="n">
        <v>0</v>
      </c>
      <c r="R377" s="2" t="inlineStr"/>
    </row>
    <row r="378" ht="15" customHeight="1">
      <c r="A378" t="inlineStr">
        <is>
          <t>A 24030-2023</t>
        </is>
      </c>
      <c r="B378" s="1" t="n">
        <v>45078.82620370371</v>
      </c>
      <c r="C378" s="1" t="n">
        <v>46106</v>
      </c>
      <c r="D378" t="inlineStr">
        <is>
          <t>ÖREBRO LÄN</t>
        </is>
      </c>
      <c r="E378" t="inlineStr">
        <is>
          <t>LINDESBERG</t>
        </is>
      </c>
      <c r="G378" t="n">
        <v>1.5</v>
      </c>
      <c r="H378" t="n">
        <v>0</v>
      </c>
      <c r="I378" t="n">
        <v>0</v>
      </c>
      <c r="J378" t="n">
        <v>0</v>
      </c>
      <c r="K378" t="n">
        <v>0</v>
      </c>
      <c r="L378" t="n">
        <v>0</v>
      </c>
      <c r="M378" t="n">
        <v>0</v>
      </c>
      <c r="N378" t="n">
        <v>0</v>
      </c>
      <c r="O378" t="n">
        <v>0</v>
      </c>
      <c r="P378" t="n">
        <v>0</v>
      </c>
      <c r="Q378" t="n">
        <v>0</v>
      </c>
      <c r="R378" s="2" t="inlineStr"/>
    </row>
    <row r="379" ht="15" customHeight="1">
      <c r="A379" t="inlineStr">
        <is>
          <t>A 21986-2023</t>
        </is>
      </c>
      <c r="B379" s="1" t="n">
        <v>45068</v>
      </c>
      <c r="C379" s="1" t="n">
        <v>46106</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32284-2025</t>
        </is>
      </c>
      <c r="B380" s="1" t="n">
        <v>45835.68443287037</v>
      </c>
      <c r="C380" s="1" t="n">
        <v>46106</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41653-2025</t>
        </is>
      </c>
      <c r="B381" s="1" t="n">
        <v>45902.3406712963</v>
      </c>
      <c r="C381" s="1" t="n">
        <v>46106</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44010-2023</t>
        </is>
      </c>
      <c r="B382" s="1" t="n">
        <v>45188</v>
      </c>
      <c r="C382" s="1" t="n">
        <v>46106</v>
      </c>
      <c r="D382" t="inlineStr">
        <is>
          <t>ÖREBRO LÄN</t>
        </is>
      </c>
      <c r="E382" t="inlineStr">
        <is>
          <t>LINDESBERG</t>
        </is>
      </c>
      <c r="G382" t="n">
        <v>2.3</v>
      </c>
      <c r="H382" t="n">
        <v>0</v>
      </c>
      <c r="I382" t="n">
        <v>0</v>
      </c>
      <c r="J382" t="n">
        <v>0</v>
      </c>
      <c r="K382" t="n">
        <v>0</v>
      </c>
      <c r="L382" t="n">
        <v>0</v>
      </c>
      <c r="M382" t="n">
        <v>0</v>
      </c>
      <c r="N382" t="n">
        <v>0</v>
      </c>
      <c r="O382" t="n">
        <v>0</v>
      </c>
      <c r="P382" t="n">
        <v>0</v>
      </c>
      <c r="Q382" t="n">
        <v>0</v>
      </c>
      <c r="R382" s="2" t="inlineStr"/>
    </row>
    <row r="383" ht="15" customHeight="1">
      <c r="A383" t="inlineStr">
        <is>
          <t>A 50986-2023</t>
        </is>
      </c>
      <c r="B383" s="1" t="n">
        <v>45218</v>
      </c>
      <c r="C383" s="1" t="n">
        <v>46106</v>
      </c>
      <c r="D383" t="inlineStr">
        <is>
          <t>ÖREBRO LÄN</t>
        </is>
      </c>
      <c r="E383" t="inlineStr">
        <is>
          <t>LINDESBERG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61969-2023</t>
        </is>
      </c>
      <c r="B384" s="1" t="n">
        <v>45266.58394675926</v>
      </c>
      <c r="C384" s="1" t="n">
        <v>46106</v>
      </c>
      <c r="D384" t="inlineStr">
        <is>
          <t>ÖREBRO LÄN</t>
        </is>
      </c>
      <c r="E384" t="inlineStr">
        <is>
          <t>LINDESBERG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40450-2023</t>
        </is>
      </c>
      <c r="B385" s="1" t="n">
        <v>45170</v>
      </c>
      <c r="C385" s="1" t="n">
        <v>46106</v>
      </c>
      <c r="D385" t="inlineStr">
        <is>
          <t>ÖREBRO LÄN</t>
        </is>
      </c>
      <c r="E385" t="inlineStr">
        <is>
          <t>LINDESBERG</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53062-2023</t>
        </is>
      </c>
      <c r="B386" s="1" t="n">
        <v>45227.31859953704</v>
      </c>
      <c r="C386" s="1" t="n">
        <v>46106</v>
      </c>
      <c r="D386" t="inlineStr">
        <is>
          <t>ÖREBRO LÄN</t>
        </is>
      </c>
      <c r="E386" t="inlineStr">
        <is>
          <t>LINDESBERG</t>
        </is>
      </c>
      <c r="G386" t="n">
        <v>3.1</v>
      </c>
      <c r="H386" t="n">
        <v>0</v>
      </c>
      <c r="I386" t="n">
        <v>0</v>
      </c>
      <c r="J386" t="n">
        <v>0</v>
      </c>
      <c r="K386" t="n">
        <v>0</v>
      </c>
      <c r="L386" t="n">
        <v>0</v>
      </c>
      <c r="M386" t="n">
        <v>0</v>
      </c>
      <c r="N386" t="n">
        <v>0</v>
      </c>
      <c r="O386" t="n">
        <v>0</v>
      </c>
      <c r="P386" t="n">
        <v>0</v>
      </c>
      <c r="Q386" t="n">
        <v>0</v>
      </c>
      <c r="R386" s="2" t="inlineStr"/>
    </row>
    <row r="387" ht="15" customHeight="1">
      <c r="A387" t="inlineStr">
        <is>
          <t>A 15126-2026</t>
        </is>
      </c>
      <c r="B387" s="1" t="n">
        <v>46105.37195601852</v>
      </c>
      <c r="C387" s="1" t="n">
        <v>46106</v>
      </c>
      <c r="D387" t="inlineStr">
        <is>
          <t>ÖREBRO LÄN</t>
        </is>
      </c>
      <c r="E387" t="inlineStr">
        <is>
          <t>LINDESBERG</t>
        </is>
      </c>
      <c r="G387" t="n">
        <v>1.1</v>
      </c>
      <c r="H387" t="n">
        <v>0</v>
      </c>
      <c r="I387" t="n">
        <v>0</v>
      </c>
      <c r="J387" t="n">
        <v>0</v>
      </c>
      <c r="K387" t="n">
        <v>0</v>
      </c>
      <c r="L387" t="n">
        <v>0</v>
      </c>
      <c r="M387" t="n">
        <v>0</v>
      </c>
      <c r="N387" t="n">
        <v>0</v>
      </c>
      <c r="O387" t="n">
        <v>0</v>
      </c>
      <c r="P387" t="n">
        <v>0</v>
      </c>
      <c r="Q387" t="n">
        <v>0</v>
      </c>
      <c r="R387" s="2" t="inlineStr"/>
    </row>
    <row r="388" ht="15" customHeight="1">
      <c r="A388" t="inlineStr">
        <is>
          <t>A 12739-2024</t>
        </is>
      </c>
      <c r="B388" s="1" t="n">
        <v>45384</v>
      </c>
      <c r="C388" s="1" t="n">
        <v>46106</v>
      </c>
      <c r="D388" t="inlineStr">
        <is>
          <t>ÖREBRO LÄN</t>
        </is>
      </c>
      <c r="E388" t="inlineStr">
        <is>
          <t>LINDESBERG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42630-2025</t>
        </is>
      </c>
      <c r="B389" s="1" t="n">
        <v>45905.89143518519</v>
      </c>
      <c r="C389" s="1" t="n">
        <v>46106</v>
      </c>
      <c r="D389" t="inlineStr">
        <is>
          <t>ÖREBRO LÄN</t>
        </is>
      </c>
      <c r="E389" t="inlineStr">
        <is>
          <t>LINDESBERG</t>
        </is>
      </c>
      <c r="F389" t="inlineStr">
        <is>
          <t>Sveaskog</t>
        </is>
      </c>
      <c r="G389" t="n">
        <v>9.9</v>
      </c>
      <c r="H389" t="n">
        <v>0</v>
      </c>
      <c r="I389" t="n">
        <v>0</v>
      </c>
      <c r="J389" t="n">
        <v>0</v>
      </c>
      <c r="K389" t="n">
        <v>0</v>
      </c>
      <c r="L389" t="n">
        <v>0</v>
      </c>
      <c r="M389" t="n">
        <v>0</v>
      </c>
      <c r="N389" t="n">
        <v>0</v>
      </c>
      <c r="O389" t="n">
        <v>0</v>
      </c>
      <c r="P389" t="n">
        <v>0</v>
      </c>
      <c r="Q389" t="n">
        <v>0</v>
      </c>
      <c r="R389" s="2" t="inlineStr"/>
    </row>
    <row r="390" ht="15" customHeight="1">
      <c r="A390" t="inlineStr">
        <is>
          <t>A 45056-2024</t>
        </is>
      </c>
      <c r="B390" s="1" t="n">
        <v>45575.55273148148</v>
      </c>
      <c r="C390" s="1" t="n">
        <v>46106</v>
      </c>
      <c r="D390" t="inlineStr">
        <is>
          <t>ÖREBRO LÄN</t>
        </is>
      </c>
      <c r="E390" t="inlineStr">
        <is>
          <t>LINDESBERG</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45058-2024</t>
        </is>
      </c>
      <c r="B391" s="1" t="n">
        <v>45575.5547337963</v>
      </c>
      <c r="C391" s="1" t="n">
        <v>46106</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45063-2024</t>
        </is>
      </c>
      <c r="B392" s="1" t="n">
        <v>45575.55684027778</v>
      </c>
      <c r="C392" s="1" t="n">
        <v>46106</v>
      </c>
      <c r="D392" t="inlineStr">
        <is>
          <t>ÖREBRO LÄN</t>
        </is>
      </c>
      <c r="E392" t="inlineStr">
        <is>
          <t>LINDESBERG</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32504-2025</t>
        </is>
      </c>
      <c r="B393" s="1" t="n">
        <v>45838.46456018519</v>
      </c>
      <c r="C393" s="1" t="n">
        <v>46106</v>
      </c>
      <c r="D393" t="inlineStr">
        <is>
          <t>ÖREBRO LÄN</t>
        </is>
      </c>
      <c r="E393" t="inlineStr">
        <is>
          <t>LINDESBERG</t>
        </is>
      </c>
      <c r="F393" t="inlineStr">
        <is>
          <t>Sveaskog</t>
        </is>
      </c>
      <c r="G393" t="n">
        <v>16.9</v>
      </c>
      <c r="H393" t="n">
        <v>0</v>
      </c>
      <c r="I393" t="n">
        <v>0</v>
      </c>
      <c r="J393" t="n">
        <v>0</v>
      </c>
      <c r="K393" t="n">
        <v>0</v>
      </c>
      <c r="L393" t="n">
        <v>0</v>
      </c>
      <c r="M393" t="n">
        <v>0</v>
      </c>
      <c r="N393" t="n">
        <v>0</v>
      </c>
      <c r="O393" t="n">
        <v>0</v>
      </c>
      <c r="P393" t="n">
        <v>0</v>
      </c>
      <c r="Q393" t="n">
        <v>0</v>
      </c>
      <c r="R393" s="2" t="inlineStr"/>
    </row>
    <row r="394" ht="15" customHeight="1">
      <c r="A394" t="inlineStr">
        <is>
          <t>A 32502-2025</t>
        </is>
      </c>
      <c r="B394" s="1" t="n">
        <v>45838.46408564815</v>
      </c>
      <c r="C394" s="1" t="n">
        <v>46106</v>
      </c>
      <c r="D394" t="inlineStr">
        <is>
          <t>ÖREBRO LÄN</t>
        </is>
      </c>
      <c r="E394" t="inlineStr">
        <is>
          <t>LINDESBERG</t>
        </is>
      </c>
      <c r="F394" t="inlineStr">
        <is>
          <t>Sveaskog</t>
        </is>
      </c>
      <c r="G394" t="n">
        <v>17.7</v>
      </c>
      <c r="H394" t="n">
        <v>0</v>
      </c>
      <c r="I394" t="n">
        <v>0</v>
      </c>
      <c r="J394" t="n">
        <v>0</v>
      </c>
      <c r="K394" t="n">
        <v>0</v>
      </c>
      <c r="L394" t="n">
        <v>0</v>
      </c>
      <c r="M394" t="n">
        <v>0</v>
      </c>
      <c r="N394" t="n">
        <v>0</v>
      </c>
      <c r="O394" t="n">
        <v>0</v>
      </c>
      <c r="P394" t="n">
        <v>0</v>
      </c>
      <c r="Q394" t="n">
        <v>0</v>
      </c>
      <c r="R394" s="2" t="inlineStr"/>
    </row>
    <row r="395" ht="15" customHeight="1">
      <c r="A395" t="inlineStr">
        <is>
          <t>A 42631-2025</t>
        </is>
      </c>
      <c r="B395" s="1" t="n">
        <v>45905.89236111111</v>
      </c>
      <c r="C395" s="1" t="n">
        <v>46106</v>
      </c>
      <c r="D395" t="inlineStr">
        <is>
          <t>ÖREBRO LÄN</t>
        </is>
      </c>
      <c r="E395" t="inlineStr">
        <is>
          <t>LINDESBERG</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32727-2024</t>
        </is>
      </c>
      <c r="B396" s="1" t="n">
        <v>45516.4221412037</v>
      </c>
      <c r="C396" s="1" t="n">
        <v>46106</v>
      </c>
      <c r="D396" t="inlineStr">
        <is>
          <t>ÖREBRO LÄN</t>
        </is>
      </c>
      <c r="E396" t="inlineStr">
        <is>
          <t>LINDESBERG</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9198-2025</t>
        </is>
      </c>
      <c r="B397" s="1" t="n">
        <v>45714</v>
      </c>
      <c r="C397" s="1" t="n">
        <v>46106</v>
      </c>
      <c r="D397" t="inlineStr">
        <is>
          <t>ÖREBRO LÄN</t>
        </is>
      </c>
      <c r="E397" t="inlineStr">
        <is>
          <t>LINDESBERG</t>
        </is>
      </c>
      <c r="G397" t="n">
        <v>3.3</v>
      </c>
      <c r="H397" t="n">
        <v>0</v>
      </c>
      <c r="I397" t="n">
        <v>0</v>
      </c>
      <c r="J397" t="n">
        <v>0</v>
      </c>
      <c r="K397" t="n">
        <v>0</v>
      </c>
      <c r="L397" t="n">
        <v>0</v>
      </c>
      <c r="M397" t="n">
        <v>0</v>
      </c>
      <c r="N397" t="n">
        <v>0</v>
      </c>
      <c r="O397" t="n">
        <v>0</v>
      </c>
      <c r="P397" t="n">
        <v>0</v>
      </c>
      <c r="Q397" t="n">
        <v>0</v>
      </c>
      <c r="R397" s="2" t="inlineStr"/>
    </row>
    <row r="398" ht="15" customHeight="1">
      <c r="A398" t="inlineStr">
        <is>
          <t>A 60492-2024</t>
        </is>
      </c>
      <c r="B398" s="1" t="n">
        <v>45642</v>
      </c>
      <c r="C398" s="1" t="n">
        <v>46106</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33046-2025</t>
        </is>
      </c>
      <c r="B399" s="1" t="n">
        <v>45840</v>
      </c>
      <c r="C399" s="1" t="n">
        <v>46106</v>
      </c>
      <c r="D399" t="inlineStr">
        <is>
          <t>ÖREBRO LÄN</t>
        </is>
      </c>
      <c r="E399" t="inlineStr">
        <is>
          <t>LINDESBERG</t>
        </is>
      </c>
      <c r="G399" t="n">
        <v>6.1</v>
      </c>
      <c r="H399" t="n">
        <v>0</v>
      </c>
      <c r="I399" t="n">
        <v>0</v>
      </c>
      <c r="J399" t="n">
        <v>0</v>
      </c>
      <c r="K399" t="n">
        <v>0</v>
      </c>
      <c r="L399" t="n">
        <v>0</v>
      </c>
      <c r="M399" t="n">
        <v>0</v>
      </c>
      <c r="N399" t="n">
        <v>0</v>
      </c>
      <c r="O399" t="n">
        <v>0</v>
      </c>
      <c r="P399" t="n">
        <v>0</v>
      </c>
      <c r="Q399" t="n">
        <v>0</v>
      </c>
      <c r="R399" s="2" t="inlineStr"/>
    </row>
    <row r="400" ht="15" customHeight="1">
      <c r="A400" t="inlineStr">
        <is>
          <t>A 26093-2023</t>
        </is>
      </c>
      <c r="B400" s="1" t="n">
        <v>45091.39362268519</v>
      </c>
      <c r="C400" s="1" t="n">
        <v>46106</v>
      </c>
      <c r="D400" t="inlineStr">
        <is>
          <t>ÖREBRO LÄN</t>
        </is>
      </c>
      <c r="E400" t="inlineStr">
        <is>
          <t>LINDESBERG</t>
        </is>
      </c>
      <c r="G400" t="n">
        <v>0.4</v>
      </c>
      <c r="H400" t="n">
        <v>0</v>
      </c>
      <c r="I400" t="n">
        <v>0</v>
      </c>
      <c r="J400" t="n">
        <v>0</v>
      </c>
      <c r="K400" t="n">
        <v>0</v>
      </c>
      <c r="L400" t="n">
        <v>0</v>
      </c>
      <c r="M400" t="n">
        <v>0</v>
      </c>
      <c r="N400" t="n">
        <v>0</v>
      </c>
      <c r="O400" t="n">
        <v>0</v>
      </c>
      <c r="P400" t="n">
        <v>0</v>
      </c>
      <c r="Q400" t="n">
        <v>0</v>
      </c>
      <c r="R400" s="2" t="inlineStr"/>
    </row>
    <row r="401" ht="15" customHeight="1">
      <c r="A401" t="inlineStr">
        <is>
          <t>A 47066-2023</t>
        </is>
      </c>
      <c r="B401" s="1" t="n">
        <v>45201</v>
      </c>
      <c r="C401" s="1" t="n">
        <v>46106</v>
      </c>
      <c r="D401" t="inlineStr">
        <is>
          <t>ÖREBRO LÄN</t>
        </is>
      </c>
      <c r="E401" t="inlineStr">
        <is>
          <t>LINDESBERG</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54859-2024</t>
        </is>
      </c>
      <c r="B402" s="1" t="n">
        <v>45618.58962962963</v>
      </c>
      <c r="C402" s="1" t="n">
        <v>46106</v>
      </c>
      <c r="D402" t="inlineStr">
        <is>
          <t>ÖREBRO LÄN</t>
        </is>
      </c>
      <c r="E402" t="inlineStr">
        <is>
          <t>LINDESBERG</t>
        </is>
      </c>
      <c r="F402" t="inlineStr">
        <is>
          <t>Sveaskog</t>
        </is>
      </c>
      <c r="G402" t="n">
        <v>5.3</v>
      </c>
      <c r="H402" t="n">
        <v>0</v>
      </c>
      <c r="I402" t="n">
        <v>0</v>
      </c>
      <c r="J402" t="n">
        <v>0</v>
      </c>
      <c r="K402" t="n">
        <v>0</v>
      </c>
      <c r="L402" t="n">
        <v>0</v>
      </c>
      <c r="M402" t="n">
        <v>0</v>
      </c>
      <c r="N402" t="n">
        <v>0</v>
      </c>
      <c r="O402" t="n">
        <v>0</v>
      </c>
      <c r="P402" t="n">
        <v>0</v>
      </c>
      <c r="Q402" t="n">
        <v>0</v>
      </c>
      <c r="R402" s="2" t="inlineStr"/>
    </row>
    <row r="403" ht="15" customHeight="1">
      <c r="A403" t="inlineStr">
        <is>
          <t>A 36773-2024</t>
        </is>
      </c>
      <c r="B403" s="1" t="n">
        <v>45538</v>
      </c>
      <c r="C403" s="1" t="n">
        <v>46106</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42632-2025</t>
        </is>
      </c>
      <c r="B404" s="1" t="n">
        <v>45905.89329861111</v>
      </c>
      <c r="C404" s="1" t="n">
        <v>46106</v>
      </c>
      <c r="D404" t="inlineStr">
        <is>
          <t>ÖREBRO LÄN</t>
        </is>
      </c>
      <c r="E404" t="inlineStr">
        <is>
          <t>LINDESBERG</t>
        </is>
      </c>
      <c r="F404" t="inlineStr">
        <is>
          <t>Sveaskog</t>
        </is>
      </c>
      <c r="G404" t="n">
        <v>6.7</v>
      </c>
      <c r="H404" t="n">
        <v>0</v>
      </c>
      <c r="I404" t="n">
        <v>0</v>
      </c>
      <c r="J404" t="n">
        <v>0</v>
      </c>
      <c r="K404" t="n">
        <v>0</v>
      </c>
      <c r="L404" t="n">
        <v>0</v>
      </c>
      <c r="M404" t="n">
        <v>0</v>
      </c>
      <c r="N404" t="n">
        <v>0</v>
      </c>
      <c r="O404" t="n">
        <v>0</v>
      </c>
      <c r="P404" t="n">
        <v>0</v>
      </c>
      <c r="Q404" t="n">
        <v>0</v>
      </c>
      <c r="R404" s="2" t="inlineStr"/>
    </row>
    <row r="405" ht="15" customHeight="1">
      <c r="A405" t="inlineStr">
        <is>
          <t>A 37843-2025</t>
        </is>
      </c>
      <c r="B405" s="1" t="n">
        <v>45881.43759259259</v>
      </c>
      <c r="C405" s="1" t="n">
        <v>46106</v>
      </c>
      <c r="D405" t="inlineStr">
        <is>
          <t>ÖREBRO LÄN</t>
        </is>
      </c>
      <c r="E405" t="inlineStr">
        <is>
          <t>LINDESBERG</t>
        </is>
      </c>
      <c r="G405" t="n">
        <v>5.2</v>
      </c>
      <c r="H405" t="n">
        <v>0</v>
      </c>
      <c r="I405" t="n">
        <v>0</v>
      </c>
      <c r="J405" t="n">
        <v>0</v>
      </c>
      <c r="K405" t="n">
        <v>0</v>
      </c>
      <c r="L405" t="n">
        <v>0</v>
      </c>
      <c r="M405" t="n">
        <v>0</v>
      </c>
      <c r="N405" t="n">
        <v>0</v>
      </c>
      <c r="O405" t="n">
        <v>0</v>
      </c>
      <c r="P405" t="n">
        <v>0</v>
      </c>
      <c r="Q405" t="n">
        <v>0</v>
      </c>
      <c r="R405" s="2" t="inlineStr"/>
    </row>
    <row r="406" ht="15" customHeight="1">
      <c r="A406" t="inlineStr">
        <is>
          <t>A 34004-2025</t>
        </is>
      </c>
      <c r="B406" s="1" t="n">
        <v>45844.5775</v>
      </c>
      <c r="C406" s="1" t="n">
        <v>46106</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34104-2025</t>
        </is>
      </c>
      <c r="B407" s="1" t="n">
        <v>45845.49216435185</v>
      </c>
      <c r="C407" s="1" t="n">
        <v>46106</v>
      </c>
      <c r="D407" t="inlineStr">
        <is>
          <t>ÖREBRO LÄN</t>
        </is>
      </c>
      <c r="E407" t="inlineStr">
        <is>
          <t>LINDESBERG</t>
        </is>
      </c>
      <c r="G407" t="n">
        <v>1</v>
      </c>
      <c r="H407" t="n">
        <v>0</v>
      </c>
      <c r="I407" t="n">
        <v>0</v>
      </c>
      <c r="J407" t="n">
        <v>0</v>
      </c>
      <c r="K407" t="n">
        <v>0</v>
      </c>
      <c r="L407" t="n">
        <v>0</v>
      </c>
      <c r="M407" t="n">
        <v>0</v>
      </c>
      <c r="N407" t="n">
        <v>0</v>
      </c>
      <c r="O407" t="n">
        <v>0</v>
      </c>
      <c r="P407" t="n">
        <v>0</v>
      </c>
      <c r="Q407" t="n">
        <v>0</v>
      </c>
      <c r="R407" s="2" t="inlineStr"/>
    </row>
    <row r="408" ht="15" customHeight="1">
      <c r="A408" t="inlineStr">
        <is>
          <t>A 59804-2023</t>
        </is>
      </c>
      <c r="B408" s="1" t="n">
        <v>45257.48188657407</v>
      </c>
      <c r="C408" s="1" t="n">
        <v>46106</v>
      </c>
      <c r="D408" t="inlineStr">
        <is>
          <t>ÖREBRO LÄN</t>
        </is>
      </c>
      <c r="E408" t="inlineStr">
        <is>
          <t>LINDESBERG</t>
        </is>
      </c>
      <c r="G408" t="n">
        <v>1.2</v>
      </c>
      <c r="H408" t="n">
        <v>0</v>
      </c>
      <c r="I408" t="n">
        <v>0</v>
      </c>
      <c r="J408" t="n">
        <v>0</v>
      </c>
      <c r="K408" t="n">
        <v>0</v>
      </c>
      <c r="L408" t="n">
        <v>0</v>
      </c>
      <c r="M408" t="n">
        <v>0</v>
      </c>
      <c r="N408" t="n">
        <v>0</v>
      </c>
      <c r="O408" t="n">
        <v>0</v>
      </c>
      <c r="P408" t="n">
        <v>0</v>
      </c>
      <c r="Q408" t="n">
        <v>0</v>
      </c>
      <c r="R408" s="2" t="inlineStr"/>
    </row>
    <row r="409" ht="15" customHeight="1">
      <c r="A409" t="inlineStr">
        <is>
          <t>A 40758-2021</t>
        </is>
      </c>
      <c r="B409" s="1" t="n">
        <v>44420</v>
      </c>
      <c r="C409" s="1" t="n">
        <v>46106</v>
      </c>
      <c r="D409" t="inlineStr">
        <is>
          <t>ÖREBRO LÄN</t>
        </is>
      </c>
      <c r="E409" t="inlineStr">
        <is>
          <t>LINDESBERG</t>
        </is>
      </c>
      <c r="G409" t="n">
        <v>5</v>
      </c>
      <c r="H409" t="n">
        <v>0</v>
      </c>
      <c r="I409" t="n">
        <v>0</v>
      </c>
      <c r="J409" t="n">
        <v>0</v>
      </c>
      <c r="K409" t="n">
        <v>0</v>
      </c>
      <c r="L409" t="n">
        <v>0</v>
      </c>
      <c r="M409" t="n">
        <v>0</v>
      </c>
      <c r="N409" t="n">
        <v>0</v>
      </c>
      <c r="O409" t="n">
        <v>0</v>
      </c>
      <c r="P409" t="n">
        <v>0</v>
      </c>
      <c r="Q409" t="n">
        <v>0</v>
      </c>
      <c r="R409" s="2" t="inlineStr"/>
    </row>
    <row r="410" ht="15" customHeight="1">
      <c r="A410" t="inlineStr">
        <is>
          <t>A 61691-2023</t>
        </is>
      </c>
      <c r="B410" s="1" t="n">
        <v>45265.64142361111</v>
      </c>
      <c r="C410" s="1" t="n">
        <v>46106</v>
      </c>
      <c r="D410" t="inlineStr">
        <is>
          <t>ÖREBRO LÄN</t>
        </is>
      </c>
      <c r="E410" t="inlineStr">
        <is>
          <t>LINDESBERG</t>
        </is>
      </c>
      <c r="G410" t="n">
        <v>2.6</v>
      </c>
      <c r="H410" t="n">
        <v>0</v>
      </c>
      <c r="I410" t="n">
        <v>0</v>
      </c>
      <c r="J410" t="n">
        <v>0</v>
      </c>
      <c r="K410" t="n">
        <v>0</v>
      </c>
      <c r="L410" t="n">
        <v>0</v>
      </c>
      <c r="M410" t="n">
        <v>0</v>
      </c>
      <c r="N410" t="n">
        <v>0</v>
      </c>
      <c r="O410" t="n">
        <v>0</v>
      </c>
      <c r="P410" t="n">
        <v>0</v>
      </c>
      <c r="Q410" t="n">
        <v>0</v>
      </c>
      <c r="R410" s="2" t="inlineStr"/>
    </row>
    <row r="411" ht="15" customHeight="1">
      <c r="A411" t="inlineStr">
        <is>
          <t>A 4298-2025</t>
        </is>
      </c>
      <c r="B411" s="1" t="n">
        <v>45685</v>
      </c>
      <c r="C411" s="1" t="n">
        <v>46106</v>
      </c>
      <c r="D411" t="inlineStr">
        <is>
          <t>ÖREBRO LÄN</t>
        </is>
      </c>
      <c r="E411" t="inlineStr">
        <is>
          <t>LINDESBERG</t>
        </is>
      </c>
      <c r="G411" t="n">
        <v>13.5</v>
      </c>
      <c r="H411" t="n">
        <v>0</v>
      </c>
      <c r="I411" t="n">
        <v>0</v>
      </c>
      <c r="J411" t="n">
        <v>0</v>
      </c>
      <c r="K411" t="n">
        <v>0</v>
      </c>
      <c r="L411" t="n">
        <v>0</v>
      </c>
      <c r="M411" t="n">
        <v>0</v>
      </c>
      <c r="N411" t="n">
        <v>0</v>
      </c>
      <c r="O411" t="n">
        <v>0</v>
      </c>
      <c r="P411" t="n">
        <v>0</v>
      </c>
      <c r="Q411" t="n">
        <v>0</v>
      </c>
      <c r="R411" s="2" t="inlineStr"/>
    </row>
    <row r="412" ht="15" customHeight="1">
      <c r="A412" t="inlineStr">
        <is>
          <t>A 53597-2024</t>
        </is>
      </c>
      <c r="B412" s="1" t="n">
        <v>45614.68083333333</v>
      </c>
      <c r="C412" s="1" t="n">
        <v>46106</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33574-2024</t>
        </is>
      </c>
      <c r="B413" s="1" t="n">
        <v>45520.32887731482</v>
      </c>
      <c r="C413" s="1" t="n">
        <v>46106</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43081-2021</t>
        </is>
      </c>
      <c r="B414" s="1" t="n">
        <v>44431</v>
      </c>
      <c r="C414" s="1" t="n">
        <v>46106</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32002-2023</t>
        </is>
      </c>
      <c r="B415" s="1" t="n">
        <v>45119.46452546296</v>
      </c>
      <c r="C415" s="1" t="n">
        <v>46106</v>
      </c>
      <c r="D415" t="inlineStr">
        <is>
          <t>ÖREBRO LÄN</t>
        </is>
      </c>
      <c r="E415" t="inlineStr">
        <is>
          <t>LINDESBERG</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34002-2025</t>
        </is>
      </c>
      <c r="B416" s="1" t="n">
        <v>45844.57328703703</v>
      </c>
      <c r="C416" s="1" t="n">
        <v>46106</v>
      </c>
      <c r="D416" t="inlineStr">
        <is>
          <t>ÖREBRO LÄN</t>
        </is>
      </c>
      <c r="E416" t="inlineStr">
        <is>
          <t>LINDESBERG</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34003-2025</t>
        </is>
      </c>
      <c r="B417" s="1" t="n">
        <v>45844.57527777777</v>
      </c>
      <c r="C417" s="1" t="n">
        <v>46106</v>
      </c>
      <c r="D417" t="inlineStr">
        <is>
          <t>ÖREBRO LÄN</t>
        </is>
      </c>
      <c r="E417" t="inlineStr">
        <is>
          <t>LINDESBERG</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34097-2025</t>
        </is>
      </c>
      <c r="B418" s="1" t="n">
        <v>45845.4855787037</v>
      </c>
      <c r="C418" s="1" t="n">
        <v>46106</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43847-2025</t>
        </is>
      </c>
      <c r="B419" s="1" t="n">
        <v>45912.63751157407</v>
      </c>
      <c r="C419" s="1" t="n">
        <v>46106</v>
      </c>
      <c r="D419" t="inlineStr">
        <is>
          <t>ÖREBRO LÄN</t>
        </is>
      </c>
      <c r="E419" t="inlineStr">
        <is>
          <t>LINDESBERG</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34267-2025</t>
        </is>
      </c>
      <c r="B420" s="1" t="n">
        <v>45845.76005787037</v>
      </c>
      <c r="C420" s="1" t="n">
        <v>46106</v>
      </c>
      <c r="D420" t="inlineStr">
        <is>
          <t>ÖREBRO LÄN</t>
        </is>
      </c>
      <c r="E420" t="inlineStr">
        <is>
          <t>LINDESBERG</t>
        </is>
      </c>
      <c r="G420" t="n">
        <v>4.6</v>
      </c>
      <c r="H420" t="n">
        <v>0</v>
      </c>
      <c r="I420" t="n">
        <v>0</v>
      </c>
      <c r="J420" t="n">
        <v>0</v>
      </c>
      <c r="K420" t="n">
        <v>0</v>
      </c>
      <c r="L420" t="n">
        <v>0</v>
      </c>
      <c r="M420" t="n">
        <v>0</v>
      </c>
      <c r="N420" t="n">
        <v>0</v>
      </c>
      <c r="O420" t="n">
        <v>0</v>
      </c>
      <c r="P420" t="n">
        <v>0</v>
      </c>
      <c r="Q420" t="n">
        <v>0</v>
      </c>
      <c r="R420" s="2" t="inlineStr"/>
    </row>
    <row r="421" ht="15" customHeight="1">
      <c r="A421" t="inlineStr">
        <is>
          <t>A 7661-2024</t>
        </is>
      </c>
      <c r="B421" s="1" t="n">
        <v>45348</v>
      </c>
      <c r="C421" s="1" t="n">
        <v>46106</v>
      </c>
      <c r="D421" t="inlineStr">
        <is>
          <t>ÖREBRO LÄN</t>
        </is>
      </c>
      <c r="E421" t="inlineStr">
        <is>
          <t>LINDESBERG</t>
        </is>
      </c>
      <c r="G421" t="n">
        <v>4.1</v>
      </c>
      <c r="H421" t="n">
        <v>0</v>
      </c>
      <c r="I421" t="n">
        <v>0</v>
      </c>
      <c r="J421" t="n">
        <v>0</v>
      </c>
      <c r="K421" t="n">
        <v>0</v>
      </c>
      <c r="L421" t="n">
        <v>0</v>
      </c>
      <c r="M421" t="n">
        <v>0</v>
      </c>
      <c r="N421" t="n">
        <v>0</v>
      </c>
      <c r="O421" t="n">
        <v>0</v>
      </c>
      <c r="P421" t="n">
        <v>0</v>
      </c>
      <c r="Q421" t="n">
        <v>0</v>
      </c>
      <c r="R421" s="2" t="inlineStr"/>
    </row>
    <row r="422" ht="15" customHeight="1">
      <c r="A422" t="inlineStr">
        <is>
          <t>A 34264-2025</t>
        </is>
      </c>
      <c r="B422" s="1" t="n">
        <v>45845.75200231482</v>
      </c>
      <c r="C422" s="1" t="n">
        <v>46106</v>
      </c>
      <c r="D422" t="inlineStr">
        <is>
          <t>ÖREBRO LÄN</t>
        </is>
      </c>
      <c r="E422" t="inlineStr">
        <is>
          <t>LINDESBERG</t>
        </is>
      </c>
      <c r="G422" t="n">
        <v>3.9</v>
      </c>
      <c r="H422" t="n">
        <v>0</v>
      </c>
      <c r="I422" t="n">
        <v>0</v>
      </c>
      <c r="J422" t="n">
        <v>0</v>
      </c>
      <c r="K422" t="n">
        <v>0</v>
      </c>
      <c r="L422" t="n">
        <v>0</v>
      </c>
      <c r="M422" t="n">
        <v>0</v>
      </c>
      <c r="N422" t="n">
        <v>0</v>
      </c>
      <c r="O422" t="n">
        <v>0</v>
      </c>
      <c r="P422" t="n">
        <v>0</v>
      </c>
      <c r="Q422" t="n">
        <v>0</v>
      </c>
      <c r="R422" s="2" t="inlineStr"/>
    </row>
    <row r="423" ht="15" customHeight="1">
      <c r="A423" t="inlineStr">
        <is>
          <t>A 15050-2026</t>
        </is>
      </c>
      <c r="B423" s="1" t="n">
        <v>46104.67331018519</v>
      </c>
      <c r="C423" s="1" t="n">
        <v>46106</v>
      </c>
      <c r="D423" t="inlineStr">
        <is>
          <t>ÖREBRO LÄN</t>
        </is>
      </c>
      <c r="E423" t="inlineStr">
        <is>
          <t>LINDESBERG</t>
        </is>
      </c>
      <c r="F423" t="inlineStr">
        <is>
          <t>Sveaskog</t>
        </is>
      </c>
      <c r="G423" t="n">
        <v>2.9</v>
      </c>
      <c r="H423" t="n">
        <v>0</v>
      </c>
      <c r="I423" t="n">
        <v>0</v>
      </c>
      <c r="J423" t="n">
        <v>0</v>
      </c>
      <c r="K423" t="n">
        <v>0</v>
      </c>
      <c r="L423" t="n">
        <v>0</v>
      </c>
      <c r="M423" t="n">
        <v>0</v>
      </c>
      <c r="N423" t="n">
        <v>0</v>
      </c>
      <c r="O423" t="n">
        <v>0</v>
      </c>
      <c r="P423" t="n">
        <v>0</v>
      </c>
      <c r="Q423" t="n">
        <v>0</v>
      </c>
      <c r="R423" s="2" t="inlineStr"/>
    </row>
    <row r="424" ht="15" customHeight="1">
      <c r="A424" t="inlineStr">
        <is>
          <t>A 12278-2025</t>
        </is>
      </c>
      <c r="B424" s="1" t="n">
        <v>45729.65171296296</v>
      </c>
      <c r="C424" s="1" t="n">
        <v>46106</v>
      </c>
      <c r="D424" t="inlineStr">
        <is>
          <t>ÖREBRO LÄN</t>
        </is>
      </c>
      <c r="E424" t="inlineStr">
        <is>
          <t>LINDESBERG</t>
        </is>
      </c>
      <c r="G424" t="n">
        <v>3.2</v>
      </c>
      <c r="H424" t="n">
        <v>0</v>
      </c>
      <c r="I424" t="n">
        <v>0</v>
      </c>
      <c r="J424" t="n">
        <v>0</v>
      </c>
      <c r="K424" t="n">
        <v>0</v>
      </c>
      <c r="L424" t="n">
        <v>0</v>
      </c>
      <c r="M424" t="n">
        <v>0</v>
      </c>
      <c r="N424" t="n">
        <v>0</v>
      </c>
      <c r="O424" t="n">
        <v>0</v>
      </c>
      <c r="P424" t="n">
        <v>0</v>
      </c>
      <c r="Q424" t="n">
        <v>0</v>
      </c>
      <c r="R424" s="2" t="inlineStr"/>
    </row>
    <row r="425" ht="15" customHeight="1">
      <c r="A425" t="inlineStr">
        <is>
          <t>A 34237-2023</t>
        </is>
      </c>
      <c r="B425" s="1" t="n">
        <v>45138</v>
      </c>
      <c r="C425" s="1" t="n">
        <v>46106</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44077-2025</t>
        </is>
      </c>
      <c r="B426" s="1" t="n">
        <v>45915.54983796296</v>
      </c>
      <c r="C426" s="1" t="n">
        <v>46106</v>
      </c>
      <c r="D426" t="inlineStr">
        <is>
          <t>ÖREBRO LÄN</t>
        </is>
      </c>
      <c r="E426" t="inlineStr">
        <is>
          <t>LINDESBERG</t>
        </is>
      </c>
      <c r="G426" t="n">
        <v>4.2</v>
      </c>
      <c r="H426" t="n">
        <v>0</v>
      </c>
      <c r="I426" t="n">
        <v>0</v>
      </c>
      <c r="J426" t="n">
        <v>0</v>
      </c>
      <c r="K426" t="n">
        <v>0</v>
      </c>
      <c r="L426" t="n">
        <v>0</v>
      </c>
      <c r="M426" t="n">
        <v>0</v>
      </c>
      <c r="N426" t="n">
        <v>0</v>
      </c>
      <c r="O426" t="n">
        <v>0</v>
      </c>
      <c r="P426" t="n">
        <v>0</v>
      </c>
      <c r="Q426" t="n">
        <v>0</v>
      </c>
      <c r="R426" s="2" t="inlineStr"/>
    </row>
    <row r="427" ht="15" customHeight="1">
      <c r="A427" t="inlineStr">
        <is>
          <t>A 29942-2024</t>
        </is>
      </c>
      <c r="B427" s="1" t="n">
        <v>45488.42258101852</v>
      </c>
      <c r="C427" s="1" t="n">
        <v>46106</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44041-2025</t>
        </is>
      </c>
      <c r="B428" s="1" t="n">
        <v>45915.49238425926</v>
      </c>
      <c r="C428" s="1" t="n">
        <v>46106</v>
      </c>
      <c r="D428" t="inlineStr">
        <is>
          <t>ÖREBRO LÄN</t>
        </is>
      </c>
      <c r="E428" t="inlineStr">
        <is>
          <t>LINDESBERG</t>
        </is>
      </c>
      <c r="G428" t="n">
        <v>0.6</v>
      </c>
      <c r="H428" t="n">
        <v>0</v>
      </c>
      <c r="I428" t="n">
        <v>0</v>
      </c>
      <c r="J428" t="n">
        <v>0</v>
      </c>
      <c r="K428" t="n">
        <v>0</v>
      </c>
      <c r="L428" t="n">
        <v>0</v>
      </c>
      <c r="M428" t="n">
        <v>0</v>
      </c>
      <c r="N428" t="n">
        <v>0</v>
      </c>
      <c r="O428" t="n">
        <v>0</v>
      </c>
      <c r="P428" t="n">
        <v>0</v>
      </c>
      <c r="Q428" t="n">
        <v>0</v>
      </c>
      <c r="R428" s="2" t="inlineStr"/>
    </row>
    <row r="429" ht="15" customHeight="1">
      <c r="A429" t="inlineStr">
        <is>
          <t>A 43837-2025</t>
        </is>
      </c>
      <c r="B429" s="1" t="n">
        <v>45912.63451388889</v>
      </c>
      <c r="C429" s="1" t="n">
        <v>46106</v>
      </c>
      <c r="D429" t="inlineStr">
        <is>
          <t>ÖREBRO LÄN</t>
        </is>
      </c>
      <c r="E429" t="inlineStr">
        <is>
          <t>LINDESBERG</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3294-2024</t>
        </is>
      </c>
      <c r="B430" s="1" t="n">
        <v>45316</v>
      </c>
      <c r="C430" s="1" t="n">
        <v>46106</v>
      </c>
      <c r="D430" t="inlineStr">
        <is>
          <t>ÖREBRO LÄN</t>
        </is>
      </c>
      <c r="E430" t="inlineStr">
        <is>
          <t>LINDESBERG</t>
        </is>
      </c>
      <c r="G430" t="n">
        <v>3</v>
      </c>
      <c r="H430" t="n">
        <v>0</v>
      </c>
      <c r="I430" t="n">
        <v>0</v>
      </c>
      <c r="J430" t="n">
        <v>0</v>
      </c>
      <c r="K430" t="n">
        <v>0</v>
      </c>
      <c r="L430" t="n">
        <v>0</v>
      </c>
      <c r="M430" t="n">
        <v>0</v>
      </c>
      <c r="N430" t="n">
        <v>0</v>
      </c>
      <c r="O430" t="n">
        <v>0</v>
      </c>
      <c r="P430" t="n">
        <v>0</v>
      </c>
      <c r="Q430" t="n">
        <v>0</v>
      </c>
      <c r="R430" s="2" t="inlineStr"/>
    </row>
    <row r="431" ht="15" customHeight="1">
      <c r="A431" t="inlineStr">
        <is>
          <t>A 14185-2024</t>
        </is>
      </c>
      <c r="B431" s="1" t="n">
        <v>45393.3562962963</v>
      </c>
      <c r="C431" s="1" t="n">
        <v>46106</v>
      </c>
      <c r="D431" t="inlineStr">
        <is>
          <t>ÖREBRO LÄN</t>
        </is>
      </c>
      <c r="E431" t="inlineStr">
        <is>
          <t>LINDESBERG</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14190-2024</t>
        </is>
      </c>
      <c r="B432" s="1" t="n">
        <v>45393.36060185185</v>
      </c>
      <c r="C432" s="1" t="n">
        <v>46106</v>
      </c>
      <c r="D432" t="inlineStr">
        <is>
          <t>ÖREBRO LÄN</t>
        </is>
      </c>
      <c r="E432" t="inlineStr">
        <is>
          <t>LINDESBERG</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43836-2025</t>
        </is>
      </c>
      <c r="B433" s="1" t="n">
        <v>45912.63359953704</v>
      </c>
      <c r="C433" s="1" t="n">
        <v>46106</v>
      </c>
      <c r="D433" t="inlineStr">
        <is>
          <t>ÖREBRO LÄN</t>
        </is>
      </c>
      <c r="E433" t="inlineStr">
        <is>
          <t>LINDESBERG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44067-2025</t>
        </is>
      </c>
      <c r="B434" s="1" t="n">
        <v>45915.54439814815</v>
      </c>
      <c r="C434" s="1" t="n">
        <v>46106</v>
      </c>
      <c r="D434" t="inlineStr">
        <is>
          <t>ÖREBRO LÄN</t>
        </is>
      </c>
      <c r="E434" t="inlineStr">
        <is>
          <t>LINDESBERG</t>
        </is>
      </c>
      <c r="G434" t="n">
        <v>2.8</v>
      </c>
      <c r="H434" t="n">
        <v>0</v>
      </c>
      <c r="I434" t="n">
        <v>0</v>
      </c>
      <c r="J434" t="n">
        <v>0</v>
      </c>
      <c r="K434" t="n">
        <v>0</v>
      </c>
      <c r="L434" t="n">
        <v>0</v>
      </c>
      <c r="M434" t="n">
        <v>0</v>
      </c>
      <c r="N434" t="n">
        <v>0</v>
      </c>
      <c r="O434" t="n">
        <v>0</v>
      </c>
      <c r="P434" t="n">
        <v>0</v>
      </c>
      <c r="Q434" t="n">
        <v>0</v>
      </c>
      <c r="R434" s="2" t="inlineStr"/>
    </row>
    <row r="435" ht="15" customHeight="1">
      <c r="A435" t="inlineStr">
        <is>
          <t>A 24916-2022</t>
        </is>
      </c>
      <c r="B435" s="1" t="n">
        <v>44728</v>
      </c>
      <c r="C435" s="1" t="n">
        <v>46106</v>
      </c>
      <c r="D435" t="inlineStr">
        <is>
          <t>ÖREBRO LÄN</t>
        </is>
      </c>
      <c r="E435" t="inlineStr">
        <is>
          <t>LINDESBERG</t>
        </is>
      </c>
      <c r="G435" t="n">
        <v>8.1</v>
      </c>
      <c r="H435" t="n">
        <v>0</v>
      </c>
      <c r="I435" t="n">
        <v>0</v>
      </c>
      <c r="J435" t="n">
        <v>0</v>
      </c>
      <c r="K435" t="n">
        <v>0</v>
      </c>
      <c r="L435" t="n">
        <v>0</v>
      </c>
      <c r="M435" t="n">
        <v>0</v>
      </c>
      <c r="N435" t="n">
        <v>0</v>
      </c>
      <c r="O435" t="n">
        <v>0</v>
      </c>
      <c r="P435" t="n">
        <v>0</v>
      </c>
      <c r="Q435" t="n">
        <v>0</v>
      </c>
      <c r="R435" s="2" t="inlineStr"/>
    </row>
    <row r="436" ht="15" customHeight="1">
      <c r="A436" t="inlineStr">
        <is>
          <t>A 5677-2025</t>
        </is>
      </c>
      <c r="B436" s="1" t="n">
        <v>45694</v>
      </c>
      <c r="C436" s="1" t="n">
        <v>46106</v>
      </c>
      <c r="D436" t="inlineStr">
        <is>
          <t>ÖREBRO LÄN</t>
        </is>
      </c>
      <c r="E436" t="inlineStr">
        <is>
          <t>LINDESBERG</t>
        </is>
      </c>
      <c r="G436" t="n">
        <v>1.6</v>
      </c>
      <c r="H436" t="n">
        <v>0</v>
      </c>
      <c r="I436" t="n">
        <v>0</v>
      </c>
      <c r="J436" t="n">
        <v>0</v>
      </c>
      <c r="K436" t="n">
        <v>0</v>
      </c>
      <c r="L436" t="n">
        <v>0</v>
      </c>
      <c r="M436" t="n">
        <v>0</v>
      </c>
      <c r="N436" t="n">
        <v>0</v>
      </c>
      <c r="O436" t="n">
        <v>0</v>
      </c>
      <c r="P436" t="n">
        <v>0</v>
      </c>
      <c r="Q436" t="n">
        <v>0</v>
      </c>
      <c r="R436" s="2" t="inlineStr"/>
    </row>
    <row r="437" ht="15" customHeight="1">
      <c r="A437" t="inlineStr">
        <is>
          <t>A 44545-2025</t>
        </is>
      </c>
      <c r="B437" s="1" t="n">
        <v>45917.31780092593</v>
      </c>
      <c r="C437" s="1" t="n">
        <v>46106</v>
      </c>
      <c r="D437" t="inlineStr">
        <is>
          <t>ÖREBRO LÄN</t>
        </is>
      </c>
      <c r="E437" t="inlineStr">
        <is>
          <t>LINDESBERG</t>
        </is>
      </c>
      <c r="F437" t="inlineStr">
        <is>
          <t>Kommuner</t>
        </is>
      </c>
      <c r="G437" t="n">
        <v>2.3</v>
      </c>
      <c r="H437" t="n">
        <v>0</v>
      </c>
      <c r="I437" t="n">
        <v>0</v>
      </c>
      <c r="J437" t="n">
        <v>0</v>
      </c>
      <c r="K437" t="n">
        <v>0</v>
      </c>
      <c r="L437" t="n">
        <v>0</v>
      </c>
      <c r="M437" t="n">
        <v>0</v>
      </c>
      <c r="N437" t="n">
        <v>0</v>
      </c>
      <c r="O437" t="n">
        <v>0</v>
      </c>
      <c r="P437" t="n">
        <v>0</v>
      </c>
      <c r="Q437" t="n">
        <v>0</v>
      </c>
      <c r="R437" s="2" t="inlineStr"/>
    </row>
    <row r="438" ht="15" customHeight="1">
      <c r="A438" t="inlineStr">
        <is>
          <t>A 1681-2025</t>
        </is>
      </c>
      <c r="B438" s="1" t="n">
        <v>45670.69458333333</v>
      </c>
      <c r="C438" s="1" t="n">
        <v>46106</v>
      </c>
      <c r="D438" t="inlineStr">
        <is>
          <t>ÖREBRO LÄN</t>
        </is>
      </c>
      <c r="E438" t="inlineStr">
        <is>
          <t>LINDESBERG</t>
        </is>
      </c>
      <c r="G438" t="n">
        <v>1.9</v>
      </c>
      <c r="H438" t="n">
        <v>0</v>
      </c>
      <c r="I438" t="n">
        <v>0</v>
      </c>
      <c r="J438" t="n">
        <v>0</v>
      </c>
      <c r="K438" t="n">
        <v>0</v>
      </c>
      <c r="L438" t="n">
        <v>0</v>
      </c>
      <c r="M438" t="n">
        <v>0</v>
      </c>
      <c r="N438" t="n">
        <v>0</v>
      </c>
      <c r="O438" t="n">
        <v>0</v>
      </c>
      <c r="P438" t="n">
        <v>0</v>
      </c>
      <c r="Q438" t="n">
        <v>0</v>
      </c>
      <c r="R438" s="2" t="inlineStr"/>
    </row>
    <row r="439" ht="15" customHeight="1">
      <c r="A439" t="inlineStr">
        <is>
          <t>A 36670-2024</t>
        </is>
      </c>
      <c r="B439" s="1" t="n">
        <v>45537.64621527777</v>
      </c>
      <c r="C439" s="1" t="n">
        <v>46106</v>
      </c>
      <c r="D439" t="inlineStr">
        <is>
          <t>ÖREBRO LÄN</t>
        </is>
      </c>
      <c r="E439" t="inlineStr">
        <is>
          <t>LINDESBERG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35366-2025</t>
        </is>
      </c>
      <c r="B440" s="1" t="n">
        <v>45854</v>
      </c>
      <c r="C440" s="1" t="n">
        <v>46106</v>
      </c>
      <c r="D440" t="inlineStr">
        <is>
          <t>ÖREBRO LÄN</t>
        </is>
      </c>
      <c r="E440" t="inlineStr">
        <is>
          <t>LINDESBERG</t>
        </is>
      </c>
      <c r="G440" t="n">
        <v>5.5</v>
      </c>
      <c r="H440" t="n">
        <v>0</v>
      </c>
      <c r="I440" t="n">
        <v>0</v>
      </c>
      <c r="J440" t="n">
        <v>0</v>
      </c>
      <c r="K440" t="n">
        <v>0</v>
      </c>
      <c r="L440" t="n">
        <v>0</v>
      </c>
      <c r="M440" t="n">
        <v>0</v>
      </c>
      <c r="N440" t="n">
        <v>0</v>
      </c>
      <c r="O440" t="n">
        <v>0</v>
      </c>
      <c r="P440" t="n">
        <v>0</v>
      </c>
      <c r="Q440" t="n">
        <v>0</v>
      </c>
      <c r="R440" s="2" t="inlineStr"/>
    </row>
    <row r="441" ht="15" customHeight="1">
      <c r="A441" t="inlineStr">
        <is>
          <t>A 35292-2025</t>
        </is>
      </c>
      <c r="B441" s="1" t="n">
        <v>45854</v>
      </c>
      <c r="C441" s="1" t="n">
        <v>46106</v>
      </c>
      <c r="D441" t="inlineStr">
        <is>
          <t>ÖREBRO LÄN</t>
        </is>
      </c>
      <c r="E441" t="inlineStr">
        <is>
          <t>LINDESBERG</t>
        </is>
      </c>
      <c r="G441" t="n">
        <v>1</v>
      </c>
      <c r="H441" t="n">
        <v>0</v>
      </c>
      <c r="I441" t="n">
        <v>0</v>
      </c>
      <c r="J441" t="n">
        <v>0</v>
      </c>
      <c r="K441" t="n">
        <v>0</v>
      </c>
      <c r="L441" t="n">
        <v>0</v>
      </c>
      <c r="M441" t="n">
        <v>0</v>
      </c>
      <c r="N441" t="n">
        <v>0</v>
      </c>
      <c r="O441" t="n">
        <v>0</v>
      </c>
      <c r="P441" t="n">
        <v>0</v>
      </c>
      <c r="Q441" t="n">
        <v>0</v>
      </c>
      <c r="R441" s="2" t="inlineStr"/>
    </row>
    <row r="442" ht="15" customHeight="1">
      <c r="A442" t="inlineStr">
        <is>
          <t>A 51656-2023</t>
        </is>
      </c>
      <c r="B442" s="1" t="n">
        <v>45222</v>
      </c>
      <c r="C442" s="1" t="n">
        <v>46106</v>
      </c>
      <c r="D442" t="inlineStr">
        <is>
          <t>ÖREBRO LÄN</t>
        </is>
      </c>
      <c r="E442" t="inlineStr">
        <is>
          <t>LINDESBERG</t>
        </is>
      </c>
      <c r="G442" t="n">
        <v>1.2</v>
      </c>
      <c r="H442" t="n">
        <v>0</v>
      </c>
      <c r="I442" t="n">
        <v>0</v>
      </c>
      <c r="J442" t="n">
        <v>0</v>
      </c>
      <c r="K442" t="n">
        <v>0</v>
      </c>
      <c r="L442" t="n">
        <v>0</v>
      </c>
      <c r="M442" t="n">
        <v>0</v>
      </c>
      <c r="N442" t="n">
        <v>0</v>
      </c>
      <c r="O442" t="n">
        <v>0</v>
      </c>
      <c r="P442" t="n">
        <v>0</v>
      </c>
      <c r="Q442" t="n">
        <v>0</v>
      </c>
      <c r="R442" s="2" t="inlineStr"/>
    </row>
    <row r="443" ht="15" customHeight="1">
      <c r="A443" t="inlineStr">
        <is>
          <t>A 3732-2023</t>
        </is>
      </c>
      <c r="B443" s="1" t="n">
        <v>44949</v>
      </c>
      <c r="C443" s="1" t="n">
        <v>46106</v>
      </c>
      <c r="D443" t="inlineStr">
        <is>
          <t>ÖREBRO LÄN</t>
        </is>
      </c>
      <c r="E443" t="inlineStr">
        <is>
          <t>LINDESBERG</t>
        </is>
      </c>
      <c r="G443" t="n">
        <v>3.3</v>
      </c>
      <c r="H443" t="n">
        <v>0</v>
      </c>
      <c r="I443" t="n">
        <v>0</v>
      </c>
      <c r="J443" t="n">
        <v>0</v>
      </c>
      <c r="K443" t="n">
        <v>0</v>
      </c>
      <c r="L443" t="n">
        <v>0</v>
      </c>
      <c r="M443" t="n">
        <v>0</v>
      </c>
      <c r="N443" t="n">
        <v>0</v>
      </c>
      <c r="O443" t="n">
        <v>0</v>
      </c>
      <c r="P443" t="n">
        <v>0</v>
      </c>
      <c r="Q443" t="n">
        <v>0</v>
      </c>
      <c r="R443" s="2" t="inlineStr"/>
    </row>
    <row r="444" ht="15" customHeight="1">
      <c r="A444" t="inlineStr">
        <is>
          <t>A 57069-2022</t>
        </is>
      </c>
      <c r="B444" s="1" t="n">
        <v>44895</v>
      </c>
      <c r="C444" s="1" t="n">
        <v>46106</v>
      </c>
      <c r="D444" t="inlineStr">
        <is>
          <t>ÖREBRO LÄN</t>
        </is>
      </c>
      <c r="E444" t="inlineStr">
        <is>
          <t>LINDESBERG</t>
        </is>
      </c>
      <c r="G444" t="n">
        <v>2.3</v>
      </c>
      <c r="H444" t="n">
        <v>0</v>
      </c>
      <c r="I444" t="n">
        <v>0</v>
      </c>
      <c r="J444" t="n">
        <v>0</v>
      </c>
      <c r="K444" t="n">
        <v>0</v>
      </c>
      <c r="L444" t="n">
        <v>0</v>
      </c>
      <c r="M444" t="n">
        <v>0</v>
      </c>
      <c r="N444" t="n">
        <v>0</v>
      </c>
      <c r="O444" t="n">
        <v>0</v>
      </c>
      <c r="P444" t="n">
        <v>0</v>
      </c>
      <c r="Q444" t="n">
        <v>0</v>
      </c>
      <c r="R444" s="2" t="inlineStr"/>
    </row>
    <row r="445" ht="15" customHeight="1">
      <c r="A445" t="inlineStr">
        <is>
          <t>A 35710-2025</t>
        </is>
      </c>
      <c r="B445" s="1" t="n">
        <v>45860.3857175926</v>
      </c>
      <c r="C445" s="1" t="n">
        <v>46106</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35702-2025</t>
        </is>
      </c>
      <c r="B446" s="1" t="n">
        <v>45860.36222222223</v>
      </c>
      <c r="C446" s="1" t="n">
        <v>46106</v>
      </c>
      <c r="D446" t="inlineStr">
        <is>
          <t>ÖREBRO LÄN</t>
        </is>
      </c>
      <c r="E446" t="inlineStr">
        <is>
          <t>LINDESBERG</t>
        </is>
      </c>
      <c r="G446" t="n">
        <v>5.3</v>
      </c>
      <c r="H446" t="n">
        <v>0</v>
      </c>
      <c r="I446" t="n">
        <v>0</v>
      </c>
      <c r="J446" t="n">
        <v>0</v>
      </c>
      <c r="K446" t="n">
        <v>0</v>
      </c>
      <c r="L446" t="n">
        <v>0</v>
      </c>
      <c r="M446" t="n">
        <v>0</v>
      </c>
      <c r="N446" t="n">
        <v>0</v>
      </c>
      <c r="O446" t="n">
        <v>0</v>
      </c>
      <c r="P446" t="n">
        <v>0</v>
      </c>
      <c r="Q446" t="n">
        <v>0</v>
      </c>
      <c r="R446" s="2" t="inlineStr"/>
    </row>
    <row r="447" ht="15" customHeight="1">
      <c r="A447" t="inlineStr">
        <is>
          <t>A 4067-2024</t>
        </is>
      </c>
      <c r="B447" s="1" t="n">
        <v>45323</v>
      </c>
      <c r="C447" s="1" t="n">
        <v>46106</v>
      </c>
      <c r="D447" t="inlineStr">
        <is>
          <t>ÖREBRO LÄN</t>
        </is>
      </c>
      <c r="E447" t="inlineStr">
        <is>
          <t>LINDESBERG</t>
        </is>
      </c>
      <c r="G447" t="n">
        <v>1</v>
      </c>
      <c r="H447" t="n">
        <v>0</v>
      </c>
      <c r="I447" t="n">
        <v>0</v>
      </c>
      <c r="J447" t="n">
        <v>0</v>
      </c>
      <c r="K447" t="n">
        <v>0</v>
      </c>
      <c r="L447" t="n">
        <v>0</v>
      </c>
      <c r="M447" t="n">
        <v>0</v>
      </c>
      <c r="N447" t="n">
        <v>0</v>
      </c>
      <c r="O447" t="n">
        <v>0</v>
      </c>
      <c r="P447" t="n">
        <v>0</v>
      </c>
      <c r="Q447" t="n">
        <v>0</v>
      </c>
      <c r="R447" s="2" t="inlineStr"/>
    </row>
    <row r="448" ht="15" customHeight="1">
      <c r="A448" t="inlineStr">
        <is>
          <t>A 29500-2023</t>
        </is>
      </c>
      <c r="B448" s="1" t="n">
        <v>45106</v>
      </c>
      <c r="C448" s="1" t="n">
        <v>46106</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47304-2024</t>
        </is>
      </c>
      <c r="B449" s="1" t="n">
        <v>45587</v>
      </c>
      <c r="C449" s="1" t="n">
        <v>46106</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10823-2023</t>
        </is>
      </c>
      <c r="B450" s="1" t="n">
        <v>44990</v>
      </c>
      <c r="C450" s="1" t="n">
        <v>46106</v>
      </c>
      <c r="D450" t="inlineStr">
        <is>
          <t>ÖREBRO LÄN</t>
        </is>
      </c>
      <c r="E450" t="inlineStr">
        <is>
          <t>LINDESBERG</t>
        </is>
      </c>
      <c r="G450" t="n">
        <v>1.8</v>
      </c>
      <c r="H450" t="n">
        <v>0</v>
      </c>
      <c r="I450" t="n">
        <v>0</v>
      </c>
      <c r="J450" t="n">
        <v>0</v>
      </c>
      <c r="K450" t="n">
        <v>0</v>
      </c>
      <c r="L450" t="n">
        <v>0</v>
      </c>
      <c r="M450" t="n">
        <v>0</v>
      </c>
      <c r="N450" t="n">
        <v>0</v>
      </c>
      <c r="O450" t="n">
        <v>0</v>
      </c>
      <c r="P450" t="n">
        <v>0</v>
      </c>
      <c r="Q450" t="n">
        <v>0</v>
      </c>
      <c r="R450" s="2" t="inlineStr"/>
    </row>
    <row r="451" ht="15" customHeight="1">
      <c r="A451" t="inlineStr">
        <is>
          <t>A 8902-2024</t>
        </is>
      </c>
      <c r="B451" s="1" t="n">
        <v>45357.34521990741</v>
      </c>
      <c r="C451" s="1" t="n">
        <v>46106</v>
      </c>
      <c r="D451" t="inlineStr">
        <is>
          <t>ÖREBRO LÄN</t>
        </is>
      </c>
      <c r="E451" t="inlineStr">
        <is>
          <t>LINDESBERG</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36253-2024</t>
        </is>
      </c>
      <c r="B452" s="1" t="n">
        <v>45534.54032407407</v>
      </c>
      <c r="C452" s="1" t="n">
        <v>46106</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40305-2024</t>
        </is>
      </c>
      <c r="B453" s="1" t="n">
        <v>45554.71863425926</v>
      </c>
      <c r="C453" s="1" t="n">
        <v>46106</v>
      </c>
      <c r="D453" t="inlineStr">
        <is>
          <t>ÖREBRO LÄN</t>
        </is>
      </c>
      <c r="E453" t="inlineStr">
        <is>
          <t>LINDESBERG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19436-2025</t>
        </is>
      </c>
      <c r="B454" s="1" t="n">
        <v>45769.98449074074</v>
      </c>
      <c r="C454" s="1" t="n">
        <v>46106</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46404-2025</t>
        </is>
      </c>
      <c r="B455" s="1" t="n">
        <v>45925.56173611111</v>
      </c>
      <c r="C455" s="1" t="n">
        <v>46106</v>
      </c>
      <c r="D455" t="inlineStr">
        <is>
          <t>ÖREBRO LÄN</t>
        </is>
      </c>
      <c r="E455" t="inlineStr">
        <is>
          <t>LINDESBERG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30514-2025</t>
        </is>
      </c>
      <c r="B456" s="1" t="n">
        <v>45831</v>
      </c>
      <c r="C456" s="1" t="n">
        <v>46106</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22829-2023</t>
        </is>
      </c>
      <c r="B457" s="1" t="n">
        <v>45072.42776620371</v>
      </c>
      <c r="C457" s="1" t="n">
        <v>46106</v>
      </c>
      <c r="D457" t="inlineStr">
        <is>
          <t>ÖREBRO LÄN</t>
        </is>
      </c>
      <c r="E457" t="inlineStr">
        <is>
          <t>LINDESBERG</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45173-2024</t>
        </is>
      </c>
      <c r="B458" s="1" t="n">
        <v>45575.65721064815</v>
      </c>
      <c r="C458" s="1" t="n">
        <v>46106</v>
      </c>
      <c r="D458" t="inlineStr">
        <is>
          <t>ÖREBRO LÄN</t>
        </is>
      </c>
      <c r="E458" t="inlineStr">
        <is>
          <t>LINDESBERG</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28463-2024</t>
        </is>
      </c>
      <c r="B459" s="1" t="n">
        <v>45477.70315972222</v>
      </c>
      <c r="C459" s="1" t="n">
        <v>46106</v>
      </c>
      <c r="D459" t="inlineStr">
        <is>
          <t>ÖREBRO LÄN</t>
        </is>
      </c>
      <c r="E459" t="inlineStr">
        <is>
          <t>LINDESBERG</t>
        </is>
      </c>
      <c r="G459" t="n">
        <v>6.3</v>
      </c>
      <c r="H459" t="n">
        <v>0</v>
      </c>
      <c r="I459" t="n">
        <v>0</v>
      </c>
      <c r="J459" t="n">
        <v>0</v>
      </c>
      <c r="K459" t="n">
        <v>0</v>
      </c>
      <c r="L459" t="n">
        <v>0</v>
      </c>
      <c r="M459" t="n">
        <v>0</v>
      </c>
      <c r="N459" t="n">
        <v>0</v>
      </c>
      <c r="O459" t="n">
        <v>0</v>
      </c>
      <c r="P459" t="n">
        <v>0</v>
      </c>
      <c r="Q459" t="n">
        <v>0</v>
      </c>
      <c r="R459" s="2" t="inlineStr"/>
    </row>
    <row r="460" ht="15" customHeight="1">
      <c r="A460" t="inlineStr">
        <is>
          <t>A 30512-2025</t>
        </is>
      </c>
      <c r="B460" s="1" t="n">
        <v>45831</v>
      </c>
      <c r="C460" s="1" t="n">
        <v>46106</v>
      </c>
      <c r="D460" t="inlineStr">
        <is>
          <t>ÖREBRO LÄN</t>
        </is>
      </c>
      <c r="E460" t="inlineStr">
        <is>
          <t>LINDESBERG</t>
        </is>
      </c>
      <c r="G460" t="n">
        <v>4.5</v>
      </c>
      <c r="H460" t="n">
        <v>0</v>
      </c>
      <c r="I460" t="n">
        <v>0</v>
      </c>
      <c r="J460" t="n">
        <v>0</v>
      </c>
      <c r="K460" t="n">
        <v>0</v>
      </c>
      <c r="L460" t="n">
        <v>0</v>
      </c>
      <c r="M460" t="n">
        <v>0</v>
      </c>
      <c r="N460" t="n">
        <v>0</v>
      </c>
      <c r="O460" t="n">
        <v>0</v>
      </c>
      <c r="P460" t="n">
        <v>0</v>
      </c>
      <c r="Q460" t="n">
        <v>0</v>
      </c>
      <c r="R460" s="2" t="inlineStr"/>
    </row>
    <row r="461" ht="15" customHeight="1">
      <c r="A461" t="inlineStr">
        <is>
          <t>A 36572-2025</t>
        </is>
      </c>
      <c r="B461" s="1" t="n">
        <v>45870</v>
      </c>
      <c r="C461" s="1" t="n">
        <v>46106</v>
      </c>
      <c r="D461" t="inlineStr">
        <is>
          <t>ÖREBRO LÄN</t>
        </is>
      </c>
      <c r="E461" t="inlineStr">
        <is>
          <t>LINDESBERG</t>
        </is>
      </c>
      <c r="G461" t="n">
        <v>11.9</v>
      </c>
      <c r="H461" t="n">
        <v>0</v>
      </c>
      <c r="I461" t="n">
        <v>0</v>
      </c>
      <c r="J461" t="n">
        <v>0</v>
      </c>
      <c r="K461" t="n">
        <v>0</v>
      </c>
      <c r="L461" t="n">
        <v>0</v>
      </c>
      <c r="M461" t="n">
        <v>0</v>
      </c>
      <c r="N461" t="n">
        <v>0</v>
      </c>
      <c r="O461" t="n">
        <v>0</v>
      </c>
      <c r="P461" t="n">
        <v>0</v>
      </c>
      <c r="Q461" t="n">
        <v>0</v>
      </c>
      <c r="R461" s="2" t="inlineStr"/>
    </row>
    <row r="462" ht="15" customHeight="1">
      <c r="A462" t="inlineStr">
        <is>
          <t>A 36574-2025</t>
        </is>
      </c>
      <c r="B462" s="1" t="n">
        <v>45870</v>
      </c>
      <c r="C462" s="1" t="n">
        <v>46106</v>
      </c>
      <c r="D462" t="inlineStr">
        <is>
          <t>ÖREBRO LÄN</t>
        </is>
      </c>
      <c r="E462" t="inlineStr">
        <is>
          <t>LINDESBERG</t>
        </is>
      </c>
      <c r="G462" t="n">
        <v>4</v>
      </c>
      <c r="H462" t="n">
        <v>0</v>
      </c>
      <c r="I462" t="n">
        <v>0</v>
      </c>
      <c r="J462" t="n">
        <v>0</v>
      </c>
      <c r="K462" t="n">
        <v>0</v>
      </c>
      <c r="L462" t="n">
        <v>0</v>
      </c>
      <c r="M462" t="n">
        <v>0</v>
      </c>
      <c r="N462" t="n">
        <v>0</v>
      </c>
      <c r="O462" t="n">
        <v>0</v>
      </c>
      <c r="P462" t="n">
        <v>0</v>
      </c>
      <c r="Q462" t="n">
        <v>0</v>
      </c>
      <c r="R462" s="2" t="inlineStr"/>
    </row>
    <row r="463" ht="15" customHeight="1">
      <c r="A463" t="inlineStr">
        <is>
          <t>A 46484-2025</t>
        </is>
      </c>
      <c r="B463" s="1" t="n">
        <v>45925.70290509259</v>
      </c>
      <c r="C463" s="1" t="n">
        <v>46106</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36577-2025</t>
        </is>
      </c>
      <c r="B464" s="1" t="n">
        <v>45870</v>
      </c>
      <c r="C464" s="1" t="n">
        <v>46106</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15822-2024</t>
        </is>
      </c>
      <c r="B465" s="1" t="n">
        <v>45404.68190972223</v>
      </c>
      <c r="C465" s="1" t="n">
        <v>46106</v>
      </c>
      <c r="D465" t="inlineStr">
        <is>
          <t>ÖREBRO LÄN</t>
        </is>
      </c>
      <c r="E465" t="inlineStr">
        <is>
          <t>LINDESBERG</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59052-2023</t>
        </is>
      </c>
      <c r="B466" s="1" t="n">
        <v>45252.78021990741</v>
      </c>
      <c r="C466" s="1" t="n">
        <v>46106</v>
      </c>
      <c r="D466" t="inlineStr">
        <is>
          <t>ÖREBRO LÄN</t>
        </is>
      </c>
      <c r="E466" t="inlineStr">
        <is>
          <t>LINDESBERG</t>
        </is>
      </c>
      <c r="G466" t="n">
        <v>4.2</v>
      </c>
      <c r="H466" t="n">
        <v>0</v>
      </c>
      <c r="I466" t="n">
        <v>0</v>
      </c>
      <c r="J466" t="n">
        <v>0</v>
      </c>
      <c r="K466" t="n">
        <v>0</v>
      </c>
      <c r="L466" t="n">
        <v>0</v>
      </c>
      <c r="M466" t="n">
        <v>0</v>
      </c>
      <c r="N466" t="n">
        <v>0</v>
      </c>
      <c r="O466" t="n">
        <v>0</v>
      </c>
      <c r="P466" t="n">
        <v>0</v>
      </c>
      <c r="Q466" t="n">
        <v>0</v>
      </c>
      <c r="R466" s="2" t="inlineStr"/>
    </row>
    <row r="467" ht="15" customHeight="1">
      <c r="A467" t="inlineStr">
        <is>
          <t>A 2107-2022</t>
        </is>
      </c>
      <c r="B467" s="1" t="n">
        <v>44577.83484953704</v>
      </c>
      <c r="C467" s="1" t="n">
        <v>46106</v>
      </c>
      <c r="D467" t="inlineStr">
        <is>
          <t>ÖREBRO LÄN</t>
        </is>
      </c>
      <c r="E467" t="inlineStr">
        <is>
          <t>LINDESBERG</t>
        </is>
      </c>
      <c r="G467" t="n">
        <v>2.9</v>
      </c>
      <c r="H467" t="n">
        <v>0</v>
      </c>
      <c r="I467" t="n">
        <v>0</v>
      </c>
      <c r="J467" t="n">
        <v>0</v>
      </c>
      <c r="K467" t="n">
        <v>0</v>
      </c>
      <c r="L467" t="n">
        <v>0</v>
      </c>
      <c r="M467" t="n">
        <v>0</v>
      </c>
      <c r="N467" t="n">
        <v>0</v>
      </c>
      <c r="O467" t="n">
        <v>0</v>
      </c>
      <c r="P467" t="n">
        <v>0</v>
      </c>
      <c r="Q467" t="n">
        <v>0</v>
      </c>
      <c r="R467" s="2" t="inlineStr"/>
    </row>
    <row r="468" ht="15" customHeight="1">
      <c r="A468" t="inlineStr">
        <is>
          <t>A 23603-2023</t>
        </is>
      </c>
      <c r="B468" s="1" t="n">
        <v>45077</v>
      </c>
      <c r="C468" s="1" t="n">
        <v>46106</v>
      </c>
      <c r="D468" t="inlineStr">
        <is>
          <t>ÖREBRO LÄN</t>
        </is>
      </c>
      <c r="E468" t="inlineStr">
        <is>
          <t>LINDESBERG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23607-2023</t>
        </is>
      </c>
      <c r="B469" s="1" t="n">
        <v>45077</v>
      </c>
      <c r="C469" s="1" t="n">
        <v>46106</v>
      </c>
      <c r="D469" t="inlineStr">
        <is>
          <t>ÖREBRO LÄN</t>
        </is>
      </c>
      <c r="E469" t="inlineStr">
        <is>
          <t>LINDESBERG</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23612-2023</t>
        </is>
      </c>
      <c r="B470" s="1" t="n">
        <v>45077</v>
      </c>
      <c r="C470" s="1" t="n">
        <v>46106</v>
      </c>
      <c r="D470" t="inlineStr">
        <is>
          <t>ÖREBRO LÄN</t>
        </is>
      </c>
      <c r="E470" t="inlineStr">
        <is>
          <t>LINDESBERG</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36579-2025</t>
        </is>
      </c>
      <c r="B471" s="1" t="n">
        <v>45870</v>
      </c>
      <c r="C471" s="1" t="n">
        <v>46106</v>
      </c>
      <c r="D471" t="inlineStr">
        <is>
          <t>ÖREBRO LÄN</t>
        </is>
      </c>
      <c r="E471" t="inlineStr">
        <is>
          <t>LINDESBERG</t>
        </is>
      </c>
      <c r="G471" t="n">
        <v>6</v>
      </c>
      <c r="H471" t="n">
        <v>0</v>
      </c>
      <c r="I471" t="n">
        <v>0</v>
      </c>
      <c r="J471" t="n">
        <v>0</v>
      </c>
      <c r="K471" t="n">
        <v>0</v>
      </c>
      <c r="L471" t="n">
        <v>0</v>
      </c>
      <c r="M471" t="n">
        <v>0</v>
      </c>
      <c r="N471" t="n">
        <v>0</v>
      </c>
      <c r="O471" t="n">
        <v>0</v>
      </c>
      <c r="P471" t="n">
        <v>0</v>
      </c>
      <c r="Q471" t="n">
        <v>0</v>
      </c>
      <c r="R471" s="2" t="inlineStr"/>
    </row>
    <row r="472" ht="15" customHeight="1">
      <c r="A472" t="inlineStr">
        <is>
          <t>A 23641-2024</t>
        </is>
      </c>
      <c r="B472" s="1" t="n">
        <v>45454.49679398148</v>
      </c>
      <c r="C472" s="1" t="n">
        <v>46106</v>
      </c>
      <c r="D472" t="inlineStr">
        <is>
          <t>ÖREBRO LÄN</t>
        </is>
      </c>
      <c r="E472" t="inlineStr">
        <is>
          <t>LINDESBERG</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46219-2022</t>
        </is>
      </c>
      <c r="B473" s="1" t="n">
        <v>44846</v>
      </c>
      <c r="C473" s="1" t="n">
        <v>46106</v>
      </c>
      <c r="D473" t="inlineStr">
        <is>
          <t>ÖREBRO LÄN</t>
        </is>
      </c>
      <c r="E473" t="inlineStr">
        <is>
          <t>LINDESBERG</t>
        </is>
      </c>
      <c r="G473" t="n">
        <v>6</v>
      </c>
      <c r="H473" t="n">
        <v>0</v>
      </c>
      <c r="I473" t="n">
        <v>0</v>
      </c>
      <c r="J473" t="n">
        <v>0</v>
      </c>
      <c r="K473" t="n">
        <v>0</v>
      </c>
      <c r="L473" t="n">
        <v>0</v>
      </c>
      <c r="M473" t="n">
        <v>0</v>
      </c>
      <c r="N473" t="n">
        <v>0</v>
      </c>
      <c r="O473" t="n">
        <v>0</v>
      </c>
      <c r="P473" t="n">
        <v>0</v>
      </c>
      <c r="Q473" t="n">
        <v>0</v>
      </c>
      <c r="R473" s="2" t="inlineStr"/>
    </row>
    <row r="474" ht="15" customHeight="1">
      <c r="A474" t="inlineStr">
        <is>
          <t>A 46757-2025</t>
        </is>
      </c>
      <c r="B474" s="1" t="n">
        <v>45926.62039351852</v>
      </c>
      <c r="C474" s="1" t="n">
        <v>46106</v>
      </c>
      <c r="D474" t="inlineStr">
        <is>
          <t>ÖREBRO LÄN</t>
        </is>
      </c>
      <c r="E474" t="inlineStr">
        <is>
          <t>LINDESBERG</t>
        </is>
      </c>
      <c r="G474" t="n">
        <v>7.9</v>
      </c>
      <c r="H474" t="n">
        <v>0</v>
      </c>
      <c r="I474" t="n">
        <v>0</v>
      </c>
      <c r="J474" t="n">
        <v>0</v>
      </c>
      <c r="K474" t="n">
        <v>0</v>
      </c>
      <c r="L474" t="n">
        <v>0</v>
      </c>
      <c r="M474" t="n">
        <v>0</v>
      </c>
      <c r="N474" t="n">
        <v>0</v>
      </c>
      <c r="O474" t="n">
        <v>0</v>
      </c>
      <c r="P474" t="n">
        <v>0</v>
      </c>
      <c r="Q474" t="n">
        <v>0</v>
      </c>
      <c r="R474" s="2" t="inlineStr"/>
    </row>
    <row r="475" ht="15" customHeight="1">
      <c r="A475" t="inlineStr">
        <is>
          <t>A 36859-2025</t>
        </is>
      </c>
      <c r="B475" s="1" t="n">
        <v>45874.40503472222</v>
      </c>
      <c r="C475" s="1" t="n">
        <v>46106</v>
      </c>
      <c r="D475" t="inlineStr">
        <is>
          <t>ÖREBRO LÄN</t>
        </is>
      </c>
      <c r="E475" t="inlineStr">
        <is>
          <t>LINDESBERG</t>
        </is>
      </c>
      <c r="F475" t="inlineStr">
        <is>
          <t>Övriga Aktiebolag</t>
        </is>
      </c>
      <c r="G475" t="n">
        <v>1.4</v>
      </c>
      <c r="H475" t="n">
        <v>0</v>
      </c>
      <c r="I475" t="n">
        <v>0</v>
      </c>
      <c r="J475" t="n">
        <v>0</v>
      </c>
      <c r="K475" t="n">
        <v>0</v>
      </c>
      <c r="L475" t="n">
        <v>0</v>
      </c>
      <c r="M475" t="n">
        <v>0</v>
      </c>
      <c r="N475" t="n">
        <v>0</v>
      </c>
      <c r="O475" t="n">
        <v>0</v>
      </c>
      <c r="P475" t="n">
        <v>0</v>
      </c>
      <c r="Q475" t="n">
        <v>0</v>
      </c>
      <c r="R475" s="2" t="inlineStr"/>
    </row>
    <row r="476" ht="15" customHeight="1">
      <c r="A476" t="inlineStr">
        <is>
          <t>A 10057-2025</t>
        </is>
      </c>
      <c r="B476" s="1" t="n">
        <v>45719.52871527777</v>
      </c>
      <c r="C476" s="1" t="n">
        <v>46106</v>
      </c>
      <c r="D476" t="inlineStr">
        <is>
          <t>ÖREBRO LÄN</t>
        </is>
      </c>
      <c r="E476" t="inlineStr">
        <is>
          <t>LINDESBERG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47678-2025</t>
        </is>
      </c>
      <c r="B477" s="1" t="n">
        <v>45931.57967592592</v>
      </c>
      <c r="C477" s="1" t="n">
        <v>46106</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54862-2024</t>
        </is>
      </c>
      <c r="B478" s="1" t="n">
        <v>45618</v>
      </c>
      <c r="C478" s="1" t="n">
        <v>46106</v>
      </c>
      <c r="D478" t="inlineStr">
        <is>
          <t>ÖREBRO LÄN</t>
        </is>
      </c>
      <c r="E478" t="inlineStr">
        <is>
          <t>LINDESBERG</t>
        </is>
      </c>
      <c r="F478" t="inlineStr">
        <is>
          <t>Sveaskog</t>
        </is>
      </c>
      <c r="G478" t="n">
        <v>12.2</v>
      </c>
      <c r="H478" t="n">
        <v>0</v>
      </c>
      <c r="I478" t="n">
        <v>0</v>
      </c>
      <c r="J478" t="n">
        <v>0</v>
      </c>
      <c r="K478" t="n">
        <v>0</v>
      </c>
      <c r="L478" t="n">
        <v>0</v>
      </c>
      <c r="M478" t="n">
        <v>0</v>
      </c>
      <c r="N478" t="n">
        <v>0</v>
      </c>
      <c r="O478" t="n">
        <v>0</v>
      </c>
      <c r="P478" t="n">
        <v>0</v>
      </c>
      <c r="Q478" t="n">
        <v>0</v>
      </c>
      <c r="R478" s="2" t="inlineStr"/>
    </row>
    <row r="479" ht="15" customHeight="1">
      <c r="A479" t="inlineStr">
        <is>
          <t>A 37497-2025</t>
        </is>
      </c>
      <c r="B479" s="1" t="n">
        <v>45877.64431712963</v>
      </c>
      <c r="C479" s="1" t="n">
        <v>46106</v>
      </c>
      <c r="D479" t="inlineStr">
        <is>
          <t>ÖREBRO LÄN</t>
        </is>
      </c>
      <c r="E479" t="inlineStr">
        <is>
          <t>LINDESBERG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37490-2025</t>
        </is>
      </c>
      <c r="B480" s="1" t="n">
        <v>45877.63989583333</v>
      </c>
      <c r="C480" s="1" t="n">
        <v>46106</v>
      </c>
      <c r="D480" t="inlineStr">
        <is>
          <t>ÖREBRO LÄN</t>
        </is>
      </c>
      <c r="E480" t="inlineStr">
        <is>
          <t>LINDESBERG</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37491-2025</t>
        </is>
      </c>
      <c r="B481" s="1" t="n">
        <v>45877.64144675926</v>
      </c>
      <c r="C481" s="1" t="n">
        <v>46106</v>
      </c>
      <c r="D481" t="inlineStr">
        <is>
          <t>ÖREBRO LÄN</t>
        </is>
      </c>
      <c r="E481" t="inlineStr">
        <is>
          <t>LINDESBERG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37499-2025</t>
        </is>
      </c>
      <c r="B482" s="1" t="n">
        <v>45877.64605324074</v>
      </c>
      <c r="C482" s="1" t="n">
        <v>46106</v>
      </c>
      <c r="D482" t="inlineStr">
        <is>
          <t>ÖREBRO LÄN</t>
        </is>
      </c>
      <c r="E482" t="inlineStr">
        <is>
          <t>LINDESBERG</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47676-2025</t>
        </is>
      </c>
      <c r="B483" s="1" t="n">
        <v>45931.57756944445</v>
      </c>
      <c r="C483" s="1" t="n">
        <v>46106</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37503-2025</t>
        </is>
      </c>
      <c r="B484" s="1" t="n">
        <v>45877.65075231482</v>
      </c>
      <c r="C484" s="1" t="n">
        <v>46106</v>
      </c>
      <c r="D484" t="inlineStr">
        <is>
          <t>ÖREBRO LÄN</t>
        </is>
      </c>
      <c r="E484" t="inlineStr">
        <is>
          <t>LINDESBERG</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37501-2025</t>
        </is>
      </c>
      <c r="B485" s="1" t="n">
        <v>45877.64847222222</v>
      </c>
      <c r="C485" s="1" t="n">
        <v>46106</v>
      </c>
      <c r="D485" t="inlineStr">
        <is>
          <t>ÖREBRO LÄN</t>
        </is>
      </c>
      <c r="E485" t="inlineStr">
        <is>
          <t>LINDESBERG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5358-2022</t>
        </is>
      </c>
      <c r="B486" s="1" t="n">
        <v>44594.84091435185</v>
      </c>
      <c r="C486" s="1" t="n">
        <v>46106</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37500-2025</t>
        </is>
      </c>
      <c r="B487" s="1" t="n">
        <v>45877.64776620371</v>
      </c>
      <c r="C487" s="1" t="n">
        <v>46106</v>
      </c>
      <c r="D487" t="inlineStr">
        <is>
          <t>ÖREBRO LÄN</t>
        </is>
      </c>
      <c r="E487" t="inlineStr">
        <is>
          <t>LINDESBERG</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60943-2024</t>
        </is>
      </c>
      <c r="B488" s="1" t="n">
        <v>45645.3737962963</v>
      </c>
      <c r="C488" s="1" t="n">
        <v>46106</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37301-2025</t>
        </is>
      </c>
      <c r="B489" s="1" t="n">
        <v>45876.59166666667</v>
      </c>
      <c r="C489" s="1" t="n">
        <v>46106</v>
      </c>
      <c r="D489" t="inlineStr">
        <is>
          <t>ÖREBRO LÄN</t>
        </is>
      </c>
      <c r="E489" t="inlineStr">
        <is>
          <t>LINDESBERG</t>
        </is>
      </c>
      <c r="G489" t="n">
        <v>1.4</v>
      </c>
      <c r="H489" t="n">
        <v>0</v>
      </c>
      <c r="I489" t="n">
        <v>0</v>
      </c>
      <c r="J489" t="n">
        <v>0</v>
      </c>
      <c r="K489" t="n">
        <v>0</v>
      </c>
      <c r="L489" t="n">
        <v>0</v>
      </c>
      <c r="M489" t="n">
        <v>0</v>
      </c>
      <c r="N489" t="n">
        <v>0</v>
      </c>
      <c r="O489" t="n">
        <v>0</v>
      </c>
      <c r="P489" t="n">
        <v>0</v>
      </c>
      <c r="Q489" t="n">
        <v>0</v>
      </c>
      <c r="R489" s="2" t="inlineStr"/>
    </row>
    <row r="490" ht="15" customHeight="1">
      <c r="A490" t="inlineStr">
        <is>
          <t>A 37492-2025</t>
        </is>
      </c>
      <c r="B490" s="1" t="n">
        <v>45877.64230324074</v>
      </c>
      <c r="C490" s="1" t="n">
        <v>46106</v>
      </c>
      <c r="D490" t="inlineStr">
        <is>
          <t>ÖREBRO LÄN</t>
        </is>
      </c>
      <c r="E490" t="inlineStr">
        <is>
          <t>LINDESBERG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41948-2023</t>
        </is>
      </c>
      <c r="B491" s="1" t="n">
        <v>45177.33091435185</v>
      </c>
      <c r="C491" s="1" t="n">
        <v>46106</v>
      </c>
      <c r="D491" t="inlineStr">
        <is>
          <t>ÖREBRO LÄN</t>
        </is>
      </c>
      <c r="E491" t="inlineStr">
        <is>
          <t>LINDESBERG</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44804-2024</t>
        </is>
      </c>
      <c r="B492" s="1" t="n">
        <v>45574.65189814815</v>
      </c>
      <c r="C492" s="1" t="n">
        <v>46106</v>
      </c>
      <c r="D492" t="inlineStr">
        <is>
          <t>ÖREBRO LÄN</t>
        </is>
      </c>
      <c r="E492" t="inlineStr">
        <is>
          <t>LINDESBERG</t>
        </is>
      </c>
      <c r="F492" t="inlineStr">
        <is>
          <t>Sveaskog</t>
        </is>
      </c>
      <c r="G492" t="n">
        <v>5.7</v>
      </c>
      <c r="H492" t="n">
        <v>0</v>
      </c>
      <c r="I492" t="n">
        <v>0</v>
      </c>
      <c r="J492" t="n">
        <v>0</v>
      </c>
      <c r="K492" t="n">
        <v>0</v>
      </c>
      <c r="L492" t="n">
        <v>0</v>
      </c>
      <c r="M492" t="n">
        <v>0</v>
      </c>
      <c r="N492" t="n">
        <v>0</v>
      </c>
      <c r="O492" t="n">
        <v>0</v>
      </c>
      <c r="P492" t="n">
        <v>0</v>
      </c>
      <c r="Q492" t="n">
        <v>0</v>
      </c>
      <c r="R492" s="2" t="inlineStr"/>
    </row>
    <row r="493" ht="15" customHeight="1">
      <c r="A493" t="inlineStr">
        <is>
          <t>A 37837-2025</t>
        </is>
      </c>
      <c r="B493" s="1" t="n">
        <v>45881.42791666667</v>
      </c>
      <c r="C493" s="1" t="n">
        <v>46106</v>
      </c>
      <c r="D493" t="inlineStr">
        <is>
          <t>ÖREBRO LÄN</t>
        </is>
      </c>
      <c r="E493" t="inlineStr">
        <is>
          <t>LINDESBERG</t>
        </is>
      </c>
      <c r="G493" t="n">
        <v>1.3</v>
      </c>
      <c r="H493" t="n">
        <v>0</v>
      </c>
      <c r="I493" t="n">
        <v>0</v>
      </c>
      <c r="J493" t="n">
        <v>0</v>
      </c>
      <c r="K493" t="n">
        <v>0</v>
      </c>
      <c r="L493" t="n">
        <v>0</v>
      </c>
      <c r="M493" t="n">
        <v>0</v>
      </c>
      <c r="N493" t="n">
        <v>0</v>
      </c>
      <c r="O493" t="n">
        <v>0</v>
      </c>
      <c r="P493" t="n">
        <v>0</v>
      </c>
      <c r="Q493" t="n">
        <v>0</v>
      </c>
      <c r="R493" s="2" t="inlineStr"/>
    </row>
    <row r="494" ht="15" customHeight="1">
      <c r="A494" t="inlineStr">
        <is>
          <t>A 37602-2025</t>
        </is>
      </c>
      <c r="B494" s="1" t="n">
        <v>45880</v>
      </c>
      <c r="C494" s="1" t="n">
        <v>46106</v>
      </c>
      <c r="D494" t="inlineStr">
        <is>
          <t>ÖREBRO LÄN</t>
        </is>
      </c>
      <c r="E494" t="inlineStr">
        <is>
          <t>LINDESBERG</t>
        </is>
      </c>
      <c r="G494" t="n">
        <v>1</v>
      </c>
      <c r="H494" t="n">
        <v>0</v>
      </c>
      <c r="I494" t="n">
        <v>0</v>
      </c>
      <c r="J494" t="n">
        <v>0</v>
      </c>
      <c r="K494" t="n">
        <v>0</v>
      </c>
      <c r="L494" t="n">
        <v>0</v>
      </c>
      <c r="M494" t="n">
        <v>0</v>
      </c>
      <c r="N494" t="n">
        <v>0</v>
      </c>
      <c r="O494" t="n">
        <v>0</v>
      </c>
      <c r="P494" t="n">
        <v>0</v>
      </c>
      <c r="Q494" t="n">
        <v>0</v>
      </c>
      <c r="R494" s="2" t="inlineStr"/>
    </row>
    <row r="495" ht="15" customHeight="1">
      <c r="A495" t="inlineStr">
        <is>
          <t>A 37625-2025</t>
        </is>
      </c>
      <c r="B495" s="1" t="n">
        <v>45880.46056712963</v>
      </c>
      <c r="C495" s="1" t="n">
        <v>46106</v>
      </c>
      <c r="D495" t="inlineStr">
        <is>
          <t>ÖREBRO LÄN</t>
        </is>
      </c>
      <c r="E495" t="inlineStr">
        <is>
          <t>LINDESBERG</t>
        </is>
      </c>
      <c r="G495" t="n">
        <v>12.5</v>
      </c>
      <c r="H495" t="n">
        <v>0</v>
      </c>
      <c r="I495" t="n">
        <v>0</v>
      </c>
      <c r="J495" t="n">
        <v>0</v>
      </c>
      <c r="K495" t="n">
        <v>0</v>
      </c>
      <c r="L495" t="n">
        <v>0</v>
      </c>
      <c r="M495" t="n">
        <v>0</v>
      </c>
      <c r="N495" t="n">
        <v>0</v>
      </c>
      <c r="O495" t="n">
        <v>0</v>
      </c>
      <c r="P495" t="n">
        <v>0</v>
      </c>
      <c r="Q495" t="n">
        <v>0</v>
      </c>
      <c r="R495" s="2" t="inlineStr"/>
    </row>
    <row r="496" ht="15" customHeight="1">
      <c r="A496" t="inlineStr">
        <is>
          <t>A 37552-2025</t>
        </is>
      </c>
      <c r="B496" s="1" t="n">
        <v>45880.28673611111</v>
      </c>
      <c r="C496" s="1" t="n">
        <v>46106</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26778-2023</t>
        </is>
      </c>
      <c r="B497" s="1" t="n">
        <v>45093.48221064815</v>
      </c>
      <c r="C497" s="1" t="n">
        <v>46106</v>
      </c>
      <c r="D497" t="inlineStr">
        <is>
          <t>ÖREBRO LÄN</t>
        </is>
      </c>
      <c r="E497" t="inlineStr">
        <is>
          <t>LINDESBERG</t>
        </is>
      </c>
      <c r="G497" t="n">
        <v>7.5</v>
      </c>
      <c r="H497" t="n">
        <v>0</v>
      </c>
      <c r="I497" t="n">
        <v>0</v>
      </c>
      <c r="J497" t="n">
        <v>0</v>
      </c>
      <c r="K497" t="n">
        <v>0</v>
      </c>
      <c r="L497" t="n">
        <v>0</v>
      </c>
      <c r="M497" t="n">
        <v>0</v>
      </c>
      <c r="N497" t="n">
        <v>0</v>
      </c>
      <c r="O497" t="n">
        <v>0</v>
      </c>
      <c r="P497" t="n">
        <v>0</v>
      </c>
      <c r="Q497" t="n">
        <v>0</v>
      </c>
      <c r="R497" s="2" t="inlineStr"/>
    </row>
    <row r="498" ht="15" customHeight="1">
      <c r="A498" t="inlineStr">
        <is>
          <t>A 37935-2025</t>
        </is>
      </c>
      <c r="B498" s="1" t="n">
        <v>45881.59550925926</v>
      </c>
      <c r="C498" s="1" t="n">
        <v>46106</v>
      </c>
      <c r="D498" t="inlineStr">
        <is>
          <t>ÖREBRO LÄN</t>
        </is>
      </c>
      <c r="E498" t="inlineStr">
        <is>
          <t>LINDESBERG</t>
        </is>
      </c>
      <c r="G498" t="n">
        <v>5.1</v>
      </c>
      <c r="H498" t="n">
        <v>0</v>
      </c>
      <c r="I498" t="n">
        <v>0</v>
      </c>
      <c r="J498" t="n">
        <v>0</v>
      </c>
      <c r="K498" t="n">
        <v>0</v>
      </c>
      <c r="L498" t="n">
        <v>0</v>
      </c>
      <c r="M498" t="n">
        <v>0</v>
      </c>
      <c r="N498" t="n">
        <v>0</v>
      </c>
      <c r="O498" t="n">
        <v>0</v>
      </c>
      <c r="P498" t="n">
        <v>0</v>
      </c>
      <c r="Q498" t="n">
        <v>0</v>
      </c>
      <c r="R498" s="2" t="inlineStr"/>
    </row>
    <row r="499" ht="15" customHeight="1">
      <c r="A499" t="inlineStr">
        <is>
          <t>A 37553-2025</t>
        </is>
      </c>
      <c r="B499" s="1" t="n">
        <v>45880.3172337963</v>
      </c>
      <c r="C499" s="1" t="n">
        <v>46106</v>
      </c>
      <c r="D499" t="inlineStr">
        <is>
          <t>ÖREBRO LÄN</t>
        </is>
      </c>
      <c r="E499" t="inlineStr">
        <is>
          <t>LINDESBERG</t>
        </is>
      </c>
      <c r="G499" t="n">
        <v>0.6</v>
      </c>
      <c r="H499" t="n">
        <v>0</v>
      </c>
      <c r="I499" t="n">
        <v>0</v>
      </c>
      <c r="J499" t="n">
        <v>0</v>
      </c>
      <c r="K499" t="n">
        <v>0</v>
      </c>
      <c r="L499" t="n">
        <v>0</v>
      </c>
      <c r="M499" t="n">
        <v>0</v>
      </c>
      <c r="N499" t="n">
        <v>0</v>
      </c>
      <c r="O499" t="n">
        <v>0</v>
      </c>
      <c r="P499" t="n">
        <v>0</v>
      </c>
      <c r="Q499" t="n">
        <v>0</v>
      </c>
      <c r="R499" s="2" t="inlineStr"/>
    </row>
    <row r="500" ht="15" customHeight="1">
      <c r="A500" t="inlineStr">
        <is>
          <t>A 19392-2025</t>
        </is>
      </c>
      <c r="B500" s="1" t="n">
        <v>45769.66260416667</v>
      </c>
      <c r="C500" s="1" t="n">
        <v>46106</v>
      </c>
      <c r="D500" t="inlineStr">
        <is>
          <t>ÖREBRO LÄN</t>
        </is>
      </c>
      <c r="E500" t="inlineStr">
        <is>
          <t>LINDESBERG</t>
        </is>
      </c>
      <c r="G500" t="n">
        <v>6.5</v>
      </c>
      <c r="H500" t="n">
        <v>0</v>
      </c>
      <c r="I500" t="n">
        <v>0</v>
      </c>
      <c r="J500" t="n">
        <v>0</v>
      </c>
      <c r="K500" t="n">
        <v>0</v>
      </c>
      <c r="L500" t="n">
        <v>0</v>
      </c>
      <c r="M500" t="n">
        <v>0</v>
      </c>
      <c r="N500" t="n">
        <v>0</v>
      </c>
      <c r="O500" t="n">
        <v>0</v>
      </c>
      <c r="P500" t="n">
        <v>0</v>
      </c>
      <c r="Q500" t="n">
        <v>0</v>
      </c>
      <c r="R500" s="2" t="inlineStr"/>
    </row>
    <row r="501" ht="15" customHeight="1">
      <c r="A501" t="inlineStr">
        <is>
          <t>A 61597-2023</t>
        </is>
      </c>
      <c r="B501" s="1" t="n">
        <v>45265.49225694445</v>
      </c>
      <c r="C501" s="1" t="n">
        <v>46106</v>
      </c>
      <c r="D501" t="inlineStr">
        <is>
          <t>ÖREBRO LÄN</t>
        </is>
      </c>
      <c r="E501" t="inlineStr">
        <is>
          <t>LINDESBERG</t>
        </is>
      </c>
      <c r="G501" t="n">
        <v>10.3</v>
      </c>
      <c r="H501" t="n">
        <v>0</v>
      </c>
      <c r="I501" t="n">
        <v>0</v>
      </c>
      <c r="J501" t="n">
        <v>0</v>
      </c>
      <c r="K501" t="n">
        <v>0</v>
      </c>
      <c r="L501" t="n">
        <v>0</v>
      </c>
      <c r="M501" t="n">
        <v>0</v>
      </c>
      <c r="N501" t="n">
        <v>0</v>
      </c>
      <c r="O501" t="n">
        <v>0</v>
      </c>
      <c r="P501" t="n">
        <v>0</v>
      </c>
      <c r="Q501" t="n">
        <v>0</v>
      </c>
      <c r="R501" s="2" t="inlineStr"/>
    </row>
    <row r="502" ht="15" customHeight="1">
      <c r="A502" t="inlineStr">
        <is>
          <t>A 48061-2025</t>
        </is>
      </c>
      <c r="B502" s="1" t="n">
        <v>45932.68006944445</v>
      </c>
      <c r="C502" s="1" t="n">
        <v>46106</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48750-2025</t>
        </is>
      </c>
      <c r="B503" s="1" t="n">
        <v>45936.68452546297</v>
      </c>
      <c r="C503" s="1" t="n">
        <v>46106</v>
      </c>
      <c r="D503" t="inlineStr">
        <is>
          <t>ÖREBRO LÄN</t>
        </is>
      </c>
      <c r="E503" t="inlineStr">
        <is>
          <t>LINDESBERG</t>
        </is>
      </c>
      <c r="G503" t="n">
        <v>2.1</v>
      </c>
      <c r="H503" t="n">
        <v>0</v>
      </c>
      <c r="I503" t="n">
        <v>0</v>
      </c>
      <c r="J503" t="n">
        <v>0</v>
      </c>
      <c r="K503" t="n">
        <v>0</v>
      </c>
      <c r="L503" t="n">
        <v>0</v>
      </c>
      <c r="M503" t="n">
        <v>0</v>
      </c>
      <c r="N503" t="n">
        <v>0</v>
      </c>
      <c r="O503" t="n">
        <v>0</v>
      </c>
      <c r="P503" t="n">
        <v>0</v>
      </c>
      <c r="Q503" t="n">
        <v>0</v>
      </c>
      <c r="R503" s="2" t="inlineStr"/>
    </row>
    <row r="504" ht="15" customHeight="1">
      <c r="A504" t="inlineStr">
        <is>
          <t>A 48620-2025</t>
        </is>
      </c>
      <c r="B504" s="1" t="n">
        <v>45936.49210648148</v>
      </c>
      <c r="C504" s="1" t="n">
        <v>46106</v>
      </c>
      <c r="D504" t="inlineStr">
        <is>
          <t>ÖREBRO LÄN</t>
        </is>
      </c>
      <c r="E504" t="inlineStr">
        <is>
          <t>LINDESBERG</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7211-2024</t>
        </is>
      </c>
      <c r="B505" s="1" t="n">
        <v>45344.623125</v>
      </c>
      <c r="C505" s="1" t="n">
        <v>46106</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48497-2025</t>
        </is>
      </c>
      <c r="B506" s="1" t="n">
        <v>45936.37523148148</v>
      </c>
      <c r="C506" s="1" t="n">
        <v>46106</v>
      </c>
      <c r="D506" t="inlineStr">
        <is>
          <t>ÖREBRO LÄN</t>
        </is>
      </c>
      <c r="E506" t="inlineStr">
        <is>
          <t>LINDESBERG</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44425.40297453704</v>
      </c>
      <c r="C507" s="1" t="n">
        <v>46106</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6511-2025</t>
        </is>
      </c>
      <c r="B508" s="1" t="n">
        <v>45699.65424768518</v>
      </c>
      <c r="C508" s="1" t="n">
        <v>46106</v>
      </c>
      <c r="D508" t="inlineStr">
        <is>
          <t>ÖREBRO LÄN</t>
        </is>
      </c>
      <c r="E508" t="inlineStr">
        <is>
          <t>LINDESBERG</t>
        </is>
      </c>
      <c r="G508" t="n">
        <v>9.1</v>
      </c>
      <c r="H508" t="n">
        <v>0</v>
      </c>
      <c r="I508" t="n">
        <v>0</v>
      </c>
      <c r="J508" t="n">
        <v>0</v>
      </c>
      <c r="K508" t="n">
        <v>0</v>
      </c>
      <c r="L508" t="n">
        <v>0</v>
      </c>
      <c r="M508" t="n">
        <v>0</v>
      </c>
      <c r="N508" t="n">
        <v>0</v>
      </c>
      <c r="O508" t="n">
        <v>0</v>
      </c>
      <c r="P508" t="n">
        <v>0</v>
      </c>
      <c r="Q508" t="n">
        <v>0</v>
      </c>
      <c r="R508" s="2" t="inlineStr"/>
    </row>
    <row r="509" ht="15" customHeight="1">
      <c r="A509" t="inlineStr">
        <is>
          <t>A 38460-2024</t>
        </is>
      </c>
      <c r="B509" s="1" t="n">
        <v>45546.46497685185</v>
      </c>
      <c r="C509" s="1" t="n">
        <v>46106</v>
      </c>
      <c r="D509" t="inlineStr">
        <is>
          <t>ÖREBRO LÄN</t>
        </is>
      </c>
      <c r="E509" t="inlineStr">
        <is>
          <t>LINDESBERG</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48489-2025</t>
        </is>
      </c>
      <c r="B510" s="1" t="n">
        <v>45936.36637731481</v>
      </c>
      <c r="C510" s="1" t="n">
        <v>46106</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48618-2025</t>
        </is>
      </c>
      <c r="B511" s="1" t="n">
        <v>45936.49026620371</v>
      </c>
      <c r="C511" s="1" t="n">
        <v>46106</v>
      </c>
      <c r="D511" t="inlineStr">
        <is>
          <t>ÖREBRO LÄN</t>
        </is>
      </c>
      <c r="E511" t="inlineStr">
        <is>
          <t>LINDESBERG</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48495-2025</t>
        </is>
      </c>
      <c r="B512" s="1" t="n">
        <v>45936.37237268518</v>
      </c>
      <c r="C512" s="1" t="n">
        <v>46106</v>
      </c>
      <c r="D512" t="inlineStr">
        <is>
          <t>ÖREBRO LÄN</t>
        </is>
      </c>
      <c r="E512" t="inlineStr">
        <is>
          <t>LINDESBERG</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48867-2025</t>
        </is>
      </c>
      <c r="B513" s="1" t="n">
        <v>45937.4484837963</v>
      </c>
      <c r="C513" s="1" t="n">
        <v>46106</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48953-2025</t>
        </is>
      </c>
      <c r="B514" s="1" t="n">
        <v>45937.54697916667</v>
      </c>
      <c r="C514" s="1" t="n">
        <v>46106</v>
      </c>
      <c r="D514" t="inlineStr">
        <is>
          <t>ÖREBRO LÄN</t>
        </is>
      </c>
      <c r="E514" t="inlineStr">
        <is>
          <t>LINDESBERG</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48971-2025</t>
        </is>
      </c>
      <c r="B515" s="1" t="n">
        <v>45937.56420138889</v>
      </c>
      <c r="C515" s="1" t="n">
        <v>46106</v>
      </c>
      <c r="D515" t="inlineStr">
        <is>
          <t>ÖREBRO LÄN</t>
        </is>
      </c>
      <c r="E515" t="inlineStr">
        <is>
          <t>LINDESBERG</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48975-2025</t>
        </is>
      </c>
      <c r="B516" s="1" t="n">
        <v>45937.56798611111</v>
      </c>
      <c r="C516" s="1" t="n">
        <v>46106</v>
      </c>
      <c r="D516" t="inlineStr">
        <is>
          <t>ÖREBRO LÄN</t>
        </is>
      </c>
      <c r="E516" t="inlineStr">
        <is>
          <t>LINDESBERG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48265-2021</t>
        </is>
      </c>
      <c r="B517" s="1" t="n">
        <v>44449</v>
      </c>
      <c r="C517" s="1" t="n">
        <v>46106</v>
      </c>
      <c r="D517" t="inlineStr">
        <is>
          <t>ÖREBRO LÄN</t>
        </is>
      </c>
      <c r="E517" t="inlineStr">
        <is>
          <t>LINDESBERG</t>
        </is>
      </c>
      <c r="G517" t="n">
        <v>23.7</v>
      </c>
      <c r="H517" t="n">
        <v>0</v>
      </c>
      <c r="I517" t="n">
        <v>0</v>
      </c>
      <c r="J517" t="n">
        <v>0</v>
      </c>
      <c r="K517" t="n">
        <v>0</v>
      </c>
      <c r="L517" t="n">
        <v>0</v>
      </c>
      <c r="M517" t="n">
        <v>0</v>
      </c>
      <c r="N517" t="n">
        <v>0</v>
      </c>
      <c r="O517" t="n">
        <v>0</v>
      </c>
      <c r="P517" t="n">
        <v>0</v>
      </c>
      <c r="Q517" t="n">
        <v>0</v>
      </c>
      <c r="R517" s="2" t="inlineStr"/>
    </row>
    <row r="518" ht="15" customHeight="1">
      <c r="A518" t="inlineStr">
        <is>
          <t>A 67016-2021</t>
        </is>
      </c>
      <c r="B518" s="1" t="n">
        <v>44522</v>
      </c>
      <c r="C518" s="1" t="n">
        <v>46106</v>
      </c>
      <c r="D518" t="inlineStr">
        <is>
          <t>ÖREBRO LÄN</t>
        </is>
      </c>
      <c r="E518" t="inlineStr">
        <is>
          <t>LINDESBERG</t>
        </is>
      </c>
      <c r="G518" t="n">
        <v>8</v>
      </c>
      <c r="H518" t="n">
        <v>0</v>
      </c>
      <c r="I518" t="n">
        <v>0</v>
      </c>
      <c r="J518" t="n">
        <v>0</v>
      </c>
      <c r="K518" t="n">
        <v>0</v>
      </c>
      <c r="L518" t="n">
        <v>0</v>
      </c>
      <c r="M518" t="n">
        <v>0</v>
      </c>
      <c r="N518" t="n">
        <v>0</v>
      </c>
      <c r="O518" t="n">
        <v>0</v>
      </c>
      <c r="P518" t="n">
        <v>0</v>
      </c>
      <c r="Q518" t="n">
        <v>0</v>
      </c>
      <c r="R518" s="2" t="inlineStr"/>
    </row>
    <row r="519" ht="15" customHeight="1">
      <c r="A519" t="inlineStr">
        <is>
          <t>A 49100-2025</t>
        </is>
      </c>
      <c r="B519" s="1" t="n">
        <v>45937.71556712963</v>
      </c>
      <c r="C519" s="1" t="n">
        <v>46106</v>
      </c>
      <c r="D519" t="inlineStr">
        <is>
          <t>ÖREBRO LÄN</t>
        </is>
      </c>
      <c r="E519" t="inlineStr">
        <is>
          <t>LINDESBERG</t>
        </is>
      </c>
      <c r="G519" t="n">
        <v>2.2</v>
      </c>
      <c r="H519" t="n">
        <v>0</v>
      </c>
      <c r="I519" t="n">
        <v>0</v>
      </c>
      <c r="J519" t="n">
        <v>0</v>
      </c>
      <c r="K519" t="n">
        <v>0</v>
      </c>
      <c r="L519" t="n">
        <v>0</v>
      </c>
      <c r="M519" t="n">
        <v>0</v>
      </c>
      <c r="N519" t="n">
        <v>0</v>
      </c>
      <c r="O519" t="n">
        <v>0</v>
      </c>
      <c r="P519" t="n">
        <v>0</v>
      </c>
      <c r="Q519" t="n">
        <v>0</v>
      </c>
      <c r="R519" s="2" t="inlineStr"/>
    </row>
    <row r="520" ht="15" customHeight="1">
      <c r="A520" t="inlineStr">
        <is>
          <t>A 49133-2025</t>
        </is>
      </c>
      <c r="B520" s="1" t="n">
        <v>45937.92319444445</v>
      </c>
      <c r="C520" s="1" t="n">
        <v>46106</v>
      </c>
      <c r="D520" t="inlineStr">
        <is>
          <t>ÖREBRO LÄN</t>
        </is>
      </c>
      <c r="E520" t="inlineStr">
        <is>
          <t>LINDESBERG</t>
        </is>
      </c>
      <c r="G520" t="n">
        <v>5</v>
      </c>
      <c r="H520" t="n">
        <v>0</v>
      </c>
      <c r="I520" t="n">
        <v>0</v>
      </c>
      <c r="J520" t="n">
        <v>0</v>
      </c>
      <c r="K520" t="n">
        <v>0</v>
      </c>
      <c r="L520" t="n">
        <v>0</v>
      </c>
      <c r="M520" t="n">
        <v>0</v>
      </c>
      <c r="N520" t="n">
        <v>0</v>
      </c>
      <c r="O520" t="n">
        <v>0</v>
      </c>
      <c r="P520" t="n">
        <v>0</v>
      </c>
      <c r="Q520" t="n">
        <v>0</v>
      </c>
      <c r="R520" s="2" t="inlineStr"/>
    </row>
    <row r="521" ht="15" customHeight="1">
      <c r="A521" t="inlineStr">
        <is>
          <t>A 7026-2024</t>
        </is>
      </c>
      <c r="B521" s="1" t="n">
        <v>45343.58587962963</v>
      </c>
      <c r="C521" s="1" t="n">
        <v>46106</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4013-2025</t>
        </is>
      </c>
      <c r="B522" s="1" t="n">
        <v>45684.5790162037</v>
      </c>
      <c r="C522" s="1" t="n">
        <v>46106</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27702-2025</t>
        </is>
      </c>
      <c r="B523" s="1" t="n">
        <v>45813</v>
      </c>
      <c r="C523" s="1" t="n">
        <v>46106</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48993-2025</t>
        </is>
      </c>
      <c r="B524" s="1" t="n">
        <v>45937.58590277778</v>
      </c>
      <c r="C524" s="1" t="n">
        <v>46106</v>
      </c>
      <c r="D524" t="inlineStr">
        <is>
          <t>ÖREBRO LÄN</t>
        </is>
      </c>
      <c r="E524" t="inlineStr">
        <is>
          <t>LINDESBERG</t>
        </is>
      </c>
      <c r="F524" t="inlineStr">
        <is>
          <t>Kyrkan</t>
        </is>
      </c>
      <c r="G524" t="n">
        <v>4</v>
      </c>
      <c r="H524" t="n">
        <v>0</v>
      </c>
      <c r="I524" t="n">
        <v>0</v>
      </c>
      <c r="J524" t="n">
        <v>0</v>
      </c>
      <c r="K524" t="n">
        <v>0</v>
      </c>
      <c r="L524" t="n">
        <v>0</v>
      </c>
      <c r="M524" t="n">
        <v>0</v>
      </c>
      <c r="N524" t="n">
        <v>0</v>
      </c>
      <c r="O524" t="n">
        <v>0</v>
      </c>
      <c r="P524" t="n">
        <v>0</v>
      </c>
      <c r="Q524" t="n">
        <v>0</v>
      </c>
      <c r="R524" s="2" t="inlineStr"/>
    </row>
    <row r="525" ht="15" customHeight="1">
      <c r="A525" t="inlineStr">
        <is>
          <t>A 33978-2023</t>
        </is>
      </c>
      <c r="B525" s="1" t="n">
        <v>45134.68158564815</v>
      </c>
      <c r="C525" s="1" t="n">
        <v>46106</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55272-2023</t>
        </is>
      </c>
      <c r="B526" s="1" t="n">
        <v>45237.67819444444</v>
      </c>
      <c r="C526" s="1" t="n">
        <v>46106</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49183-2025</t>
        </is>
      </c>
      <c r="B527" s="1" t="n">
        <v>45938.39741898148</v>
      </c>
      <c r="C527" s="1" t="n">
        <v>46106</v>
      </c>
      <c r="D527" t="inlineStr">
        <is>
          <t>ÖREBRO LÄN</t>
        </is>
      </c>
      <c r="E527" t="inlineStr">
        <is>
          <t>LINDESBERG</t>
        </is>
      </c>
      <c r="G527" t="n">
        <v>4.4</v>
      </c>
      <c r="H527" t="n">
        <v>0</v>
      </c>
      <c r="I527" t="n">
        <v>0</v>
      </c>
      <c r="J527" t="n">
        <v>0</v>
      </c>
      <c r="K527" t="n">
        <v>0</v>
      </c>
      <c r="L527" t="n">
        <v>0</v>
      </c>
      <c r="M527" t="n">
        <v>0</v>
      </c>
      <c r="N527" t="n">
        <v>0</v>
      </c>
      <c r="O527" t="n">
        <v>0</v>
      </c>
      <c r="P527" t="n">
        <v>0</v>
      </c>
      <c r="Q527" t="n">
        <v>0</v>
      </c>
      <c r="R527" s="2" t="inlineStr"/>
    </row>
    <row r="528" ht="15" customHeight="1">
      <c r="A528" t="inlineStr">
        <is>
          <t>A 12307-2025</t>
        </is>
      </c>
      <c r="B528" s="1" t="n">
        <v>45729.76231481481</v>
      </c>
      <c r="C528" s="1" t="n">
        <v>46106</v>
      </c>
      <c r="D528" t="inlineStr">
        <is>
          <t>ÖREBRO LÄN</t>
        </is>
      </c>
      <c r="E528" t="inlineStr">
        <is>
          <t>LINDESBERG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49707-2025</t>
        </is>
      </c>
      <c r="B529" s="1" t="n">
        <v>45939.67951388889</v>
      </c>
      <c r="C529" s="1" t="n">
        <v>46106</v>
      </c>
      <c r="D529" t="inlineStr">
        <is>
          <t>ÖREBRO LÄN</t>
        </is>
      </c>
      <c r="E529" t="inlineStr">
        <is>
          <t>LINDESBERG</t>
        </is>
      </c>
      <c r="F529" t="inlineStr">
        <is>
          <t>Kommuner</t>
        </is>
      </c>
      <c r="G529" t="n">
        <v>0.6</v>
      </c>
      <c r="H529" t="n">
        <v>0</v>
      </c>
      <c r="I529" t="n">
        <v>0</v>
      </c>
      <c r="J529" t="n">
        <v>0</v>
      </c>
      <c r="K529" t="n">
        <v>0</v>
      </c>
      <c r="L529" t="n">
        <v>0</v>
      </c>
      <c r="M529" t="n">
        <v>0</v>
      </c>
      <c r="N529" t="n">
        <v>0</v>
      </c>
      <c r="O529" t="n">
        <v>0</v>
      </c>
      <c r="P529" t="n">
        <v>0</v>
      </c>
      <c r="Q529" t="n">
        <v>0</v>
      </c>
      <c r="R529" s="2" t="inlineStr"/>
    </row>
    <row r="530" ht="15" customHeight="1">
      <c r="A530" t="inlineStr">
        <is>
          <t>A 15852-2025</t>
        </is>
      </c>
      <c r="B530" s="1" t="n">
        <v>45749</v>
      </c>
      <c r="C530" s="1" t="n">
        <v>46106</v>
      </c>
      <c r="D530" t="inlineStr">
        <is>
          <t>ÖREBRO LÄN</t>
        </is>
      </c>
      <c r="E530" t="inlineStr">
        <is>
          <t>LINDESBERG</t>
        </is>
      </c>
      <c r="G530" t="n">
        <v>8.9</v>
      </c>
      <c r="H530" t="n">
        <v>0</v>
      </c>
      <c r="I530" t="n">
        <v>0</v>
      </c>
      <c r="J530" t="n">
        <v>0</v>
      </c>
      <c r="K530" t="n">
        <v>0</v>
      </c>
      <c r="L530" t="n">
        <v>0</v>
      </c>
      <c r="M530" t="n">
        <v>0</v>
      </c>
      <c r="N530" t="n">
        <v>0</v>
      </c>
      <c r="O530" t="n">
        <v>0</v>
      </c>
      <c r="P530" t="n">
        <v>0</v>
      </c>
      <c r="Q530" t="n">
        <v>0</v>
      </c>
      <c r="R530" s="2" t="inlineStr"/>
    </row>
    <row r="531" ht="15" customHeight="1">
      <c r="A531" t="inlineStr">
        <is>
          <t>A 8834-2023</t>
        </is>
      </c>
      <c r="B531" s="1" t="n">
        <v>44978</v>
      </c>
      <c r="C531" s="1" t="n">
        <v>46106</v>
      </c>
      <c r="D531" t="inlineStr">
        <is>
          <t>ÖREBRO LÄN</t>
        </is>
      </c>
      <c r="E531" t="inlineStr">
        <is>
          <t>LINDESBERG</t>
        </is>
      </c>
      <c r="G531" t="n">
        <v>0.5</v>
      </c>
      <c r="H531" t="n">
        <v>0</v>
      </c>
      <c r="I531" t="n">
        <v>0</v>
      </c>
      <c r="J531" t="n">
        <v>0</v>
      </c>
      <c r="K531" t="n">
        <v>0</v>
      </c>
      <c r="L531" t="n">
        <v>0</v>
      </c>
      <c r="M531" t="n">
        <v>0</v>
      </c>
      <c r="N531" t="n">
        <v>0</v>
      </c>
      <c r="O531" t="n">
        <v>0</v>
      </c>
      <c r="P531" t="n">
        <v>0</v>
      </c>
      <c r="Q531" t="n">
        <v>0</v>
      </c>
      <c r="R531" s="2" t="inlineStr"/>
    </row>
    <row r="532" ht="15" customHeight="1">
      <c r="A532" t="inlineStr">
        <is>
          <t>A 51071-2022</t>
        </is>
      </c>
      <c r="B532" s="1" t="n">
        <v>44868.36924768519</v>
      </c>
      <c r="C532" s="1" t="n">
        <v>46106</v>
      </c>
      <c r="D532" t="inlineStr">
        <is>
          <t>ÖREBRO LÄN</t>
        </is>
      </c>
      <c r="E532" t="inlineStr">
        <is>
          <t>LINDESBERG</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49946-2025</t>
        </is>
      </c>
      <c r="B533" s="1" t="n">
        <v>45940.69862268519</v>
      </c>
      <c r="C533" s="1" t="n">
        <v>46106</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60926-2024</t>
        </is>
      </c>
      <c r="B534" s="1" t="n">
        <v>45645</v>
      </c>
      <c r="C534" s="1" t="n">
        <v>46106</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1383-2025</t>
        </is>
      </c>
      <c r="B535" s="1" t="n">
        <v>45667</v>
      </c>
      <c r="C535" s="1" t="n">
        <v>46106</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49943-2025</t>
        </is>
      </c>
      <c r="B536" s="1" t="n">
        <v>45940.69521990741</v>
      </c>
      <c r="C536" s="1" t="n">
        <v>46106</v>
      </c>
      <c r="D536" t="inlineStr">
        <is>
          <t>ÖREBRO LÄN</t>
        </is>
      </c>
      <c r="E536" t="inlineStr">
        <is>
          <t>LINDESBERG</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38534-2025</t>
        </is>
      </c>
      <c r="B537" s="1" t="n">
        <v>45884</v>
      </c>
      <c r="C537" s="1" t="n">
        <v>46106</v>
      </c>
      <c r="D537" t="inlineStr">
        <is>
          <t>ÖREBRO LÄN</t>
        </is>
      </c>
      <c r="E537" t="inlineStr">
        <is>
          <t>LINDESBERG</t>
        </is>
      </c>
      <c r="G537" t="n">
        <v>4.9</v>
      </c>
      <c r="H537" t="n">
        <v>0</v>
      </c>
      <c r="I537" t="n">
        <v>0</v>
      </c>
      <c r="J537" t="n">
        <v>0</v>
      </c>
      <c r="K537" t="n">
        <v>0</v>
      </c>
      <c r="L537" t="n">
        <v>0</v>
      </c>
      <c r="M537" t="n">
        <v>0</v>
      </c>
      <c r="N537" t="n">
        <v>0</v>
      </c>
      <c r="O537" t="n">
        <v>0</v>
      </c>
      <c r="P537" t="n">
        <v>0</v>
      </c>
      <c r="Q537" t="n">
        <v>0</v>
      </c>
      <c r="R537" s="2" t="inlineStr"/>
    </row>
    <row r="538" ht="15" customHeight="1">
      <c r="A538" t="inlineStr">
        <is>
          <t>A 35229-2024</t>
        </is>
      </c>
      <c r="B538" s="1" t="n">
        <v>45530</v>
      </c>
      <c r="C538" s="1" t="n">
        <v>46106</v>
      </c>
      <c r="D538" t="inlineStr">
        <is>
          <t>ÖREBRO LÄN</t>
        </is>
      </c>
      <c r="E538" t="inlineStr">
        <is>
          <t>LINDESBERG</t>
        </is>
      </c>
      <c r="G538" t="n">
        <v>0.8</v>
      </c>
      <c r="H538" t="n">
        <v>0</v>
      </c>
      <c r="I538" t="n">
        <v>0</v>
      </c>
      <c r="J538" t="n">
        <v>0</v>
      </c>
      <c r="K538" t="n">
        <v>0</v>
      </c>
      <c r="L538" t="n">
        <v>0</v>
      </c>
      <c r="M538" t="n">
        <v>0</v>
      </c>
      <c r="N538" t="n">
        <v>0</v>
      </c>
      <c r="O538" t="n">
        <v>0</v>
      </c>
      <c r="P538" t="n">
        <v>0</v>
      </c>
      <c r="Q538" t="n">
        <v>0</v>
      </c>
      <c r="R538" s="2" t="inlineStr"/>
    </row>
    <row r="539" ht="15" customHeight="1">
      <c r="A539" t="inlineStr">
        <is>
          <t>A 50285-2022</t>
        </is>
      </c>
      <c r="B539" s="1" t="n">
        <v>44865.87770833333</v>
      </c>
      <c r="C539" s="1" t="n">
        <v>46106</v>
      </c>
      <c r="D539" t="inlineStr">
        <is>
          <t>ÖREBRO LÄN</t>
        </is>
      </c>
      <c r="E539" t="inlineStr">
        <is>
          <t>LINDESBERG</t>
        </is>
      </c>
      <c r="G539" t="n">
        <v>2.5</v>
      </c>
      <c r="H539" t="n">
        <v>0</v>
      </c>
      <c r="I539" t="n">
        <v>0</v>
      </c>
      <c r="J539" t="n">
        <v>0</v>
      </c>
      <c r="K539" t="n">
        <v>0</v>
      </c>
      <c r="L539" t="n">
        <v>0</v>
      </c>
      <c r="M539" t="n">
        <v>0</v>
      </c>
      <c r="N539" t="n">
        <v>0</v>
      </c>
      <c r="O539" t="n">
        <v>0</v>
      </c>
      <c r="P539" t="n">
        <v>0</v>
      </c>
      <c r="Q539" t="n">
        <v>0</v>
      </c>
      <c r="R539" s="2" t="inlineStr"/>
    </row>
    <row r="540" ht="15" customHeight="1">
      <c r="A540" t="inlineStr">
        <is>
          <t>A 10822-2023</t>
        </is>
      </c>
      <c r="B540" s="1" t="n">
        <v>44990</v>
      </c>
      <c r="C540" s="1" t="n">
        <v>46106</v>
      </c>
      <c r="D540" t="inlineStr">
        <is>
          <t>ÖREBRO LÄN</t>
        </is>
      </c>
      <c r="E540" t="inlineStr">
        <is>
          <t>LINDESBERG</t>
        </is>
      </c>
      <c r="G540" t="n">
        <v>1.3</v>
      </c>
      <c r="H540" t="n">
        <v>0</v>
      </c>
      <c r="I540" t="n">
        <v>0</v>
      </c>
      <c r="J540" t="n">
        <v>0</v>
      </c>
      <c r="K540" t="n">
        <v>0</v>
      </c>
      <c r="L540" t="n">
        <v>0</v>
      </c>
      <c r="M540" t="n">
        <v>0</v>
      </c>
      <c r="N540" t="n">
        <v>0</v>
      </c>
      <c r="O540" t="n">
        <v>0</v>
      </c>
      <c r="P540" t="n">
        <v>0</v>
      </c>
      <c r="Q540" t="n">
        <v>0</v>
      </c>
      <c r="R540" s="2" t="inlineStr"/>
    </row>
    <row r="541" ht="15" customHeight="1">
      <c r="A541" t="inlineStr">
        <is>
          <t>A 49944-2025</t>
        </is>
      </c>
      <c r="B541" s="1" t="n">
        <v>45940.69643518519</v>
      </c>
      <c r="C541" s="1" t="n">
        <v>46106</v>
      </c>
      <c r="D541" t="inlineStr">
        <is>
          <t>ÖREBRO LÄN</t>
        </is>
      </c>
      <c r="E541" t="inlineStr">
        <is>
          <t>LINDESBERG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49947-2025</t>
        </is>
      </c>
      <c r="B542" s="1" t="n">
        <v>45940.70018518518</v>
      </c>
      <c r="C542" s="1" t="n">
        <v>46106</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50072-2025</t>
        </is>
      </c>
      <c r="B543" s="1" t="n">
        <v>45943.45966435185</v>
      </c>
      <c r="C543" s="1" t="n">
        <v>46106</v>
      </c>
      <c r="D543" t="inlineStr">
        <is>
          <t>ÖREBRO LÄN</t>
        </is>
      </c>
      <c r="E543" t="inlineStr">
        <is>
          <t>LINDESBERG</t>
        </is>
      </c>
      <c r="G543" t="n">
        <v>1.5</v>
      </c>
      <c r="H543" t="n">
        <v>0</v>
      </c>
      <c r="I543" t="n">
        <v>0</v>
      </c>
      <c r="J543" t="n">
        <v>0</v>
      </c>
      <c r="K543" t="n">
        <v>0</v>
      </c>
      <c r="L543" t="n">
        <v>0</v>
      </c>
      <c r="M543" t="n">
        <v>0</v>
      </c>
      <c r="N543" t="n">
        <v>0</v>
      </c>
      <c r="O543" t="n">
        <v>0</v>
      </c>
      <c r="P543" t="n">
        <v>0</v>
      </c>
      <c r="Q543" t="n">
        <v>0</v>
      </c>
      <c r="R543" s="2" t="inlineStr"/>
    </row>
    <row r="544" ht="15" customHeight="1">
      <c r="A544" t="inlineStr">
        <is>
          <t>A 50086-2025</t>
        </is>
      </c>
      <c r="B544" s="1" t="n">
        <v>45943.47649305555</v>
      </c>
      <c r="C544" s="1" t="n">
        <v>46106</v>
      </c>
      <c r="D544" t="inlineStr">
        <is>
          <t>ÖREBRO LÄN</t>
        </is>
      </c>
      <c r="E544" t="inlineStr">
        <is>
          <t>LINDESBERG</t>
        </is>
      </c>
      <c r="F544" t="inlineStr">
        <is>
          <t>Sveaskog</t>
        </is>
      </c>
      <c r="G544" t="n">
        <v>3.6</v>
      </c>
      <c r="H544" t="n">
        <v>0</v>
      </c>
      <c r="I544" t="n">
        <v>0</v>
      </c>
      <c r="J544" t="n">
        <v>0</v>
      </c>
      <c r="K544" t="n">
        <v>0</v>
      </c>
      <c r="L544" t="n">
        <v>0</v>
      </c>
      <c r="M544" t="n">
        <v>0</v>
      </c>
      <c r="N544" t="n">
        <v>0</v>
      </c>
      <c r="O544" t="n">
        <v>0</v>
      </c>
      <c r="P544" t="n">
        <v>0</v>
      </c>
      <c r="Q544" t="n">
        <v>0</v>
      </c>
      <c r="R544" s="2" t="inlineStr"/>
    </row>
    <row r="545" ht="15" customHeight="1">
      <c r="A545" t="inlineStr">
        <is>
          <t>A 50073-2025</t>
        </is>
      </c>
      <c r="B545" s="1" t="n">
        <v>45943.4603125</v>
      </c>
      <c r="C545" s="1" t="n">
        <v>46106</v>
      </c>
      <c r="D545" t="inlineStr">
        <is>
          <t>ÖREBRO LÄN</t>
        </is>
      </c>
      <c r="E545" t="inlineStr">
        <is>
          <t>LINDESBERG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3233-2023</t>
        </is>
      </c>
      <c r="B546" s="1" t="n">
        <v>44946</v>
      </c>
      <c r="C546" s="1" t="n">
        <v>46106</v>
      </c>
      <c r="D546" t="inlineStr">
        <is>
          <t>ÖREBRO LÄN</t>
        </is>
      </c>
      <c r="E546" t="inlineStr">
        <is>
          <t>LINDESBERG</t>
        </is>
      </c>
      <c r="G546" t="n">
        <v>3</v>
      </c>
      <c r="H546" t="n">
        <v>0</v>
      </c>
      <c r="I546" t="n">
        <v>0</v>
      </c>
      <c r="J546" t="n">
        <v>0</v>
      </c>
      <c r="K546" t="n">
        <v>0</v>
      </c>
      <c r="L546" t="n">
        <v>0</v>
      </c>
      <c r="M546" t="n">
        <v>0</v>
      </c>
      <c r="N546" t="n">
        <v>0</v>
      </c>
      <c r="O546" t="n">
        <v>0</v>
      </c>
      <c r="P546" t="n">
        <v>0</v>
      </c>
      <c r="Q546" t="n">
        <v>0</v>
      </c>
      <c r="R546" s="2" t="inlineStr"/>
    </row>
    <row r="547" ht="15" customHeight="1">
      <c r="A547" t="inlineStr">
        <is>
          <t>A 15325-2024</t>
        </is>
      </c>
      <c r="B547" s="1" t="n">
        <v>45400.6709837963</v>
      </c>
      <c r="C547" s="1" t="n">
        <v>46106</v>
      </c>
      <c r="D547" t="inlineStr">
        <is>
          <t>ÖREBRO LÄN</t>
        </is>
      </c>
      <c r="E547" t="inlineStr">
        <is>
          <t>LINDESBERG</t>
        </is>
      </c>
      <c r="F547" t="inlineStr">
        <is>
          <t>Sveaskog</t>
        </is>
      </c>
      <c r="G547" t="n">
        <v>0.3</v>
      </c>
      <c r="H547" t="n">
        <v>0</v>
      </c>
      <c r="I547" t="n">
        <v>0</v>
      </c>
      <c r="J547" t="n">
        <v>0</v>
      </c>
      <c r="K547" t="n">
        <v>0</v>
      </c>
      <c r="L547" t="n">
        <v>0</v>
      </c>
      <c r="M547" t="n">
        <v>0</v>
      </c>
      <c r="N547" t="n">
        <v>0</v>
      </c>
      <c r="O547" t="n">
        <v>0</v>
      </c>
      <c r="P547" t="n">
        <v>0</v>
      </c>
      <c r="Q547" t="n">
        <v>0</v>
      </c>
      <c r="R547" s="2" t="inlineStr"/>
    </row>
    <row r="548" ht="15" customHeight="1">
      <c r="A548" t="inlineStr">
        <is>
          <t>A 40970-2023</t>
        </is>
      </c>
      <c r="B548" s="1" t="n">
        <v>45173</v>
      </c>
      <c r="C548" s="1" t="n">
        <v>46106</v>
      </c>
      <c r="D548" t="inlineStr">
        <is>
          <t>ÖREBRO LÄN</t>
        </is>
      </c>
      <c r="E548" t="inlineStr">
        <is>
          <t>LINDESBERG</t>
        </is>
      </c>
      <c r="G548" t="n">
        <v>2.1</v>
      </c>
      <c r="H548" t="n">
        <v>0</v>
      </c>
      <c r="I548" t="n">
        <v>0</v>
      </c>
      <c r="J548" t="n">
        <v>0</v>
      </c>
      <c r="K548" t="n">
        <v>0</v>
      </c>
      <c r="L548" t="n">
        <v>0</v>
      </c>
      <c r="M548" t="n">
        <v>0</v>
      </c>
      <c r="N548" t="n">
        <v>0</v>
      </c>
      <c r="O548" t="n">
        <v>0</v>
      </c>
      <c r="P548" t="n">
        <v>0</v>
      </c>
      <c r="Q548" t="n">
        <v>0</v>
      </c>
      <c r="R548" s="2" t="inlineStr"/>
    </row>
    <row r="549" ht="15" customHeight="1">
      <c r="A549" t="inlineStr">
        <is>
          <t>A 34093-2022</t>
        </is>
      </c>
      <c r="B549" s="1" t="n">
        <v>44791</v>
      </c>
      <c r="C549" s="1" t="n">
        <v>46106</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58662-2022</t>
        </is>
      </c>
      <c r="B550" s="1" t="n">
        <v>44902</v>
      </c>
      <c r="C550" s="1" t="n">
        <v>46106</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15060-2024</t>
        </is>
      </c>
      <c r="B551" s="1" t="n">
        <v>45399.56596064815</v>
      </c>
      <c r="C551" s="1" t="n">
        <v>46106</v>
      </c>
      <c r="D551" t="inlineStr">
        <is>
          <t>ÖREBRO LÄN</t>
        </is>
      </c>
      <c r="E551" t="inlineStr">
        <is>
          <t>LINDESBERG</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28031-2023</t>
        </is>
      </c>
      <c r="B552" s="1" t="n">
        <v>45099.27354166667</v>
      </c>
      <c r="C552" s="1" t="n">
        <v>46106</v>
      </c>
      <c r="D552" t="inlineStr">
        <is>
          <t>ÖREBRO LÄN</t>
        </is>
      </c>
      <c r="E552" t="inlineStr">
        <is>
          <t>LINDESBERG</t>
        </is>
      </c>
      <c r="F552" t="inlineStr">
        <is>
          <t>Kyrkan</t>
        </is>
      </c>
      <c r="G552" t="n">
        <v>1.2</v>
      </c>
      <c r="H552" t="n">
        <v>0</v>
      </c>
      <c r="I552" t="n">
        <v>0</v>
      </c>
      <c r="J552" t="n">
        <v>0</v>
      </c>
      <c r="K552" t="n">
        <v>0</v>
      </c>
      <c r="L552" t="n">
        <v>0</v>
      </c>
      <c r="M552" t="n">
        <v>0</v>
      </c>
      <c r="N552" t="n">
        <v>0</v>
      </c>
      <c r="O552" t="n">
        <v>0</v>
      </c>
      <c r="P552" t="n">
        <v>0</v>
      </c>
      <c r="Q552" t="n">
        <v>0</v>
      </c>
      <c r="R552" s="2" t="inlineStr"/>
    </row>
    <row r="553" ht="15" customHeight="1">
      <c r="A553" t="inlineStr">
        <is>
          <t>A 4310-2025</t>
        </is>
      </c>
      <c r="B553" s="1" t="n">
        <v>45685</v>
      </c>
      <c r="C553" s="1" t="n">
        <v>46106</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19026-2021</t>
        </is>
      </c>
      <c r="B554" s="1" t="n">
        <v>44308</v>
      </c>
      <c r="C554" s="1" t="n">
        <v>46106</v>
      </c>
      <c r="D554" t="inlineStr">
        <is>
          <t>ÖREBRO LÄN</t>
        </is>
      </c>
      <c r="E554" t="inlineStr">
        <is>
          <t>LINDESBERG</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38509-2025</t>
        </is>
      </c>
      <c r="B555" s="1" t="n">
        <v>45884.38858796296</v>
      </c>
      <c r="C555" s="1" t="n">
        <v>46106</v>
      </c>
      <c r="D555" t="inlineStr">
        <is>
          <t>ÖREBRO LÄN</t>
        </is>
      </c>
      <c r="E555" t="inlineStr">
        <is>
          <t>LINDESBERG</t>
        </is>
      </c>
      <c r="G555" t="n">
        <v>14.9</v>
      </c>
      <c r="H555" t="n">
        <v>0</v>
      </c>
      <c r="I555" t="n">
        <v>0</v>
      </c>
      <c r="J555" t="n">
        <v>0</v>
      </c>
      <c r="K555" t="n">
        <v>0</v>
      </c>
      <c r="L555" t="n">
        <v>0</v>
      </c>
      <c r="M555" t="n">
        <v>0</v>
      </c>
      <c r="N555" t="n">
        <v>0</v>
      </c>
      <c r="O555" t="n">
        <v>0</v>
      </c>
      <c r="P555" t="n">
        <v>0</v>
      </c>
      <c r="Q555" t="n">
        <v>0</v>
      </c>
      <c r="R555" s="2" t="inlineStr"/>
    </row>
    <row r="556" ht="15" customHeight="1">
      <c r="A556" t="inlineStr">
        <is>
          <t>A 51186-2025</t>
        </is>
      </c>
      <c r="B556" s="1" t="n">
        <v>45947.62353009259</v>
      </c>
      <c r="C556" s="1" t="n">
        <v>46106</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47110-2024</t>
        </is>
      </c>
      <c r="B557" s="1" t="n">
        <v>45586.55451388889</v>
      </c>
      <c r="C557" s="1" t="n">
        <v>46106</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51172-2025</t>
        </is>
      </c>
      <c r="B558" s="1" t="n">
        <v>45947.60508101852</v>
      </c>
      <c r="C558" s="1" t="n">
        <v>46106</v>
      </c>
      <c r="D558" t="inlineStr">
        <is>
          <t>ÖREBRO LÄN</t>
        </is>
      </c>
      <c r="E558" t="inlineStr">
        <is>
          <t>LINDESBERG</t>
        </is>
      </c>
      <c r="F558" t="inlineStr">
        <is>
          <t>Kyrkan</t>
        </is>
      </c>
      <c r="G558" t="n">
        <v>0.9</v>
      </c>
      <c r="H558" t="n">
        <v>0</v>
      </c>
      <c r="I558" t="n">
        <v>0</v>
      </c>
      <c r="J558" t="n">
        <v>0</v>
      </c>
      <c r="K558" t="n">
        <v>0</v>
      </c>
      <c r="L558" t="n">
        <v>0</v>
      </c>
      <c r="M558" t="n">
        <v>0</v>
      </c>
      <c r="N558" t="n">
        <v>0</v>
      </c>
      <c r="O558" t="n">
        <v>0</v>
      </c>
      <c r="P558" t="n">
        <v>0</v>
      </c>
      <c r="Q558" t="n">
        <v>0</v>
      </c>
      <c r="R558" s="2" t="inlineStr"/>
    </row>
    <row r="559" ht="15" customHeight="1">
      <c r="A559" t="inlineStr">
        <is>
          <t>A 27440-2023</t>
        </is>
      </c>
      <c r="B559" s="1" t="n">
        <v>45097.39893518519</v>
      </c>
      <c r="C559" s="1" t="n">
        <v>46106</v>
      </c>
      <c r="D559" t="inlineStr">
        <is>
          <t>ÖREBRO LÄN</t>
        </is>
      </c>
      <c r="E559" t="inlineStr">
        <is>
          <t>LINDESBERG</t>
        </is>
      </c>
      <c r="G559" t="n">
        <v>6.6</v>
      </c>
      <c r="H559" t="n">
        <v>0</v>
      </c>
      <c r="I559" t="n">
        <v>0</v>
      </c>
      <c r="J559" t="n">
        <v>0</v>
      </c>
      <c r="K559" t="n">
        <v>0</v>
      </c>
      <c r="L559" t="n">
        <v>0</v>
      </c>
      <c r="M559" t="n">
        <v>0</v>
      </c>
      <c r="N559" t="n">
        <v>0</v>
      </c>
      <c r="O559" t="n">
        <v>0</v>
      </c>
      <c r="P559" t="n">
        <v>0</v>
      </c>
      <c r="Q559" t="n">
        <v>0</v>
      </c>
      <c r="R559" s="2" t="inlineStr"/>
    </row>
    <row r="560" ht="15" customHeight="1">
      <c r="A560" t="inlineStr">
        <is>
          <t>A 50933-2025</t>
        </is>
      </c>
      <c r="B560" s="1" t="n">
        <v>45946.68859953704</v>
      </c>
      <c r="C560" s="1" t="n">
        <v>46106</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50765-2025</t>
        </is>
      </c>
      <c r="B561" s="1" t="n">
        <v>45946.44216435185</v>
      </c>
      <c r="C561" s="1" t="n">
        <v>46106</v>
      </c>
      <c r="D561" t="inlineStr">
        <is>
          <t>ÖREBRO LÄN</t>
        </is>
      </c>
      <c r="E561" t="inlineStr">
        <is>
          <t>LINDESBERG</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51030-2025</t>
        </is>
      </c>
      <c r="B562" s="1" t="n">
        <v>45947.40105324074</v>
      </c>
      <c r="C562" s="1" t="n">
        <v>46106</v>
      </c>
      <c r="D562" t="inlineStr">
        <is>
          <t>ÖREBRO LÄN</t>
        </is>
      </c>
      <c r="E562" t="inlineStr">
        <is>
          <t>LINDESBERG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50936-2025</t>
        </is>
      </c>
      <c r="B563" s="1" t="n">
        <v>45946.69616898148</v>
      </c>
      <c r="C563" s="1" t="n">
        <v>46106</v>
      </c>
      <c r="D563" t="inlineStr">
        <is>
          <t>ÖREBRO LÄN</t>
        </is>
      </c>
      <c r="E563" t="inlineStr">
        <is>
          <t>LINDESBERG</t>
        </is>
      </c>
      <c r="G563" t="n">
        <v>2.9</v>
      </c>
      <c r="H563" t="n">
        <v>0</v>
      </c>
      <c r="I563" t="n">
        <v>0</v>
      </c>
      <c r="J563" t="n">
        <v>0</v>
      </c>
      <c r="K563" t="n">
        <v>0</v>
      </c>
      <c r="L563" t="n">
        <v>0</v>
      </c>
      <c r="M563" t="n">
        <v>0</v>
      </c>
      <c r="N563" t="n">
        <v>0</v>
      </c>
      <c r="O563" t="n">
        <v>0</v>
      </c>
      <c r="P563" t="n">
        <v>0</v>
      </c>
      <c r="Q563" t="n">
        <v>0</v>
      </c>
      <c r="R563" s="2" t="inlineStr"/>
    </row>
    <row r="564" ht="15" customHeight="1">
      <c r="A564" t="inlineStr">
        <is>
          <t>A 39137-2024</t>
        </is>
      </c>
      <c r="B564" s="1" t="n">
        <v>45548</v>
      </c>
      <c r="C564" s="1" t="n">
        <v>46106</v>
      </c>
      <c r="D564" t="inlineStr">
        <is>
          <t>ÖREBRO LÄN</t>
        </is>
      </c>
      <c r="E564" t="inlineStr">
        <is>
          <t>LINDESBERG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39152-2024</t>
        </is>
      </c>
      <c r="B565" s="1" t="n">
        <v>45548</v>
      </c>
      <c r="C565" s="1" t="n">
        <v>46106</v>
      </c>
      <c r="D565" t="inlineStr">
        <is>
          <t>ÖREBRO LÄN</t>
        </is>
      </c>
      <c r="E565" t="inlineStr">
        <is>
          <t>LINDESBERG</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21245-2024</t>
        </is>
      </c>
      <c r="B566" s="1" t="n">
        <v>45440</v>
      </c>
      <c r="C566" s="1" t="n">
        <v>46106</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4603-2024</t>
        </is>
      </c>
      <c r="B567" s="1" t="n">
        <v>45328</v>
      </c>
      <c r="C567" s="1" t="n">
        <v>46106</v>
      </c>
      <c r="D567" t="inlineStr">
        <is>
          <t>ÖREBRO LÄN</t>
        </is>
      </c>
      <c r="E567" t="inlineStr">
        <is>
          <t>LINDESBERG</t>
        </is>
      </c>
      <c r="F567" t="inlineStr">
        <is>
          <t>BillerudKorsnäs AB</t>
        </is>
      </c>
      <c r="G567" t="n">
        <v>4.3</v>
      </c>
      <c r="H567" t="n">
        <v>0</v>
      </c>
      <c r="I567" t="n">
        <v>0</v>
      </c>
      <c r="J567" t="n">
        <v>0</v>
      </c>
      <c r="K567" t="n">
        <v>0</v>
      </c>
      <c r="L567" t="n">
        <v>0</v>
      </c>
      <c r="M567" t="n">
        <v>0</v>
      </c>
      <c r="N567" t="n">
        <v>0</v>
      </c>
      <c r="O567" t="n">
        <v>0</v>
      </c>
      <c r="P567" t="n">
        <v>0</v>
      </c>
      <c r="Q567" t="n">
        <v>0</v>
      </c>
      <c r="R567" s="2" t="inlineStr"/>
    </row>
    <row r="568" ht="15" customHeight="1">
      <c r="A568" t="inlineStr">
        <is>
          <t>A 61601-2024</t>
        </is>
      </c>
      <c r="B568" s="1" t="n">
        <v>45646.63839120371</v>
      </c>
      <c r="C568" s="1" t="n">
        <v>46106</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6604-2024</t>
        </is>
      </c>
      <c r="B569" s="1" t="n">
        <v>45341.56577546296</v>
      </c>
      <c r="C569" s="1" t="n">
        <v>46106</v>
      </c>
      <c r="D569" t="inlineStr">
        <is>
          <t>ÖREBRO LÄN</t>
        </is>
      </c>
      <c r="E569" t="inlineStr">
        <is>
          <t>LINDESBERG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52102-2025</t>
        </is>
      </c>
      <c r="B570" s="1" t="n">
        <v>45952.68358796297</v>
      </c>
      <c r="C570" s="1" t="n">
        <v>46106</v>
      </c>
      <c r="D570" t="inlineStr">
        <is>
          <t>ÖREBRO LÄN</t>
        </is>
      </c>
      <c r="E570" t="inlineStr">
        <is>
          <t>LINDESBERG</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42410-2024</t>
        </is>
      </c>
      <c r="B571" s="1" t="n">
        <v>45565</v>
      </c>
      <c r="C571" s="1" t="n">
        <v>46106</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52117-2025</t>
        </is>
      </c>
      <c r="B572" s="1" t="n">
        <v>45952.70765046297</v>
      </c>
      <c r="C572" s="1" t="n">
        <v>46106</v>
      </c>
      <c r="D572" t="inlineStr">
        <is>
          <t>ÖREBRO LÄN</t>
        </is>
      </c>
      <c r="E572" t="inlineStr">
        <is>
          <t>LINDESBERG</t>
        </is>
      </c>
      <c r="G572" t="n">
        <v>4.6</v>
      </c>
      <c r="H572" t="n">
        <v>0</v>
      </c>
      <c r="I572" t="n">
        <v>0</v>
      </c>
      <c r="J572" t="n">
        <v>0</v>
      </c>
      <c r="K572" t="n">
        <v>0</v>
      </c>
      <c r="L572" t="n">
        <v>0</v>
      </c>
      <c r="M572" t="n">
        <v>0</v>
      </c>
      <c r="N572" t="n">
        <v>0</v>
      </c>
      <c r="O572" t="n">
        <v>0</v>
      </c>
      <c r="P572" t="n">
        <v>0</v>
      </c>
      <c r="Q572" t="n">
        <v>0</v>
      </c>
      <c r="R572" s="2" t="inlineStr"/>
    </row>
    <row r="573" ht="15" customHeight="1">
      <c r="A573" t="inlineStr">
        <is>
          <t>A 52098-2025</t>
        </is>
      </c>
      <c r="B573" s="1" t="n">
        <v>45952.68001157408</v>
      </c>
      <c r="C573" s="1" t="n">
        <v>46106</v>
      </c>
      <c r="D573" t="inlineStr">
        <is>
          <t>ÖREBRO LÄN</t>
        </is>
      </c>
      <c r="E573" t="inlineStr">
        <is>
          <t>LINDESBERG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52103-2025</t>
        </is>
      </c>
      <c r="B574" s="1" t="n">
        <v>45952.68439814815</v>
      </c>
      <c r="C574" s="1" t="n">
        <v>46106</v>
      </c>
      <c r="D574" t="inlineStr">
        <is>
          <t>ÖREBRO LÄN</t>
        </is>
      </c>
      <c r="E574" t="inlineStr">
        <is>
          <t>LINDESBERG</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9140-2025</t>
        </is>
      </c>
      <c r="B575" s="1" t="n">
        <v>45714.31533564815</v>
      </c>
      <c r="C575" s="1" t="n">
        <v>46106</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52101-2025</t>
        </is>
      </c>
      <c r="B576" s="1" t="n">
        <v>45952.68271990741</v>
      </c>
      <c r="C576" s="1" t="n">
        <v>46106</v>
      </c>
      <c r="D576" t="inlineStr">
        <is>
          <t>ÖREBRO LÄN</t>
        </is>
      </c>
      <c r="E576" t="inlineStr">
        <is>
          <t>LINDESBERG</t>
        </is>
      </c>
      <c r="F576" t="inlineStr">
        <is>
          <t>Sveaskog</t>
        </is>
      </c>
      <c r="G576" t="n">
        <v>10.9</v>
      </c>
      <c r="H576" t="n">
        <v>0</v>
      </c>
      <c r="I576" t="n">
        <v>0</v>
      </c>
      <c r="J576" t="n">
        <v>0</v>
      </c>
      <c r="K576" t="n">
        <v>0</v>
      </c>
      <c r="L576" t="n">
        <v>0</v>
      </c>
      <c r="M576" t="n">
        <v>0</v>
      </c>
      <c r="N576" t="n">
        <v>0</v>
      </c>
      <c r="O576" t="n">
        <v>0</v>
      </c>
      <c r="P576" t="n">
        <v>0</v>
      </c>
      <c r="Q576" t="n">
        <v>0</v>
      </c>
      <c r="R576" s="2" t="inlineStr"/>
    </row>
    <row r="577" ht="15" customHeight="1">
      <c r="A577" t="inlineStr">
        <is>
          <t>A 52104-2025</t>
        </is>
      </c>
      <c r="B577" s="1" t="n">
        <v>45952.68524305556</v>
      </c>
      <c r="C577" s="1" t="n">
        <v>46106</v>
      </c>
      <c r="D577" t="inlineStr">
        <is>
          <t>ÖREBRO LÄN</t>
        </is>
      </c>
      <c r="E577" t="inlineStr">
        <is>
          <t>LINDESBERG</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8139-2023</t>
        </is>
      </c>
      <c r="B578" s="1" t="n">
        <v>44970</v>
      </c>
      <c r="C578" s="1" t="n">
        <v>46106</v>
      </c>
      <c r="D578" t="inlineStr">
        <is>
          <t>ÖREBRO LÄN</t>
        </is>
      </c>
      <c r="E578" t="inlineStr">
        <is>
          <t>LINDESBERG</t>
        </is>
      </c>
      <c r="G578" t="n">
        <v>3.6</v>
      </c>
      <c r="H578" t="n">
        <v>0</v>
      </c>
      <c r="I578" t="n">
        <v>0</v>
      </c>
      <c r="J578" t="n">
        <v>0</v>
      </c>
      <c r="K578" t="n">
        <v>0</v>
      </c>
      <c r="L578" t="n">
        <v>0</v>
      </c>
      <c r="M578" t="n">
        <v>0</v>
      </c>
      <c r="N578" t="n">
        <v>0</v>
      </c>
      <c r="O578" t="n">
        <v>0</v>
      </c>
      <c r="P578" t="n">
        <v>0</v>
      </c>
      <c r="Q578" t="n">
        <v>0</v>
      </c>
      <c r="R578" s="2" t="inlineStr"/>
    </row>
    <row r="579" ht="15" customHeight="1">
      <c r="A579" t="inlineStr">
        <is>
          <t>A 52298-2025</t>
        </is>
      </c>
      <c r="B579" s="1" t="n">
        <v>45953.61387731481</v>
      </c>
      <c r="C579" s="1" t="n">
        <v>46106</v>
      </c>
      <c r="D579" t="inlineStr">
        <is>
          <t>ÖREBRO LÄN</t>
        </is>
      </c>
      <c r="E579" t="inlineStr">
        <is>
          <t>LINDESBERG</t>
        </is>
      </c>
      <c r="G579" t="n">
        <v>18.2</v>
      </c>
      <c r="H579" t="n">
        <v>0</v>
      </c>
      <c r="I579" t="n">
        <v>0</v>
      </c>
      <c r="J579" t="n">
        <v>0</v>
      </c>
      <c r="K579" t="n">
        <v>0</v>
      </c>
      <c r="L579" t="n">
        <v>0</v>
      </c>
      <c r="M579" t="n">
        <v>0</v>
      </c>
      <c r="N579" t="n">
        <v>0</v>
      </c>
      <c r="O579" t="n">
        <v>0</v>
      </c>
      <c r="P579" t="n">
        <v>0</v>
      </c>
      <c r="Q579" t="n">
        <v>0</v>
      </c>
      <c r="R579" s="2" t="inlineStr"/>
    </row>
    <row r="580" ht="15" customHeight="1">
      <c r="A580" t="inlineStr">
        <is>
          <t>A 52730-2025</t>
        </is>
      </c>
      <c r="B580" s="1" t="n">
        <v>45957.36386574074</v>
      </c>
      <c r="C580" s="1" t="n">
        <v>46106</v>
      </c>
      <c r="D580" t="inlineStr">
        <is>
          <t>ÖREBRO LÄN</t>
        </is>
      </c>
      <c r="E580" t="inlineStr">
        <is>
          <t>LINDESBERG</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53168-2023</t>
        </is>
      </c>
      <c r="B581" s="1" t="n">
        <v>45229</v>
      </c>
      <c r="C581" s="1" t="n">
        <v>46106</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52401-2025</t>
        </is>
      </c>
      <c r="B582" s="1" t="n">
        <v>45954.35075231481</v>
      </c>
      <c r="C582" s="1" t="n">
        <v>46106</v>
      </c>
      <c r="D582" t="inlineStr">
        <is>
          <t>ÖREBRO LÄN</t>
        </is>
      </c>
      <c r="E582" t="inlineStr">
        <is>
          <t>LINDESBERG</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52402-2025</t>
        </is>
      </c>
      <c r="B583" s="1" t="n">
        <v>45954.35387731482</v>
      </c>
      <c r="C583" s="1" t="n">
        <v>46106</v>
      </c>
      <c r="D583" t="inlineStr">
        <is>
          <t>ÖREBRO LÄN</t>
        </is>
      </c>
      <c r="E583" t="inlineStr">
        <is>
          <t>LINDESBERG</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36748-2024</t>
        </is>
      </c>
      <c r="B584" s="1" t="n">
        <v>45538.34460648148</v>
      </c>
      <c r="C584" s="1" t="n">
        <v>46106</v>
      </c>
      <c r="D584" t="inlineStr">
        <is>
          <t>ÖREBRO LÄN</t>
        </is>
      </c>
      <c r="E584" t="inlineStr">
        <is>
          <t>LINDESBERG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53288-2025</t>
        </is>
      </c>
      <c r="B585" s="1" t="n">
        <v>45958.79287037037</v>
      </c>
      <c r="C585" s="1" t="n">
        <v>46106</v>
      </c>
      <c r="D585" t="inlineStr">
        <is>
          <t>ÖREBRO LÄN</t>
        </is>
      </c>
      <c r="E585" t="inlineStr">
        <is>
          <t>LINDESBERG</t>
        </is>
      </c>
      <c r="G585" t="n">
        <v>2.3</v>
      </c>
      <c r="H585" t="n">
        <v>0</v>
      </c>
      <c r="I585" t="n">
        <v>0</v>
      </c>
      <c r="J585" t="n">
        <v>0</v>
      </c>
      <c r="K585" t="n">
        <v>0</v>
      </c>
      <c r="L585" t="n">
        <v>0</v>
      </c>
      <c r="M585" t="n">
        <v>0</v>
      </c>
      <c r="N585" t="n">
        <v>0</v>
      </c>
      <c r="O585" t="n">
        <v>0</v>
      </c>
      <c r="P585" t="n">
        <v>0</v>
      </c>
      <c r="Q585" t="n">
        <v>0</v>
      </c>
      <c r="R585" s="2" t="inlineStr"/>
    </row>
    <row r="586" ht="15" customHeight="1">
      <c r="A586" t="inlineStr">
        <is>
          <t>A 53187-2025</t>
        </is>
      </c>
      <c r="B586" s="1" t="n">
        <v>45958.55577546296</v>
      </c>
      <c r="C586" s="1" t="n">
        <v>46106</v>
      </c>
      <c r="D586" t="inlineStr">
        <is>
          <t>ÖREBRO LÄN</t>
        </is>
      </c>
      <c r="E586" t="inlineStr">
        <is>
          <t>LINDESBERG</t>
        </is>
      </c>
      <c r="F586" t="inlineStr">
        <is>
          <t>Kommuner</t>
        </is>
      </c>
      <c r="G586" t="n">
        <v>2.7</v>
      </c>
      <c r="H586" t="n">
        <v>0</v>
      </c>
      <c r="I586" t="n">
        <v>0</v>
      </c>
      <c r="J586" t="n">
        <v>0</v>
      </c>
      <c r="K586" t="n">
        <v>0</v>
      </c>
      <c r="L586" t="n">
        <v>0</v>
      </c>
      <c r="M586" t="n">
        <v>0</v>
      </c>
      <c r="N586" t="n">
        <v>0</v>
      </c>
      <c r="O586" t="n">
        <v>0</v>
      </c>
      <c r="P586" t="n">
        <v>0</v>
      </c>
      <c r="Q586" t="n">
        <v>0</v>
      </c>
      <c r="R586" s="2" t="inlineStr"/>
    </row>
    <row r="587" ht="15" customHeight="1">
      <c r="A587" t="inlineStr">
        <is>
          <t>A 28082-2021</t>
        </is>
      </c>
      <c r="B587" s="1" t="n">
        <v>44355</v>
      </c>
      <c r="C587" s="1" t="n">
        <v>46106</v>
      </c>
      <c r="D587" t="inlineStr">
        <is>
          <t>ÖREBRO LÄN</t>
        </is>
      </c>
      <c r="E587" t="inlineStr">
        <is>
          <t>LINDESBERG</t>
        </is>
      </c>
      <c r="F587" t="inlineStr">
        <is>
          <t>Sveaskog</t>
        </is>
      </c>
      <c r="G587" t="n">
        <v>9.9</v>
      </c>
      <c r="H587" t="n">
        <v>0</v>
      </c>
      <c r="I587" t="n">
        <v>0</v>
      </c>
      <c r="J587" t="n">
        <v>0</v>
      </c>
      <c r="K587" t="n">
        <v>0</v>
      </c>
      <c r="L587" t="n">
        <v>0</v>
      </c>
      <c r="M587" t="n">
        <v>0</v>
      </c>
      <c r="N587" t="n">
        <v>0</v>
      </c>
      <c r="O587" t="n">
        <v>0</v>
      </c>
      <c r="P587" t="n">
        <v>0</v>
      </c>
      <c r="Q587" t="n">
        <v>0</v>
      </c>
      <c r="R587" s="2" t="inlineStr"/>
    </row>
    <row r="588" ht="15" customHeight="1">
      <c r="A588" t="inlineStr">
        <is>
          <t>A 64427-2021</t>
        </is>
      </c>
      <c r="B588" s="1" t="n">
        <v>44511</v>
      </c>
      <c r="C588" s="1" t="n">
        <v>46106</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47620-2023</t>
        </is>
      </c>
      <c r="B589" s="1" t="n">
        <v>45203.510625</v>
      </c>
      <c r="C589" s="1" t="n">
        <v>46106</v>
      </c>
      <c r="D589" t="inlineStr">
        <is>
          <t>ÖREBRO LÄN</t>
        </is>
      </c>
      <c r="E589" t="inlineStr">
        <is>
          <t>LINDESBERG</t>
        </is>
      </c>
      <c r="G589" t="n">
        <v>2.7</v>
      </c>
      <c r="H589" t="n">
        <v>0</v>
      </c>
      <c r="I589" t="n">
        <v>0</v>
      </c>
      <c r="J589" t="n">
        <v>0</v>
      </c>
      <c r="K589" t="n">
        <v>0</v>
      </c>
      <c r="L589" t="n">
        <v>0</v>
      </c>
      <c r="M589" t="n">
        <v>0</v>
      </c>
      <c r="N589" t="n">
        <v>0</v>
      </c>
      <c r="O589" t="n">
        <v>0</v>
      </c>
      <c r="P589" t="n">
        <v>0</v>
      </c>
      <c r="Q589" t="n">
        <v>0</v>
      </c>
      <c r="R589" s="2" t="inlineStr"/>
    </row>
    <row r="590" ht="15" customHeight="1">
      <c r="A590" t="inlineStr">
        <is>
          <t>A 53352-2023</t>
        </is>
      </c>
      <c r="B590" s="1" t="n">
        <v>45229.66262731481</v>
      </c>
      <c r="C590" s="1" t="n">
        <v>46106</v>
      </c>
      <c r="D590" t="inlineStr">
        <is>
          <t>ÖREBRO LÄN</t>
        </is>
      </c>
      <c r="E590" t="inlineStr">
        <is>
          <t>LINDESBERG</t>
        </is>
      </c>
      <c r="F590" t="inlineStr">
        <is>
          <t>Sveaskog</t>
        </is>
      </c>
      <c r="G590" t="n">
        <v>0.3</v>
      </c>
      <c r="H590" t="n">
        <v>0</v>
      </c>
      <c r="I590" t="n">
        <v>0</v>
      </c>
      <c r="J590" t="n">
        <v>0</v>
      </c>
      <c r="K590" t="n">
        <v>0</v>
      </c>
      <c r="L590" t="n">
        <v>0</v>
      </c>
      <c r="M590" t="n">
        <v>0</v>
      </c>
      <c r="N590" t="n">
        <v>0</v>
      </c>
      <c r="O590" t="n">
        <v>0</v>
      </c>
      <c r="P590" t="n">
        <v>0</v>
      </c>
      <c r="Q590" t="n">
        <v>0</v>
      </c>
      <c r="R590" s="2" t="inlineStr"/>
    </row>
    <row r="591" ht="15" customHeight="1">
      <c r="A591" t="inlineStr">
        <is>
          <t>A 53721-2025</t>
        </is>
      </c>
      <c r="B591" s="1" t="n">
        <v>45960</v>
      </c>
      <c r="C591" s="1" t="n">
        <v>46106</v>
      </c>
      <c r="D591" t="inlineStr">
        <is>
          <t>ÖREBRO LÄN</t>
        </is>
      </c>
      <c r="E591" t="inlineStr">
        <is>
          <t>LINDESBERG</t>
        </is>
      </c>
      <c r="G591" t="n">
        <v>3.3</v>
      </c>
      <c r="H591" t="n">
        <v>0</v>
      </c>
      <c r="I591" t="n">
        <v>0</v>
      </c>
      <c r="J591" t="n">
        <v>0</v>
      </c>
      <c r="K591" t="n">
        <v>0</v>
      </c>
      <c r="L591" t="n">
        <v>0</v>
      </c>
      <c r="M591" t="n">
        <v>0</v>
      </c>
      <c r="N591" t="n">
        <v>0</v>
      </c>
      <c r="O591" t="n">
        <v>0</v>
      </c>
      <c r="P591" t="n">
        <v>0</v>
      </c>
      <c r="Q591" t="n">
        <v>0</v>
      </c>
      <c r="R591" s="2" t="inlineStr"/>
    </row>
    <row r="592" ht="15" customHeight="1">
      <c r="A592" t="inlineStr">
        <is>
          <t>A 53723-2025</t>
        </is>
      </c>
      <c r="B592" s="1" t="n">
        <v>45960.62986111111</v>
      </c>
      <c r="C592" s="1" t="n">
        <v>46106</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6727-2022</t>
        </is>
      </c>
      <c r="B593" s="1" t="n">
        <v>44602.45490740741</v>
      </c>
      <c r="C593" s="1" t="n">
        <v>46106</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44803-2024</t>
        </is>
      </c>
      <c r="B594" s="1" t="n">
        <v>45574.65087962963</v>
      </c>
      <c r="C594" s="1" t="n">
        <v>46106</v>
      </c>
      <c r="D594" t="inlineStr">
        <is>
          <t>ÖREBRO LÄN</t>
        </is>
      </c>
      <c r="E594" t="inlineStr">
        <is>
          <t>LINDESBERG</t>
        </is>
      </c>
      <c r="F594" t="inlineStr">
        <is>
          <t>Sveaskog</t>
        </is>
      </c>
      <c r="G594" t="n">
        <v>6.8</v>
      </c>
      <c r="H594" t="n">
        <v>0</v>
      </c>
      <c r="I594" t="n">
        <v>0</v>
      </c>
      <c r="J594" t="n">
        <v>0</v>
      </c>
      <c r="K594" t="n">
        <v>0</v>
      </c>
      <c r="L594" t="n">
        <v>0</v>
      </c>
      <c r="M594" t="n">
        <v>0</v>
      </c>
      <c r="N594" t="n">
        <v>0</v>
      </c>
      <c r="O594" t="n">
        <v>0</v>
      </c>
      <c r="P594" t="n">
        <v>0</v>
      </c>
      <c r="Q594" t="n">
        <v>0</v>
      </c>
      <c r="R594" s="2" t="inlineStr"/>
    </row>
    <row r="595" ht="15" customHeight="1">
      <c r="A595" t="inlineStr">
        <is>
          <t>A 54249-2025</t>
        </is>
      </c>
      <c r="B595" s="1" t="n">
        <v>45964.64599537037</v>
      </c>
      <c r="C595" s="1" t="n">
        <v>46106</v>
      </c>
      <c r="D595" t="inlineStr">
        <is>
          <t>ÖREBRO LÄN</t>
        </is>
      </c>
      <c r="E595" t="inlineStr">
        <is>
          <t>LINDESBERG</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25012-2023</t>
        </is>
      </c>
      <c r="B596" s="1" t="n">
        <v>45085</v>
      </c>
      <c r="C596" s="1" t="n">
        <v>46106</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54070-2025</t>
        </is>
      </c>
      <c r="B597" s="1" t="n">
        <v>45964.34680555556</v>
      </c>
      <c r="C597" s="1" t="n">
        <v>46106</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54072-2025</t>
        </is>
      </c>
      <c r="B598" s="1" t="n">
        <v>45964.3550925926</v>
      </c>
      <c r="C598" s="1" t="n">
        <v>46106</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13969-2025</t>
        </is>
      </c>
      <c r="B599" s="1" t="n">
        <v>45738.43714120371</v>
      </c>
      <c r="C599" s="1" t="n">
        <v>46106</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54250-2025</t>
        </is>
      </c>
      <c r="B600" s="1" t="n">
        <v>45964.64709490741</v>
      </c>
      <c r="C600" s="1" t="n">
        <v>46106</v>
      </c>
      <c r="D600" t="inlineStr">
        <is>
          <t>ÖREBRO LÄN</t>
        </is>
      </c>
      <c r="E600" t="inlineStr">
        <is>
          <t>LINDESBERG</t>
        </is>
      </c>
      <c r="F600" t="inlineStr">
        <is>
          <t>Sveaskog</t>
        </is>
      </c>
      <c r="G600" t="n">
        <v>4.5</v>
      </c>
      <c r="H600" t="n">
        <v>0</v>
      </c>
      <c r="I600" t="n">
        <v>0</v>
      </c>
      <c r="J600" t="n">
        <v>0</v>
      </c>
      <c r="K600" t="n">
        <v>0</v>
      </c>
      <c r="L600" t="n">
        <v>0</v>
      </c>
      <c r="M600" t="n">
        <v>0</v>
      </c>
      <c r="N600" t="n">
        <v>0</v>
      </c>
      <c r="O600" t="n">
        <v>0</v>
      </c>
      <c r="P600" t="n">
        <v>0</v>
      </c>
      <c r="Q600" t="n">
        <v>0</v>
      </c>
      <c r="R600" s="2" t="inlineStr"/>
    </row>
    <row r="601" ht="15" customHeight="1">
      <c r="A601" t="inlineStr">
        <is>
          <t>A 54251-2025</t>
        </is>
      </c>
      <c r="B601" s="1" t="n">
        <v>45964.64778935185</v>
      </c>
      <c r="C601" s="1" t="n">
        <v>46106</v>
      </c>
      <c r="D601" t="inlineStr">
        <is>
          <t>ÖREBRO LÄN</t>
        </is>
      </c>
      <c r="E601" t="inlineStr">
        <is>
          <t>LINDESBERG</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54240-2025</t>
        </is>
      </c>
      <c r="B602" s="1" t="n">
        <v>45964.62796296296</v>
      </c>
      <c r="C602" s="1" t="n">
        <v>46106</v>
      </c>
      <c r="D602" t="inlineStr">
        <is>
          <t>ÖREBRO LÄN</t>
        </is>
      </c>
      <c r="E602" t="inlineStr">
        <is>
          <t>LINDESBERG</t>
        </is>
      </c>
      <c r="G602" t="n">
        <v>3.9</v>
      </c>
      <c r="H602" t="n">
        <v>0</v>
      </c>
      <c r="I602" t="n">
        <v>0</v>
      </c>
      <c r="J602" t="n">
        <v>0</v>
      </c>
      <c r="K602" t="n">
        <v>0</v>
      </c>
      <c r="L602" t="n">
        <v>0</v>
      </c>
      <c r="M602" t="n">
        <v>0</v>
      </c>
      <c r="N602" t="n">
        <v>0</v>
      </c>
      <c r="O602" t="n">
        <v>0</v>
      </c>
      <c r="P602" t="n">
        <v>0</v>
      </c>
      <c r="Q602" t="n">
        <v>0</v>
      </c>
      <c r="R602" s="2" t="inlineStr"/>
    </row>
    <row r="603" ht="15" customHeight="1">
      <c r="A603" t="inlineStr">
        <is>
          <t>A 53366-2023</t>
        </is>
      </c>
      <c r="B603" s="1" t="n">
        <v>45229</v>
      </c>
      <c r="C603" s="1" t="n">
        <v>46106</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42430-2024</t>
        </is>
      </c>
      <c r="B604" s="1" t="n">
        <v>45565.40700231482</v>
      </c>
      <c r="C604" s="1" t="n">
        <v>46106</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55065-2025</t>
        </is>
      </c>
      <c r="B605" s="1" t="n">
        <v>45967.7096875</v>
      </c>
      <c r="C605" s="1" t="n">
        <v>46106</v>
      </c>
      <c r="D605" t="inlineStr">
        <is>
          <t>ÖREBRO LÄN</t>
        </is>
      </c>
      <c r="E605" t="inlineStr">
        <is>
          <t>LINDESBERG</t>
        </is>
      </c>
      <c r="G605" t="n">
        <v>3.5</v>
      </c>
      <c r="H605" t="n">
        <v>0</v>
      </c>
      <c r="I605" t="n">
        <v>0</v>
      </c>
      <c r="J605" t="n">
        <v>0</v>
      </c>
      <c r="K605" t="n">
        <v>0</v>
      </c>
      <c r="L605" t="n">
        <v>0</v>
      </c>
      <c r="M605" t="n">
        <v>0</v>
      </c>
      <c r="N605" t="n">
        <v>0</v>
      </c>
      <c r="O605" t="n">
        <v>0</v>
      </c>
      <c r="P605" t="n">
        <v>0</v>
      </c>
      <c r="Q605" t="n">
        <v>0</v>
      </c>
      <c r="R605" s="2" t="inlineStr"/>
    </row>
    <row r="606" ht="15" customHeight="1">
      <c r="A606" t="inlineStr">
        <is>
          <t>A 36754-2024</t>
        </is>
      </c>
      <c r="B606" s="1" t="n">
        <v>45538.34796296297</v>
      </c>
      <c r="C606" s="1" t="n">
        <v>46106</v>
      </c>
      <c r="D606" t="inlineStr">
        <is>
          <t>ÖREBRO LÄN</t>
        </is>
      </c>
      <c r="E606" t="inlineStr">
        <is>
          <t>LINDESBERG</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1354-2024</t>
        </is>
      </c>
      <c r="B607" s="1" t="n">
        <v>45303</v>
      </c>
      <c r="C607" s="1" t="n">
        <v>46106</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27001-2024</t>
        </is>
      </c>
      <c r="B608" s="1" t="n">
        <v>45471.38995370371</v>
      </c>
      <c r="C608" s="1" t="n">
        <v>46106</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55255-2025</t>
        </is>
      </c>
      <c r="B609" s="1" t="n">
        <v>45968.63695601852</v>
      </c>
      <c r="C609" s="1" t="n">
        <v>46106</v>
      </c>
      <c r="D609" t="inlineStr">
        <is>
          <t>ÖREBRO LÄN</t>
        </is>
      </c>
      <c r="E609" t="inlineStr">
        <is>
          <t>LINDESBERG</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26067-2022</t>
        </is>
      </c>
      <c r="B610" s="1" t="n">
        <v>44734.64337962963</v>
      </c>
      <c r="C610" s="1" t="n">
        <v>46106</v>
      </c>
      <c r="D610" t="inlineStr">
        <is>
          <t>ÖREBRO LÄN</t>
        </is>
      </c>
      <c r="E610" t="inlineStr">
        <is>
          <t>LINDESBERG</t>
        </is>
      </c>
      <c r="G610" t="n">
        <v>3.1</v>
      </c>
      <c r="H610" t="n">
        <v>0</v>
      </c>
      <c r="I610" t="n">
        <v>0</v>
      </c>
      <c r="J610" t="n">
        <v>0</v>
      </c>
      <c r="K610" t="n">
        <v>0</v>
      </c>
      <c r="L610" t="n">
        <v>0</v>
      </c>
      <c r="M610" t="n">
        <v>0</v>
      </c>
      <c r="N610" t="n">
        <v>0</v>
      </c>
      <c r="O610" t="n">
        <v>0</v>
      </c>
      <c r="P610" t="n">
        <v>0</v>
      </c>
      <c r="Q610" t="n">
        <v>0</v>
      </c>
      <c r="R610" s="2" t="inlineStr"/>
    </row>
    <row r="611" ht="15" customHeight="1">
      <c r="A611" t="inlineStr">
        <is>
          <t>A 59395-2022</t>
        </is>
      </c>
      <c r="B611" s="1" t="n">
        <v>44906.73321759259</v>
      </c>
      <c r="C611" s="1" t="n">
        <v>46106</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55477-2025</t>
        </is>
      </c>
      <c r="B612" s="1" t="n">
        <v>45971.56197916667</v>
      </c>
      <c r="C612" s="1" t="n">
        <v>46106</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55490-2025</t>
        </is>
      </c>
      <c r="B613" s="1" t="n">
        <v>45971.57659722222</v>
      </c>
      <c r="C613" s="1" t="n">
        <v>46106</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19043-2023</t>
        </is>
      </c>
      <c r="B614" s="1" t="n">
        <v>45047.7181712963</v>
      </c>
      <c r="C614" s="1" t="n">
        <v>46106</v>
      </c>
      <c r="D614" t="inlineStr">
        <is>
          <t>ÖREBRO LÄN</t>
        </is>
      </c>
      <c r="E614" t="inlineStr">
        <is>
          <t>LINDESBERG</t>
        </is>
      </c>
      <c r="G614" t="n">
        <v>2.6</v>
      </c>
      <c r="H614" t="n">
        <v>0</v>
      </c>
      <c r="I614" t="n">
        <v>0</v>
      </c>
      <c r="J614" t="n">
        <v>0</v>
      </c>
      <c r="K614" t="n">
        <v>0</v>
      </c>
      <c r="L614" t="n">
        <v>0</v>
      </c>
      <c r="M614" t="n">
        <v>0</v>
      </c>
      <c r="N614" t="n">
        <v>0</v>
      </c>
      <c r="O614" t="n">
        <v>0</v>
      </c>
      <c r="P614" t="n">
        <v>0</v>
      </c>
      <c r="Q614" t="n">
        <v>0</v>
      </c>
      <c r="R614" s="2" t="inlineStr"/>
    </row>
    <row r="615" ht="15" customHeight="1">
      <c r="A615" t="inlineStr">
        <is>
          <t>A 41343-2021</t>
        </is>
      </c>
      <c r="B615" s="1" t="n">
        <v>44424.61709490741</v>
      </c>
      <c r="C615" s="1" t="n">
        <v>46106</v>
      </c>
      <c r="D615" t="inlineStr">
        <is>
          <t>ÖREBRO LÄN</t>
        </is>
      </c>
      <c r="E615" t="inlineStr">
        <is>
          <t>LINDESBERG</t>
        </is>
      </c>
      <c r="G615" t="n">
        <v>8.9</v>
      </c>
      <c r="H615" t="n">
        <v>0</v>
      </c>
      <c r="I615" t="n">
        <v>0</v>
      </c>
      <c r="J615" t="n">
        <v>0</v>
      </c>
      <c r="K615" t="n">
        <v>0</v>
      </c>
      <c r="L615" t="n">
        <v>0</v>
      </c>
      <c r="M615" t="n">
        <v>0</v>
      </c>
      <c r="N615" t="n">
        <v>0</v>
      </c>
      <c r="O615" t="n">
        <v>0</v>
      </c>
      <c r="P615" t="n">
        <v>0</v>
      </c>
      <c r="Q615" t="n">
        <v>0</v>
      </c>
      <c r="R615" s="2" t="inlineStr"/>
    </row>
    <row r="616" ht="15" customHeight="1">
      <c r="A616" t="inlineStr">
        <is>
          <t>A 43416-2024</t>
        </is>
      </c>
      <c r="B616" s="1" t="n">
        <v>45568.62625</v>
      </c>
      <c r="C616" s="1" t="n">
        <v>46106</v>
      </c>
      <c r="D616" t="inlineStr">
        <is>
          <t>ÖREBRO LÄN</t>
        </is>
      </c>
      <c r="E616" t="inlineStr">
        <is>
          <t>LINDESBERG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10654-2023</t>
        </is>
      </c>
      <c r="B617" s="1" t="n">
        <v>44984</v>
      </c>
      <c r="C617" s="1" t="n">
        <v>46106</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63125-2023</t>
        </is>
      </c>
      <c r="B618" s="1" t="n">
        <v>45273</v>
      </c>
      <c r="C618" s="1" t="n">
        <v>46106</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56306-2025</t>
        </is>
      </c>
      <c r="B619" s="1" t="n">
        <v>45974.61217592593</v>
      </c>
      <c r="C619" s="1" t="n">
        <v>46106</v>
      </c>
      <c r="D619" t="inlineStr">
        <is>
          <t>ÖREBRO LÄN</t>
        </is>
      </c>
      <c r="E619" t="inlineStr">
        <is>
          <t>LINDESBERG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56308-2025</t>
        </is>
      </c>
      <c r="B620" s="1" t="n">
        <v>45974.61344907407</v>
      </c>
      <c r="C620" s="1" t="n">
        <v>46106</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56232-2025</t>
        </is>
      </c>
      <c r="B621" s="1" t="n">
        <v>45974.53239583333</v>
      </c>
      <c r="C621" s="1" t="n">
        <v>46106</v>
      </c>
      <c r="D621" t="inlineStr">
        <is>
          <t>ÖREBRO LÄN</t>
        </is>
      </c>
      <c r="E621" t="inlineStr">
        <is>
          <t>LINDESBERG</t>
        </is>
      </c>
      <c r="G621" t="n">
        <v>3.2</v>
      </c>
      <c r="H621" t="n">
        <v>0</v>
      </c>
      <c r="I621" t="n">
        <v>0</v>
      </c>
      <c r="J621" t="n">
        <v>0</v>
      </c>
      <c r="K621" t="n">
        <v>0</v>
      </c>
      <c r="L621" t="n">
        <v>0</v>
      </c>
      <c r="M621" t="n">
        <v>0</v>
      </c>
      <c r="N621" t="n">
        <v>0</v>
      </c>
      <c r="O621" t="n">
        <v>0</v>
      </c>
      <c r="P621" t="n">
        <v>0</v>
      </c>
      <c r="Q621" t="n">
        <v>0</v>
      </c>
      <c r="R621" s="2" t="inlineStr"/>
    </row>
    <row r="622" ht="15" customHeight="1">
      <c r="A622" t="inlineStr">
        <is>
          <t>A 14454-2024</t>
        </is>
      </c>
      <c r="B622" s="1" t="n">
        <v>45394.51289351852</v>
      </c>
      <c r="C622" s="1" t="n">
        <v>46106</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56226-2025</t>
        </is>
      </c>
      <c r="B623" s="1" t="n">
        <v>45974.51283564815</v>
      </c>
      <c r="C623" s="1" t="n">
        <v>46106</v>
      </c>
      <c r="D623" t="inlineStr">
        <is>
          <t>ÖREBRO LÄN</t>
        </is>
      </c>
      <c r="E623" t="inlineStr">
        <is>
          <t>LINDESBERG</t>
        </is>
      </c>
      <c r="G623" t="n">
        <v>1.8</v>
      </c>
      <c r="H623" t="n">
        <v>0</v>
      </c>
      <c r="I623" t="n">
        <v>0</v>
      </c>
      <c r="J623" t="n">
        <v>0</v>
      </c>
      <c r="K623" t="n">
        <v>0</v>
      </c>
      <c r="L623" t="n">
        <v>0</v>
      </c>
      <c r="M623" t="n">
        <v>0</v>
      </c>
      <c r="N623" t="n">
        <v>0</v>
      </c>
      <c r="O623" t="n">
        <v>0</v>
      </c>
      <c r="P623" t="n">
        <v>0</v>
      </c>
      <c r="Q623" t="n">
        <v>0</v>
      </c>
      <c r="R623" s="2" t="inlineStr"/>
    </row>
    <row r="624" ht="15" customHeight="1">
      <c r="A624" t="inlineStr">
        <is>
          <t>A 61960-2024</t>
        </is>
      </c>
      <c r="B624" s="1" t="n">
        <v>45653.53664351852</v>
      </c>
      <c r="C624" s="1" t="n">
        <v>46106</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34436-2023</t>
        </is>
      </c>
      <c r="B625" s="1" t="n">
        <v>45139.64328703703</v>
      </c>
      <c r="C625" s="1" t="n">
        <v>46106</v>
      </c>
      <c r="D625" t="inlineStr">
        <is>
          <t>ÖREBRO LÄN</t>
        </is>
      </c>
      <c r="E625" t="inlineStr">
        <is>
          <t>LINDESBERG</t>
        </is>
      </c>
      <c r="F625" t="inlineStr">
        <is>
          <t>Kyrkan</t>
        </is>
      </c>
      <c r="G625" t="n">
        <v>5.8</v>
      </c>
      <c r="H625" t="n">
        <v>0</v>
      </c>
      <c r="I625" t="n">
        <v>0</v>
      </c>
      <c r="J625" t="n">
        <v>0</v>
      </c>
      <c r="K625" t="n">
        <v>0</v>
      </c>
      <c r="L625" t="n">
        <v>0</v>
      </c>
      <c r="M625" t="n">
        <v>0</v>
      </c>
      <c r="N625" t="n">
        <v>0</v>
      </c>
      <c r="O625" t="n">
        <v>0</v>
      </c>
      <c r="P625" t="n">
        <v>0</v>
      </c>
      <c r="Q625" t="n">
        <v>0</v>
      </c>
      <c r="R625" s="2" t="inlineStr"/>
    </row>
    <row r="626" ht="15" customHeight="1">
      <c r="A626" t="inlineStr">
        <is>
          <t>A 54860-2024</t>
        </is>
      </c>
      <c r="B626" s="1" t="n">
        <v>45618.59219907408</v>
      </c>
      <c r="C626" s="1" t="n">
        <v>46106</v>
      </c>
      <c r="D626" t="inlineStr">
        <is>
          <t>ÖREBRO LÄN</t>
        </is>
      </c>
      <c r="E626" t="inlineStr">
        <is>
          <t>LINDESBERG</t>
        </is>
      </c>
      <c r="F626" t="inlineStr">
        <is>
          <t>Sveaskog</t>
        </is>
      </c>
      <c r="G626" t="n">
        <v>0.3</v>
      </c>
      <c r="H626" t="n">
        <v>0</v>
      </c>
      <c r="I626" t="n">
        <v>0</v>
      </c>
      <c r="J626" t="n">
        <v>0</v>
      </c>
      <c r="K626" t="n">
        <v>0</v>
      </c>
      <c r="L626" t="n">
        <v>0</v>
      </c>
      <c r="M626" t="n">
        <v>0</v>
      </c>
      <c r="N626" t="n">
        <v>0</v>
      </c>
      <c r="O626" t="n">
        <v>0</v>
      </c>
      <c r="P626" t="n">
        <v>0</v>
      </c>
      <c r="Q626" t="n">
        <v>0</v>
      </c>
      <c r="R626" s="2" t="inlineStr"/>
    </row>
    <row r="627" ht="15" customHeight="1">
      <c r="A627" t="inlineStr">
        <is>
          <t>A 56982-2025</t>
        </is>
      </c>
      <c r="B627" s="1" t="n">
        <v>45978.71075231482</v>
      </c>
      <c r="C627" s="1" t="n">
        <v>46106</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57299-2025</t>
        </is>
      </c>
      <c r="B628" s="1" t="n">
        <v>45979.81347222222</v>
      </c>
      <c r="C628" s="1" t="n">
        <v>46106</v>
      </c>
      <c r="D628" t="inlineStr">
        <is>
          <t>ÖREBRO LÄN</t>
        </is>
      </c>
      <c r="E628" t="inlineStr">
        <is>
          <t>LINDESBERG</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57317-2025</t>
        </is>
      </c>
      <c r="B629" s="1" t="n">
        <v>45980.01226851852</v>
      </c>
      <c r="C629" s="1" t="n">
        <v>46106</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57300-2025</t>
        </is>
      </c>
      <c r="B630" s="1" t="n">
        <v>45979.81403935186</v>
      </c>
      <c r="C630" s="1" t="n">
        <v>46106</v>
      </c>
      <c r="D630" t="inlineStr">
        <is>
          <t>ÖREBRO LÄN</t>
        </is>
      </c>
      <c r="E630" t="inlineStr">
        <is>
          <t>LINDESBERG</t>
        </is>
      </c>
      <c r="F630" t="inlineStr">
        <is>
          <t>Sveaskog</t>
        </is>
      </c>
      <c r="G630" t="n">
        <v>4.9</v>
      </c>
      <c r="H630" t="n">
        <v>0</v>
      </c>
      <c r="I630" t="n">
        <v>0</v>
      </c>
      <c r="J630" t="n">
        <v>0</v>
      </c>
      <c r="K630" t="n">
        <v>0</v>
      </c>
      <c r="L630" t="n">
        <v>0</v>
      </c>
      <c r="M630" t="n">
        <v>0</v>
      </c>
      <c r="N630" t="n">
        <v>0</v>
      </c>
      <c r="O630" t="n">
        <v>0</v>
      </c>
      <c r="P630" t="n">
        <v>0</v>
      </c>
      <c r="Q630" t="n">
        <v>0</v>
      </c>
      <c r="R630" s="2" t="inlineStr"/>
    </row>
    <row r="631" ht="15" customHeight="1">
      <c r="A631" t="inlineStr">
        <is>
          <t>A 57359-2025</t>
        </is>
      </c>
      <c r="B631" s="1" t="n">
        <v>45980.36866898148</v>
      </c>
      <c r="C631" s="1" t="n">
        <v>46106</v>
      </c>
      <c r="D631" t="inlineStr">
        <is>
          <t>ÖREBRO LÄN</t>
        </is>
      </c>
      <c r="E631" t="inlineStr">
        <is>
          <t>LINDESBERG</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57361-2025</t>
        </is>
      </c>
      <c r="B632" s="1" t="n">
        <v>45980.36988425926</v>
      </c>
      <c r="C632" s="1" t="n">
        <v>46106</v>
      </c>
      <c r="D632" t="inlineStr">
        <is>
          <t>ÖREBRO LÄN</t>
        </is>
      </c>
      <c r="E632" t="inlineStr">
        <is>
          <t>LINDESBERG</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46106</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46106</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46106</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46106</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46106</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6181-2025</t>
        </is>
      </c>
      <c r="B638" s="1" t="n">
        <v>45698</v>
      </c>
      <c r="C638" s="1" t="n">
        <v>46106</v>
      </c>
      <c r="D638" t="inlineStr">
        <is>
          <t>ÖREBRO LÄN</t>
        </is>
      </c>
      <c r="E638" t="inlineStr">
        <is>
          <t>LINDESBERG</t>
        </is>
      </c>
      <c r="G638" t="n">
        <v>2.8</v>
      </c>
      <c r="H638" t="n">
        <v>0</v>
      </c>
      <c r="I638" t="n">
        <v>0</v>
      </c>
      <c r="J638" t="n">
        <v>0</v>
      </c>
      <c r="K638" t="n">
        <v>0</v>
      </c>
      <c r="L638" t="n">
        <v>0</v>
      </c>
      <c r="M638" t="n">
        <v>0</v>
      </c>
      <c r="N638" t="n">
        <v>0</v>
      </c>
      <c r="O638" t="n">
        <v>0</v>
      </c>
      <c r="P638" t="n">
        <v>0</v>
      </c>
      <c r="Q638" t="n">
        <v>0</v>
      </c>
      <c r="R638" s="2" t="inlineStr"/>
    </row>
    <row r="639" ht="15" customHeight="1">
      <c r="A639" t="inlineStr">
        <is>
          <t>A 57363-2025</t>
        </is>
      </c>
      <c r="B639" s="1" t="n">
        <v>45980.3716087963</v>
      </c>
      <c r="C639" s="1" t="n">
        <v>46106</v>
      </c>
      <c r="D639" t="inlineStr">
        <is>
          <t>ÖREBRO LÄN</t>
        </is>
      </c>
      <c r="E639" t="inlineStr">
        <is>
          <t>LINDESBERG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57356-2025</t>
        </is>
      </c>
      <c r="B640" s="1" t="n">
        <v>45980.36633101852</v>
      </c>
      <c r="C640" s="1" t="n">
        <v>46106</v>
      </c>
      <c r="D640" t="inlineStr">
        <is>
          <t>ÖREBRO LÄN</t>
        </is>
      </c>
      <c r="E640" t="inlineStr">
        <is>
          <t>LINDESBERG</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57358-2025</t>
        </is>
      </c>
      <c r="B641" s="1" t="n">
        <v>45980.36679398148</v>
      </c>
      <c r="C641" s="1" t="n">
        <v>46106</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8612-2024</t>
        </is>
      </c>
      <c r="B642" s="1" t="n">
        <v>45355.70009259259</v>
      </c>
      <c r="C642" s="1" t="n">
        <v>46106</v>
      </c>
      <c r="D642" t="inlineStr">
        <is>
          <t>ÖREBRO LÄN</t>
        </is>
      </c>
      <c r="E642" t="inlineStr">
        <is>
          <t>LINDESBERG</t>
        </is>
      </c>
      <c r="G642" t="n">
        <v>4.5</v>
      </c>
      <c r="H642" t="n">
        <v>0</v>
      </c>
      <c r="I642" t="n">
        <v>0</v>
      </c>
      <c r="J642" t="n">
        <v>0</v>
      </c>
      <c r="K642" t="n">
        <v>0</v>
      </c>
      <c r="L642" t="n">
        <v>0</v>
      </c>
      <c r="M642" t="n">
        <v>0</v>
      </c>
      <c r="N642" t="n">
        <v>0</v>
      </c>
      <c r="O642" t="n">
        <v>0</v>
      </c>
      <c r="P642" t="n">
        <v>0</v>
      </c>
      <c r="Q642" t="n">
        <v>0</v>
      </c>
      <c r="R642" s="2" t="inlineStr"/>
    </row>
    <row r="643" ht="15" customHeight="1">
      <c r="A643" t="inlineStr">
        <is>
          <t>A 7126-2025</t>
        </is>
      </c>
      <c r="B643" s="1" t="n">
        <v>45702</v>
      </c>
      <c r="C643" s="1" t="n">
        <v>46106</v>
      </c>
      <c r="D643" t="inlineStr">
        <is>
          <t>ÖREBRO LÄN</t>
        </is>
      </c>
      <c r="E643" t="inlineStr">
        <is>
          <t>LINDESBERG</t>
        </is>
      </c>
      <c r="G643" t="n">
        <v>1.3</v>
      </c>
      <c r="H643" t="n">
        <v>0</v>
      </c>
      <c r="I643" t="n">
        <v>0</v>
      </c>
      <c r="J643" t="n">
        <v>0</v>
      </c>
      <c r="K643" t="n">
        <v>0</v>
      </c>
      <c r="L643" t="n">
        <v>0</v>
      </c>
      <c r="M643" t="n">
        <v>0</v>
      </c>
      <c r="N643" t="n">
        <v>0</v>
      </c>
      <c r="O643" t="n">
        <v>0</v>
      </c>
      <c r="P643" t="n">
        <v>0</v>
      </c>
      <c r="Q643" t="n">
        <v>0</v>
      </c>
      <c r="R643" s="2" t="inlineStr"/>
    </row>
    <row r="644" ht="15" customHeight="1">
      <c r="A644" t="inlineStr">
        <is>
          <t>A 58166-2025</t>
        </is>
      </c>
      <c r="B644" s="1" t="n">
        <v>45982.71017361111</v>
      </c>
      <c r="C644" s="1" t="n">
        <v>46106</v>
      </c>
      <c r="D644" t="inlineStr">
        <is>
          <t>ÖREBRO LÄN</t>
        </is>
      </c>
      <c r="E644" t="inlineStr">
        <is>
          <t>LINDESBERG</t>
        </is>
      </c>
      <c r="G644" t="n">
        <v>2.5</v>
      </c>
      <c r="H644" t="n">
        <v>0</v>
      </c>
      <c r="I644" t="n">
        <v>0</v>
      </c>
      <c r="J644" t="n">
        <v>0</v>
      </c>
      <c r="K644" t="n">
        <v>0</v>
      </c>
      <c r="L644" t="n">
        <v>0</v>
      </c>
      <c r="M644" t="n">
        <v>0</v>
      </c>
      <c r="N644" t="n">
        <v>0</v>
      </c>
      <c r="O644" t="n">
        <v>0</v>
      </c>
      <c r="P644" t="n">
        <v>0</v>
      </c>
      <c r="Q644" t="n">
        <v>0</v>
      </c>
      <c r="R644" s="2" t="inlineStr"/>
    </row>
    <row r="645" ht="15" customHeight="1">
      <c r="A645" t="inlineStr">
        <is>
          <t>A 9961-2023</t>
        </is>
      </c>
      <c r="B645" s="1" t="n">
        <v>44979</v>
      </c>
      <c r="C645" s="1" t="n">
        <v>46106</v>
      </c>
      <c r="D645" t="inlineStr">
        <is>
          <t>ÖREBRO LÄN</t>
        </is>
      </c>
      <c r="E645" t="inlineStr">
        <is>
          <t>LINDESBERG</t>
        </is>
      </c>
      <c r="G645" t="n">
        <v>4.8</v>
      </c>
      <c r="H645" t="n">
        <v>0</v>
      </c>
      <c r="I645" t="n">
        <v>0</v>
      </c>
      <c r="J645" t="n">
        <v>0</v>
      </c>
      <c r="K645" t="n">
        <v>0</v>
      </c>
      <c r="L645" t="n">
        <v>0</v>
      </c>
      <c r="M645" t="n">
        <v>0</v>
      </c>
      <c r="N645" t="n">
        <v>0</v>
      </c>
      <c r="O645" t="n">
        <v>0</v>
      </c>
      <c r="P645" t="n">
        <v>0</v>
      </c>
      <c r="Q645" t="n">
        <v>0</v>
      </c>
      <c r="R645" s="2" t="inlineStr"/>
    </row>
    <row r="646" ht="15" customHeight="1">
      <c r="A646" t="inlineStr">
        <is>
          <t>A 21084-2021</t>
        </is>
      </c>
      <c r="B646" s="1" t="n">
        <v>44319</v>
      </c>
      <c r="C646" s="1" t="n">
        <v>46106</v>
      </c>
      <c r="D646" t="inlineStr">
        <is>
          <t>ÖREBRO LÄN</t>
        </is>
      </c>
      <c r="E646" t="inlineStr">
        <is>
          <t>LINDESBERG</t>
        </is>
      </c>
      <c r="G646" t="n">
        <v>3.1</v>
      </c>
      <c r="H646" t="n">
        <v>0</v>
      </c>
      <c r="I646" t="n">
        <v>0</v>
      </c>
      <c r="J646" t="n">
        <v>0</v>
      </c>
      <c r="K646" t="n">
        <v>0</v>
      </c>
      <c r="L646" t="n">
        <v>0</v>
      </c>
      <c r="M646" t="n">
        <v>0</v>
      </c>
      <c r="N646" t="n">
        <v>0</v>
      </c>
      <c r="O646" t="n">
        <v>0</v>
      </c>
      <c r="P646" t="n">
        <v>0</v>
      </c>
      <c r="Q646" t="n">
        <v>0</v>
      </c>
      <c r="R646" s="2" t="inlineStr"/>
    </row>
    <row r="647" ht="15" customHeight="1">
      <c r="A647" t="inlineStr">
        <is>
          <t>A 58963-2025</t>
        </is>
      </c>
      <c r="B647" s="1" t="n">
        <v>45987.60012731481</v>
      </c>
      <c r="C647" s="1" t="n">
        <v>46106</v>
      </c>
      <c r="D647" t="inlineStr">
        <is>
          <t>ÖREBRO LÄN</t>
        </is>
      </c>
      <c r="E647" t="inlineStr">
        <is>
          <t>LINDESBERG</t>
        </is>
      </c>
      <c r="G647" t="n">
        <v>0.8</v>
      </c>
      <c r="H647" t="n">
        <v>0</v>
      </c>
      <c r="I647" t="n">
        <v>0</v>
      </c>
      <c r="J647" t="n">
        <v>0</v>
      </c>
      <c r="K647" t="n">
        <v>0</v>
      </c>
      <c r="L647" t="n">
        <v>0</v>
      </c>
      <c r="M647" t="n">
        <v>0</v>
      </c>
      <c r="N647" t="n">
        <v>0</v>
      </c>
      <c r="O647" t="n">
        <v>0</v>
      </c>
      <c r="P647" t="n">
        <v>0</v>
      </c>
      <c r="Q647" t="n">
        <v>0</v>
      </c>
      <c r="R647" s="2" t="inlineStr"/>
    </row>
    <row r="648" ht="15" customHeight="1">
      <c r="A648" t="inlineStr">
        <is>
          <t>A 5047-2023</t>
        </is>
      </c>
      <c r="B648" s="1" t="n">
        <v>44958.58982638889</v>
      </c>
      <c r="C648" s="1" t="n">
        <v>46106</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18590-2023</t>
        </is>
      </c>
      <c r="B649" s="1" t="n">
        <v>45043.40300925926</v>
      </c>
      <c r="C649" s="1" t="n">
        <v>46106</v>
      </c>
      <c r="D649" t="inlineStr">
        <is>
          <t>ÖREBRO LÄN</t>
        </is>
      </c>
      <c r="E649" t="inlineStr">
        <is>
          <t>LINDESBERG</t>
        </is>
      </c>
      <c r="G649" t="n">
        <v>2.4</v>
      </c>
      <c r="H649" t="n">
        <v>0</v>
      </c>
      <c r="I649" t="n">
        <v>0</v>
      </c>
      <c r="J649" t="n">
        <v>0</v>
      </c>
      <c r="K649" t="n">
        <v>0</v>
      </c>
      <c r="L649" t="n">
        <v>0</v>
      </c>
      <c r="M649" t="n">
        <v>0</v>
      </c>
      <c r="N649" t="n">
        <v>0</v>
      </c>
      <c r="O649" t="n">
        <v>0</v>
      </c>
      <c r="P649" t="n">
        <v>0</v>
      </c>
      <c r="Q649" t="n">
        <v>0</v>
      </c>
      <c r="R649" s="2" t="inlineStr"/>
    </row>
    <row r="650" ht="15" customHeight="1">
      <c r="A650" t="inlineStr">
        <is>
          <t>A 5784-2025</t>
        </is>
      </c>
      <c r="B650" s="1" t="n">
        <v>45694</v>
      </c>
      <c r="C650" s="1" t="n">
        <v>46106</v>
      </c>
      <c r="D650" t="inlineStr">
        <is>
          <t>ÖREBRO LÄN</t>
        </is>
      </c>
      <c r="E650" t="inlineStr">
        <is>
          <t>LINDESBERG</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16448-2025</t>
        </is>
      </c>
      <c r="B651" s="1" t="n">
        <v>45751.5056712963</v>
      </c>
      <c r="C651" s="1" t="n">
        <v>46106</v>
      </c>
      <c r="D651" t="inlineStr">
        <is>
          <t>ÖREBRO LÄN</t>
        </is>
      </c>
      <c r="E651" t="inlineStr">
        <is>
          <t>LINDESBERG</t>
        </is>
      </c>
      <c r="G651" t="n">
        <v>20.1</v>
      </c>
      <c r="H651" t="n">
        <v>0</v>
      </c>
      <c r="I651" t="n">
        <v>0</v>
      </c>
      <c r="J651" t="n">
        <v>0</v>
      </c>
      <c r="K651" t="n">
        <v>0</v>
      </c>
      <c r="L651" t="n">
        <v>0</v>
      </c>
      <c r="M651" t="n">
        <v>0</v>
      </c>
      <c r="N651" t="n">
        <v>0</v>
      </c>
      <c r="O651" t="n">
        <v>0</v>
      </c>
      <c r="P651" t="n">
        <v>0</v>
      </c>
      <c r="Q651" t="n">
        <v>0</v>
      </c>
      <c r="R651" s="2" t="inlineStr"/>
    </row>
    <row r="652" ht="15" customHeight="1">
      <c r="A652" t="inlineStr">
        <is>
          <t>A 54432-2023</t>
        </is>
      </c>
      <c r="B652" s="1" t="n">
        <v>45233.42121527778</v>
      </c>
      <c r="C652" s="1" t="n">
        <v>46106</v>
      </c>
      <c r="D652" t="inlineStr">
        <is>
          <t>ÖREBRO LÄN</t>
        </is>
      </c>
      <c r="E652" t="inlineStr">
        <is>
          <t>LINDESBERG</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9436-2023</t>
        </is>
      </c>
      <c r="B653" s="1" t="n">
        <v>44981</v>
      </c>
      <c r="C653" s="1" t="n">
        <v>46106</v>
      </c>
      <c r="D653" t="inlineStr">
        <is>
          <t>ÖREBRO LÄN</t>
        </is>
      </c>
      <c r="E653" t="inlineStr">
        <is>
          <t>LINDESBERG</t>
        </is>
      </c>
      <c r="G653" t="n">
        <v>2.8</v>
      </c>
      <c r="H653" t="n">
        <v>0</v>
      </c>
      <c r="I653" t="n">
        <v>0</v>
      </c>
      <c r="J653" t="n">
        <v>0</v>
      </c>
      <c r="K653" t="n">
        <v>0</v>
      </c>
      <c r="L653" t="n">
        <v>0</v>
      </c>
      <c r="M653" t="n">
        <v>0</v>
      </c>
      <c r="N653" t="n">
        <v>0</v>
      </c>
      <c r="O653" t="n">
        <v>0</v>
      </c>
      <c r="P653" t="n">
        <v>0</v>
      </c>
      <c r="Q653" t="n">
        <v>0</v>
      </c>
      <c r="R653" s="2" t="inlineStr"/>
    </row>
    <row r="654" ht="15" customHeight="1">
      <c r="A654" t="inlineStr">
        <is>
          <t>A 60200-2024</t>
        </is>
      </c>
      <c r="B654" s="1" t="n">
        <v>45642.66184027777</v>
      </c>
      <c r="C654" s="1" t="n">
        <v>46106</v>
      </c>
      <c r="D654" t="inlineStr">
        <is>
          <t>ÖREBRO LÄN</t>
        </is>
      </c>
      <c r="E654" t="inlineStr">
        <is>
          <t>LINDESBERG</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36747-2024</t>
        </is>
      </c>
      <c r="B655" s="1" t="n">
        <v>45538.34193287037</v>
      </c>
      <c r="C655" s="1" t="n">
        <v>46106</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13305-2023</t>
        </is>
      </c>
      <c r="B656" s="1" t="n">
        <v>45005.35967592592</v>
      </c>
      <c r="C656" s="1" t="n">
        <v>46106</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13368-2023</t>
        </is>
      </c>
      <c r="B657" s="1" t="n">
        <v>45005.47820601852</v>
      </c>
      <c r="C657" s="1" t="n">
        <v>46106</v>
      </c>
      <c r="D657" t="inlineStr">
        <is>
          <t>ÖREBRO LÄN</t>
        </is>
      </c>
      <c r="E657" t="inlineStr">
        <is>
          <t>LINDESBERG</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56912-2024</t>
        </is>
      </c>
      <c r="B658" s="1" t="n">
        <v>45628.59233796296</v>
      </c>
      <c r="C658" s="1" t="n">
        <v>46106</v>
      </c>
      <c r="D658" t="inlineStr">
        <is>
          <t>ÖREBRO LÄN</t>
        </is>
      </c>
      <c r="E658" t="inlineStr">
        <is>
          <t>LINDESBERG</t>
        </is>
      </c>
      <c r="G658" t="n">
        <v>1</v>
      </c>
      <c r="H658" t="n">
        <v>0</v>
      </c>
      <c r="I658" t="n">
        <v>0</v>
      </c>
      <c r="J658" t="n">
        <v>0</v>
      </c>
      <c r="K658" t="n">
        <v>0</v>
      </c>
      <c r="L658" t="n">
        <v>0</v>
      </c>
      <c r="M658" t="n">
        <v>0</v>
      </c>
      <c r="N658" t="n">
        <v>0</v>
      </c>
      <c r="O658" t="n">
        <v>0</v>
      </c>
      <c r="P658" t="n">
        <v>0</v>
      </c>
      <c r="Q658" t="n">
        <v>0</v>
      </c>
      <c r="R658" s="2" t="inlineStr"/>
    </row>
    <row r="659" ht="15" customHeight="1">
      <c r="A659" t="inlineStr">
        <is>
          <t>A 15745-2024</t>
        </is>
      </c>
      <c r="B659" s="1" t="n">
        <v>45404.55239583334</v>
      </c>
      <c r="C659" s="1" t="n">
        <v>46106</v>
      </c>
      <c r="D659" t="inlineStr">
        <is>
          <t>ÖREBRO LÄN</t>
        </is>
      </c>
      <c r="E659" t="inlineStr">
        <is>
          <t>LINDESBERG</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15750-2024</t>
        </is>
      </c>
      <c r="B660" s="1" t="n">
        <v>45404.55601851852</v>
      </c>
      <c r="C660" s="1" t="n">
        <v>46106</v>
      </c>
      <c r="D660" t="inlineStr">
        <is>
          <t>ÖREBRO LÄN</t>
        </is>
      </c>
      <c r="E660" t="inlineStr">
        <is>
          <t>LINDESBERG</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72698-2021</t>
        </is>
      </c>
      <c r="B661" s="1" t="n">
        <v>44546.6679050926</v>
      </c>
      <c r="C661" s="1" t="n">
        <v>46106</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19110-2025</t>
        </is>
      </c>
      <c r="B662" s="1" t="n">
        <v>45768.49947916667</v>
      </c>
      <c r="C662" s="1" t="n">
        <v>46106</v>
      </c>
      <c r="D662" t="inlineStr">
        <is>
          <t>ÖREBRO LÄN</t>
        </is>
      </c>
      <c r="E662" t="inlineStr">
        <is>
          <t>LINDESBERG</t>
        </is>
      </c>
      <c r="G662" t="n">
        <v>2.6</v>
      </c>
      <c r="H662" t="n">
        <v>0</v>
      </c>
      <c r="I662" t="n">
        <v>0</v>
      </c>
      <c r="J662" t="n">
        <v>0</v>
      </c>
      <c r="K662" t="n">
        <v>0</v>
      </c>
      <c r="L662" t="n">
        <v>0</v>
      </c>
      <c r="M662" t="n">
        <v>0</v>
      </c>
      <c r="N662" t="n">
        <v>0</v>
      </c>
      <c r="O662" t="n">
        <v>0</v>
      </c>
      <c r="P662" t="n">
        <v>0</v>
      </c>
      <c r="Q662" t="n">
        <v>0</v>
      </c>
      <c r="R662" s="2" t="inlineStr"/>
    </row>
    <row r="663" ht="15" customHeight="1">
      <c r="A663" t="inlineStr">
        <is>
          <t>A 46678-2023</t>
        </is>
      </c>
      <c r="B663" s="1" t="n">
        <v>45194</v>
      </c>
      <c r="C663" s="1" t="n">
        <v>46106</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23579-2022</t>
        </is>
      </c>
      <c r="B664" s="1" t="n">
        <v>44721.52627314815</v>
      </c>
      <c r="C664" s="1" t="n">
        <v>46106</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53054-2022</t>
        </is>
      </c>
      <c r="B665" s="1" t="n">
        <v>44876.35706018518</v>
      </c>
      <c r="C665" s="1" t="n">
        <v>46106</v>
      </c>
      <c r="D665" t="inlineStr">
        <is>
          <t>ÖREBRO LÄN</t>
        </is>
      </c>
      <c r="E665" t="inlineStr">
        <is>
          <t>LINDESBERG</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20467-2023</t>
        </is>
      </c>
      <c r="B666" s="1" t="n">
        <v>45057</v>
      </c>
      <c r="C666" s="1" t="n">
        <v>46106</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35140-2023</t>
        </is>
      </c>
      <c r="B667" s="1" t="n">
        <v>45145</v>
      </c>
      <c r="C667" s="1" t="n">
        <v>46106</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38762-2021</t>
        </is>
      </c>
      <c r="B668" s="1" t="n">
        <v>44410.61837962963</v>
      </c>
      <c r="C668" s="1" t="n">
        <v>46106</v>
      </c>
      <c r="D668" t="inlineStr">
        <is>
          <t>ÖREBRO LÄN</t>
        </is>
      </c>
      <c r="E668" t="inlineStr">
        <is>
          <t>LINDESBERG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46106</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39419-2023</t>
        </is>
      </c>
      <c r="B670" s="1" t="n">
        <v>45166.68493055556</v>
      </c>
      <c r="C670" s="1" t="n">
        <v>46106</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60450-2025</t>
        </is>
      </c>
      <c r="B671" s="1" t="n">
        <v>45995</v>
      </c>
      <c r="C671" s="1" t="n">
        <v>46106</v>
      </c>
      <c r="D671" t="inlineStr">
        <is>
          <t>ÖREBRO LÄN</t>
        </is>
      </c>
      <c r="E671" t="inlineStr">
        <is>
          <t>LINDESBERG</t>
        </is>
      </c>
      <c r="G671" t="n">
        <v>4.1</v>
      </c>
      <c r="H671" t="n">
        <v>0</v>
      </c>
      <c r="I671" t="n">
        <v>0</v>
      </c>
      <c r="J671" t="n">
        <v>0</v>
      </c>
      <c r="K671" t="n">
        <v>0</v>
      </c>
      <c r="L671" t="n">
        <v>0</v>
      </c>
      <c r="M671" t="n">
        <v>0</v>
      </c>
      <c r="N671" t="n">
        <v>0</v>
      </c>
      <c r="O671" t="n">
        <v>0</v>
      </c>
      <c r="P671" t="n">
        <v>0</v>
      </c>
      <c r="Q671" t="n">
        <v>0</v>
      </c>
      <c r="R671" s="2" t="inlineStr"/>
    </row>
    <row r="672" ht="15" customHeight="1">
      <c r="A672" t="inlineStr">
        <is>
          <t>A 60806-2025</t>
        </is>
      </c>
      <c r="B672" s="1" t="n">
        <v>45999.43730324074</v>
      </c>
      <c r="C672" s="1" t="n">
        <v>46106</v>
      </c>
      <c r="D672" t="inlineStr">
        <is>
          <t>ÖREBRO LÄN</t>
        </is>
      </c>
      <c r="E672" t="inlineStr">
        <is>
          <t>LINDESBERG</t>
        </is>
      </c>
      <c r="G672" t="n">
        <v>7.9</v>
      </c>
      <c r="H672" t="n">
        <v>0</v>
      </c>
      <c r="I672" t="n">
        <v>0</v>
      </c>
      <c r="J672" t="n">
        <v>0</v>
      </c>
      <c r="K672" t="n">
        <v>0</v>
      </c>
      <c r="L672" t="n">
        <v>0</v>
      </c>
      <c r="M672" t="n">
        <v>0</v>
      </c>
      <c r="N672" t="n">
        <v>0</v>
      </c>
      <c r="O672" t="n">
        <v>0</v>
      </c>
      <c r="P672" t="n">
        <v>0</v>
      </c>
      <c r="Q672" t="n">
        <v>0</v>
      </c>
      <c r="R672" s="2" t="inlineStr"/>
    </row>
    <row r="673" ht="15" customHeight="1">
      <c r="A673" t="inlineStr">
        <is>
          <t>A 6470-2024</t>
        </is>
      </c>
      <c r="B673" s="1" t="n">
        <v>45338</v>
      </c>
      <c r="C673" s="1" t="n">
        <v>46106</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58697-2024</t>
        </is>
      </c>
      <c r="B674" s="1" t="n">
        <v>45635.63706018519</v>
      </c>
      <c r="C674" s="1" t="n">
        <v>46106</v>
      </c>
      <c r="D674" t="inlineStr">
        <is>
          <t>ÖREBRO LÄN</t>
        </is>
      </c>
      <c r="E674" t="inlineStr">
        <is>
          <t>LINDESBERG</t>
        </is>
      </c>
      <c r="G674" t="n">
        <v>25.1</v>
      </c>
      <c r="H674" t="n">
        <v>0</v>
      </c>
      <c r="I674" t="n">
        <v>0</v>
      </c>
      <c r="J674" t="n">
        <v>0</v>
      </c>
      <c r="K674" t="n">
        <v>0</v>
      </c>
      <c r="L674" t="n">
        <v>0</v>
      </c>
      <c r="M674" t="n">
        <v>0</v>
      </c>
      <c r="N674" t="n">
        <v>0</v>
      </c>
      <c r="O674" t="n">
        <v>0</v>
      </c>
      <c r="P674" t="n">
        <v>0</v>
      </c>
      <c r="Q674" t="n">
        <v>0</v>
      </c>
      <c r="R674" s="2" t="inlineStr"/>
    </row>
    <row r="675" ht="15" customHeight="1">
      <c r="A675" t="inlineStr">
        <is>
          <t>A 45978-2021</t>
        </is>
      </c>
      <c r="B675" s="1" t="n">
        <v>44441.70047453704</v>
      </c>
      <c r="C675" s="1" t="n">
        <v>46106</v>
      </c>
      <c r="D675" t="inlineStr">
        <is>
          <t>ÖREBRO LÄN</t>
        </is>
      </c>
      <c r="E675" t="inlineStr">
        <is>
          <t>LINDESBERG</t>
        </is>
      </c>
      <c r="G675" t="n">
        <v>4.4</v>
      </c>
      <c r="H675" t="n">
        <v>0</v>
      </c>
      <c r="I675" t="n">
        <v>0</v>
      </c>
      <c r="J675" t="n">
        <v>0</v>
      </c>
      <c r="K675" t="n">
        <v>0</v>
      </c>
      <c r="L675" t="n">
        <v>0</v>
      </c>
      <c r="M675" t="n">
        <v>0</v>
      </c>
      <c r="N675" t="n">
        <v>0</v>
      </c>
      <c r="O675" t="n">
        <v>0</v>
      </c>
      <c r="P675" t="n">
        <v>0</v>
      </c>
      <c r="Q675" t="n">
        <v>0</v>
      </c>
      <c r="R675" s="2" t="inlineStr"/>
    </row>
    <row r="676" ht="15" customHeight="1">
      <c r="A676" t="inlineStr">
        <is>
          <t>A 11218-2025</t>
        </is>
      </c>
      <c r="B676" s="1" t="n">
        <v>45726.33763888889</v>
      </c>
      <c r="C676" s="1" t="n">
        <v>46106</v>
      </c>
      <c r="D676" t="inlineStr">
        <is>
          <t>ÖREBRO LÄN</t>
        </is>
      </c>
      <c r="E676" t="inlineStr">
        <is>
          <t>LINDESBERG</t>
        </is>
      </c>
      <c r="G676" t="n">
        <v>0.4</v>
      </c>
      <c r="H676" t="n">
        <v>0</v>
      </c>
      <c r="I676" t="n">
        <v>0</v>
      </c>
      <c r="J676" t="n">
        <v>0</v>
      </c>
      <c r="K676" t="n">
        <v>0</v>
      </c>
      <c r="L676" t="n">
        <v>0</v>
      </c>
      <c r="M676" t="n">
        <v>0</v>
      </c>
      <c r="N676" t="n">
        <v>0</v>
      </c>
      <c r="O676" t="n">
        <v>0</v>
      </c>
      <c r="P676" t="n">
        <v>0</v>
      </c>
      <c r="Q676" t="n">
        <v>0</v>
      </c>
      <c r="R676" s="2" t="inlineStr"/>
    </row>
    <row r="677" ht="15" customHeight="1">
      <c r="A677" t="inlineStr">
        <is>
          <t>A 11220-2025</t>
        </is>
      </c>
      <c r="B677" s="1" t="n">
        <v>45726.34090277777</v>
      </c>
      <c r="C677" s="1" t="n">
        <v>46106</v>
      </c>
      <c r="D677" t="inlineStr">
        <is>
          <t>ÖREBRO LÄN</t>
        </is>
      </c>
      <c r="E677" t="inlineStr">
        <is>
          <t>LINDESBERG</t>
        </is>
      </c>
      <c r="G677" t="n">
        <v>1</v>
      </c>
      <c r="H677" t="n">
        <v>0</v>
      </c>
      <c r="I677" t="n">
        <v>0</v>
      </c>
      <c r="J677" t="n">
        <v>0</v>
      </c>
      <c r="K677" t="n">
        <v>0</v>
      </c>
      <c r="L677" t="n">
        <v>0</v>
      </c>
      <c r="M677" t="n">
        <v>0</v>
      </c>
      <c r="N677" t="n">
        <v>0</v>
      </c>
      <c r="O677" t="n">
        <v>0</v>
      </c>
      <c r="P677" t="n">
        <v>0</v>
      </c>
      <c r="Q677" t="n">
        <v>0</v>
      </c>
      <c r="R677" s="2" t="inlineStr"/>
    </row>
    <row r="678" ht="15" customHeight="1">
      <c r="A678" t="inlineStr">
        <is>
          <t>A 37616-2023</t>
        </is>
      </c>
      <c r="B678" s="1" t="n">
        <v>45159.44525462963</v>
      </c>
      <c r="C678" s="1" t="n">
        <v>46106</v>
      </c>
      <c r="D678" t="inlineStr">
        <is>
          <t>ÖREBRO LÄN</t>
        </is>
      </c>
      <c r="E678" t="inlineStr">
        <is>
          <t>LINDESBERG</t>
        </is>
      </c>
      <c r="G678" t="n">
        <v>5.3</v>
      </c>
      <c r="H678" t="n">
        <v>0</v>
      </c>
      <c r="I678" t="n">
        <v>0</v>
      </c>
      <c r="J678" t="n">
        <v>0</v>
      </c>
      <c r="K678" t="n">
        <v>0</v>
      </c>
      <c r="L678" t="n">
        <v>0</v>
      </c>
      <c r="M678" t="n">
        <v>0</v>
      </c>
      <c r="N678" t="n">
        <v>0</v>
      </c>
      <c r="O678" t="n">
        <v>0</v>
      </c>
      <c r="P678" t="n">
        <v>0</v>
      </c>
      <c r="Q678" t="n">
        <v>0</v>
      </c>
      <c r="R678" s="2" t="inlineStr"/>
    </row>
    <row r="679" ht="15" customHeight="1">
      <c r="A679" t="inlineStr">
        <is>
          <t>A 28562-2023</t>
        </is>
      </c>
      <c r="B679" s="1" t="n">
        <v>45103.53614583334</v>
      </c>
      <c r="C679" s="1" t="n">
        <v>46106</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21016-2023</t>
        </is>
      </c>
      <c r="B680" s="1" t="n">
        <v>45061.53414351852</v>
      </c>
      <c r="C680" s="1" t="n">
        <v>46106</v>
      </c>
      <c r="D680" t="inlineStr">
        <is>
          <t>ÖREBRO LÄN</t>
        </is>
      </c>
      <c r="E680" t="inlineStr">
        <is>
          <t>LINDESBERG</t>
        </is>
      </c>
      <c r="G680" t="n">
        <v>8.1</v>
      </c>
      <c r="H680" t="n">
        <v>0</v>
      </c>
      <c r="I680" t="n">
        <v>0</v>
      </c>
      <c r="J680" t="n">
        <v>0</v>
      </c>
      <c r="K680" t="n">
        <v>0</v>
      </c>
      <c r="L680" t="n">
        <v>0</v>
      </c>
      <c r="M680" t="n">
        <v>0</v>
      </c>
      <c r="N680" t="n">
        <v>0</v>
      </c>
      <c r="O680" t="n">
        <v>0</v>
      </c>
      <c r="P680" t="n">
        <v>0</v>
      </c>
      <c r="Q680" t="n">
        <v>0</v>
      </c>
      <c r="R680" s="2" t="inlineStr"/>
    </row>
    <row r="681" ht="15" customHeight="1">
      <c r="A681" t="inlineStr">
        <is>
          <t>A 61761-2025</t>
        </is>
      </c>
      <c r="B681" s="1" t="n">
        <v>46002.62465277778</v>
      </c>
      <c r="C681" s="1" t="n">
        <v>46106</v>
      </c>
      <c r="D681" t="inlineStr">
        <is>
          <t>ÖREBRO LÄN</t>
        </is>
      </c>
      <c r="E681" t="inlineStr">
        <is>
          <t>LINDESBERG</t>
        </is>
      </c>
      <c r="G681" t="n">
        <v>3.8</v>
      </c>
      <c r="H681" t="n">
        <v>0</v>
      </c>
      <c r="I681" t="n">
        <v>0</v>
      </c>
      <c r="J681" t="n">
        <v>0</v>
      </c>
      <c r="K681" t="n">
        <v>0</v>
      </c>
      <c r="L681" t="n">
        <v>0</v>
      </c>
      <c r="M681" t="n">
        <v>0</v>
      </c>
      <c r="N681" t="n">
        <v>0</v>
      </c>
      <c r="O681" t="n">
        <v>0</v>
      </c>
      <c r="P681" t="n">
        <v>0</v>
      </c>
      <c r="Q681" t="n">
        <v>0</v>
      </c>
      <c r="R681" s="2" t="inlineStr"/>
    </row>
    <row r="682" ht="15" customHeight="1">
      <c r="A682" t="inlineStr">
        <is>
          <t>A 64084-2023</t>
        </is>
      </c>
      <c r="B682" s="1" t="n">
        <v>45279</v>
      </c>
      <c r="C682" s="1" t="n">
        <v>46106</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61745-2025</t>
        </is>
      </c>
      <c r="B683" s="1" t="n">
        <v>46002.60324074074</v>
      </c>
      <c r="C683" s="1" t="n">
        <v>46106</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33886-2024</t>
        </is>
      </c>
      <c r="B684" s="1" t="n">
        <v>45523.31621527778</v>
      </c>
      <c r="C684" s="1" t="n">
        <v>46106</v>
      </c>
      <c r="D684" t="inlineStr">
        <is>
          <t>ÖREBRO LÄN</t>
        </is>
      </c>
      <c r="E684" t="inlineStr">
        <is>
          <t>LINDESBERG</t>
        </is>
      </c>
      <c r="G684" t="n">
        <v>1.3</v>
      </c>
      <c r="H684" t="n">
        <v>0</v>
      </c>
      <c r="I684" t="n">
        <v>0</v>
      </c>
      <c r="J684" t="n">
        <v>0</v>
      </c>
      <c r="K684" t="n">
        <v>0</v>
      </c>
      <c r="L684" t="n">
        <v>0</v>
      </c>
      <c r="M684" t="n">
        <v>0</v>
      </c>
      <c r="N684" t="n">
        <v>0</v>
      </c>
      <c r="O684" t="n">
        <v>0</v>
      </c>
      <c r="P684" t="n">
        <v>0</v>
      </c>
      <c r="Q684" t="n">
        <v>0</v>
      </c>
      <c r="R684" s="2" t="inlineStr"/>
    </row>
    <row r="685" ht="15" customHeight="1">
      <c r="A685" t="inlineStr">
        <is>
          <t>A 43046-2022</t>
        </is>
      </c>
      <c r="B685" s="1" t="n">
        <v>44833</v>
      </c>
      <c r="C685" s="1" t="n">
        <v>46106</v>
      </c>
      <c r="D685" t="inlineStr">
        <is>
          <t>ÖREBRO LÄN</t>
        </is>
      </c>
      <c r="E685" t="inlineStr">
        <is>
          <t>LINDESBERG</t>
        </is>
      </c>
      <c r="G685" t="n">
        <v>0.9</v>
      </c>
      <c r="H685" t="n">
        <v>0</v>
      </c>
      <c r="I685" t="n">
        <v>0</v>
      </c>
      <c r="J685" t="n">
        <v>0</v>
      </c>
      <c r="K685" t="n">
        <v>0</v>
      </c>
      <c r="L685" t="n">
        <v>0</v>
      </c>
      <c r="M685" t="n">
        <v>0</v>
      </c>
      <c r="N685" t="n">
        <v>0</v>
      </c>
      <c r="O685" t="n">
        <v>0</v>
      </c>
      <c r="P685" t="n">
        <v>0</v>
      </c>
      <c r="Q685" t="n">
        <v>0</v>
      </c>
      <c r="R685" s="2" t="inlineStr"/>
    </row>
    <row r="686" ht="15" customHeight="1">
      <c r="A686" t="inlineStr">
        <is>
          <t>A 61758-2025</t>
        </is>
      </c>
      <c r="B686" s="1" t="n">
        <v>46002.61762731482</v>
      </c>
      <c r="C686" s="1" t="n">
        <v>46106</v>
      </c>
      <c r="D686" t="inlineStr">
        <is>
          <t>ÖREBRO LÄN</t>
        </is>
      </c>
      <c r="E686" t="inlineStr">
        <is>
          <t>LINDESBERG</t>
        </is>
      </c>
      <c r="G686" t="n">
        <v>1.8</v>
      </c>
      <c r="H686" t="n">
        <v>0</v>
      </c>
      <c r="I686" t="n">
        <v>0</v>
      </c>
      <c r="J686" t="n">
        <v>0</v>
      </c>
      <c r="K686" t="n">
        <v>0</v>
      </c>
      <c r="L686" t="n">
        <v>0</v>
      </c>
      <c r="M686" t="n">
        <v>0</v>
      </c>
      <c r="N686" t="n">
        <v>0</v>
      </c>
      <c r="O686" t="n">
        <v>0</v>
      </c>
      <c r="P686" t="n">
        <v>0</v>
      </c>
      <c r="Q686" t="n">
        <v>0</v>
      </c>
      <c r="R686" s="2" t="inlineStr"/>
    </row>
    <row r="687" ht="15" customHeight="1">
      <c r="A687" t="inlineStr">
        <is>
          <t>A 62866-2023</t>
        </is>
      </c>
      <c r="B687" s="1" t="n">
        <v>45272.36168981482</v>
      </c>
      <c r="C687" s="1" t="n">
        <v>46106</v>
      </c>
      <c r="D687" t="inlineStr">
        <is>
          <t>ÖREBRO LÄN</t>
        </is>
      </c>
      <c r="E687" t="inlineStr">
        <is>
          <t>LINDESBERG</t>
        </is>
      </c>
      <c r="G687" t="n">
        <v>14.5</v>
      </c>
      <c r="H687" t="n">
        <v>0</v>
      </c>
      <c r="I687" t="n">
        <v>0</v>
      </c>
      <c r="J687" t="n">
        <v>0</v>
      </c>
      <c r="K687" t="n">
        <v>0</v>
      </c>
      <c r="L687" t="n">
        <v>0</v>
      </c>
      <c r="M687" t="n">
        <v>0</v>
      </c>
      <c r="N687" t="n">
        <v>0</v>
      </c>
      <c r="O687" t="n">
        <v>0</v>
      </c>
      <c r="P687" t="n">
        <v>0</v>
      </c>
      <c r="Q687" t="n">
        <v>0</v>
      </c>
      <c r="R687" s="2" t="inlineStr"/>
    </row>
    <row r="688" ht="15" customHeight="1">
      <c r="A688" t="inlineStr">
        <is>
          <t>A 6-2023</t>
        </is>
      </c>
      <c r="B688" s="1" t="n">
        <v>44927.72487268518</v>
      </c>
      <c r="C688" s="1" t="n">
        <v>46106</v>
      </c>
      <c r="D688" t="inlineStr">
        <is>
          <t>ÖREBRO LÄN</t>
        </is>
      </c>
      <c r="E688" t="inlineStr">
        <is>
          <t>LINDESBERG</t>
        </is>
      </c>
      <c r="G688" t="n">
        <v>2.8</v>
      </c>
      <c r="H688" t="n">
        <v>0</v>
      </c>
      <c r="I688" t="n">
        <v>0</v>
      </c>
      <c r="J688" t="n">
        <v>0</v>
      </c>
      <c r="K688" t="n">
        <v>0</v>
      </c>
      <c r="L688" t="n">
        <v>0</v>
      </c>
      <c r="M688" t="n">
        <v>0</v>
      </c>
      <c r="N688" t="n">
        <v>0</v>
      </c>
      <c r="O688" t="n">
        <v>0</v>
      </c>
      <c r="P688" t="n">
        <v>0</v>
      </c>
      <c r="Q688" t="n">
        <v>0</v>
      </c>
      <c r="R688" s="2" t="inlineStr"/>
    </row>
    <row r="689" ht="15" customHeight="1">
      <c r="A689" t="inlineStr">
        <is>
          <t>A 13729-2025</t>
        </is>
      </c>
      <c r="B689" s="1" t="n">
        <v>45737.3846412037</v>
      </c>
      <c r="C689" s="1" t="n">
        <v>46106</v>
      </c>
      <c r="D689" t="inlineStr">
        <is>
          <t>ÖREBRO LÄN</t>
        </is>
      </c>
      <c r="E689" t="inlineStr">
        <is>
          <t>LINDESBERG</t>
        </is>
      </c>
      <c r="F689" t="inlineStr">
        <is>
          <t>Sveaskog</t>
        </is>
      </c>
      <c r="G689" t="n">
        <v>5.4</v>
      </c>
      <c r="H689" t="n">
        <v>0</v>
      </c>
      <c r="I689" t="n">
        <v>0</v>
      </c>
      <c r="J689" t="n">
        <v>0</v>
      </c>
      <c r="K689" t="n">
        <v>0</v>
      </c>
      <c r="L689" t="n">
        <v>0</v>
      </c>
      <c r="M689" t="n">
        <v>0</v>
      </c>
      <c r="N689" t="n">
        <v>0</v>
      </c>
      <c r="O689" t="n">
        <v>0</v>
      </c>
      <c r="P689" t="n">
        <v>0</v>
      </c>
      <c r="Q689" t="n">
        <v>0</v>
      </c>
      <c r="R689" s="2" t="inlineStr"/>
    </row>
    <row r="690" ht="15" customHeight="1">
      <c r="A690" t="inlineStr">
        <is>
          <t>A 41353-2024</t>
        </is>
      </c>
      <c r="B690" s="1" t="n">
        <v>45559</v>
      </c>
      <c r="C690" s="1" t="n">
        <v>46106</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58050-2025</t>
        </is>
      </c>
      <c r="B691" s="1" t="n">
        <v>45982</v>
      </c>
      <c r="C691" s="1" t="n">
        <v>46106</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58056-2025</t>
        </is>
      </c>
      <c r="B692" s="1" t="n">
        <v>45982</v>
      </c>
      <c r="C692" s="1" t="n">
        <v>46106</v>
      </c>
      <c r="D692" t="inlineStr">
        <is>
          <t>ÖREBRO LÄN</t>
        </is>
      </c>
      <c r="E692" t="inlineStr">
        <is>
          <t>LINDESBERG</t>
        </is>
      </c>
      <c r="G692" t="n">
        <v>0.9</v>
      </c>
      <c r="H692" t="n">
        <v>0</v>
      </c>
      <c r="I692" t="n">
        <v>0</v>
      </c>
      <c r="J692" t="n">
        <v>0</v>
      </c>
      <c r="K692" t="n">
        <v>0</v>
      </c>
      <c r="L692" t="n">
        <v>0</v>
      </c>
      <c r="M692" t="n">
        <v>0</v>
      </c>
      <c r="N692" t="n">
        <v>0</v>
      </c>
      <c r="O692" t="n">
        <v>0</v>
      </c>
      <c r="P692" t="n">
        <v>0</v>
      </c>
      <c r="Q692" t="n">
        <v>0</v>
      </c>
      <c r="R692" s="2" t="inlineStr"/>
    </row>
    <row r="693" ht="15" customHeight="1">
      <c r="A693" t="inlineStr">
        <is>
          <t>A 62383-2025</t>
        </is>
      </c>
      <c r="B693" s="1" t="n">
        <v>46007.3708449074</v>
      </c>
      <c r="C693" s="1" t="n">
        <v>46106</v>
      </c>
      <c r="D693" t="inlineStr">
        <is>
          <t>ÖREBRO LÄN</t>
        </is>
      </c>
      <c r="E693" t="inlineStr">
        <is>
          <t>LINDESBERG</t>
        </is>
      </c>
      <c r="G693" t="n">
        <v>3.5</v>
      </c>
      <c r="H693" t="n">
        <v>0</v>
      </c>
      <c r="I693" t="n">
        <v>0</v>
      </c>
      <c r="J693" t="n">
        <v>0</v>
      </c>
      <c r="K693" t="n">
        <v>0</v>
      </c>
      <c r="L693" t="n">
        <v>0</v>
      </c>
      <c r="M693" t="n">
        <v>0</v>
      </c>
      <c r="N693" t="n">
        <v>0</v>
      </c>
      <c r="O693" t="n">
        <v>0</v>
      </c>
      <c r="P693" t="n">
        <v>0</v>
      </c>
      <c r="Q693" t="n">
        <v>0</v>
      </c>
      <c r="R693" s="2" t="inlineStr"/>
    </row>
    <row r="694" ht="15" customHeight="1">
      <c r="A694" t="inlineStr">
        <is>
          <t>A 63508-2023</t>
        </is>
      </c>
      <c r="B694" s="1" t="n">
        <v>45274</v>
      </c>
      <c r="C694" s="1" t="n">
        <v>46106</v>
      </c>
      <c r="D694" t="inlineStr">
        <is>
          <t>ÖREBRO LÄN</t>
        </is>
      </c>
      <c r="E694" t="inlineStr">
        <is>
          <t>LINDESBERG</t>
        </is>
      </c>
      <c r="G694" t="n">
        <v>1.4</v>
      </c>
      <c r="H694" t="n">
        <v>0</v>
      </c>
      <c r="I694" t="n">
        <v>0</v>
      </c>
      <c r="J694" t="n">
        <v>0</v>
      </c>
      <c r="K694" t="n">
        <v>0</v>
      </c>
      <c r="L694" t="n">
        <v>0</v>
      </c>
      <c r="M694" t="n">
        <v>0</v>
      </c>
      <c r="N694" t="n">
        <v>0</v>
      </c>
      <c r="O694" t="n">
        <v>0</v>
      </c>
      <c r="P694" t="n">
        <v>0</v>
      </c>
      <c r="Q694" t="n">
        <v>0</v>
      </c>
      <c r="R694" s="2" t="inlineStr"/>
    </row>
    <row r="695" ht="15" customHeight="1">
      <c r="A695" t="inlineStr">
        <is>
          <t>A 62246-2025</t>
        </is>
      </c>
      <c r="B695" s="1" t="n">
        <v>46006.60633101852</v>
      </c>
      <c r="C695" s="1" t="n">
        <v>46106</v>
      </c>
      <c r="D695" t="inlineStr">
        <is>
          <t>ÖREBRO LÄN</t>
        </is>
      </c>
      <c r="E695" t="inlineStr">
        <is>
          <t>LINDESBERG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36136-2023</t>
        </is>
      </c>
      <c r="B696" s="1" t="n">
        <v>45149</v>
      </c>
      <c r="C696" s="1" t="n">
        <v>46106</v>
      </c>
      <c r="D696" t="inlineStr">
        <is>
          <t>ÖREBRO LÄN</t>
        </is>
      </c>
      <c r="E696" t="inlineStr">
        <is>
          <t>LINDESBERG</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63083-2025</t>
        </is>
      </c>
      <c r="B697" s="1" t="n">
        <v>46009.67175925926</v>
      </c>
      <c r="C697" s="1" t="n">
        <v>46106</v>
      </c>
      <c r="D697" t="inlineStr">
        <is>
          <t>ÖREBRO LÄN</t>
        </is>
      </c>
      <c r="E697" t="inlineStr">
        <is>
          <t>LINDESBERG</t>
        </is>
      </c>
      <c r="G697" t="n">
        <v>0.7</v>
      </c>
      <c r="H697" t="n">
        <v>0</v>
      </c>
      <c r="I697" t="n">
        <v>0</v>
      </c>
      <c r="J697" t="n">
        <v>0</v>
      </c>
      <c r="K697" t="n">
        <v>0</v>
      </c>
      <c r="L697" t="n">
        <v>0</v>
      </c>
      <c r="M697" t="n">
        <v>0</v>
      </c>
      <c r="N697" t="n">
        <v>0</v>
      </c>
      <c r="O697" t="n">
        <v>0</v>
      </c>
      <c r="P697" t="n">
        <v>0</v>
      </c>
      <c r="Q697" t="n">
        <v>0</v>
      </c>
      <c r="R697" s="2" t="inlineStr"/>
    </row>
    <row r="698" ht="15" customHeight="1">
      <c r="A698" t="inlineStr">
        <is>
          <t>A 63078-2025</t>
        </is>
      </c>
      <c r="B698" s="1" t="n">
        <v>46009</v>
      </c>
      <c r="C698" s="1" t="n">
        <v>46106</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34025-2024</t>
        </is>
      </c>
      <c r="B699" s="1" t="n">
        <v>45523.58565972222</v>
      </c>
      <c r="C699" s="1" t="n">
        <v>46106</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19077-2025</t>
        </is>
      </c>
      <c r="B700" s="1" t="n">
        <v>45766.33309027777</v>
      </c>
      <c r="C700" s="1" t="n">
        <v>46106</v>
      </c>
      <c r="D700" t="inlineStr">
        <is>
          <t>ÖREBRO LÄN</t>
        </is>
      </c>
      <c r="E700" t="inlineStr">
        <is>
          <t>LINDESBERG</t>
        </is>
      </c>
      <c r="G700" t="n">
        <v>0</v>
      </c>
      <c r="H700" t="n">
        <v>0</v>
      </c>
      <c r="I700" t="n">
        <v>0</v>
      </c>
      <c r="J700" t="n">
        <v>0</v>
      </c>
      <c r="K700" t="n">
        <v>0</v>
      </c>
      <c r="L700" t="n">
        <v>0</v>
      </c>
      <c r="M700" t="n">
        <v>0</v>
      </c>
      <c r="N700" t="n">
        <v>0</v>
      </c>
      <c r="O700" t="n">
        <v>0</v>
      </c>
      <c r="P700" t="n">
        <v>0</v>
      </c>
      <c r="Q700" t="n">
        <v>0</v>
      </c>
      <c r="R700" s="2" t="inlineStr"/>
    </row>
    <row r="701" ht="15" customHeight="1">
      <c r="A701" t="inlineStr">
        <is>
          <t>A 62603-2025</t>
        </is>
      </c>
      <c r="B701" s="1" t="n">
        <v>46008.25765046296</v>
      </c>
      <c r="C701" s="1" t="n">
        <v>46106</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62604-2025</t>
        </is>
      </c>
      <c r="B702" s="1" t="n">
        <v>46008.26085648148</v>
      </c>
      <c r="C702" s="1" t="n">
        <v>46106</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13884-2023</t>
        </is>
      </c>
      <c r="B703" s="1" t="n">
        <v>45007</v>
      </c>
      <c r="C703" s="1" t="n">
        <v>46106</v>
      </c>
      <c r="D703" t="inlineStr">
        <is>
          <t>ÖREBRO LÄN</t>
        </is>
      </c>
      <c r="E703" t="inlineStr">
        <is>
          <t>LINDESBERG</t>
        </is>
      </c>
      <c r="F703" t="inlineStr">
        <is>
          <t>Kommuner</t>
        </is>
      </c>
      <c r="G703" t="n">
        <v>7.7</v>
      </c>
      <c r="H703" t="n">
        <v>0</v>
      </c>
      <c r="I703" t="n">
        <v>0</v>
      </c>
      <c r="J703" t="n">
        <v>0</v>
      </c>
      <c r="K703" t="n">
        <v>0</v>
      </c>
      <c r="L703" t="n">
        <v>0</v>
      </c>
      <c r="M703" t="n">
        <v>0</v>
      </c>
      <c r="N703" t="n">
        <v>0</v>
      </c>
      <c r="O703" t="n">
        <v>0</v>
      </c>
      <c r="P703" t="n">
        <v>0</v>
      </c>
      <c r="Q703" t="n">
        <v>0</v>
      </c>
      <c r="R703" s="2" t="inlineStr"/>
    </row>
    <row r="704" ht="15" customHeight="1">
      <c r="A704" t="inlineStr">
        <is>
          <t>A 50275-2024</t>
        </is>
      </c>
      <c r="B704" s="1" t="n">
        <v>45600.60071759259</v>
      </c>
      <c r="C704" s="1" t="n">
        <v>46106</v>
      </c>
      <c r="D704" t="inlineStr">
        <is>
          <t>ÖREBRO LÄN</t>
        </is>
      </c>
      <c r="E704" t="inlineStr">
        <is>
          <t>LINDESBERG</t>
        </is>
      </c>
      <c r="G704" t="n">
        <v>4.3</v>
      </c>
      <c r="H704" t="n">
        <v>0</v>
      </c>
      <c r="I704" t="n">
        <v>0</v>
      </c>
      <c r="J704" t="n">
        <v>0</v>
      </c>
      <c r="K704" t="n">
        <v>0</v>
      </c>
      <c r="L704" t="n">
        <v>0</v>
      </c>
      <c r="M704" t="n">
        <v>0</v>
      </c>
      <c r="N704" t="n">
        <v>0</v>
      </c>
      <c r="O704" t="n">
        <v>0</v>
      </c>
      <c r="P704" t="n">
        <v>0</v>
      </c>
      <c r="Q704" t="n">
        <v>0</v>
      </c>
      <c r="R704" s="2" t="inlineStr"/>
    </row>
    <row r="705" ht="15" customHeight="1">
      <c r="A705" t="inlineStr">
        <is>
          <t>A 17463-2023</t>
        </is>
      </c>
      <c r="B705" s="1" t="n">
        <v>45036</v>
      </c>
      <c r="C705" s="1" t="n">
        <v>46106</v>
      </c>
      <c r="D705" t="inlineStr">
        <is>
          <t>ÖREBRO LÄN</t>
        </is>
      </c>
      <c r="E705" t="inlineStr">
        <is>
          <t>LINDESBERG</t>
        </is>
      </c>
      <c r="G705" t="n">
        <v>0.6</v>
      </c>
      <c r="H705" t="n">
        <v>0</v>
      </c>
      <c r="I705" t="n">
        <v>0</v>
      </c>
      <c r="J705" t="n">
        <v>0</v>
      </c>
      <c r="K705" t="n">
        <v>0</v>
      </c>
      <c r="L705" t="n">
        <v>0</v>
      </c>
      <c r="M705" t="n">
        <v>0</v>
      </c>
      <c r="N705" t="n">
        <v>0</v>
      </c>
      <c r="O705" t="n">
        <v>0</v>
      </c>
      <c r="P705" t="n">
        <v>0</v>
      </c>
      <c r="Q705" t="n">
        <v>0</v>
      </c>
      <c r="R705" s="2" t="inlineStr"/>
    </row>
    <row r="706" ht="15" customHeight="1">
      <c r="A706" t="inlineStr">
        <is>
          <t>A 63526-2025</t>
        </is>
      </c>
      <c r="B706" s="1" t="n">
        <v>46013</v>
      </c>
      <c r="C706" s="1" t="n">
        <v>46106</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61736-2025</t>
        </is>
      </c>
      <c r="B707" s="1" t="n">
        <v>46002</v>
      </c>
      <c r="C707" s="1" t="n">
        <v>46106</v>
      </c>
      <c r="D707" t="inlineStr">
        <is>
          <t>ÖREBRO LÄN</t>
        </is>
      </c>
      <c r="E707" t="inlineStr">
        <is>
          <t>LINDESBERG</t>
        </is>
      </c>
      <c r="G707" t="n">
        <v>4.5</v>
      </c>
      <c r="H707" t="n">
        <v>0</v>
      </c>
      <c r="I707" t="n">
        <v>0</v>
      </c>
      <c r="J707" t="n">
        <v>0</v>
      </c>
      <c r="K707" t="n">
        <v>0</v>
      </c>
      <c r="L707" t="n">
        <v>0</v>
      </c>
      <c r="M707" t="n">
        <v>0</v>
      </c>
      <c r="N707" t="n">
        <v>0</v>
      </c>
      <c r="O707" t="n">
        <v>0</v>
      </c>
      <c r="P707" t="n">
        <v>0</v>
      </c>
      <c r="Q707" t="n">
        <v>0</v>
      </c>
      <c r="R707" s="2" t="inlineStr"/>
    </row>
    <row r="708" ht="15" customHeight="1">
      <c r="A708" t="inlineStr">
        <is>
          <t>A 61739-2025</t>
        </is>
      </c>
      <c r="B708" s="1" t="n">
        <v>46002</v>
      </c>
      <c r="C708" s="1" t="n">
        <v>46106</v>
      </c>
      <c r="D708" t="inlineStr">
        <is>
          <t>ÖREBRO LÄN</t>
        </is>
      </c>
      <c r="E708" t="inlineStr">
        <is>
          <t>LINDESBERG</t>
        </is>
      </c>
      <c r="G708" t="n">
        <v>5.3</v>
      </c>
      <c r="H708" t="n">
        <v>0</v>
      </c>
      <c r="I708" t="n">
        <v>0</v>
      </c>
      <c r="J708" t="n">
        <v>0</v>
      </c>
      <c r="K708" t="n">
        <v>0</v>
      </c>
      <c r="L708" t="n">
        <v>0</v>
      </c>
      <c r="M708" t="n">
        <v>0</v>
      </c>
      <c r="N708" t="n">
        <v>0</v>
      </c>
      <c r="O708" t="n">
        <v>0</v>
      </c>
      <c r="P708" t="n">
        <v>0</v>
      </c>
      <c r="Q708" t="n">
        <v>0</v>
      </c>
      <c r="R708" s="2" t="inlineStr"/>
    </row>
    <row r="709" ht="15" customHeight="1">
      <c r="A709" t="inlineStr">
        <is>
          <t>A 14522-2025</t>
        </is>
      </c>
      <c r="B709" s="1" t="n">
        <v>45741.64491898148</v>
      </c>
      <c r="C709" s="1" t="n">
        <v>46106</v>
      </c>
      <c r="D709" t="inlineStr">
        <is>
          <t>ÖREBRO LÄN</t>
        </is>
      </c>
      <c r="E709" t="inlineStr">
        <is>
          <t>LINDESBERG</t>
        </is>
      </c>
      <c r="G709" t="n">
        <v>4.5</v>
      </c>
      <c r="H709" t="n">
        <v>0</v>
      </c>
      <c r="I709" t="n">
        <v>0</v>
      </c>
      <c r="J709" t="n">
        <v>0</v>
      </c>
      <c r="K709" t="n">
        <v>0</v>
      </c>
      <c r="L709" t="n">
        <v>0</v>
      </c>
      <c r="M709" t="n">
        <v>0</v>
      </c>
      <c r="N709" t="n">
        <v>0</v>
      </c>
      <c r="O709" t="n">
        <v>0</v>
      </c>
      <c r="P709" t="n">
        <v>0</v>
      </c>
      <c r="Q709" t="n">
        <v>0</v>
      </c>
      <c r="R709" s="2" t="inlineStr"/>
    </row>
    <row r="710" ht="15" customHeight="1">
      <c r="A710" t="inlineStr">
        <is>
          <t>A 36001-2021</t>
        </is>
      </c>
      <c r="B710" s="1" t="n">
        <v>44389</v>
      </c>
      <c r="C710" s="1" t="n">
        <v>46106</v>
      </c>
      <c r="D710" t="inlineStr">
        <is>
          <t>ÖREBRO LÄN</t>
        </is>
      </c>
      <c r="E710" t="inlineStr">
        <is>
          <t>LINDESBERG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33280-2024</t>
        </is>
      </c>
      <c r="B711" s="1" t="n">
        <v>45518.71048611111</v>
      </c>
      <c r="C711" s="1" t="n">
        <v>46106</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33281-2024</t>
        </is>
      </c>
      <c r="B712" s="1" t="n">
        <v>45518.71202546296</v>
      </c>
      <c r="C712" s="1" t="n">
        <v>46106</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33283-2024</t>
        </is>
      </c>
      <c r="B713" s="1" t="n">
        <v>45518.71591435185</v>
      </c>
      <c r="C713" s="1" t="n">
        <v>46106</v>
      </c>
      <c r="D713" t="inlineStr">
        <is>
          <t>ÖREBRO LÄN</t>
        </is>
      </c>
      <c r="E713" t="inlineStr">
        <is>
          <t>LINDESBERG</t>
        </is>
      </c>
      <c r="G713" t="n">
        <v>3.9</v>
      </c>
      <c r="H713" t="n">
        <v>0</v>
      </c>
      <c r="I713" t="n">
        <v>0</v>
      </c>
      <c r="J713" t="n">
        <v>0</v>
      </c>
      <c r="K713" t="n">
        <v>0</v>
      </c>
      <c r="L713" t="n">
        <v>0</v>
      </c>
      <c r="M713" t="n">
        <v>0</v>
      </c>
      <c r="N713" t="n">
        <v>0</v>
      </c>
      <c r="O713" t="n">
        <v>0</v>
      </c>
      <c r="P713" t="n">
        <v>0</v>
      </c>
      <c r="Q713" t="n">
        <v>0</v>
      </c>
      <c r="R713" s="2" t="inlineStr"/>
    </row>
    <row r="714" ht="15" customHeight="1">
      <c r="A714" t="inlineStr">
        <is>
          <t>A 39140-2024</t>
        </is>
      </c>
      <c r="B714" s="1" t="n">
        <v>45548</v>
      </c>
      <c r="C714" s="1" t="n">
        <v>46106</v>
      </c>
      <c r="D714" t="inlineStr">
        <is>
          <t>ÖREBRO LÄN</t>
        </is>
      </c>
      <c r="E714" t="inlineStr">
        <is>
          <t>LINDESBERG</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8189-2026</t>
        </is>
      </c>
      <c r="B715" s="1" t="n">
        <v>46064.42460648148</v>
      </c>
      <c r="C715" s="1" t="n">
        <v>46106</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32928-2023</t>
        </is>
      </c>
      <c r="B716" s="1" t="n">
        <v>45125.41458333333</v>
      </c>
      <c r="C716" s="1" t="n">
        <v>46106</v>
      </c>
      <c r="D716" t="inlineStr">
        <is>
          <t>ÖREBRO LÄN</t>
        </is>
      </c>
      <c r="E716" t="inlineStr">
        <is>
          <t>LINDESBERG</t>
        </is>
      </c>
      <c r="G716" t="n">
        <v>4.8</v>
      </c>
      <c r="H716" t="n">
        <v>0</v>
      </c>
      <c r="I716" t="n">
        <v>0</v>
      </c>
      <c r="J716" t="n">
        <v>0</v>
      </c>
      <c r="K716" t="n">
        <v>0</v>
      </c>
      <c r="L716" t="n">
        <v>0</v>
      </c>
      <c r="M716" t="n">
        <v>0</v>
      </c>
      <c r="N716" t="n">
        <v>0</v>
      </c>
      <c r="O716" t="n">
        <v>0</v>
      </c>
      <c r="P716" t="n">
        <v>0</v>
      </c>
      <c r="Q716" t="n">
        <v>0</v>
      </c>
      <c r="R716" s="2" t="inlineStr"/>
    </row>
    <row r="717" ht="15" customHeight="1">
      <c r="A717" t="inlineStr">
        <is>
          <t>A 32994-2023</t>
        </is>
      </c>
      <c r="B717" s="1" t="n">
        <v>45113</v>
      </c>
      <c r="C717" s="1" t="n">
        <v>46106</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45062-2022</t>
        </is>
      </c>
      <c r="B718" s="1" t="n">
        <v>44841</v>
      </c>
      <c r="C718" s="1" t="n">
        <v>46106</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21012-2023</t>
        </is>
      </c>
      <c r="B719" s="1" t="n">
        <v>45061.52474537037</v>
      </c>
      <c r="C719" s="1" t="n">
        <v>46106</v>
      </c>
      <c r="D719" t="inlineStr">
        <is>
          <t>ÖREBRO LÄN</t>
        </is>
      </c>
      <c r="E719" t="inlineStr">
        <is>
          <t>LINDESBERG</t>
        </is>
      </c>
      <c r="G719" t="n">
        <v>0.5</v>
      </c>
      <c r="H719" t="n">
        <v>0</v>
      </c>
      <c r="I719" t="n">
        <v>0</v>
      </c>
      <c r="J719" t="n">
        <v>0</v>
      </c>
      <c r="K719" t="n">
        <v>0</v>
      </c>
      <c r="L719" t="n">
        <v>0</v>
      </c>
      <c r="M719" t="n">
        <v>0</v>
      </c>
      <c r="N719" t="n">
        <v>0</v>
      </c>
      <c r="O719" t="n">
        <v>0</v>
      </c>
      <c r="P719" t="n">
        <v>0</v>
      </c>
      <c r="Q719" t="n">
        <v>0</v>
      </c>
      <c r="R719" s="2" t="inlineStr"/>
    </row>
    <row r="720" ht="15" customHeight="1">
      <c r="A720" t="inlineStr">
        <is>
          <t>A 40456-2023</t>
        </is>
      </c>
      <c r="B720" s="1" t="n">
        <v>45170</v>
      </c>
      <c r="C720" s="1" t="n">
        <v>46106</v>
      </c>
      <c r="D720" t="inlineStr">
        <is>
          <t>ÖREBRO LÄN</t>
        </is>
      </c>
      <c r="E720" t="inlineStr">
        <is>
          <t>LINDESBERG</t>
        </is>
      </c>
      <c r="F720" t="inlineStr">
        <is>
          <t>Kyrkan</t>
        </is>
      </c>
      <c r="G720" t="n">
        <v>0.6</v>
      </c>
      <c r="H720" t="n">
        <v>0</v>
      </c>
      <c r="I720" t="n">
        <v>0</v>
      </c>
      <c r="J720" t="n">
        <v>0</v>
      </c>
      <c r="K720" t="n">
        <v>0</v>
      </c>
      <c r="L720" t="n">
        <v>0</v>
      </c>
      <c r="M720" t="n">
        <v>0</v>
      </c>
      <c r="N720" t="n">
        <v>0</v>
      </c>
      <c r="O720" t="n">
        <v>0</v>
      </c>
      <c r="P720" t="n">
        <v>0</v>
      </c>
      <c r="Q720" t="n">
        <v>0</v>
      </c>
      <c r="R720" s="2" t="inlineStr"/>
    </row>
    <row r="721" ht="15" customHeight="1">
      <c r="A721" t="inlineStr">
        <is>
          <t>A 42282-2024</t>
        </is>
      </c>
      <c r="B721" s="1" t="n">
        <v>45562.61158564815</v>
      </c>
      <c r="C721" s="1" t="n">
        <v>46106</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32262-2021</t>
        </is>
      </c>
      <c r="B722" s="1" t="n">
        <v>44371.47609953704</v>
      </c>
      <c r="C722" s="1" t="n">
        <v>46106</v>
      </c>
      <c r="D722" t="inlineStr">
        <is>
          <t>ÖREBRO LÄN</t>
        </is>
      </c>
      <c r="E722" t="inlineStr">
        <is>
          <t>LINDESBERG</t>
        </is>
      </c>
      <c r="G722" t="n">
        <v>0.9</v>
      </c>
      <c r="H722" t="n">
        <v>0</v>
      </c>
      <c r="I722" t="n">
        <v>0</v>
      </c>
      <c r="J722" t="n">
        <v>0</v>
      </c>
      <c r="K722" t="n">
        <v>0</v>
      </c>
      <c r="L722" t="n">
        <v>0</v>
      </c>
      <c r="M722" t="n">
        <v>0</v>
      </c>
      <c r="N722" t="n">
        <v>0</v>
      </c>
      <c r="O722" t="n">
        <v>0</v>
      </c>
      <c r="P722" t="n">
        <v>0</v>
      </c>
      <c r="Q722" t="n">
        <v>0</v>
      </c>
      <c r="R722" s="2" t="inlineStr"/>
    </row>
    <row r="723" ht="15" customHeight="1">
      <c r="A723" t="inlineStr">
        <is>
          <t>A 9432-2026</t>
        </is>
      </c>
      <c r="B723" s="1" t="n">
        <v>46071.45568287037</v>
      </c>
      <c r="C723" s="1" t="n">
        <v>46106</v>
      </c>
      <c r="D723" t="inlineStr">
        <is>
          <t>ÖREBRO LÄN</t>
        </is>
      </c>
      <c r="E723" t="inlineStr">
        <is>
          <t>LINDESBERG</t>
        </is>
      </c>
      <c r="G723" t="n">
        <v>1.6</v>
      </c>
      <c r="H723" t="n">
        <v>0</v>
      </c>
      <c r="I723" t="n">
        <v>0</v>
      </c>
      <c r="J723" t="n">
        <v>0</v>
      </c>
      <c r="K723" t="n">
        <v>0</v>
      </c>
      <c r="L723" t="n">
        <v>0</v>
      </c>
      <c r="M723" t="n">
        <v>0</v>
      </c>
      <c r="N723" t="n">
        <v>0</v>
      </c>
      <c r="O723" t="n">
        <v>0</v>
      </c>
      <c r="P723" t="n">
        <v>0</v>
      </c>
      <c r="Q723" t="n">
        <v>0</v>
      </c>
      <c r="R723" s="2" t="inlineStr"/>
    </row>
    <row r="724" ht="15" customHeight="1">
      <c r="A724" t="inlineStr">
        <is>
          <t>A 27576-2024</t>
        </is>
      </c>
      <c r="B724" s="1" t="n">
        <v>45474.65005787037</v>
      </c>
      <c r="C724" s="1" t="n">
        <v>46106</v>
      </c>
      <c r="D724" t="inlineStr">
        <is>
          <t>ÖREBRO LÄN</t>
        </is>
      </c>
      <c r="E724" t="inlineStr">
        <is>
          <t>LINDESBERG</t>
        </is>
      </c>
      <c r="F724" t="inlineStr">
        <is>
          <t>Kyrkan</t>
        </is>
      </c>
      <c r="G724" t="n">
        <v>1.3</v>
      </c>
      <c r="H724" t="n">
        <v>0</v>
      </c>
      <c r="I724" t="n">
        <v>0</v>
      </c>
      <c r="J724" t="n">
        <v>0</v>
      </c>
      <c r="K724" t="n">
        <v>0</v>
      </c>
      <c r="L724" t="n">
        <v>0</v>
      </c>
      <c r="M724" t="n">
        <v>0</v>
      </c>
      <c r="N724" t="n">
        <v>0</v>
      </c>
      <c r="O724" t="n">
        <v>0</v>
      </c>
      <c r="P724" t="n">
        <v>0</v>
      </c>
      <c r="Q724" t="n">
        <v>0</v>
      </c>
      <c r="R724" s="2" t="inlineStr"/>
    </row>
    <row r="725" ht="15" customHeight="1">
      <c r="A725" t="inlineStr">
        <is>
          <t>A 610-2026</t>
        </is>
      </c>
      <c r="B725" s="1" t="n">
        <v>46029</v>
      </c>
      <c r="C725" s="1" t="n">
        <v>46106</v>
      </c>
      <c r="D725" t="inlineStr">
        <is>
          <t>ÖREBRO LÄN</t>
        </is>
      </c>
      <c r="E725" t="inlineStr">
        <is>
          <t>LINDESBERG</t>
        </is>
      </c>
      <c r="G725" t="n">
        <v>0.8</v>
      </c>
      <c r="H725" t="n">
        <v>0</v>
      </c>
      <c r="I725" t="n">
        <v>0</v>
      </c>
      <c r="J725" t="n">
        <v>0</v>
      </c>
      <c r="K725" t="n">
        <v>0</v>
      </c>
      <c r="L725" t="n">
        <v>0</v>
      </c>
      <c r="M725" t="n">
        <v>0</v>
      </c>
      <c r="N725" t="n">
        <v>0</v>
      </c>
      <c r="O725" t="n">
        <v>0</v>
      </c>
      <c r="P725" t="n">
        <v>0</v>
      </c>
      <c r="Q725" t="n">
        <v>0</v>
      </c>
      <c r="R725" s="2" t="inlineStr"/>
    </row>
    <row r="726" ht="15" customHeight="1">
      <c r="A726" t="inlineStr">
        <is>
          <t>A 32099-2024</t>
        </is>
      </c>
      <c r="B726" s="1" t="n">
        <v>45511.40297453704</v>
      </c>
      <c r="C726" s="1" t="n">
        <v>46106</v>
      </c>
      <c r="D726" t="inlineStr">
        <is>
          <t>ÖREBRO LÄN</t>
        </is>
      </c>
      <c r="E726" t="inlineStr">
        <is>
          <t>LINDESBERG</t>
        </is>
      </c>
      <c r="G726" t="n">
        <v>2.3</v>
      </c>
      <c r="H726" t="n">
        <v>0</v>
      </c>
      <c r="I726" t="n">
        <v>0</v>
      </c>
      <c r="J726" t="n">
        <v>0</v>
      </c>
      <c r="K726" t="n">
        <v>0</v>
      </c>
      <c r="L726" t="n">
        <v>0</v>
      </c>
      <c r="M726" t="n">
        <v>0</v>
      </c>
      <c r="N726" t="n">
        <v>0</v>
      </c>
      <c r="O726" t="n">
        <v>0</v>
      </c>
      <c r="P726" t="n">
        <v>0</v>
      </c>
      <c r="Q726" t="n">
        <v>0</v>
      </c>
      <c r="R726" s="2" t="inlineStr"/>
    </row>
    <row r="727" ht="15" customHeight="1">
      <c r="A727" t="inlineStr">
        <is>
          <t>A 9577-2026</t>
        </is>
      </c>
      <c r="B727" s="1" t="n">
        <v>46071.67334490741</v>
      </c>
      <c r="C727" s="1" t="n">
        <v>46106</v>
      </c>
      <c r="D727" t="inlineStr">
        <is>
          <t>ÖREBRO LÄN</t>
        </is>
      </c>
      <c r="E727" t="inlineStr">
        <is>
          <t>LINDESBERG</t>
        </is>
      </c>
      <c r="F727" t="inlineStr">
        <is>
          <t>Kommuner</t>
        </is>
      </c>
      <c r="G727" t="n">
        <v>1</v>
      </c>
      <c r="H727" t="n">
        <v>0</v>
      </c>
      <c r="I727" t="n">
        <v>0</v>
      </c>
      <c r="J727" t="n">
        <v>0</v>
      </c>
      <c r="K727" t="n">
        <v>0</v>
      </c>
      <c r="L727" t="n">
        <v>0</v>
      </c>
      <c r="M727" t="n">
        <v>0</v>
      </c>
      <c r="N727" t="n">
        <v>0</v>
      </c>
      <c r="O727" t="n">
        <v>0</v>
      </c>
      <c r="P727" t="n">
        <v>0</v>
      </c>
      <c r="Q727" t="n">
        <v>0</v>
      </c>
      <c r="R727" s="2" t="inlineStr"/>
    </row>
    <row r="728" ht="15" customHeight="1">
      <c r="A728" t="inlineStr">
        <is>
          <t>A 9567-2026</t>
        </is>
      </c>
      <c r="B728" s="1" t="n">
        <v>46071.65692129629</v>
      </c>
      <c r="C728" s="1" t="n">
        <v>46106</v>
      </c>
      <c r="D728" t="inlineStr">
        <is>
          <t>ÖREBRO LÄN</t>
        </is>
      </c>
      <c r="E728" t="inlineStr">
        <is>
          <t>LINDESBERG</t>
        </is>
      </c>
      <c r="F728" t="inlineStr">
        <is>
          <t>Kommuner</t>
        </is>
      </c>
      <c r="G728" t="n">
        <v>1.4</v>
      </c>
      <c r="H728" t="n">
        <v>0</v>
      </c>
      <c r="I728" t="n">
        <v>0</v>
      </c>
      <c r="J728" t="n">
        <v>0</v>
      </c>
      <c r="K728" t="n">
        <v>0</v>
      </c>
      <c r="L728" t="n">
        <v>0</v>
      </c>
      <c r="M728" t="n">
        <v>0</v>
      </c>
      <c r="N728" t="n">
        <v>0</v>
      </c>
      <c r="O728" t="n">
        <v>0</v>
      </c>
      <c r="P728" t="n">
        <v>0</v>
      </c>
      <c r="Q728" t="n">
        <v>0</v>
      </c>
      <c r="R728" s="2" t="inlineStr"/>
    </row>
    <row r="729" ht="15" customHeight="1">
      <c r="A729" t="inlineStr">
        <is>
          <t>A 8836-2023</t>
        </is>
      </c>
      <c r="B729" s="1" t="n">
        <v>44978</v>
      </c>
      <c r="C729" s="1" t="n">
        <v>46106</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5772-2023</t>
        </is>
      </c>
      <c r="B730" s="1" t="n">
        <v>44963.37709490741</v>
      </c>
      <c r="C730" s="1" t="n">
        <v>46106</v>
      </c>
      <c r="D730" t="inlineStr">
        <is>
          <t>ÖREBRO LÄN</t>
        </is>
      </c>
      <c r="E730" t="inlineStr">
        <is>
          <t>LINDESBERG</t>
        </is>
      </c>
      <c r="G730" t="n">
        <v>3</v>
      </c>
      <c r="H730" t="n">
        <v>0</v>
      </c>
      <c r="I730" t="n">
        <v>0</v>
      </c>
      <c r="J730" t="n">
        <v>0</v>
      </c>
      <c r="K730" t="n">
        <v>0</v>
      </c>
      <c r="L730" t="n">
        <v>0</v>
      </c>
      <c r="M730" t="n">
        <v>0</v>
      </c>
      <c r="N730" t="n">
        <v>0</v>
      </c>
      <c r="O730" t="n">
        <v>0</v>
      </c>
      <c r="P730" t="n">
        <v>0</v>
      </c>
      <c r="Q730" t="n">
        <v>0</v>
      </c>
      <c r="R730" s="2" t="inlineStr"/>
    </row>
    <row r="731" ht="15" customHeight="1">
      <c r="A731" t="inlineStr">
        <is>
          <t>A 36024-2021</t>
        </is>
      </c>
      <c r="B731" s="1" t="n">
        <v>44389</v>
      </c>
      <c r="C731" s="1" t="n">
        <v>46106</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11559-2024</t>
        </is>
      </c>
      <c r="B732" s="1" t="n">
        <v>45373.30434027778</v>
      </c>
      <c r="C732" s="1" t="n">
        <v>46106</v>
      </c>
      <c r="D732" t="inlineStr">
        <is>
          <t>ÖREBRO LÄN</t>
        </is>
      </c>
      <c r="E732" t="inlineStr">
        <is>
          <t>LINDESBERG</t>
        </is>
      </c>
      <c r="F732" t="inlineStr">
        <is>
          <t>BillerudKorsnäs AB</t>
        </is>
      </c>
      <c r="G732" t="n">
        <v>1.9</v>
      </c>
      <c r="H732" t="n">
        <v>0</v>
      </c>
      <c r="I732" t="n">
        <v>0</v>
      </c>
      <c r="J732" t="n">
        <v>0</v>
      </c>
      <c r="K732" t="n">
        <v>0</v>
      </c>
      <c r="L732" t="n">
        <v>0</v>
      </c>
      <c r="M732" t="n">
        <v>0</v>
      </c>
      <c r="N732" t="n">
        <v>0</v>
      </c>
      <c r="O732" t="n">
        <v>0</v>
      </c>
      <c r="P732" t="n">
        <v>0</v>
      </c>
      <c r="Q732" t="n">
        <v>0</v>
      </c>
      <c r="R732" s="2" t="inlineStr"/>
    </row>
    <row r="733" ht="15" customHeight="1">
      <c r="A733" t="inlineStr">
        <is>
          <t>A 13472-2023</t>
        </is>
      </c>
      <c r="B733" s="1" t="n">
        <v>45005</v>
      </c>
      <c r="C733" s="1" t="n">
        <v>46106</v>
      </c>
      <c r="D733" t="inlineStr">
        <is>
          <t>ÖREBRO LÄN</t>
        </is>
      </c>
      <c r="E733" t="inlineStr">
        <is>
          <t>LINDESBERG</t>
        </is>
      </c>
      <c r="G733" t="n">
        <v>2.5</v>
      </c>
      <c r="H733" t="n">
        <v>0</v>
      </c>
      <c r="I733" t="n">
        <v>0</v>
      </c>
      <c r="J733" t="n">
        <v>0</v>
      </c>
      <c r="K733" t="n">
        <v>0</v>
      </c>
      <c r="L733" t="n">
        <v>0</v>
      </c>
      <c r="M733" t="n">
        <v>0</v>
      </c>
      <c r="N733" t="n">
        <v>0</v>
      </c>
      <c r="O733" t="n">
        <v>0</v>
      </c>
      <c r="P733" t="n">
        <v>0</v>
      </c>
      <c r="Q733" t="n">
        <v>0</v>
      </c>
      <c r="R733" s="2" t="inlineStr"/>
    </row>
    <row r="734" ht="15" customHeight="1">
      <c r="A734" t="inlineStr">
        <is>
          <t>A 911-2026</t>
        </is>
      </c>
      <c r="B734" s="1" t="n">
        <v>46030.47725694445</v>
      </c>
      <c r="C734" s="1" t="n">
        <v>46106</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1160-2026</t>
        </is>
      </c>
      <c r="B735" s="1" t="n">
        <v>46031</v>
      </c>
      <c r="C735" s="1" t="n">
        <v>46106</v>
      </c>
      <c r="D735" t="inlineStr">
        <is>
          <t>ÖREBRO LÄN</t>
        </is>
      </c>
      <c r="E735" t="inlineStr">
        <is>
          <t>LINDESBERG</t>
        </is>
      </c>
      <c r="G735" t="n">
        <v>12.2</v>
      </c>
      <c r="H735" t="n">
        <v>0</v>
      </c>
      <c r="I735" t="n">
        <v>0</v>
      </c>
      <c r="J735" t="n">
        <v>0</v>
      </c>
      <c r="K735" t="n">
        <v>0</v>
      </c>
      <c r="L735" t="n">
        <v>0</v>
      </c>
      <c r="M735" t="n">
        <v>0</v>
      </c>
      <c r="N735" t="n">
        <v>0</v>
      </c>
      <c r="O735" t="n">
        <v>0</v>
      </c>
      <c r="P735" t="n">
        <v>0</v>
      </c>
      <c r="Q735" t="n">
        <v>0</v>
      </c>
      <c r="R735" s="2" t="inlineStr"/>
    </row>
    <row r="736" ht="15" customHeight="1">
      <c r="A736" t="inlineStr">
        <is>
          <t>A 17087-2023</t>
        </is>
      </c>
      <c r="B736" s="1" t="n">
        <v>45034.5174537037</v>
      </c>
      <c r="C736" s="1" t="n">
        <v>46106</v>
      </c>
      <c r="D736" t="inlineStr">
        <is>
          <t>ÖREBRO LÄN</t>
        </is>
      </c>
      <c r="E736" t="inlineStr">
        <is>
          <t>LINDESBERG</t>
        </is>
      </c>
      <c r="G736" t="n">
        <v>2.7</v>
      </c>
      <c r="H736" t="n">
        <v>0</v>
      </c>
      <c r="I736" t="n">
        <v>0</v>
      </c>
      <c r="J736" t="n">
        <v>0</v>
      </c>
      <c r="K736" t="n">
        <v>0</v>
      </c>
      <c r="L736" t="n">
        <v>0</v>
      </c>
      <c r="M736" t="n">
        <v>0</v>
      </c>
      <c r="N736" t="n">
        <v>0</v>
      </c>
      <c r="O736" t="n">
        <v>0</v>
      </c>
      <c r="P736" t="n">
        <v>0</v>
      </c>
      <c r="Q736" t="n">
        <v>0</v>
      </c>
      <c r="R736" s="2" t="inlineStr"/>
    </row>
    <row r="737" ht="15" customHeight="1">
      <c r="A737" t="inlineStr">
        <is>
          <t>A 61222-2022</t>
        </is>
      </c>
      <c r="B737" s="1" t="n">
        <v>44909</v>
      </c>
      <c r="C737" s="1" t="n">
        <v>46106</v>
      </c>
      <c r="D737" t="inlineStr">
        <is>
          <t>ÖREBRO LÄN</t>
        </is>
      </c>
      <c r="E737" t="inlineStr">
        <is>
          <t>LINDESBERG</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878-2026</t>
        </is>
      </c>
      <c r="B738" s="1" t="n">
        <v>46030.44277777777</v>
      </c>
      <c r="C738" s="1" t="n">
        <v>46106</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46484-2024</t>
        </is>
      </c>
      <c r="B739" s="1" t="n">
        <v>45582.57542824074</v>
      </c>
      <c r="C739" s="1" t="n">
        <v>46106</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2556-2026</t>
        </is>
      </c>
      <c r="B740" s="1" t="n">
        <v>46035</v>
      </c>
      <c r="C740" s="1" t="n">
        <v>46106</v>
      </c>
      <c r="D740" t="inlineStr">
        <is>
          <t>ÖREBRO LÄN</t>
        </is>
      </c>
      <c r="E740" t="inlineStr">
        <is>
          <t>LINDESBERG</t>
        </is>
      </c>
      <c r="G740" t="n">
        <v>3.4</v>
      </c>
      <c r="H740" t="n">
        <v>0</v>
      </c>
      <c r="I740" t="n">
        <v>0</v>
      </c>
      <c r="J740" t="n">
        <v>0</v>
      </c>
      <c r="K740" t="n">
        <v>0</v>
      </c>
      <c r="L740" t="n">
        <v>0</v>
      </c>
      <c r="M740" t="n">
        <v>0</v>
      </c>
      <c r="N740" t="n">
        <v>0</v>
      </c>
      <c r="O740" t="n">
        <v>0</v>
      </c>
      <c r="P740" t="n">
        <v>0</v>
      </c>
      <c r="Q740" t="n">
        <v>0</v>
      </c>
      <c r="R740" s="2" t="inlineStr"/>
    </row>
    <row r="741" ht="15" customHeight="1">
      <c r="A741" t="inlineStr">
        <is>
          <t>A 41576-2021</t>
        </is>
      </c>
      <c r="B741" s="1" t="n">
        <v>44425</v>
      </c>
      <c r="C741" s="1" t="n">
        <v>46106</v>
      </c>
      <c r="D741" t="inlineStr">
        <is>
          <t>ÖREBRO LÄN</t>
        </is>
      </c>
      <c r="E741" t="inlineStr">
        <is>
          <t>LINDESBERG</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58741-2024</t>
        </is>
      </c>
      <c r="B742" s="1" t="n">
        <v>45635.69581018519</v>
      </c>
      <c r="C742" s="1" t="n">
        <v>46106</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1749-2026</t>
        </is>
      </c>
      <c r="B743" s="1" t="n">
        <v>46034.65601851852</v>
      </c>
      <c r="C743" s="1" t="n">
        <v>46106</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26967-2022</t>
        </is>
      </c>
      <c r="B744" s="1" t="n">
        <v>44740.66997685185</v>
      </c>
      <c r="C744" s="1" t="n">
        <v>46106</v>
      </c>
      <c r="D744" t="inlineStr">
        <is>
          <t>ÖREBRO LÄN</t>
        </is>
      </c>
      <c r="E744" t="inlineStr">
        <is>
          <t>LINDESBERG</t>
        </is>
      </c>
      <c r="G744" t="n">
        <v>1.6</v>
      </c>
      <c r="H744" t="n">
        <v>0</v>
      </c>
      <c r="I744" t="n">
        <v>0</v>
      </c>
      <c r="J744" t="n">
        <v>0</v>
      </c>
      <c r="K744" t="n">
        <v>0</v>
      </c>
      <c r="L744" t="n">
        <v>0</v>
      </c>
      <c r="M744" t="n">
        <v>0</v>
      </c>
      <c r="N744" t="n">
        <v>0</v>
      </c>
      <c r="O744" t="n">
        <v>0</v>
      </c>
      <c r="P744" t="n">
        <v>0</v>
      </c>
      <c r="Q744" t="n">
        <v>0</v>
      </c>
      <c r="R744" s="2" t="inlineStr"/>
    </row>
    <row r="745" ht="15" customHeight="1">
      <c r="A745" t="inlineStr">
        <is>
          <t>A 43066-2021</t>
        </is>
      </c>
      <c r="B745" s="1" t="n">
        <v>44431</v>
      </c>
      <c r="C745" s="1" t="n">
        <v>46106</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45428-2023</t>
        </is>
      </c>
      <c r="B746" s="1" t="n">
        <v>45194</v>
      </c>
      <c r="C746" s="1" t="n">
        <v>46106</v>
      </c>
      <c r="D746" t="inlineStr">
        <is>
          <t>ÖREBRO LÄN</t>
        </is>
      </c>
      <c r="E746" t="inlineStr">
        <is>
          <t>LINDESBERG</t>
        </is>
      </c>
      <c r="G746" t="n">
        <v>7.7</v>
      </c>
      <c r="H746" t="n">
        <v>0</v>
      </c>
      <c r="I746" t="n">
        <v>0</v>
      </c>
      <c r="J746" t="n">
        <v>0</v>
      </c>
      <c r="K746" t="n">
        <v>0</v>
      </c>
      <c r="L746" t="n">
        <v>0</v>
      </c>
      <c r="M746" t="n">
        <v>0</v>
      </c>
      <c r="N746" t="n">
        <v>0</v>
      </c>
      <c r="O746" t="n">
        <v>0</v>
      </c>
      <c r="P746" t="n">
        <v>0</v>
      </c>
      <c r="Q746" t="n">
        <v>0</v>
      </c>
      <c r="R746" s="2" t="inlineStr"/>
    </row>
    <row r="747" ht="15" customHeight="1">
      <c r="A747" t="inlineStr">
        <is>
          <t>A 53897-2024</t>
        </is>
      </c>
      <c r="B747" s="1" t="n">
        <v>45615.69570601852</v>
      </c>
      <c r="C747" s="1" t="n">
        <v>46106</v>
      </c>
      <c r="D747" t="inlineStr">
        <is>
          <t>ÖREBRO LÄN</t>
        </is>
      </c>
      <c r="E747" t="inlineStr">
        <is>
          <t>LINDESBERG</t>
        </is>
      </c>
      <c r="G747" t="n">
        <v>1.1</v>
      </c>
      <c r="H747" t="n">
        <v>0</v>
      </c>
      <c r="I747" t="n">
        <v>0</v>
      </c>
      <c r="J747" t="n">
        <v>0</v>
      </c>
      <c r="K747" t="n">
        <v>0</v>
      </c>
      <c r="L747" t="n">
        <v>0</v>
      </c>
      <c r="M747" t="n">
        <v>0</v>
      </c>
      <c r="N747" t="n">
        <v>0</v>
      </c>
      <c r="O747" t="n">
        <v>0</v>
      </c>
      <c r="P747" t="n">
        <v>0</v>
      </c>
      <c r="Q747" t="n">
        <v>0</v>
      </c>
      <c r="R747" s="2" t="inlineStr"/>
    </row>
    <row r="748" ht="15" customHeight="1">
      <c r="A748" t="inlineStr">
        <is>
          <t>A 2704-2026</t>
        </is>
      </c>
      <c r="B748" s="1" t="n">
        <v>46037.69133101852</v>
      </c>
      <c r="C748" s="1" t="n">
        <v>46106</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56907-2024</t>
        </is>
      </c>
      <c r="B749" s="1" t="n">
        <v>45628.58975694444</v>
      </c>
      <c r="C749" s="1" t="n">
        <v>46106</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7992-2025</t>
        </is>
      </c>
      <c r="B750" s="1" t="n">
        <v>45707</v>
      </c>
      <c r="C750" s="1" t="n">
        <v>46106</v>
      </c>
      <c r="D750" t="inlineStr">
        <is>
          <t>ÖREBRO LÄN</t>
        </is>
      </c>
      <c r="E750" t="inlineStr">
        <is>
          <t>LINDESBERG</t>
        </is>
      </c>
      <c r="G750" t="n">
        <v>4.8</v>
      </c>
      <c r="H750" t="n">
        <v>0</v>
      </c>
      <c r="I750" t="n">
        <v>0</v>
      </c>
      <c r="J750" t="n">
        <v>0</v>
      </c>
      <c r="K750" t="n">
        <v>0</v>
      </c>
      <c r="L750" t="n">
        <v>0</v>
      </c>
      <c r="M750" t="n">
        <v>0</v>
      </c>
      <c r="N750" t="n">
        <v>0</v>
      </c>
      <c r="O750" t="n">
        <v>0</v>
      </c>
      <c r="P750" t="n">
        <v>0</v>
      </c>
      <c r="Q750" t="n">
        <v>0</v>
      </c>
      <c r="R750" s="2" t="inlineStr"/>
    </row>
    <row r="751" ht="15" customHeight="1">
      <c r="A751" t="inlineStr">
        <is>
          <t>A 3227-2026</t>
        </is>
      </c>
      <c r="B751" s="1" t="n">
        <v>46041.54181712963</v>
      </c>
      <c r="C751" s="1" t="n">
        <v>46106</v>
      </c>
      <c r="D751" t="inlineStr">
        <is>
          <t>ÖREBRO LÄN</t>
        </is>
      </c>
      <c r="E751" t="inlineStr">
        <is>
          <t>LINDESBERG</t>
        </is>
      </c>
      <c r="G751" t="n">
        <v>4.4</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46106</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7119-2025</t>
        </is>
      </c>
      <c r="B753" s="1" t="n">
        <v>45702</v>
      </c>
      <c r="C753" s="1" t="n">
        <v>46106</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45060-2024</t>
        </is>
      </c>
      <c r="B754" s="1" t="n">
        <v>45575.55570601852</v>
      </c>
      <c r="C754" s="1" t="n">
        <v>46106</v>
      </c>
      <c r="D754" t="inlineStr">
        <is>
          <t>ÖREBRO LÄN</t>
        </is>
      </c>
      <c r="E754" t="inlineStr">
        <is>
          <t>LINDESBERG</t>
        </is>
      </c>
      <c r="F754" t="inlineStr">
        <is>
          <t>Sveaskog</t>
        </is>
      </c>
      <c r="G754" t="n">
        <v>4.6</v>
      </c>
      <c r="H754" t="n">
        <v>0</v>
      </c>
      <c r="I754" t="n">
        <v>0</v>
      </c>
      <c r="J754" t="n">
        <v>0</v>
      </c>
      <c r="K754" t="n">
        <v>0</v>
      </c>
      <c r="L754" t="n">
        <v>0</v>
      </c>
      <c r="M754" t="n">
        <v>0</v>
      </c>
      <c r="N754" t="n">
        <v>0</v>
      </c>
      <c r="O754" t="n">
        <v>0</v>
      </c>
      <c r="P754" t="n">
        <v>0</v>
      </c>
      <c r="Q754" t="n">
        <v>0</v>
      </c>
      <c r="R754" s="2" t="inlineStr"/>
    </row>
    <row r="755" ht="15" customHeight="1">
      <c r="A755" t="inlineStr">
        <is>
          <t>A 50972-2023</t>
        </is>
      </c>
      <c r="B755" s="1" t="n">
        <v>45218</v>
      </c>
      <c r="C755" s="1" t="n">
        <v>46106</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3315-2026</t>
        </is>
      </c>
      <c r="B756" s="1" t="n">
        <v>46041.68443287037</v>
      </c>
      <c r="C756" s="1" t="n">
        <v>46106</v>
      </c>
      <c r="D756" t="inlineStr">
        <is>
          <t>ÖREBRO LÄN</t>
        </is>
      </c>
      <c r="E756" t="inlineStr">
        <is>
          <t>LINDESBERG</t>
        </is>
      </c>
      <c r="G756" t="n">
        <v>7.6</v>
      </c>
      <c r="H756" t="n">
        <v>0</v>
      </c>
      <c r="I756" t="n">
        <v>0</v>
      </c>
      <c r="J756" t="n">
        <v>0</v>
      </c>
      <c r="K756" t="n">
        <v>0</v>
      </c>
      <c r="L756" t="n">
        <v>0</v>
      </c>
      <c r="M756" t="n">
        <v>0</v>
      </c>
      <c r="N756" t="n">
        <v>0</v>
      </c>
      <c r="O756" t="n">
        <v>0</v>
      </c>
      <c r="P756" t="n">
        <v>0</v>
      </c>
      <c r="Q756" t="n">
        <v>0</v>
      </c>
      <c r="R756" s="2" t="inlineStr"/>
    </row>
    <row r="757" ht="15" customHeight="1">
      <c r="A757" t="inlineStr">
        <is>
          <t>A 2969-2026</t>
        </is>
      </c>
      <c r="B757" s="1" t="n">
        <v>46038.61912037037</v>
      </c>
      <c r="C757" s="1" t="n">
        <v>46106</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2902-2026</t>
        </is>
      </c>
      <c r="B758" s="1" t="n">
        <v>46038.55849537037</v>
      </c>
      <c r="C758" s="1" t="n">
        <v>46106</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50225-2021</t>
        </is>
      </c>
      <c r="B759" s="1" t="n">
        <v>44457</v>
      </c>
      <c r="C759" s="1" t="n">
        <v>46106</v>
      </c>
      <c r="D759" t="inlineStr">
        <is>
          <t>ÖREBRO LÄN</t>
        </is>
      </c>
      <c r="E759" t="inlineStr">
        <is>
          <t>LINDESBERG</t>
        </is>
      </c>
      <c r="G759" t="n">
        <v>2.5</v>
      </c>
      <c r="H759" t="n">
        <v>0</v>
      </c>
      <c r="I759" t="n">
        <v>0</v>
      </c>
      <c r="J759" t="n">
        <v>0</v>
      </c>
      <c r="K759" t="n">
        <v>0</v>
      </c>
      <c r="L759" t="n">
        <v>0</v>
      </c>
      <c r="M759" t="n">
        <v>0</v>
      </c>
      <c r="N759" t="n">
        <v>0</v>
      </c>
      <c r="O759" t="n">
        <v>0</v>
      </c>
      <c r="P759" t="n">
        <v>0</v>
      </c>
      <c r="Q759" t="n">
        <v>0</v>
      </c>
      <c r="R759" s="2" t="inlineStr"/>
    </row>
    <row r="760" ht="15" customHeight="1">
      <c r="A760" t="inlineStr">
        <is>
          <t>A 17995-2021</t>
        </is>
      </c>
      <c r="B760" s="1" t="n">
        <v>44301</v>
      </c>
      <c r="C760" s="1" t="n">
        <v>46106</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48244-2024</t>
        </is>
      </c>
      <c r="B761" s="1" t="n">
        <v>45590.39471064815</v>
      </c>
      <c r="C761" s="1" t="n">
        <v>46106</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2929-2026</t>
        </is>
      </c>
      <c r="B762" s="1" t="n">
        <v>46038.58241898148</v>
      </c>
      <c r="C762" s="1" t="n">
        <v>46106</v>
      </c>
      <c r="D762" t="inlineStr">
        <is>
          <t>ÖREBRO LÄN</t>
        </is>
      </c>
      <c r="E762" t="inlineStr">
        <is>
          <t>LINDESBERG</t>
        </is>
      </c>
      <c r="G762" t="n">
        <v>1.8</v>
      </c>
      <c r="H762" t="n">
        <v>0</v>
      </c>
      <c r="I762" t="n">
        <v>0</v>
      </c>
      <c r="J762" t="n">
        <v>0</v>
      </c>
      <c r="K762" t="n">
        <v>0</v>
      </c>
      <c r="L762" t="n">
        <v>0</v>
      </c>
      <c r="M762" t="n">
        <v>0</v>
      </c>
      <c r="N762" t="n">
        <v>0</v>
      </c>
      <c r="O762" t="n">
        <v>0</v>
      </c>
      <c r="P762" t="n">
        <v>0</v>
      </c>
      <c r="Q762" t="n">
        <v>0</v>
      </c>
      <c r="R762" s="2" t="inlineStr"/>
    </row>
    <row r="763" ht="15" customHeight="1">
      <c r="A763" t="inlineStr">
        <is>
          <t>A 2949-2026</t>
        </is>
      </c>
      <c r="B763" s="1" t="n">
        <v>46038.59640046296</v>
      </c>
      <c r="C763" s="1" t="n">
        <v>46106</v>
      </c>
      <c r="D763" t="inlineStr">
        <is>
          <t>ÖREBRO LÄN</t>
        </is>
      </c>
      <c r="E763" t="inlineStr">
        <is>
          <t>LINDESBERG</t>
        </is>
      </c>
      <c r="G763" t="n">
        <v>4</v>
      </c>
      <c r="H763" t="n">
        <v>0</v>
      </c>
      <c r="I763" t="n">
        <v>0</v>
      </c>
      <c r="J763" t="n">
        <v>0</v>
      </c>
      <c r="K763" t="n">
        <v>0</v>
      </c>
      <c r="L763" t="n">
        <v>0</v>
      </c>
      <c r="M763" t="n">
        <v>0</v>
      </c>
      <c r="N763" t="n">
        <v>0</v>
      </c>
      <c r="O763" t="n">
        <v>0</v>
      </c>
      <c r="P763" t="n">
        <v>0</v>
      </c>
      <c r="Q763" t="n">
        <v>0</v>
      </c>
      <c r="R763" s="2" t="inlineStr"/>
    </row>
    <row r="764" ht="15" customHeight="1">
      <c r="A764" t="inlineStr">
        <is>
          <t>A 20210-2024</t>
        </is>
      </c>
      <c r="B764" s="1" t="n">
        <v>45434.65854166666</v>
      </c>
      <c r="C764" s="1" t="n">
        <v>46106</v>
      </c>
      <c r="D764" t="inlineStr">
        <is>
          <t>ÖREBRO LÄN</t>
        </is>
      </c>
      <c r="E764" t="inlineStr">
        <is>
          <t>LINDESBERG</t>
        </is>
      </c>
      <c r="G764" t="n">
        <v>5.5</v>
      </c>
      <c r="H764" t="n">
        <v>0</v>
      </c>
      <c r="I764" t="n">
        <v>0</v>
      </c>
      <c r="J764" t="n">
        <v>0</v>
      </c>
      <c r="K764" t="n">
        <v>0</v>
      </c>
      <c r="L764" t="n">
        <v>0</v>
      </c>
      <c r="M764" t="n">
        <v>0</v>
      </c>
      <c r="N764" t="n">
        <v>0</v>
      </c>
      <c r="O764" t="n">
        <v>0</v>
      </c>
      <c r="P764" t="n">
        <v>0</v>
      </c>
      <c r="Q764" t="n">
        <v>0</v>
      </c>
      <c r="R764" s="2" t="inlineStr"/>
    </row>
    <row r="765" ht="15" customHeight="1">
      <c r="A765" t="inlineStr">
        <is>
          <t>A 2859-2026</t>
        </is>
      </c>
      <c r="B765" s="1" t="n">
        <v>46038.49269675926</v>
      </c>
      <c r="C765" s="1" t="n">
        <v>46106</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2958-2026</t>
        </is>
      </c>
      <c r="B766" s="1" t="n">
        <v>46038.61067129629</v>
      </c>
      <c r="C766" s="1" t="n">
        <v>46106</v>
      </c>
      <c r="D766" t="inlineStr">
        <is>
          <t>ÖREBRO LÄN</t>
        </is>
      </c>
      <c r="E766" t="inlineStr">
        <is>
          <t>LINDESBERG</t>
        </is>
      </c>
      <c r="G766" t="n">
        <v>5.8</v>
      </c>
      <c r="H766" t="n">
        <v>0</v>
      </c>
      <c r="I766" t="n">
        <v>0</v>
      </c>
      <c r="J766" t="n">
        <v>0</v>
      </c>
      <c r="K766" t="n">
        <v>0</v>
      </c>
      <c r="L766" t="n">
        <v>0</v>
      </c>
      <c r="M766" t="n">
        <v>0</v>
      </c>
      <c r="N766" t="n">
        <v>0</v>
      </c>
      <c r="O766" t="n">
        <v>0</v>
      </c>
      <c r="P766" t="n">
        <v>0</v>
      </c>
      <c r="Q766" t="n">
        <v>0</v>
      </c>
      <c r="R766" s="2" t="inlineStr"/>
    </row>
    <row r="767" ht="15" customHeight="1">
      <c r="A767" t="inlineStr">
        <is>
          <t>A 3660-2026</t>
        </is>
      </c>
      <c r="B767" s="1" t="n">
        <v>46043.38744212963</v>
      </c>
      <c r="C767" s="1" t="n">
        <v>46106</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24352-2023</t>
        </is>
      </c>
      <c r="B768" s="1" t="n">
        <v>45082.31421296296</v>
      </c>
      <c r="C768" s="1" t="n">
        <v>46106</v>
      </c>
      <c r="D768" t="inlineStr">
        <is>
          <t>ÖREBRO LÄN</t>
        </is>
      </c>
      <c r="E768" t="inlineStr">
        <is>
          <t>LINDESBERG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3659-2026</t>
        </is>
      </c>
      <c r="B769" s="1" t="n">
        <v>46043</v>
      </c>
      <c r="C769" s="1" t="n">
        <v>46106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3026-2026</t>
        </is>
      </c>
      <c r="B770" s="1" t="n">
        <v>46038</v>
      </c>
      <c r="C770" s="1" t="n">
        <v>46106</v>
      </c>
      <c r="D770" t="inlineStr">
        <is>
          <t>ÖREBRO LÄN</t>
        </is>
      </c>
      <c r="E770" t="inlineStr">
        <is>
          <t>LINDESBERG</t>
        </is>
      </c>
      <c r="G770" t="n">
        <v>10.3</v>
      </c>
      <c r="H770" t="n">
        <v>0</v>
      </c>
      <c r="I770" t="n">
        <v>0</v>
      </c>
      <c r="J770" t="n">
        <v>0</v>
      </c>
      <c r="K770" t="n">
        <v>0</v>
      </c>
      <c r="L770" t="n">
        <v>0</v>
      </c>
      <c r="M770" t="n">
        <v>0</v>
      </c>
      <c r="N770" t="n">
        <v>0</v>
      </c>
      <c r="O770" t="n">
        <v>0</v>
      </c>
      <c r="P770" t="n">
        <v>0</v>
      </c>
      <c r="Q770" t="n">
        <v>0</v>
      </c>
      <c r="R770" s="2" t="inlineStr"/>
    </row>
    <row r="771" ht="15" customHeight="1">
      <c r="A771" t="inlineStr">
        <is>
          <t>A 22824-2023</t>
        </is>
      </c>
      <c r="B771" s="1" t="n">
        <v>45072</v>
      </c>
      <c r="C771" s="1" t="n">
        <v>46106</v>
      </c>
      <c r="D771" t="inlineStr">
        <is>
          <t>ÖREBRO LÄN</t>
        </is>
      </c>
      <c r="E771" t="inlineStr">
        <is>
          <t>LINDESBERG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36509-2024</t>
        </is>
      </c>
      <c r="B772" s="1" t="n">
        <v>45537.42240740741</v>
      </c>
      <c r="C772" s="1" t="n">
        <v>46106</v>
      </c>
      <c r="D772" t="inlineStr">
        <is>
          <t>ÖREBRO LÄN</t>
        </is>
      </c>
      <c r="E772" t="inlineStr">
        <is>
          <t>LINDESBERG</t>
        </is>
      </c>
      <c r="G772" t="n">
        <v>1.5</v>
      </c>
      <c r="H772" t="n">
        <v>0</v>
      </c>
      <c r="I772" t="n">
        <v>0</v>
      </c>
      <c r="J772" t="n">
        <v>0</v>
      </c>
      <c r="K772" t="n">
        <v>0</v>
      </c>
      <c r="L772" t="n">
        <v>0</v>
      </c>
      <c r="M772" t="n">
        <v>0</v>
      </c>
      <c r="N772" t="n">
        <v>0</v>
      </c>
      <c r="O772" t="n">
        <v>0</v>
      </c>
      <c r="P772" t="n">
        <v>0</v>
      </c>
      <c r="Q772" t="n">
        <v>0</v>
      </c>
      <c r="R772" s="2" t="inlineStr"/>
    </row>
    <row r="773" ht="15" customHeight="1">
      <c r="A773" t="inlineStr">
        <is>
          <t>A 33428-2024</t>
        </is>
      </c>
      <c r="B773" s="1" t="n">
        <v>45519.52319444445</v>
      </c>
      <c r="C773" s="1" t="n">
        <v>46106</v>
      </c>
      <c r="D773" t="inlineStr">
        <is>
          <t>ÖREBRO LÄN</t>
        </is>
      </c>
      <c r="E773" t="inlineStr">
        <is>
          <t>LINDESBERG</t>
        </is>
      </c>
      <c r="F773" t="inlineStr">
        <is>
          <t>Sveaskog</t>
        </is>
      </c>
      <c r="G773" t="n">
        <v>0.2</v>
      </c>
      <c r="H773" t="n">
        <v>0</v>
      </c>
      <c r="I773" t="n">
        <v>0</v>
      </c>
      <c r="J773" t="n">
        <v>0</v>
      </c>
      <c r="K773" t="n">
        <v>0</v>
      </c>
      <c r="L773" t="n">
        <v>0</v>
      </c>
      <c r="M773" t="n">
        <v>0</v>
      </c>
      <c r="N773" t="n">
        <v>0</v>
      </c>
      <c r="O773" t="n">
        <v>0</v>
      </c>
      <c r="P773" t="n">
        <v>0</v>
      </c>
      <c r="Q773" t="n">
        <v>0</v>
      </c>
      <c r="R773" s="2" t="inlineStr"/>
    </row>
    <row r="774" ht="15" customHeight="1">
      <c r="A774" t="inlineStr">
        <is>
          <t>A 17104-2024</t>
        </is>
      </c>
      <c r="B774" s="1" t="n">
        <v>45412.54541666667</v>
      </c>
      <c r="C774" s="1" t="n">
        <v>46106</v>
      </c>
      <c r="D774" t="inlineStr">
        <is>
          <t>ÖREBRO LÄN</t>
        </is>
      </c>
      <c r="E774" t="inlineStr">
        <is>
          <t>LINDESBERG</t>
        </is>
      </c>
      <c r="G774" t="n">
        <v>2.2</v>
      </c>
      <c r="H774" t="n">
        <v>0</v>
      </c>
      <c r="I774" t="n">
        <v>0</v>
      </c>
      <c r="J774" t="n">
        <v>0</v>
      </c>
      <c r="K774" t="n">
        <v>0</v>
      </c>
      <c r="L774" t="n">
        <v>0</v>
      </c>
      <c r="M774" t="n">
        <v>0</v>
      </c>
      <c r="N774" t="n">
        <v>0</v>
      </c>
      <c r="O774" t="n">
        <v>0</v>
      </c>
      <c r="P774" t="n">
        <v>0</v>
      </c>
      <c r="Q774" t="n">
        <v>0</v>
      </c>
      <c r="R774" s="2" t="inlineStr"/>
    </row>
    <row r="775" ht="15" customHeight="1">
      <c r="A775" t="inlineStr">
        <is>
          <t>A 13350-2024</t>
        </is>
      </c>
      <c r="B775" s="1" t="n">
        <v>45387.24732638889</v>
      </c>
      <c r="C775" s="1" t="n">
        <v>46106</v>
      </c>
      <c r="D775" t="inlineStr">
        <is>
          <t>ÖREBRO LÄN</t>
        </is>
      </c>
      <c r="E775" t="inlineStr">
        <is>
          <t>LINDESBERG</t>
        </is>
      </c>
      <c r="G775" t="n">
        <v>4.1</v>
      </c>
      <c r="H775" t="n">
        <v>0</v>
      </c>
      <c r="I775" t="n">
        <v>0</v>
      </c>
      <c r="J775" t="n">
        <v>0</v>
      </c>
      <c r="K775" t="n">
        <v>0</v>
      </c>
      <c r="L775" t="n">
        <v>0</v>
      </c>
      <c r="M775" t="n">
        <v>0</v>
      </c>
      <c r="N775" t="n">
        <v>0</v>
      </c>
      <c r="O775" t="n">
        <v>0</v>
      </c>
      <c r="P775" t="n">
        <v>0</v>
      </c>
      <c r="Q775" t="n">
        <v>0</v>
      </c>
      <c r="R775" s="2" t="inlineStr"/>
    </row>
    <row r="776" ht="15" customHeight="1">
      <c r="A776" t="inlineStr">
        <is>
          <t>A 13351-2024</t>
        </is>
      </c>
      <c r="B776" s="1" t="n">
        <v>45387.2521875</v>
      </c>
      <c r="C776" s="1" t="n">
        <v>46106</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40303-2024</t>
        </is>
      </c>
      <c r="B777" s="1" t="n">
        <v>45554.7158912037</v>
      </c>
      <c r="C777" s="1" t="n">
        <v>46106</v>
      </c>
      <c r="D777" t="inlineStr">
        <is>
          <t>ÖREBRO LÄN</t>
        </is>
      </c>
      <c r="E777" t="inlineStr">
        <is>
          <t>LINDESBERG</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3951-2026</t>
        </is>
      </c>
      <c r="B778" s="1" t="n">
        <v>46044</v>
      </c>
      <c r="C778" s="1" t="n">
        <v>46106</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34838-2023</t>
        </is>
      </c>
      <c r="B779" s="1" t="n">
        <v>45141.76530092592</v>
      </c>
      <c r="C779" s="1" t="n">
        <v>46106</v>
      </c>
      <c r="D779" t="inlineStr">
        <is>
          <t>ÖREBRO LÄN</t>
        </is>
      </c>
      <c r="E779" t="inlineStr">
        <is>
          <t>LINDESBERG</t>
        </is>
      </c>
      <c r="G779" t="n">
        <v>3</v>
      </c>
      <c r="H779" t="n">
        <v>0</v>
      </c>
      <c r="I779" t="n">
        <v>0</v>
      </c>
      <c r="J779" t="n">
        <v>0</v>
      </c>
      <c r="K779" t="n">
        <v>0</v>
      </c>
      <c r="L779" t="n">
        <v>0</v>
      </c>
      <c r="M779" t="n">
        <v>0</v>
      </c>
      <c r="N779" t="n">
        <v>0</v>
      </c>
      <c r="O779" t="n">
        <v>0</v>
      </c>
      <c r="P779" t="n">
        <v>0</v>
      </c>
      <c r="Q779" t="n">
        <v>0</v>
      </c>
      <c r="R779" s="2" t="inlineStr"/>
    </row>
    <row r="780" ht="15" customHeight="1">
      <c r="A780" t="inlineStr">
        <is>
          <t>A 15324-2024</t>
        </is>
      </c>
      <c r="B780" s="1" t="n">
        <v>45400.66995370371</v>
      </c>
      <c r="C780" s="1" t="n">
        <v>46106</v>
      </c>
      <c r="D780" t="inlineStr">
        <is>
          <t>ÖREBRO LÄN</t>
        </is>
      </c>
      <c r="E780" t="inlineStr">
        <is>
          <t>LINDESBERG</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36170-2021</t>
        </is>
      </c>
      <c r="B781" s="1" t="n">
        <v>44389</v>
      </c>
      <c r="C781" s="1" t="n">
        <v>46106</v>
      </c>
      <c r="D781" t="inlineStr">
        <is>
          <t>ÖREBRO LÄN</t>
        </is>
      </c>
      <c r="E781" t="inlineStr">
        <is>
          <t>LINDESBERG</t>
        </is>
      </c>
      <c r="G781" t="n">
        <v>0.4</v>
      </c>
      <c r="H781" t="n">
        <v>0</v>
      </c>
      <c r="I781" t="n">
        <v>0</v>
      </c>
      <c r="J781" t="n">
        <v>0</v>
      </c>
      <c r="K781" t="n">
        <v>0</v>
      </c>
      <c r="L781" t="n">
        <v>0</v>
      </c>
      <c r="M781" t="n">
        <v>0</v>
      </c>
      <c r="N781" t="n">
        <v>0</v>
      </c>
      <c r="O781" t="n">
        <v>0</v>
      </c>
      <c r="P781" t="n">
        <v>0</v>
      </c>
      <c r="Q781" t="n">
        <v>0</v>
      </c>
      <c r="R781" s="2" t="inlineStr"/>
    </row>
    <row r="782" ht="15" customHeight="1">
      <c r="A782" t="inlineStr">
        <is>
          <t>A 7180-2023</t>
        </is>
      </c>
      <c r="B782" s="1" t="n">
        <v>44970.51849537037</v>
      </c>
      <c r="C782" s="1" t="n">
        <v>46106</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46675-2023</t>
        </is>
      </c>
      <c r="B783" s="1" t="n">
        <v>45194</v>
      </c>
      <c r="C783" s="1" t="n">
        <v>46106</v>
      </c>
      <c r="D783" t="inlineStr">
        <is>
          <t>ÖREBRO LÄN</t>
        </is>
      </c>
      <c r="E783" t="inlineStr">
        <is>
          <t>LINDESBERG</t>
        </is>
      </c>
      <c r="G783" t="n">
        <v>3.8</v>
      </c>
      <c r="H783" t="n">
        <v>0</v>
      </c>
      <c r="I783" t="n">
        <v>0</v>
      </c>
      <c r="J783" t="n">
        <v>0</v>
      </c>
      <c r="K783" t="n">
        <v>0</v>
      </c>
      <c r="L783" t="n">
        <v>0</v>
      </c>
      <c r="M783" t="n">
        <v>0</v>
      </c>
      <c r="N783" t="n">
        <v>0</v>
      </c>
      <c r="O783" t="n">
        <v>0</v>
      </c>
      <c r="P783" t="n">
        <v>0</v>
      </c>
      <c r="Q783" t="n">
        <v>0</v>
      </c>
      <c r="R783" s="2" t="inlineStr"/>
    </row>
    <row r="784" ht="15" customHeight="1">
      <c r="A784" t="inlineStr">
        <is>
          <t>A 50964-2023</t>
        </is>
      </c>
      <c r="B784" s="1" t="n">
        <v>45218.488125</v>
      </c>
      <c r="C784" s="1" t="n">
        <v>46106</v>
      </c>
      <c r="D784" t="inlineStr">
        <is>
          <t>ÖREBRO LÄN</t>
        </is>
      </c>
      <c r="E784" t="inlineStr">
        <is>
          <t>LINDESBERG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50619-2022</t>
        </is>
      </c>
      <c r="B785" s="1" t="n">
        <v>44866.79668981482</v>
      </c>
      <c r="C785" s="1" t="n">
        <v>46106</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36893-2024</t>
        </is>
      </c>
      <c r="B786" s="1" t="n">
        <v>45538</v>
      </c>
      <c r="C786" s="1" t="n">
        <v>46106</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47155-2024</t>
        </is>
      </c>
      <c r="B787" s="1" t="n">
        <v>45586</v>
      </c>
      <c r="C787" s="1" t="n">
        <v>46106</v>
      </c>
      <c r="D787" t="inlineStr">
        <is>
          <t>ÖREBRO LÄN</t>
        </is>
      </c>
      <c r="E787" t="inlineStr">
        <is>
          <t>LINDESBERG</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5717-2026</t>
        </is>
      </c>
      <c r="B788" s="1" t="n">
        <v>46051.53689814815</v>
      </c>
      <c r="C788" s="1" t="n">
        <v>46106</v>
      </c>
      <c r="D788" t="inlineStr">
        <is>
          <t>ÖREBRO LÄN</t>
        </is>
      </c>
      <c r="E788" t="inlineStr">
        <is>
          <t>LINDESBERG</t>
        </is>
      </c>
      <c r="G788" t="n">
        <v>6</v>
      </c>
      <c r="H788" t="n">
        <v>0</v>
      </c>
      <c r="I788" t="n">
        <v>0</v>
      </c>
      <c r="J788" t="n">
        <v>0</v>
      </c>
      <c r="K788" t="n">
        <v>0</v>
      </c>
      <c r="L788" t="n">
        <v>0</v>
      </c>
      <c r="M788" t="n">
        <v>0</v>
      </c>
      <c r="N788" t="n">
        <v>0</v>
      </c>
      <c r="O788" t="n">
        <v>0</v>
      </c>
      <c r="P788" t="n">
        <v>0</v>
      </c>
      <c r="Q788" t="n">
        <v>0</v>
      </c>
      <c r="R788" s="2" t="inlineStr"/>
    </row>
    <row r="789" ht="15" customHeight="1">
      <c r="A789" t="inlineStr">
        <is>
          <t>A 10111-2022</t>
        </is>
      </c>
      <c r="B789" s="1" t="n">
        <v>44621.85737268518</v>
      </c>
      <c r="C789" s="1" t="n">
        <v>46106</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14231-2023</t>
        </is>
      </c>
      <c r="B790" s="1" t="n">
        <v>45009.64217592592</v>
      </c>
      <c r="C790" s="1" t="n">
        <v>46106</v>
      </c>
      <c r="D790" t="inlineStr">
        <is>
          <t>ÖREBRO LÄN</t>
        </is>
      </c>
      <c r="E790" t="inlineStr">
        <is>
          <t>LINDESBERG</t>
        </is>
      </c>
      <c r="G790" t="n">
        <v>4.3</v>
      </c>
      <c r="H790" t="n">
        <v>0</v>
      </c>
      <c r="I790" t="n">
        <v>0</v>
      </c>
      <c r="J790" t="n">
        <v>0</v>
      </c>
      <c r="K790" t="n">
        <v>0</v>
      </c>
      <c r="L790" t="n">
        <v>0</v>
      </c>
      <c r="M790" t="n">
        <v>0</v>
      </c>
      <c r="N790" t="n">
        <v>0</v>
      </c>
      <c r="O790" t="n">
        <v>0</v>
      </c>
      <c r="P790" t="n">
        <v>0</v>
      </c>
      <c r="Q790" t="n">
        <v>0</v>
      </c>
      <c r="R790" s="2" t="inlineStr"/>
    </row>
    <row r="791" ht="15" customHeight="1">
      <c r="A791" t="inlineStr">
        <is>
          <t>A 484-2022</t>
        </is>
      </c>
      <c r="B791" s="1" t="n">
        <v>44566</v>
      </c>
      <c r="C791" s="1" t="n">
        <v>46106</v>
      </c>
      <c r="D791" t="inlineStr">
        <is>
          <t>ÖREBRO LÄN</t>
        </is>
      </c>
      <c r="E791" t="inlineStr">
        <is>
          <t>LINDESBERG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5235-2026</t>
        </is>
      </c>
      <c r="B792" s="1" t="n">
        <v>46049.84017361111</v>
      </c>
      <c r="C792" s="1" t="n">
        <v>46106</v>
      </c>
      <c r="D792" t="inlineStr">
        <is>
          <t>ÖREBRO LÄN</t>
        </is>
      </c>
      <c r="E792" t="inlineStr">
        <is>
          <t>LINDESBERG</t>
        </is>
      </c>
      <c r="G792" t="n">
        <v>4.8</v>
      </c>
      <c r="H792" t="n">
        <v>0</v>
      </c>
      <c r="I792" t="n">
        <v>0</v>
      </c>
      <c r="J792" t="n">
        <v>0</v>
      </c>
      <c r="K792" t="n">
        <v>0</v>
      </c>
      <c r="L792" t="n">
        <v>0</v>
      </c>
      <c r="M792" t="n">
        <v>0</v>
      </c>
      <c r="N792" t="n">
        <v>0</v>
      </c>
      <c r="O792" t="n">
        <v>0</v>
      </c>
      <c r="P792" t="n">
        <v>0</v>
      </c>
      <c r="Q792" t="n">
        <v>0</v>
      </c>
      <c r="R792" s="2" t="inlineStr"/>
    </row>
    <row r="793" ht="15" customHeight="1">
      <c r="A793" t="inlineStr">
        <is>
          <t>A 5715-2026</t>
        </is>
      </c>
      <c r="B793" s="1" t="n">
        <v>46051.53563657407</v>
      </c>
      <c r="C793" s="1" t="n">
        <v>46106</v>
      </c>
      <c r="D793" t="inlineStr">
        <is>
          <t>ÖREBRO LÄN</t>
        </is>
      </c>
      <c r="E793" t="inlineStr">
        <is>
          <t>LINDESBERG</t>
        </is>
      </c>
      <c r="G793" t="n">
        <v>0.7</v>
      </c>
      <c r="H793" t="n">
        <v>0</v>
      </c>
      <c r="I793" t="n">
        <v>0</v>
      </c>
      <c r="J793" t="n">
        <v>0</v>
      </c>
      <c r="K793" t="n">
        <v>0</v>
      </c>
      <c r="L793" t="n">
        <v>0</v>
      </c>
      <c r="M793" t="n">
        <v>0</v>
      </c>
      <c r="N793" t="n">
        <v>0</v>
      </c>
      <c r="O793" t="n">
        <v>0</v>
      </c>
      <c r="P793" t="n">
        <v>0</v>
      </c>
      <c r="Q793" t="n">
        <v>0</v>
      </c>
      <c r="R793" s="2" t="inlineStr"/>
    </row>
    <row r="794" ht="15" customHeight="1">
      <c r="A794" t="inlineStr">
        <is>
          <t>A 1395-2025</t>
        </is>
      </c>
      <c r="B794" s="1" t="n">
        <v>45667</v>
      </c>
      <c r="C794" s="1" t="n">
        <v>46106</v>
      </c>
      <c r="D794" t="inlineStr">
        <is>
          <t>ÖREBRO LÄN</t>
        </is>
      </c>
      <c r="E794" t="inlineStr">
        <is>
          <t>LINDESBERG</t>
        </is>
      </c>
      <c r="G794" t="n">
        <v>4.6</v>
      </c>
      <c r="H794" t="n">
        <v>0</v>
      </c>
      <c r="I794" t="n">
        <v>0</v>
      </c>
      <c r="J794" t="n">
        <v>0</v>
      </c>
      <c r="K794" t="n">
        <v>0</v>
      </c>
      <c r="L794" t="n">
        <v>0</v>
      </c>
      <c r="M794" t="n">
        <v>0</v>
      </c>
      <c r="N794" t="n">
        <v>0</v>
      </c>
      <c r="O794" t="n">
        <v>0</v>
      </c>
      <c r="P794" t="n">
        <v>0</v>
      </c>
      <c r="Q794" t="n">
        <v>0</v>
      </c>
      <c r="R794" s="2" t="inlineStr"/>
    </row>
    <row r="795" ht="15" customHeight="1">
      <c r="A795" t="inlineStr">
        <is>
          <t>A 1405-2025</t>
        </is>
      </c>
      <c r="B795" s="1" t="n">
        <v>45667</v>
      </c>
      <c r="C795" s="1" t="n">
        <v>46106</v>
      </c>
      <c r="D795" t="inlineStr">
        <is>
          <t>ÖREBRO LÄN</t>
        </is>
      </c>
      <c r="E795" t="inlineStr">
        <is>
          <t>LINDESBERG</t>
        </is>
      </c>
      <c r="F795" t="inlineStr">
        <is>
          <t>Allmännings- och besparingsskogar</t>
        </is>
      </c>
      <c r="G795" t="n">
        <v>3.1</v>
      </c>
      <c r="H795" t="n">
        <v>0</v>
      </c>
      <c r="I795" t="n">
        <v>0</v>
      </c>
      <c r="J795" t="n">
        <v>0</v>
      </c>
      <c r="K795" t="n">
        <v>0</v>
      </c>
      <c r="L795" t="n">
        <v>0</v>
      </c>
      <c r="M795" t="n">
        <v>0</v>
      </c>
      <c r="N795" t="n">
        <v>0</v>
      </c>
      <c r="O795" t="n">
        <v>0</v>
      </c>
      <c r="P795" t="n">
        <v>0</v>
      </c>
      <c r="Q795" t="n">
        <v>0</v>
      </c>
      <c r="R795" s="2" t="inlineStr"/>
    </row>
    <row r="796" ht="15" customHeight="1">
      <c r="A796" t="inlineStr">
        <is>
          <t>A 34434-2023</t>
        </is>
      </c>
      <c r="B796" s="1" t="n">
        <v>45139.63480324074</v>
      </c>
      <c r="C796" s="1" t="n">
        <v>46106</v>
      </c>
      <c r="D796" t="inlineStr">
        <is>
          <t>ÖREBRO LÄN</t>
        </is>
      </c>
      <c r="E796" t="inlineStr">
        <is>
          <t>LINDESBERG</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45078-2024</t>
        </is>
      </c>
      <c r="B797" s="1" t="n">
        <v>45575.57104166667</v>
      </c>
      <c r="C797" s="1" t="n">
        <v>46106</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6723-2022</t>
        </is>
      </c>
      <c r="B798" s="1" t="n">
        <v>44602.45162037037</v>
      </c>
      <c r="C798" s="1" t="n">
        <v>46106</v>
      </c>
      <c r="D798" t="inlineStr">
        <is>
          <t>ÖREBRO LÄN</t>
        </is>
      </c>
      <c r="E798" t="inlineStr">
        <is>
          <t>LINDESBERG</t>
        </is>
      </c>
      <c r="G798" t="n">
        <v>4.2</v>
      </c>
      <c r="H798" t="n">
        <v>0</v>
      </c>
      <c r="I798" t="n">
        <v>0</v>
      </c>
      <c r="J798" t="n">
        <v>0</v>
      </c>
      <c r="K798" t="n">
        <v>0</v>
      </c>
      <c r="L798" t="n">
        <v>0</v>
      </c>
      <c r="M798" t="n">
        <v>0</v>
      </c>
      <c r="N798" t="n">
        <v>0</v>
      </c>
      <c r="O798" t="n">
        <v>0</v>
      </c>
      <c r="P798" t="n">
        <v>0</v>
      </c>
      <c r="Q798" t="n">
        <v>0</v>
      </c>
      <c r="R798" s="2" t="inlineStr"/>
    </row>
    <row r="799" ht="15" customHeight="1">
      <c r="A799" t="inlineStr">
        <is>
          <t>A 28470-2023</t>
        </is>
      </c>
      <c r="B799" s="1" t="n">
        <v>45103</v>
      </c>
      <c r="C799" s="1" t="n">
        <v>46106</v>
      </c>
      <c r="D799" t="inlineStr">
        <is>
          <t>ÖREBRO LÄN</t>
        </is>
      </c>
      <c r="E799" t="inlineStr">
        <is>
          <t>LINDESBERG</t>
        </is>
      </c>
      <c r="G799" t="n">
        <v>6.7</v>
      </c>
      <c r="H799" t="n">
        <v>0</v>
      </c>
      <c r="I799" t="n">
        <v>0</v>
      </c>
      <c r="J799" t="n">
        <v>0</v>
      </c>
      <c r="K799" t="n">
        <v>0</v>
      </c>
      <c r="L799" t="n">
        <v>0</v>
      </c>
      <c r="M799" t="n">
        <v>0</v>
      </c>
      <c r="N799" t="n">
        <v>0</v>
      </c>
      <c r="O799" t="n">
        <v>0</v>
      </c>
      <c r="P799" t="n">
        <v>0</v>
      </c>
      <c r="Q799" t="n">
        <v>0</v>
      </c>
      <c r="R799" s="2" t="inlineStr"/>
    </row>
    <row r="800" ht="15" customHeight="1">
      <c r="A800" t="inlineStr">
        <is>
          <t>A 32097-2024</t>
        </is>
      </c>
      <c r="B800" s="1" t="n">
        <v>45511.39445601852</v>
      </c>
      <c r="C800" s="1" t="n">
        <v>46106</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26340-2022</t>
        </is>
      </c>
      <c r="B801" s="1" t="n">
        <v>44735.62539351852</v>
      </c>
      <c r="C801" s="1" t="n">
        <v>46106</v>
      </c>
      <c r="D801" t="inlineStr">
        <is>
          <t>ÖREBRO LÄN</t>
        </is>
      </c>
      <c r="E801" t="inlineStr">
        <is>
          <t>LINDESBERG</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5928-2026</t>
        </is>
      </c>
      <c r="B802" s="1" t="n">
        <v>46052.46519675926</v>
      </c>
      <c r="C802" s="1" t="n">
        <v>46106</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30534-2023</t>
        </is>
      </c>
      <c r="B803" s="1" t="n">
        <v>45111</v>
      </c>
      <c r="C803" s="1" t="n">
        <v>46106</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6616-2026</t>
        </is>
      </c>
      <c r="B804" s="1" t="n">
        <v>46056.49075231481</v>
      </c>
      <c r="C804" s="1" t="n">
        <v>46106</v>
      </c>
      <c r="D804" t="inlineStr">
        <is>
          <t>ÖREBRO LÄN</t>
        </is>
      </c>
      <c r="E804" t="inlineStr">
        <is>
          <t>LINDESBERG</t>
        </is>
      </c>
      <c r="G804" t="n">
        <v>9</v>
      </c>
      <c r="H804" t="n">
        <v>0</v>
      </c>
      <c r="I804" t="n">
        <v>0</v>
      </c>
      <c r="J804" t="n">
        <v>0</v>
      </c>
      <c r="K804" t="n">
        <v>0</v>
      </c>
      <c r="L804" t="n">
        <v>0</v>
      </c>
      <c r="M804" t="n">
        <v>0</v>
      </c>
      <c r="N804" t="n">
        <v>0</v>
      </c>
      <c r="O804" t="n">
        <v>0</v>
      </c>
      <c r="P804" t="n">
        <v>0</v>
      </c>
      <c r="Q804" t="n">
        <v>0</v>
      </c>
      <c r="R804" s="2" t="inlineStr"/>
    </row>
    <row r="805" ht="15" customHeight="1">
      <c r="A805" t="inlineStr">
        <is>
          <t>A 3994-2023</t>
        </is>
      </c>
      <c r="B805" s="1" t="n">
        <v>44950</v>
      </c>
      <c r="C805" s="1" t="n">
        <v>46106</v>
      </c>
      <c r="D805" t="inlineStr">
        <is>
          <t>ÖREBRO LÄN</t>
        </is>
      </c>
      <c r="E805" t="inlineStr">
        <is>
          <t>LINDESBERG</t>
        </is>
      </c>
      <c r="G805" t="n">
        <v>4.8</v>
      </c>
      <c r="H805" t="n">
        <v>0</v>
      </c>
      <c r="I805" t="n">
        <v>0</v>
      </c>
      <c r="J805" t="n">
        <v>0</v>
      </c>
      <c r="K805" t="n">
        <v>0</v>
      </c>
      <c r="L805" t="n">
        <v>0</v>
      </c>
      <c r="M805" t="n">
        <v>0</v>
      </c>
      <c r="N805" t="n">
        <v>0</v>
      </c>
      <c r="O805" t="n">
        <v>0</v>
      </c>
      <c r="P805" t="n">
        <v>0</v>
      </c>
      <c r="Q805" t="n">
        <v>0</v>
      </c>
      <c r="R805" s="2" t="inlineStr"/>
    </row>
    <row r="806" ht="15" customHeight="1">
      <c r="A806" t="inlineStr">
        <is>
          <t>A 54705-2022</t>
        </is>
      </c>
      <c r="B806" s="1" t="n">
        <v>44883</v>
      </c>
      <c r="C806" s="1" t="n">
        <v>46106</v>
      </c>
      <c r="D806" t="inlineStr">
        <is>
          <t>ÖREBRO LÄN</t>
        </is>
      </c>
      <c r="E806" t="inlineStr">
        <is>
          <t>LINDESBERG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46106</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34539-2024</t>
        </is>
      </c>
      <c r="B808" s="1" t="n">
        <v>45525.7374537037</v>
      </c>
      <c r="C808" s="1" t="n">
        <v>46106</v>
      </c>
      <c r="D808" t="inlineStr">
        <is>
          <t>ÖREBRO LÄN</t>
        </is>
      </c>
      <c r="E808" t="inlineStr">
        <is>
          <t>LINDESBERG</t>
        </is>
      </c>
      <c r="G808" t="n">
        <v>5.4</v>
      </c>
      <c r="H808" t="n">
        <v>0</v>
      </c>
      <c r="I808" t="n">
        <v>0</v>
      </c>
      <c r="J808" t="n">
        <v>0</v>
      </c>
      <c r="K808" t="n">
        <v>0</v>
      </c>
      <c r="L808" t="n">
        <v>0</v>
      </c>
      <c r="M808" t="n">
        <v>0</v>
      </c>
      <c r="N808" t="n">
        <v>0</v>
      </c>
      <c r="O808" t="n">
        <v>0</v>
      </c>
      <c r="P808" t="n">
        <v>0</v>
      </c>
      <c r="Q808" t="n">
        <v>0</v>
      </c>
      <c r="R808" s="2" t="inlineStr"/>
    </row>
    <row r="809" ht="15" customHeight="1">
      <c r="A809" t="inlineStr">
        <is>
          <t>A 41951-2023</t>
        </is>
      </c>
      <c r="B809" s="1" t="n">
        <v>45177.33991898148</v>
      </c>
      <c r="C809" s="1" t="n">
        <v>46106</v>
      </c>
      <c r="D809" t="inlineStr">
        <is>
          <t>ÖREBRO LÄN</t>
        </is>
      </c>
      <c r="E809" t="inlineStr">
        <is>
          <t>LINDESBERG</t>
        </is>
      </c>
      <c r="F809" t="inlineStr">
        <is>
          <t>Kyrkan</t>
        </is>
      </c>
      <c r="G809" t="n">
        <v>3.3</v>
      </c>
      <c r="H809" t="n">
        <v>0</v>
      </c>
      <c r="I809" t="n">
        <v>0</v>
      </c>
      <c r="J809" t="n">
        <v>0</v>
      </c>
      <c r="K809" t="n">
        <v>0</v>
      </c>
      <c r="L809" t="n">
        <v>0</v>
      </c>
      <c r="M809" t="n">
        <v>0</v>
      </c>
      <c r="N809" t="n">
        <v>0</v>
      </c>
      <c r="O809" t="n">
        <v>0</v>
      </c>
      <c r="P809" t="n">
        <v>0</v>
      </c>
      <c r="Q809" t="n">
        <v>0</v>
      </c>
      <c r="R809" s="2" t="inlineStr"/>
    </row>
    <row r="810" ht="15" customHeight="1">
      <c r="A810" t="inlineStr">
        <is>
          <t>A 58603-2023</t>
        </is>
      </c>
      <c r="B810" s="1" t="n">
        <v>45251</v>
      </c>
      <c r="C810" s="1" t="n">
        <v>46106</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14187-2024</t>
        </is>
      </c>
      <c r="B811" s="1" t="n">
        <v>45393.35787037037</v>
      </c>
      <c r="C811" s="1" t="n">
        <v>46106</v>
      </c>
      <c r="D811" t="inlineStr">
        <is>
          <t>ÖREBRO LÄN</t>
        </is>
      </c>
      <c r="E811" t="inlineStr">
        <is>
          <t>LINDESBERG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18418-2025</t>
        </is>
      </c>
      <c r="B812" s="1" t="n">
        <v>45762.61817129629</v>
      </c>
      <c r="C812" s="1" t="n">
        <v>46106</v>
      </c>
      <c r="D812" t="inlineStr">
        <is>
          <t>ÖREBRO LÄN</t>
        </is>
      </c>
      <c r="E812" t="inlineStr">
        <is>
          <t>LINDESBERG</t>
        </is>
      </c>
      <c r="G812" t="n">
        <v>2.3</v>
      </c>
      <c r="H812" t="n">
        <v>0</v>
      </c>
      <c r="I812" t="n">
        <v>0</v>
      </c>
      <c r="J812" t="n">
        <v>0</v>
      </c>
      <c r="K812" t="n">
        <v>0</v>
      </c>
      <c r="L812" t="n">
        <v>0</v>
      </c>
      <c r="M812" t="n">
        <v>0</v>
      </c>
      <c r="N812" t="n">
        <v>0</v>
      </c>
      <c r="O812" t="n">
        <v>0</v>
      </c>
      <c r="P812" t="n">
        <v>0</v>
      </c>
      <c r="Q812" t="n">
        <v>0</v>
      </c>
      <c r="R812" s="2" t="inlineStr"/>
    </row>
    <row r="813" ht="15" customHeight="1">
      <c r="A813" t="inlineStr">
        <is>
          <t>A 29849-2023</t>
        </is>
      </c>
      <c r="B813" s="1" t="n">
        <v>45107</v>
      </c>
      <c r="C813" s="1" t="n">
        <v>46106</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60105-2022</t>
        </is>
      </c>
      <c r="B814" s="1" t="n">
        <v>44902</v>
      </c>
      <c r="C814" s="1" t="n">
        <v>46106</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15094-2025</t>
        </is>
      </c>
      <c r="B815" s="1" t="n">
        <v>45744.32981481482</v>
      </c>
      <c r="C815" s="1" t="n">
        <v>46106</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33427-2024</t>
        </is>
      </c>
      <c r="B816" s="1" t="n">
        <v>45519.52232638889</v>
      </c>
      <c r="C816" s="1" t="n">
        <v>46106</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29894-2023</t>
        </is>
      </c>
      <c r="B817" s="1" t="n">
        <v>45107</v>
      </c>
      <c r="C817" s="1" t="n">
        <v>46106</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40306-2022</t>
        </is>
      </c>
      <c r="B818" s="1" t="n">
        <v>44822</v>
      </c>
      <c r="C818" s="1" t="n">
        <v>46106</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63668-2023</t>
        </is>
      </c>
      <c r="B819" s="1" t="n">
        <v>45274</v>
      </c>
      <c r="C819" s="1" t="n">
        <v>46106</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46106</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46106</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46106</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46106</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46106</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46106</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46106</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46106</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46106</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46106</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46106</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46106</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46106</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46106</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46106</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46106</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46106</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46106</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46106</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46106</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46106</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46106</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46106</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46106</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46106</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46106</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46106</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18610-2021</t>
        </is>
      </c>
      <c r="B847" s="1" t="n">
        <v>44306.6371412037</v>
      </c>
      <c r="C847" s="1" t="n">
        <v>46106</v>
      </c>
      <c r="D847" t="inlineStr">
        <is>
          <t>ÖREBRO LÄN</t>
        </is>
      </c>
      <c r="E847" t="inlineStr">
        <is>
          <t>LINDESBERG</t>
        </is>
      </c>
      <c r="G847" t="n">
        <v>3</v>
      </c>
      <c r="H847" t="n">
        <v>0</v>
      </c>
      <c r="I847" t="n">
        <v>0</v>
      </c>
      <c r="J847" t="n">
        <v>0</v>
      </c>
      <c r="K847" t="n">
        <v>0</v>
      </c>
      <c r="L847" t="n">
        <v>0</v>
      </c>
      <c r="M847" t="n">
        <v>0</v>
      </c>
      <c r="N847" t="n">
        <v>0</v>
      </c>
      <c r="O847" t="n">
        <v>0</v>
      </c>
      <c r="P847" t="n">
        <v>0</v>
      </c>
      <c r="Q847" t="n">
        <v>0</v>
      </c>
      <c r="R847" s="2" t="inlineStr"/>
    </row>
    <row r="848" ht="15" customHeight="1">
      <c r="A848" t="inlineStr">
        <is>
          <t>A 40038-2024</t>
        </is>
      </c>
      <c r="B848" s="1" t="n">
        <v>45553</v>
      </c>
      <c r="C848" s="1" t="n">
        <v>46106</v>
      </c>
      <c r="D848" t="inlineStr">
        <is>
          <t>ÖREBRO LÄN</t>
        </is>
      </c>
      <c r="E848" t="inlineStr">
        <is>
          <t>LINDESBERG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61360-2024</t>
        </is>
      </c>
      <c r="B849" s="1" t="n">
        <v>45646</v>
      </c>
      <c r="C849" s="1" t="n">
        <v>46106</v>
      </c>
      <c r="D849" t="inlineStr">
        <is>
          <t>ÖREBRO LÄN</t>
        </is>
      </c>
      <c r="E849" t="inlineStr">
        <is>
          <t>LINDESBERG</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12276-2025</t>
        </is>
      </c>
      <c r="B850" s="1" t="n">
        <v>45729.65061342593</v>
      </c>
      <c r="C850" s="1" t="n">
        <v>46106</v>
      </c>
      <c r="D850" t="inlineStr">
        <is>
          <t>ÖREBRO LÄN</t>
        </is>
      </c>
      <c r="E850" t="inlineStr">
        <is>
          <t>LINDESBERG</t>
        </is>
      </c>
      <c r="G850" t="n">
        <v>7.6</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46106</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31024-2023</t>
        </is>
      </c>
      <c r="B852" s="1" t="n">
        <v>45113</v>
      </c>
      <c r="C852" s="1" t="n">
        <v>46106</v>
      </c>
      <c r="D852" t="inlineStr">
        <is>
          <t>ÖREBRO LÄN</t>
        </is>
      </c>
      <c r="E852" t="inlineStr">
        <is>
          <t>LINDESBERG</t>
        </is>
      </c>
      <c r="G852" t="n">
        <v>5.1</v>
      </c>
      <c r="H852" t="n">
        <v>0</v>
      </c>
      <c r="I852" t="n">
        <v>0</v>
      </c>
      <c r="J852" t="n">
        <v>0</v>
      </c>
      <c r="K852" t="n">
        <v>0</v>
      </c>
      <c r="L852" t="n">
        <v>0</v>
      </c>
      <c r="M852" t="n">
        <v>0</v>
      </c>
      <c r="N852" t="n">
        <v>0</v>
      </c>
      <c r="O852" t="n">
        <v>0</v>
      </c>
      <c r="P852" t="n">
        <v>0</v>
      </c>
      <c r="Q852" t="n">
        <v>0</v>
      </c>
      <c r="R852" s="2" t="inlineStr"/>
    </row>
    <row r="853" ht="15" customHeight="1">
      <c r="A853" t="inlineStr">
        <is>
          <t>A 27052-2023</t>
        </is>
      </c>
      <c r="B853" s="1" t="n">
        <v>45095</v>
      </c>
      <c r="C853" s="1" t="n">
        <v>46106</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12053-2024</t>
        </is>
      </c>
      <c r="B854" s="1" t="n">
        <v>45377.48265046296</v>
      </c>
      <c r="C854" s="1" t="n">
        <v>46106</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25229-2021</t>
        </is>
      </c>
      <c r="B855" s="1" t="n">
        <v>44342.39703703704</v>
      </c>
      <c r="C855" s="1" t="n">
        <v>46106</v>
      </c>
      <c r="D855" t="inlineStr">
        <is>
          <t>ÖREBRO LÄN</t>
        </is>
      </c>
      <c r="E855" t="inlineStr">
        <is>
          <t>LINDESBERG</t>
        </is>
      </c>
      <c r="F855" t="inlineStr">
        <is>
          <t>Kyrkan</t>
        </is>
      </c>
      <c r="G855" t="n">
        <v>1.5</v>
      </c>
      <c r="H855" t="n">
        <v>0</v>
      </c>
      <c r="I855" t="n">
        <v>0</v>
      </c>
      <c r="J855" t="n">
        <v>0</v>
      </c>
      <c r="K855" t="n">
        <v>0</v>
      </c>
      <c r="L855" t="n">
        <v>0</v>
      </c>
      <c r="M855" t="n">
        <v>0</v>
      </c>
      <c r="N855" t="n">
        <v>0</v>
      </c>
      <c r="O855" t="n">
        <v>0</v>
      </c>
      <c r="P855" t="n">
        <v>0</v>
      </c>
      <c r="Q855" t="n">
        <v>0</v>
      </c>
      <c r="R855" s="2" t="inlineStr"/>
    </row>
    <row r="856" ht="15" customHeight="1">
      <c r="A856" t="inlineStr">
        <is>
          <t>A 626-2025</t>
        </is>
      </c>
      <c r="B856" s="1" t="n">
        <v>45664</v>
      </c>
      <c r="C856" s="1" t="n">
        <v>46106</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13573-2025</t>
        </is>
      </c>
      <c r="B857" s="1" t="n">
        <v>45736</v>
      </c>
      <c r="C857" s="1" t="n">
        <v>46106</v>
      </c>
      <c r="D857" t="inlineStr">
        <is>
          <t>ÖREBRO LÄN</t>
        </is>
      </c>
      <c r="E857" t="inlineStr">
        <is>
          <t>LINDESBERG</t>
        </is>
      </c>
      <c r="G857" t="n">
        <v>11.7</v>
      </c>
      <c r="H857" t="n">
        <v>0</v>
      </c>
      <c r="I857" t="n">
        <v>0</v>
      </c>
      <c r="J857" t="n">
        <v>0</v>
      </c>
      <c r="K857" t="n">
        <v>0</v>
      </c>
      <c r="L857" t="n">
        <v>0</v>
      </c>
      <c r="M857" t="n">
        <v>0</v>
      </c>
      <c r="N857" t="n">
        <v>0</v>
      </c>
      <c r="O857" t="n">
        <v>0</v>
      </c>
      <c r="P857" t="n">
        <v>0</v>
      </c>
      <c r="Q857" t="n">
        <v>0</v>
      </c>
      <c r="R857" s="2" t="inlineStr"/>
    </row>
    <row r="858" ht="15" customHeight="1">
      <c r="A858" t="inlineStr">
        <is>
          <t>A 63686-2023</t>
        </is>
      </c>
      <c r="B858" s="1" t="n">
        <v>45274</v>
      </c>
      <c r="C858" s="1" t="n">
        <v>46106</v>
      </c>
      <c r="D858" t="inlineStr">
        <is>
          <t>ÖREBRO LÄN</t>
        </is>
      </c>
      <c r="E858" t="inlineStr">
        <is>
          <t>LINDESBERG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64365-2023</t>
        </is>
      </c>
      <c r="B859" s="1" t="n">
        <v>45280</v>
      </c>
      <c r="C859" s="1" t="n">
        <v>46106</v>
      </c>
      <c r="D859" t="inlineStr">
        <is>
          <t>ÖREBRO LÄN</t>
        </is>
      </c>
      <c r="E859" t="inlineStr">
        <is>
          <t>LINDESBERG</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56217-2022</t>
        </is>
      </c>
      <c r="B860" s="1" t="n">
        <v>44890.46174768519</v>
      </c>
      <c r="C860" s="1" t="n">
        <v>46106</v>
      </c>
      <c r="D860" t="inlineStr">
        <is>
          <t>ÖREBRO LÄN</t>
        </is>
      </c>
      <c r="E860" t="inlineStr">
        <is>
          <t>LINDESBERG</t>
        </is>
      </c>
      <c r="G860" t="n">
        <v>6.9</v>
      </c>
      <c r="H860" t="n">
        <v>0</v>
      </c>
      <c r="I860" t="n">
        <v>0</v>
      </c>
      <c r="J860" t="n">
        <v>0</v>
      </c>
      <c r="K860" t="n">
        <v>0</v>
      </c>
      <c r="L860" t="n">
        <v>0</v>
      </c>
      <c r="M860" t="n">
        <v>0</v>
      </c>
      <c r="N860" t="n">
        <v>0</v>
      </c>
      <c r="O860" t="n">
        <v>0</v>
      </c>
      <c r="P860" t="n">
        <v>0</v>
      </c>
      <c r="Q860" t="n">
        <v>0</v>
      </c>
      <c r="R860" s="2" t="inlineStr"/>
    </row>
    <row r="861" ht="15" customHeight="1">
      <c r="A861" t="inlineStr">
        <is>
          <t>A 5550-2024</t>
        </is>
      </c>
      <c r="B861" s="1" t="n">
        <v>45334</v>
      </c>
      <c r="C861" s="1" t="n">
        <v>46106</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32829-2024</t>
        </is>
      </c>
      <c r="B862" s="1" t="n">
        <v>45516.59447916667</v>
      </c>
      <c r="C862" s="1" t="n">
        <v>46106</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29350-2022</t>
        </is>
      </c>
      <c r="B863" s="1" t="n">
        <v>44753</v>
      </c>
      <c r="C863" s="1" t="n">
        <v>46106</v>
      </c>
      <c r="D863" t="inlineStr">
        <is>
          <t>ÖREBRO LÄN</t>
        </is>
      </c>
      <c r="E863" t="inlineStr">
        <is>
          <t>LINDESBERG</t>
        </is>
      </c>
      <c r="G863" t="n">
        <v>7.7</v>
      </c>
      <c r="H863" t="n">
        <v>0</v>
      </c>
      <c r="I863" t="n">
        <v>0</v>
      </c>
      <c r="J863" t="n">
        <v>0</v>
      </c>
      <c r="K863" t="n">
        <v>0</v>
      </c>
      <c r="L863" t="n">
        <v>0</v>
      </c>
      <c r="M863" t="n">
        <v>0</v>
      </c>
      <c r="N863" t="n">
        <v>0</v>
      </c>
      <c r="O863" t="n">
        <v>0</v>
      </c>
      <c r="P863" t="n">
        <v>0</v>
      </c>
      <c r="Q863" t="n">
        <v>0</v>
      </c>
      <c r="R863" s="2" t="inlineStr"/>
    </row>
    <row r="864" ht="15" customHeight="1">
      <c r="A864" t="inlineStr">
        <is>
          <t>A 53510-2024</t>
        </is>
      </c>
      <c r="B864" s="1" t="n">
        <v>45614.5968287037</v>
      </c>
      <c r="C864" s="1" t="n">
        <v>46106</v>
      </c>
      <c r="D864" t="inlineStr">
        <is>
          <t>ÖREBRO LÄN</t>
        </is>
      </c>
      <c r="E864" t="inlineStr">
        <is>
          <t>LINDESBERG</t>
        </is>
      </c>
      <c r="G864" t="n">
        <v>1</v>
      </c>
      <c r="H864" t="n">
        <v>0</v>
      </c>
      <c r="I864" t="n">
        <v>0</v>
      </c>
      <c r="J864" t="n">
        <v>0</v>
      </c>
      <c r="K864" t="n">
        <v>0</v>
      </c>
      <c r="L864" t="n">
        <v>0</v>
      </c>
      <c r="M864" t="n">
        <v>0</v>
      </c>
      <c r="N864" t="n">
        <v>0</v>
      </c>
      <c r="O864" t="n">
        <v>0</v>
      </c>
      <c r="P864" t="n">
        <v>0</v>
      </c>
      <c r="Q864" t="n">
        <v>0</v>
      </c>
      <c r="R864" s="2" t="inlineStr"/>
    </row>
    <row r="865" ht="15" customHeight="1">
      <c r="A865" t="inlineStr">
        <is>
          <t>A 58710-2023</t>
        </is>
      </c>
      <c r="B865" s="1" t="n">
        <v>45251.696875</v>
      </c>
      <c r="C865" s="1" t="n">
        <v>46106</v>
      </c>
      <c r="D865" t="inlineStr">
        <is>
          <t>ÖREBRO LÄN</t>
        </is>
      </c>
      <c r="E865" t="inlineStr">
        <is>
          <t>LINDESBERG</t>
        </is>
      </c>
      <c r="G865" t="n">
        <v>6.3</v>
      </c>
      <c r="H865" t="n">
        <v>0</v>
      </c>
      <c r="I865" t="n">
        <v>0</v>
      </c>
      <c r="J865" t="n">
        <v>0</v>
      </c>
      <c r="K865" t="n">
        <v>0</v>
      </c>
      <c r="L865" t="n">
        <v>0</v>
      </c>
      <c r="M865" t="n">
        <v>0</v>
      </c>
      <c r="N865" t="n">
        <v>0</v>
      </c>
      <c r="O865" t="n">
        <v>0</v>
      </c>
      <c r="P865" t="n">
        <v>0</v>
      </c>
      <c r="Q865" t="n">
        <v>0</v>
      </c>
      <c r="R865" s="2" t="inlineStr"/>
    </row>
    <row r="866" ht="15" customHeight="1">
      <c r="A866" t="inlineStr">
        <is>
          <t>A 60449-2024</t>
        </is>
      </c>
      <c r="B866" s="1" t="n">
        <v>45643</v>
      </c>
      <c r="C866" s="1" t="n">
        <v>46106</v>
      </c>
      <c r="D866" t="inlineStr">
        <is>
          <t>ÖREBRO LÄN</t>
        </is>
      </c>
      <c r="E866" t="inlineStr">
        <is>
          <t>LINDESBERG</t>
        </is>
      </c>
      <c r="G866" t="n">
        <v>1.2</v>
      </c>
      <c r="H866" t="n">
        <v>0</v>
      </c>
      <c r="I866" t="n">
        <v>0</v>
      </c>
      <c r="J866" t="n">
        <v>0</v>
      </c>
      <c r="K866" t="n">
        <v>0</v>
      </c>
      <c r="L866" t="n">
        <v>0</v>
      </c>
      <c r="M866" t="n">
        <v>0</v>
      </c>
      <c r="N866" t="n">
        <v>0</v>
      </c>
      <c r="O866" t="n">
        <v>0</v>
      </c>
      <c r="P866" t="n">
        <v>0</v>
      </c>
      <c r="Q866" t="n">
        <v>0</v>
      </c>
      <c r="R866" s="2" t="inlineStr"/>
    </row>
    <row r="867" ht="15" customHeight="1">
      <c r="A867" t="inlineStr">
        <is>
          <t>A 15894-2025</t>
        </is>
      </c>
      <c r="B867" s="1" t="n">
        <v>45749</v>
      </c>
      <c r="C867" s="1" t="n">
        <v>46106</v>
      </c>
      <c r="D867" t="inlineStr">
        <is>
          <t>ÖREBRO LÄN</t>
        </is>
      </c>
      <c r="E867" t="inlineStr">
        <is>
          <t>LINDESBERG</t>
        </is>
      </c>
      <c r="G867" t="n">
        <v>1.5</v>
      </c>
      <c r="H867" t="n">
        <v>0</v>
      </c>
      <c r="I867" t="n">
        <v>0</v>
      </c>
      <c r="J867" t="n">
        <v>0</v>
      </c>
      <c r="K867" t="n">
        <v>0</v>
      </c>
      <c r="L867" t="n">
        <v>0</v>
      </c>
      <c r="M867" t="n">
        <v>0</v>
      </c>
      <c r="N867" t="n">
        <v>0</v>
      </c>
      <c r="O867" t="n">
        <v>0</v>
      </c>
      <c r="P867" t="n">
        <v>0</v>
      </c>
      <c r="Q867" t="n">
        <v>0</v>
      </c>
      <c r="R867" s="2" t="inlineStr"/>
    </row>
    <row r="868" ht="15" customHeight="1">
      <c r="A868" t="inlineStr">
        <is>
          <t>A 43529-2024</t>
        </is>
      </c>
      <c r="B868" s="1" t="n">
        <v>45569.35209490741</v>
      </c>
      <c r="C868" s="1" t="n">
        <v>46106</v>
      </c>
      <c r="D868" t="inlineStr">
        <is>
          <t>ÖREBRO LÄN</t>
        </is>
      </c>
      <c r="E868" t="inlineStr">
        <is>
          <t>LINDESBERG</t>
        </is>
      </c>
      <c r="G868" t="n">
        <v>2.8</v>
      </c>
      <c r="H868" t="n">
        <v>0</v>
      </c>
      <c r="I868" t="n">
        <v>0</v>
      </c>
      <c r="J868" t="n">
        <v>0</v>
      </c>
      <c r="K868" t="n">
        <v>0</v>
      </c>
      <c r="L868" t="n">
        <v>0</v>
      </c>
      <c r="M868" t="n">
        <v>0</v>
      </c>
      <c r="N868" t="n">
        <v>0</v>
      </c>
      <c r="O868" t="n">
        <v>0</v>
      </c>
      <c r="P868" t="n">
        <v>0</v>
      </c>
      <c r="Q868" t="n">
        <v>0</v>
      </c>
      <c r="R868" s="2" t="inlineStr"/>
    </row>
    <row r="869" ht="15" customHeight="1">
      <c r="A869" t="inlineStr">
        <is>
          <t>A 54864-2024</t>
        </is>
      </c>
      <c r="B869" s="1" t="n">
        <v>45618.59456018519</v>
      </c>
      <c r="C869" s="1" t="n">
        <v>46106</v>
      </c>
      <c r="D869" t="inlineStr">
        <is>
          <t>ÖREBRO LÄN</t>
        </is>
      </c>
      <c r="E869" t="inlineStr">
        <is>
          <t>LINDESBERG</t>
        </is>
      </c>
      <c r="F869" t="inlineStr">
        <is>
          <t>Sveaskog</t>
        </is>
      </c>
      <c r="G869" t="n">
        <v>4.4</v>
      </c>
      <c r="H869" t="n">
        <v>0</v>
      </c>
      <c r="I869" t="n">
        <v>0</v>
      </c>
      <c r="J869" t="n">
        <v>0</v>
      </c>
      <c r="K869" t="n">
        <v>0</v>
      </c>
      <c r="L869" t="n">
        <v>0</v>
      </c>
      <c r="M869" t="n">
        <v>0</v>
      </c>
      <c r="N869" t="n">
        <v>0</v>
      </c>
      <c r="O869" t="n">
        <v>0</v>
      </c>
      <c r="P869" t="n">
        <v>0</v>
      </c>
      <c r="Q869" t="n">
        <v>0</v>
      </c>
      <c r="R869" s="2" t="inlineStr"/>
    </row>
    <row r="870" ht="15" customHeight="1">
      <c r="A870" t="inlineStr">
        <is>
          <t>A 32009-2023</t>
        </is>
      </c>
      <c r="B870" s="1" t="n">
        <v>45119</v>
      </c>
      <c r="C870" s="1" t="n">
        <v>46106</v>
      </c>
      <c r="D870" t="inlineStr">
        <is>
          <t>ÖREBRO LÄN</t>
        </is>
      </c>
      <c r="E870" t="inlineStr">
        <is>
          <t>LINDESBERG</t>
        </is>
      </c>
      <c r="F870" t="inlineStr">
        <is>
          <t>Kyrkan</t>
        </is>
      </c>
      <c r="G870" t="n">
        <v>0.8</v>
      </c>
      <c r="H870" t="n">
        <v>0</v>
      </c>
      <c r="I870" t="n">
        <v>0</v>
      </c>
      <c r="J870" t="n">
        <v>0</v>
      </c>
      <c r="K870" t="n">
        <v>0</v>
      </c>
      <c r="L870" t="n">
        <v>0</v>
      </c>
      <c r="M870" t="n">
        <v>0</v>
      </c>
      <c r="N870" t="n">
        <v>0</v>
      </c>
      <c r="O870" t="n">
        <v>0</v>
      </c>
      <c r="P870" t="n">
        <v>0</v>
      </c>
      <c r="Q870" t="n">
        <v>0</v>
      </c>
      <c r="R870" s="2" t="inlineStr"/>
    </row>
    <row r="871" ht="15" customHeight="1">
      <c r="A871" t="inlineStr">
        <is>
          <t>A 3148-2023</t>
        </is>
      </c>
      <c r="B871" s="1" t="n">
        <v>44946.54424768518</v>
      </c>
      <c r="C871" s="1" t="n">
        <v>46106</v>
      </c>
      <c r="D871" t="inlineStr">
        <is>
          <t>ÖREBRO LÄN</t>
        </is>
      </c>
      <c r="E871" t="inlineStr">
        <is>
          <t>LINDESBERG</t>
        </is>
      </c>
      <c r="G871" t="n">
        <v>5.5</v>
      </c>
      <c r="H871" t="n">
        <v>0</v>
      </c>
      <c r="I871" t="n">
        <v>0</v>
      </c>
      <c r="J871" t="n">
        <v>0</v>
      </c>
      <c r="K871" t="n">
        <v>0</v>
      </c>
      <c r="L871" t="n">
        <v>0</v>
      </c>
      <c r="M871" t="n">
        <v>0</v>
      </c>
      <c r="N871" t="n">
        <v>0</v>
      </c>
      <c r="O871" t="n">
        <v>0</v>
      </c>
      <c r="P871" t="n">
        <v>0</v>
      </c>
      <c r="Q871" t="n">
        <v>0</v>
      </c>
      <c r="R871" s="2" t="inlineStr"/>
    </row>
    <row r="872" ht="15" customHeight="1">
      <c r="A872" t="inlineStr">
        <is>
          <t>A 54855-2024</t>
        </is>
      </c>
      <c r="B872" s="1" t="n">
        <v>45618.58622685185</v>
      </c>
      <c r="C872" s="1" t="n">
        <v>46106</v>
      </c>
      <c r="D872" t="inlineStr">
        <is>
          <t>ÖREBRO LÄN</t>
        </is>
      </c>
      <c r="E872" t="inlineStr">
        <is>
          <t>LINDESBERG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37432-2022</t>
        </is>
      </c>
      <c r="B873" s="1" t="n">
        <v>44809</v>
      </c>
      <c r="C873" s="1" t="n">
        <v>46106</v>
      </c>
      <c r="D873" t="inlineStr">
        <is>
          <t>ÖREBRO LÄN</t>
        </is>
      </c>
      <c r="E873" t="inlineStr">
        <is>
          <t>LINDESBERG</t>
        </is>
      </c>
      <c r="G873" t="n">
        <v>3.6</v>
      </c>
      <c r="H873" t="n">
        <v>0</v>
      </c>
      <c r="I873" t="n">
        <v>0</v>
      </c>
      <c r="J873" t="n">
        <v>0</v>
      </c>
      <c r="K873" t="n">
        <v>0</v>
      </c>
      <c r="L873" t="n">
        <v>0</v>
      </c>
      <c r="M873" t="n">
        <v>0</v>
      </c>
      <c r="N873" t="n">
        <v>0</v>
      </c>
      <c r="O873" t="n">
        <v>0</v>
      </c>
      <c r="P873" t="n">
        <v>0</v>
      </c>
      <c r="Q873" t="n">
        <v>0</v>
      </c>
      <c r="R873" s="2" t="inlineStr"/>
    </row>
    <row r="874" ht="15" customHeight="1">
      <c r="A874" t="inlineStr">
        <is>
          <t>A 61202-2023</t>
        </is>
      </c>
      <c r="B874" s="1" t="n">
        <v>45264.38084490741</v>
      </c>
      <c r="C874" s="1" t="n">
        <v>46106</v>
      </c>
      <c r="D874" t="inlineStr">
        <is>
          <t>ÖREBRO LÄN</t>
        </is>
      </c>
      <c r="E874" t="inlineStr">
        <is>
          <t>LINDESBERG</t>
        </is>
      </c>
      <c r="G874" t="n">
        <v>0.9</v>
      </c>
      <c r="H874" t="n">
        <v>0</v>
      </c>
      <c r="I874" t="n">
        <v>0</v>
      </c>
      <c r="J874" t="n">
        <v>0</v>
      </c>
      <c r="K874" t="n">
        <v>0</v>
      </c>
      <c r="L874" t="n">
        <v>0</v>
      </c>
      <c r="M874" t="n">
        <v>0</v>
      </c>
      <c r="N874" t="n">
        <v>0</v>
      </c>
      <c r="O874" t="n">
        <v>0</v>
      </c>
      <c r="P874" t="n">
        <v>0</v>
      </c>
      <c r="Q874" t="n">
        <v>0</v>
      </c>
      <c r="R874" s="2" t="inlineStr"/>
    </row>
    <row r="875" ht="15" customHeight="1">
      <c r="A875" t="inlineStr">
        <is>
          <t>A 7120-2025</t>
        </is>
      </c>
      <c r="B875" s="1" t="n">
        <v>45702</v>
      </c>
      <c r="C875" s="1" t="n">
        <v>46106</v>
      </c>
      <c r="D875" t="inlineStr">
        <is>
          <t>ÖREBRO LÄN</t>
        </is>
      </c>
      <c r="E875" t="inlineStr">
        <is>
          <t>LINDESBERG</t>
        </is>
      </c>
      <c r="G875" t="n">
        <v>0.5</v>
      </c>
      <c r="H875" t="n">
        <v>0</v>
      </c>
      <c r="I875" t="n">
        <v>0</v>
      </c>
      <c r="J875" t="n">
        <v>0</v>
      </c>
      <c r="K875" t="n">
        <v>0</v>
      </c>
      <c r="L875" t="n">
        <v>0</v>
      </c>
      <c r="M875" t="n">
        <v>0</v>
      </c>
      <c r="N875" t="n">
        <v>0</v>
      </c>
      <c r="O875" t="n">
        <v>0</v>
      </c>
      <c r="P875" t="n">
        <v>0</v>
      </c>
      <c r="Q875" t="n">
        <v>0</v>
      </c>
      <c r="R875" s="2" t="inlineStr"/>
    </row>
    <row r="876" ht="15" customHeight="1">
      <c r="A876" t="inlineStr">
        <is>
          <t>A 195-2022</t>
        </is>
      </c>
      <c r="B876" s="1" t="n">
        <v>44564</v>
      </c>
      <c r="C876" s="1" t="n">
        <v>46106</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51379-2023</t>
        </is>
      </c>
      <c r="B877" s="1" t="n">
        <v>45219</v>
      </c>
      <c r="C877" s="1" t="n">
        <v>46106</v>
      </c>
      <c r="D877" t="inlineStr">
        <is>
          <t>ÖREBRO LÄN</t>
        </is>
      </c>
      <c r="E877" t="inlineStr">
        <is>
          <t>LINDESBERG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16054-2022</t>
        </is>
      </c>
      <c r="B878" s="1" t="n">
        <v>44665</v>
      </c>
      <c r="C878" s="1" t="n">
        <v>46106</v>
      </c>
      <c r="D878" t="inlineStr">
        <is>
          <t>ÖREBRO LÄN</t>
        </is>
      </c>
      <c r="E878" t="inlineStr">
        <is>
          <t>LINDESBERG</t>
        </is>
      </c>
      <c r="G878" t="n">
        <v>6.9</v>
      </c>
      <c r="H878" t="n">
        <v>0</v>
      </c>
      <c r="I878" t="n">
        <v>0</v>
      </c>
      <c r="J878" t="n">
        <v>0</v>
      </c>
      <c r="K878" t="n">
        <v>0</v>
      </c>
      <c r="L878" t="n">
        <v>0</v>
      </c>
      <c r="M878" t="n">
        <v>0</v>
      </c>
      <c r="N878" t="n">
        <v>0</v>
      </c>
      <c r="O878" t="n">
        <v>0</v>
      </c>
      <c r="P878" t="n">
        <v>0</v>
      </c>
      <c r="Q878" t="n">
        <v>0</v>
      </c>
      <c r="R878" s="2" t="inlineStr"/>
    </row>
    <row r="879" ht="15" customHeight="1">
      <c r="A879" t="inlineStr">
        <is>
          <t>A 49544-2023</t>
        </is>
      </c>
      <c r="B879" s="1" t="n">
        <v>45211</v>
      </c>
      <c r="C879" s="1" t="n">
        <v>46106</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48756-2024</t>
        </is>
      </c>
      <c r="B880" s="1" t="n">
        <v>45593.59681712963</v>
      </c>
      <c r="C880" s="1" t="n">
        <v>46106</v>
      </c>
      <c r="D880" t="inlineStr">
        <is>
          <t>ÖREBRO LÄN</t>
        </is>
      </c>
      <c r="E880" t="inlineStr">
        <is>
          <t>LINDESBERG</t>
        </is>
      </c>
      <c r="G880" t="n">
        <v>1.6</v>
      </c>
      <c r="H880" t="n">
        <v>0</v>
      </c>
      <c r="I880" t="n">
        <v>0</v>
      </c>
      <c r="J880" t="n">
        <v>0</v>
      </c>
      <c r="K880" t="n">
        <v>0</v>
      </c>
      <c r="L880" t="n">
        <v>0</v>
      </c>
      <c r="M880" t="n">
        <v>0</v>
      </c>
      <c r="N880" t="n">
        <v>0</v>
      </c>
      <c r="O880" t="n">
        <v>0</v>
      </c>
      <c r="P880" t="n">
        <v>0</v>
      </c>
      <c r="Q880" t="n">
        <v>0</v>
      </c>
      <c r="R880" s="2" t="inlineStr"/>
    </row>
    <row r="881" ht="15" customHeight="1">
      <c r="A881" t="inlineStr">
        <is>
          <t>A 15892-2025</t>
        </is>
      </c>
      <c r="B881" s="1" t="n">
        <v>45749</v>
      </c>
      <c r="C881" s="1" t="n">
        <v>46106</v>
      </c>
      <c r="D881" t="inlineStr">
        <is>
          <t>ÖREBRO LÄN</t>
        </is>
      </c>
      <c r="E881" t="inlineStr">
        <is>
          <t>LINDESBERG</t>
        </is>
      </c>
      <c r="G881" t="n">
        <v>0.8</v>
      </c>
      <c r="H881" t="n">
        <v>0</v>
      </c>
      <c r="I881" t="n">
        <v>0</v>
      </c>
      <c r="J881" t="n">
        <v>0</v>
      </c>
      <c r="K881" t="n">
        <v>0</v>
      </c>
      <c r="L881" t="n">
        <v>0</v>
      </c>
      <c r="M881" t="n">
        <v>0</v>
      </c>
      <c r="N881" t="n">
        <v>0</v>
      </c>
      <c r="O881" t="n">
        <v>0</v>
      </c>
      <c r="P881" t="n">
        <v>0</v>
      </c>
      <c r="Q881" t="n">
        <v>0</v>
      </c>
      <c r="R881" s="2" t="inlineStr"/>
    </row>
    <row r="882" ht="15" customHeight="1">
      <c r="A882" t="inlineStr">
        <is>
          <t>A 23260-2024</t>
        </is>
      </c>
      <c r="B882" s="1" t="n">
        <v>45453.36664351852</v>
      </c>
      <c r="C882" s="1" t="n">
        <v>46106</v>
      </c>
      <c r="D882" t="inlineStr">
        <is>
          <t>ÖREBRO LÄN</t>
        </is>
      </c>
      <c r="E882" t="inlineStr">
        <is>
          <t>LINDESBERG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46607-2021</t>
        </is>
      </c>
      <c r="B883" s="1" t="n">
        <v>44445.55690972223</v>
      </c>
      <c r="C883" s="1" t="n">
        <v>46106</v>
      </c>
      <c r="D883" t="inlineStr">
        <is>
          <t>ÖREBRO LÄN</t>
        </is>
      </c>
      <c r="E883" t="inlineStr">
        <is>
          <t>LINDESBERG</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20930-2025</t>
        </is>
      </c>
      <c r="B884" s="1" t="n">
        <v>45777.42628472222</v>
      </c>
      <c r="C884" s="1" t="n">
        <v>46106</v>
      </c>
      <c r="D884" t="inlineStr">
        <is>
          <t>ÖREBRO LÄN</t>
        </is>
      </c>
      <c r="E884" t="inlineStr">
        <is>
          <t>LINDESBERG</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20923-2025</t>
        </is>
      </c>
      <c r="B885" s="1" t="n">
        <v>45777.41673611111</v>
      </c>
      <c r="C885" s="1" t="n">
        <v>46106</v>
      </c>
      <c r="D885" t="inlineStr">
        <is>
          <t>ÖREBRO LÄN</t>
        </is>
      </c>
      <c r="E885" t="inlineStr">
        <is>
          <t>LINDESBERG</t>
        </is>
      </c>
      <c r="F885" t="inlineStr">
        <is>
          <t>Sveaskog</t>
        </is>
      </c>
      <c r="G885" t="n">
        <v>10.3</v>
      </c>
      <c r="H885" t="n">
        <v>0</v>
      </c>
      <c r="I885" t="n">
        <v>0</v>
      </c>
      <c r="J885" t="n">
        <v>0</v>
      </c>
      <c r="K885" t="n">
        <v>0</v>
      </c>
      <c r="L885" t="n">
        <v>0</v>
      </c>
      <c r="M885" t="n">
        <v>0</v>
      </c>
      <c r="N885" t="n">
        <v>0</v>
      </c>
      <c r="O885" t="n">
        <v>0</v>
      </c>
      <c r="P885" t="n">
        <v>0</v>
      </c>
      <c r="Q885" t="n">
        <v>0</v>
      </c>
      <c r="R885" s="2" t="inlineStr"/>
    </row>
    <row r="886" ht="15" customHeight="1">
      <c r="A886" t="inlineStr">
        <is>
          <t>A 12795-2025</t>
        </is>
      </c>
      <c r="B886" s="1" t="n">
        <v>45733.60959490741</v>
      </c>
      <c r="C886" s="1" t="n">
        <v>46106</v>
      </c>
      <c r="D886" t="inlineStr">
        <is>
          <t>ÖREBRO LÄN</t>
        </is>
      </c>
      <c r="E886" t="inlineStr">
        <is>
          <t>LINDESBERG</t>
        </is>
      </c>
      <c r="G886" t="n">
        <v>10.8</v>
      </c>
      <c r="H886" t="n">
        <v>0</v>
      </c>
      <c r="I886" t="n">
        <v>0</v>
      </c>
      <c r="J886" t="n">
        <v>0</v>
      </c>
      <c r="K886" t="n">
        <v>0</v>
      </c>
      <c r="L886" t="n">
        <v>0</v>
      </c>
      <c r="M886" t="n">
        <v>0</v>
      </c>
      <c r="N886" t="n">
        <v>0</v>
      </c>
      <c r="O886" t="n">
        <v>0</v>
      </c>
      <c r="P886" t="n">
        <v>0</v>
      </c>
      <c r="Q886" t="n">
        <v>0</v>
      </c>
      <c r="R886" s="2" t="inlineStr"/>
    </row>
    <row r="887" ht="15" customHeight="1">
      <c r="A887" t="inlineStr">
        <is>
          <t>A 20944-2025</t>
        </is>
      </c>
      <c r="B887" s="1" t="n">
        <v>45777</v>
      </c>
      <c r="C887" s="1" t="n">
        <v>46106</v>
      </c>
      <c r="D887" t="inlineStr">
        <is>
          <t>ÖREBRO LÄN</t>
        </is>
      </c>
      <c r="E887" t="inlineStr">
        <is>
          <t>LINDESBERG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20950-2025</t>
        </is>
      </c>
      <c r="B888" s="1" t="n">
        <v>45777.43878472222</v>
      </c>
      <c r="C888" s="1" t="n">
        <v>46106</v>
      </c>
      <c r="D888" t="inlineStr">
        <is>
          <t>ÖREBRO LÄN</t>
        </is>
      </c>
      <c r="E888" t="inlineStr">
        <is>
          <t>LINDESBERG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20804-2025</t>
        </is>
      </c>
      <c r="B889" s="1" t="n">
        <v>45776.65518518518</v>
      </c>
      <c r="C889" s="1" t="n">
        <v>46106</v>
      </c>
      <c r="D889" t="inlineStr">
        <is>
          <t>ÖREBRO LÄN</t>
        </is>
      </c>
      <c r="E889" t="inlineStr">
        <is>
          <t>LINDESBERG</t>
        </is>
      </c>
      <c r="G889" t="n">
        <v>3.2</v>
      </c>
      <c r="H889" t="n">
        <v>0</v>
      </c>
      <c r="I889" t="n">
        <v>0</v>
      </c>
      <c r="J889" t="n">
        <v>0</v>
      </c>
      <c r="K889" t="n">
        <v>0</v>
      </c>
      <c r="L889" t="n">
        <v>0</v>
      </c>
      <c r="M889" t="n">
        <v>0</v>
      </c>
      <c r="N889" t="n">
        <v>0</v>
      </c>
      <c r="O889" t="n">
        <v>0</v>
      </c>
      <c r="P889" t="n">
        <v>0</v>
      </c>
      <c r="Q889" t="n">
        <v>0</v>
      </c>
      <c r="R889" s="2" t="inlineStr"/>
    </row>
    <row r="890" ht="15" customHeight="1">
      <c r="A890" t="inlineStr">
        <is>
          <t>A 21812-2025</t>
        </is>
      </c>
      <c r="B890" s="1" t="n">
        <v>45783.71833333333</v>
      </c>
      <c r="C890" s="1" t="n">
        <v>46106</v>
      </c>
      <c r="D890" t="inlineStr">
        <is>
          <t>ÖREBRO LÄN</t>
        </is>
      </c>
      <c r="E890" t="inlineStr">
        <is>
          <t>LINDESBERG</t>
        </is>
      </c>
      <c r="G890" t="n">
        <v>0.9</v>
      </c>
      <c r="H890" t="n">
        <v>0</v>
      </c>
      <c r="I890" t="n">
        <v>0</v>
      </c>
      <c r="J890" t="n">
        <v>0</v>
      </c>
      <c r="K890" t="n">
        <v>0</v>
      </c>
      <c r="L890" t="n">
        <v>0</v>
      </c>
      <c r="M890" t="n">
        <v>0</v>
      </c>
      <c r="N890" t="n">
        <v>0</v>
      </c>
      <c r="O890" t="n">
        <v>0</v>
      </c>
      <c r="P890" t="n">
        <v>0</v>
      </c>
      <c r="Q890" t="n">
        <v>0</v>
      </c>
      <c r="R890" s="2" t="inlineStr"/>
    </row>
    <row r="891" ht="15" customHeight="1">
      <c r="A891" t="inlineStr">
        <is>
          <t>A 43195-2024</t>
        </is>
      </c>
      <c r="B891" s="1" t="n">
        <v>45567.68003472222</v>
      </c>
      <c r="C891" s="1" t="n">
        <v>46106</v>
      </c>
      <c r="D891" t="inlineStr">
        <is>
          <t>ÖREBRO LÄN</t>
        </is>
      </c>
      <c r="E891" t="inlineStr">
        <is>
          <t>LINDESBERG</t>
        </is>
      </c>
      <c r="G891" t="n">
        <v>27.8</v>
      </c>
      <c r="H891" t="n">
        <v>0</v>
      </c>
      <c r="I891" t="n">
        <v>0</v>
      </c>
      <c r="J891" t="n">
        <v>0</v>
      </c>
      <c r="K891" t="n">
        <v>0</v>
      </c>
      <c r="L891" t="n">
        <v>0</v>
      </c>
      <c r="M891" t="n">
        <v>0</v>
      </c>
      <c r="N891" t="n">
        <v>0</v>
      </c>
      <c r="O891" t="n">
        <v>0</v>
      </c>
      <c r="P891" t="n">
        <v>0</v>
      </c>
      <c r="Q891" t="n">
        <v>0</v>
      </c>
      <c r="R891" s="2" t="inlineStr"/>
    </row>
    <row r="892" ht="15" customHeight="1">
      <c r="A892" t="inlineStr">
        <is>
          <t>A 31861-2024</t>
        </is>
      </c>
      <c r="B892" s="1" t="n">
        <v>45509.73383101852</v>
      </c>
      <c r="C892" s="1" t="n">
        <v>46106</v>
      </c>
      <c r="D892" t="inlineStr">
        <is>
          <t>ÖREBRO LÄN</t>
        </is>
      </c>
      <c r="E892" t="inlineStr">
        <is>
          <t>LINDESBERG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24583-2024</t>
        </is>
      </c>
      <c r="B893" s="1" t="n">
        <v>45460.46358796296</v>
      </c>
      <c r="C893" s="1" t="n">
        <v>46106</v>
      </c>
      <c r="D893" t="inlineStr">
        <is>
          <t>ÖREBRO LÄN</t>
        </is>
      </c>
      <c r="E893" t="inlineStr">
        <is>
          <t>LINDESBERG</t>
        </is>
      </c>
      <c r="G893" t="n">
        <v>13.7</v>
      </c>
      <c r="H893" t="n">
        <v>0</v>
      </c>
      <c r="I893" t="n">
        <v>0</v>
      </c>
      <c r="J893" t="n">
        <v>0</v>
      </c>
      <c r="K893" t="n">
        <v>0</v>
      </c>
      <c r="L893" t="n">
        <v>0</v>
      </c>
      <c r="M893" t="n">
        <v>0</v>
      </c>
      <c r="N893" t="n">
        <v>0</v>
      </c>
      <c r="O893" t="n">
        <v>0</v>
      </c>
      <c r="P893" t="n">
        <v>0</v>
      </c>
      <c r="Q893" t="n">
        <v>0</v>
      </c>
      <c r="R893" s="2" t="inlineStr"/>
    </row>
    <row r="894" ht="15" customHeight="1">
      <c r="A894" t="inlineStr">
        <is>
          <t>A 43532-2024</t>
        </is>
      </c>
      <c r="B894" s="1" t="n">
        <v>45569.3533912037</v>
      </c>
      <c r="C894" s="1" t="n">
        <v>46106</v>
      </c>
      <c r="D894" t="inlineStr">
        <is>
          <t>ÖREBRO LÄN</t>
        </is>
      </c>
      <c r="E894" t="inlineStr">
        <is>
          <t>LINDESBERG</t>
        </is>
      </c>
      <c r="G894" t="n">
        <v>2.4</v>
      </c>
      <c r="H894" t="n">
        <v>0</v>
      </c>
      <c r="I894" t="n">
        <v>0</v>
      </c>
      <c r="J894" t="n">
        <v>0</v>
      </c>
      <c r="K894" t="n">
        <v>0</v>
      </c>
      <c r="L894" t="n">
        <v>0</v>
      </c>
      <c r="M894" t="n">
        <v>0</v>
      </c>
      <c r="N894" t="n">
        <v>0</v>
      </c>
      <c r="O894" t="n">
        <v>0</v>
      </c>
      <c r="P894" t="n">
        <v>0</v>
      </c>
      <c r="Q894" t="n">
        <v>0</v>
      </c>
      <c r="R894" s="2" t="inlineStr"/>
    </row>
    <row r="895" ht="15" customHeight="1">
      <c r="A895" t="inlineStr">
        <is>
          <t>A 59282-2023</t>
        </is>
      </c>
      <c r="B895" s="1" t="n">
        <v>45253</v>
      </c>
      <c r="C895" s="1" t="n">
        <v>46106</v>
      </c>
      <c r="D895" t="inlineStr">
        <is>
          <t>ÖREBRO LÄN</t>
        </is>
      </c>
      <c r="E895" t="inlineStr">
        <is>
          <t>LINDESBERG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47601-2023</t>
        </is>
      </c>
      <c r="B896" s="1" t="n">
        <v>45203.45681712963</v>
      </c>
      <c r="C896" s="1" t="n">
        <v>46106</v>
      </c>
      <c r="D896" t="inlineStr">
        <is>
          <t>ÖREBRO LÄN</t>
        </is>
      </c>
      <c r="E896" t="inlineStr">
        <is>
          <t>LINDESBERG</t>
        </is>
      </c>
      <c r="G896" t="n">
        <v>37.6</v>
      </c>
      <c r="H896" t="n">
        <v>0</v>
      </c>
      <c r="I896" t="n">
        <v>0</v>
      </c>
      <c r="J896" t="n">
        <v>0</v>
      </c>
      <c r="K896" t="n">
        <v>0</v>
      </c>
      <c r="L896" t="n">
        <v>0</v>
      </c>
      <c r="M896" t="n">
        <v>0</v>
      </c>
      <c r="N896" t="n">
        <v>0</v>
      </c>
      <c r="O896" t="n">
        <v>0</v>
      </c>
      <c r="P896" t="n">
        <v>0</v>
      </c>
      <c r="Q896" t="n">
        <v>0</v>
      </c>
      <c r="R896" s="2" t="inlineStr"/>
    </row>
    <row r="897" ht="15" customHeight="1">
      <c r="A897" t="inlineStr">
        <is>
          <t>A 22078-2025</t>
        </is>
      </c>
      <c r="B897" s="1" t="n">
        <v>45785.4253125</v>
      </c>
      <c r="C897" s="1" t="n">
        <v>46106</v>
      </c>
      <c r="D897" t="inlineStr">
        <is>
          <t>ÖREBRO LÄN</t>
        </is>
      </c>
      <c r="E897" t="inlineStr">
        <is>
          <t>LINDESBERG</t>
        </is>
      </c>
      <c r="G897" t="n">
        <v>2.4</v>
      </c>
      <c r="H897" t="n">
        <v>0</v>
      </c>
      <c r="I897" t="n">
        <v>0</v>
      </c>
      <c r="J897" t="n">
        <v>0</v>
      </c>
      <c r="K897" t="n">
        <v>0</v>
      </c>
      <c r="L897" t="n">
        <v>0</v>
      </c>
      <c r="M897" t="n">
        <v>0</v>
      </c>
      <c r="N897" t="n">
        <v>0</v>
      </c>
      <c r="O897" t="n">
        <v>0</v>
      </c>
      <c r="P897" t="n">
        <v>0</v>
      </c>
      <c r="Q897" t="n">
        <v>0</v>
      </c>
      <c r="R897" s="2" t="inlineStr"/>
    </row>
    <row r="898" ht="15" customHeight="1">
      <c r="A898" t="inlineStr">
        <is>
          <t>A 53355-2023</t>
        </is>
      </c>
      <c r="B898" s="1" t="n">
        <v>45229.66430555555</v>
      </c>
      <c r="C898" s="1" t="n">
        <v>46106</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62308-2023</t>
        </is>
      </c>
      <c r="B899" s="1" t="n">
        <v>45267.69052083333</v>
      </c>
      <c r="C899" s="1" t="n">
        <v>46106</v>
      </c>
      <c r="D899" t="inlineStr">
        <is>
          <t>ÖREBRO LÄN</t>
        </is>
      </c>
      <c r="E899" t="inlineStr">
        <is>
          <t>LINDESBERG</t>
        </is>
      </c>
      <c r="F899" t="inlineStr">
        <is>
          <t>Naturvårdsverket</t>
        </is>
      </c>
      <c r="G899" t="n">
        <v>3.1</v>
      </c>
      <c r="H899" t="n">
        <v>0</v>
      </c>
      <c r="I899" t="n">
        <v>0</v>
      </c>
      <c r="J899" t="n">
        <v>0</v>
      </c>
      <c r="K899" t="n">
        <v>0</v>
      </c>
      <c r="L899" t="n">
        <v>0</v>
      </c>
      <c r="M899" t="n">
        <v>0</v>
      </c>
      <c r="N899" t="n">
        <v>0</v>
      </c>
      <c r="O899" t="n">
        <v>0</v>
      </c>
      <c r="P899" t="n">
        <v>0</v>
      </c>
      <c r="Q899" t="n">
        <v>0</v>
      </c>
      <c r="R899" s="2" t="inlineStr"/>
    </row>
    <row r="900" ht="15" customHeight="1">
      <c r="A900" t="inlineStr">
        <is>
          <t>A 36680-2024</t>
        </is>
      </c>
      <c r="B900" s="1" t="n">
        <v>45537.65305555556</v>
      </c>
      <c r="C900" s="1" t="n">
        <v>46106</v>
      </c>
      <c r="D900" t="inlineStr">
        <is>
          <t>ÖREBRO LÄN</t>
        </is>
      </c>
      <c r="E900" t="inlineStr">
        <is>
          <t>LINDESBERG</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22543-2025</t>
        </is>
      </c>
      <c r="B901" s="1" t="n">
        <v>45788.42467592593</v>
      </c>
      <c r="C901" s="1" t="n">
        <v>46106</v>
      </c>
      <c r="D901" t="inlineStr">
        <is>
          <t>ÖREBRO LÄN</t>
        </is>
      </c>
      <c r="E901" t="inlineStr">
        <is>
          <t>LINDESBERG</t>
        </is>
      </c>
      <c r="G901" t="n">
        <v>6.7</v>
      </c>
      <c r="H901" t="n">
        <v>0</v>
      </c>
      <c r="I901" t="n">
        <v>0</v>
      </c>
      <c r="J901" t="n">
        <v>0</v>
      </c>
      <c r="K901" t="n">
        <v>0</v>
      </c>
      <c r="L901" t="n">
        <v>0</v>
      </c>
      <c r="M901" t="n">
        <v>0</v>
      </c>
      <c r="N901" t="n">
        <v>0</v>
      </c>
      <c r="O901" t="n">
        <v>0</v>
      </c>
      <c r="P901" t="n">
        <v>0</v>
      </c>
      <c r="Q901" t="n">
        <v>0</v>
      </c>
      <c r="R901" s="2" t="inlineStr"/>
    </row>
    <row r="902" ht="15" customHeight="1">
      <c r="A902" t="inlineStr">
        <is>
          <t>A 36686-2024</t>
        </is>
      </c>
      <c r="B902" s="1" t="n">
        <v>45537.665</v>
      </c>
      <c r="C902" s="1" t="n">
        <v>46106</v>
      </c>
      <c r="D902" t="inlineStr">
        <is>
          <t>ÖREBRO LÄN</t>
        </is>
      </c>
      <c r="E902" t="inlineStr">
        <is>
          <t>LINDESBERG</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28776-2023</t>
        </is>
      </c>
      <c r="B903" s="1" t="n">
        <v>45104.34107638889</v>
      </c>
      <c r="C903" s="1" t="n">
        <v>46106</v>
      </c>
      <c r="D903" t="inlineStr">
        <is>
          <t>ÖREBRO LÄN</t>
        </is>
      </c>
      <c r="E903" t="inlineStr">
        <is>
          <t>LINDESBERG</t>
        </is>
      </c>
      <c r="F903" t="inlineStr">
        <is>
          <t>Sveaskog</t>
        </is>
      </c>
      <c r="G903" t="n">
        <v>4.1</v>
      </c>
      <c r="H903" t="n">
        <v>0</v>
      </c>
      <c r="I903" t="n">
        <v>0</v>
      </c>
      <c r="J903" t="n">
        <v>0</v>
      </c>
      <c r="K903" t="n">
        <v>0</v>
      </c>
      <c r="L903" t="n">
        <v>0</v>
      </c>
      <c r="M903" t="n">
        <v>0</v>
      </c>
      <c r="N903" t="n">
        <v>0</v>
      </c>
      <c r="O903" t="n">
        <v>0</v>
      </c>
      <c r="P903" t="n">
        <v>0</v>
      </c>
      <c r="Q903" t="n">
        <v>0</v>
      </c>
      <c r="R903" s="2" t="inlineStr"/>
    </row>
    <row r="904" ht="15" customHeight="1">
      <c r="A904" t="inlineStr">
        <is>
          <t>A 22438-2025</t>
        </is>
      </c>
      <c r="B904" s="1" t="n">
        <v>45786</v>
      </c>
      <c r="C904" s="1" t="n">
        <v>46106</v>
      </c>
      <c r="D904" t="inlineStr">
        <is>
          <t>ÖREBRO LÄN</t>
        </is>
      </c>
      <c r="E904" t="inlineStr">
        <is>
          <t>LINDESBERG</t>
        </is>
      </c>
      <c r="F904" t="inlineStr">
        <is>
          <t>Sveaskog</t>
        </is>
      </c>
      <c r="G904" t="n">
        <v>6.1</v>
      </c>
      <c r="H904" t="n">
        <v>0</v>
      </c>
      <c r="I904" t="n">
        <v>0</v>
      </c>
      <c r="J904" t="n">
        <v>0</v>
      </c>
      <c r="K904" t="n">
        <v>0</v>
      </c>
      <c r="L904" t="n">
        <v>0</v>
      </c>
      <c r="M904" t="n">
        <v>0</v>
      </c>
      <c r="N904" t="n">
        <v>0</v>
      </c>
      <c r="O904" t="n">
        <v>0</v>
      </c>
      <c r="P904" t="n">
        <v>0</v>
      </c>
      <c r="Q904" t="n">
        <v>0</v>
      </c>
      <c r="R904" s="2" t="inlineStr"/>
    </row>
    <row r="905" ht="15" customHeight="1">
      <c r="A905" t="inlineStr">
        <is>
          <t>A 59641-2024</t>
        </is>
      </c>
      <c r="B905" s="1" t="n">
        <v>45639.30934027778</v>
      </c>
      <c r="C905" s="1" t="n">
        <v>46106</v>
      </c>
      <c r="D905" t="inlineStr">
        <is>
          <t>ÖREBRO LÄN</t>
        </is>
      </c>
      <c r="E905" t="inlineStr">
        <is>
          <t>LINDESBERG</t>
        </is>
      </c>
      <c r="G905" t="n">
        <v>2.1</v>
      </c>
      <c r="H905" t="n">
        <v>0</v>
      </c>
      <c r="I905" t="n">
        <v>0</v>
      </c>
      <c r="J905" t="n">
        <v>0</v>
      </c>
      <c r="K905" t="n">
        <v>0</v>
      </c>
      <c r="L905" t="n">
        <v>0</v>
      </c>
      <c r="M905" t="n">
        <v>0</v>
      </c>
      <c r="N905" t="n">
        <v>0</v>
      </c>
      <c r="O905" t="n">
        <v>0</v>
      </c>
      <c r="P905" t="n">
        <v>0</v>
      </c>
      <c r="Q905" t="n">
        <v>0</v>
      </c>
      <c r="R905" s="2" t="inlineStr"/>
    </row>
    <row r="906" ht="15" customHeight="1">
      <c r="A906" t="inlineStr">
        <is>
          <t>A 23245-2025</t>
        </is>
      </c>
      <c r="B906" s="1" t="n">
        <v>45791.50862268519</v>
      </c>
      <c r="C906" s="1" t="n">
        <v>46106</v>
      </c>
      <c r="D906" t="inlineStr">
        <is>
          <t>ÖREBRO LÄN</t>
        </is>
      </c>
      <c r="E906" t="inlineStr">
        <is>
          <t>LINDESBERG</t>
        </is>
      </c>
      <c r="G906" t="n">
        <v>6.8</v>
      </c>
      <c r="H906" t="n">
        <v>0</v>
      </c>
      <c r="I906" t="n">
        <v>0</v>
      </c>
      <c r="J906" t="n">
        <v>0</v>
      </c>
      <c r="K906" t="n">
        <v>0</v>
      </c>
      <c r="L906" t="n">
        <v>0</v>
      </c>
      <c r="M906" t="n">
        <v>0</v>
      </c>
      <c r="N906" t="n">
        <v>0</v>
      </c>
      <c r="O906" t="n">
        <v>0</v>
      </c>
      <c r="P906" t="n">
        <v>0</v>
      </c>
      <c r="Q906" t="n">
        <v>0</v>
      </c>
      <c r="R906" s="2" t="inlineStr"/>
    </row>
    <row r="907" ht="15" customHeight="1">
      <c r="A907" t="inlineStr">
        <is>
          <t>A 42707-2023</t>
        </is>
      </c>
      <c r="B907" s="1" t="n">
        <v>45181</v>
      </c>
      <c r="C907" s="1" t="n">
        <v>46106</v>
      </c>
      <c r="D907" t="inlineStr">
        <is>
          <t>ÖREBRO LÄN</t>
        </is>
      </c>
      <c r="E907" t="inlineStr">
        <is>
          <t>LINDESBERG</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17779-2024</t>
        </is>
      </c>
      <c r="B908" s="1" t="n">
        <v>45418.66800925926</v>
      </c>
      <c r="C908" s="1" t="n">
        <v>46106</v>
      </c>
      <c r="D908" t="inlineStr">
        <is>
          <t>ÖREBRO LÄN</t>
        </is>
      </c>
      <c r="E908" t="inlineStr">
        <is>
          <t>LINDESBERG</t>
        </is>
      </c>
      <c r="G908" t="n">
        <v>3.7</v>
      </c>
      <c r="H908" t="n">
        <v>0</v>
      </c>
      <c r="I908" t="n">
        <v>0</v>
      </c>
      <c r="J908" t="n">
        <v>0</v>
      </c>
      <c r="K908" t="n">
        <v>0</v>
      </c>
      <c r="L908" t="n">
        <v>0</v>
      </c>
      <c r="M908" t="n">
        <v>0</v>
      </c>
      <c r="N908" t="n">
        <v>0</v>
      </c>
      <c r="O908" t="n">
        <v>0</v>
      </c>
      <c r="P908" t="n">
        <v>0</v>
      </c>
      <c r="Q908" t="n">
        <v>0</v>
      </c>
      <c r="R908" s="2" t="inlineStr"/>
    </row>
    <row r="909" ht="15" customHeight="1">
      <c r="A909" t="inlineStr">
        <is>
          <t>A 54793-2024</t>
        </is>
      </c>
      <c r="B909" s="1" t="n">
        <v>45618</v>
      </c>
      <c r="C909" s="1" t="n">
        <v>46106</v>
      </c>
      <c r="D909" t="inlineStr">
        <is>
          <t>ÖREBRO LÄN</t>
        </is>
      </c>
      <c r="E909" t="inlineStr">
        <is>
          <t>LINDESBERG</t>
        </is>
      </c>
      <c r="G909" t="n">
        <v>3</v>
      </c>
      <c r="H909" t="n">
        <v>0</v>
      </c>
      <c r="I909" t="n">
        <v>0</v>
      </c>
      <c r="J909" t="n">
        <v>0</v>
      </c>
      <c r="K909" t="n">
        <v>0</v>
      </c>
      <c r="L909" t="n">
        <v>0</v>
      </c>
      <c r="M909" t="n">
        <v>0</v>
      </c>
      <c r="N909" t="n">
        <v>0</v>
      </c>
      <c r="O909" t="n">
        <v>0</v>
      </c>
      <c r="P909" t="n">
        <v>0</v>
      </c>
      <c r="Q909" t="n">
        <v>0</v>
      </c>
      <c r="R909" s="2" t="inlineStr"/>
    </row>
    <row r="910" ht="15" customHeight="1">
      <c r="A910" t="inlineStr">
        <is>
          <t>A 1400-2025</t>
        </is>
      </c>
      <c r="B910" s="1" t="n">
        <v>45667</v>
      </c>
      <c r="C910" s="1" t="n">
        <v>46106</v>
      </c>
      <c r="D910" t="inlineStr">
        <is>
          <t>ÖREBRO LÄN</t>
        </is>
      </c>
      <c r="E910" t="inlineStr">
        <is>
          <t>LINDESBERG</t>
        </is>
      </c>
      <c r="F910" t="inlineStr">
        <is>
          <t>Allmännings- och besparingsskogar</t>
        </is>
      </c>
      <c r="G910" t="n">
        <v>11.3</v>
      </c>
      <c r="H910" t="n">
        <v>0</v>
      </c>
      <c r="I910" t="n">
        <v>0</v>
      </c>
      <c r="J910" t="n">
        <v>0</v>
      </c>
      <c r="K910" t="n">
        <v>0</v>
      </c>
      <c r="L910" t="n">
        <v>0</v>
      </c>
      <c r="M910" t="n">
        <v>0</v>
      </c>
      <c r="N910" t="n">
        <v>0</v>
      </c>
      <c r="O910" t="n">
        <v>0</v>
      </c>
      <c r="P910" t="n">
        <v>0</v>
      </c>
      <c r="Q910" t="n">
        <v>0</v>
      </c>
      <c r="R910" s="2" t="inlineStr"/>
    </row>
    <row r="911" ht="15" customHeight="1">
      <c r="A911" t="inlineStr">
        <is>
          <t>A 21202-2024</t>
        </is>
      </c>
      <c r="B911" s="1" t="n">
        <v>45440.5433912037</v>
      </c>
      <c r="C911" s="1" t="n">
        <v>46106</v>
      </c>
      <c r="D911" t="inlineStr">
        <is>
          <t>ÖREBRO LÄN</t>
        </is>
      </c>
      <c r="E911" t="inlineStr">
        <is>
          <t>LINDESBERG</t>
        </is>
      </c>
      <c r="G911" t="n">
        <v>4</v>
      </c>
      <c r="H911" t="n">
        <v>0</v>
      </c>
      <c r="I911" t="n">
        <v>0</v>
      </c>
      <c r="J911" t="n">
        <v>0</v>
      </c>
      <c r="K911" t="n">
        <v>0</v>
      </c>
      <c r="L911" t="n">
        <v>0</v>
      </c>
      <c r="M911" t="n">
        <v>0</v>
      </c>
      <c r="N911" t="n">
        <v>0</v>
      </c>
      <c r="O911" t="n">
        <v>0</v>
      </c>
      <c r="P911" t="n">
        <v>0</v>
      </c>
      <c r="Q911" t="n">
        <v>0</v>
      </c>
      <c r="R911" s="2" t="inlineStr"/>
    </row>
    <row r="912" ht="15" customHeight="1">
      <c r="A912" t="inlineStr">
        <is>
          <t>A 23835-2025</t>
        </is>
      </c>
      <c r="B912" s="1" t="n">
        <v>45793.61047453704</v>
      </c>
      <c r="C912" s="1" t="n">
        <v>46106</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23844-2025</t>
        </is>
      </c>
      <c r="B913" s="1" t="n">
        <v>45793.62422453704</v>
      </c>
      <c r="C913" s="1" t="n">
        <v>46106</v>
      </c>
      <c r="D913" t="inlineStr">
        <is>
          <t>ÖREBRO LÄN</t>
        </is>
      </c>
      <c r="E913" t="inlineStr">
        <is>
          <t>LINDESBERG</t>
        </is>
      </c>
      <c r="F913" t="inlineStr">
        <is>
          <t>Sveaskog</t>
        </is>
      </c>
      <c r="G913" t="n">
        <v>0.4</v>
      </c>
      <c r="H913" t="n">
        <v>0</v>
      </c>
      <c r="I913" t="n">
        <v>0</v>
      </c>
      <c r="J913" t="n">
        <v>0</v>
      </c>
      <c r="K913" t="n">
        <v>0</v>
      </c>
      <c r="L913" t="n">
        <v>0</v>
      </c>
      <c r="M913" t="n">
        <v>0</v>
      </c>
      <c r="N913" t="n">
        <v>0</v>
      </c>
      <c r="O913" t="n">
        <v>0</v>
      </c>
      <c r="P913" t="n">
        <v>0</v>
      </c>
      <c r="Q913" t="n">
        <v>0</v>
      </c>
      <c r="R913" s="2" t="inlineStr"/>
    </row>
    <row r="914" ht="15" customHeight="1">
      <c r="A914" t="inlineStr">
        <is>
          <t>A 24186-2024</t>
        </is>
      </c>
      <c r="B914" s="1" t="n">
        <v>45456.90869212963</v>
      </c>
      <c r="C914" s="1" t="n">
        <v>46106</v>
      </c>
      <c r="D914" t="inlineStr">
        <is>
          <t>ÖREBRO LÄN</t>
        </is>
      </c>
      <c r="E914" t="inlineStr">
        <is>
          <t>LINDESBERG</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23933-2025</t>
        </is>
      </c>
      <c r="B915" s="1" t="n">
        <v>45795.71300925926</v>
      </c>
      <c r="C915" s="1" t="n">
        <v>46106</v>
      </c>
      <c r="D915" t="inlineStr">
        <is>
          <t>ÖREBRO LÄN</t>
        </is>
      </c>
      <c r="E915" t="inlineStr">
        <is>
          <t>LINDESBERG</t>
        </is>
      </c>
      <c r="G915" t="n">
        <v>2.2</v>
      </c>
      <c r="H915" t="n">
        <v>0</v>
      </c>
      <c r="I915" t="n">
        <v>0</v>
      </c>
      <c r="J915" t="n">
        <v>0</v>
      </c>
      <c r="K915" t="n">
        <v>0</v>
      </c>
      <c r="L915" t="n">
        <v>0</v>
      </c>
      <c r="M915" t="n">
        <v>0</v>
      </c>
      <c r="N915" t="n">
        <v>0</v>
      </c>
      <c r="O915" t="n">
        <v>0</v>
      </c>
      <c r="P915" t="n">
        <v>0</v>
      </c>
      <c r="Q915" t="n">
        <v>0</v>
      </c>
      <c r="R915" s="2" t="inlineStr"/>
    </row>
    <row r="916" ht="15" customHeight="1">
      <c r="A916" t="inlineStr">
        <is>
          <t>A 23932-2025</t>
        </is>
      </c>
      <c r="B916" s="1" t="n">
        <v>45795.70912037037</v>
      </c>
      <c r="C916" s="1" t="n">
        <v>46106</v>
      </c>
      <c r="D916" t="inlineStr">
        <is>
          <t>ÖREBRO LÄN</t>
        </is>
      </c>
      <c r="E916" t="inlineStr">
        <is>
          <t>LINDESBERG</t>
        </is>
      </c>
      <c r="G916" t="n">
        <v>2</v>
      </c>
      <c r="H916" t="n">
        <v>0</v>
      </c>
      <c r="I916" t="n">
        <v>0</v>
      </c>
      <c r="J916" t="n">
        <v>0</v>
      </c>
      <c r="K916" t="n">
        <v>0</v>
      </c>
      <c r="L916" t="n">
        <v>0</v>
      </c>
      <c r="M916" t="n">
        <v>0</v>
      </c>
      <c r="N916" t="n">
        <v>0</v>
      </c>
      <c r="O916" t="n">
        <v>0</v>
      </c>
      <c r="P916" t="n">
        <v>0</v>
      </c>
      <c r="Q916" t="n">
        <v>0</v>
      </c>
      <c r="R916" s="2" t="inlineStr"/>
    </row>
    <row r="917" ht="15" customHeight="1">
      <c r="A917" t="inlineStr">
        <is>
          <t>A 37125-2023</t>
        </is>
      </c>
      <c r="B917" s="1" t="n">
        <v>45155.5653125</v>
      </c>
      <c r="C917" s="1" t="n">
        <v>46106</v>
      </c>
      <c r="D917" t="inlineStr">
        <is>
          <t>ÖREBRO LÄN</t>
        </is>
      </c>
      <c r="E917" t="inlineStr">
        <is>
          <t>LINDESBERG</t>
        </is>
      </c>
      <c r="G917" t="n">
        <v>2</v>
      </c>
      <c r="H917" t="n">
        <v>0</v>
      </c>
      <c r="I917" t="n">
        <v>0</v>
      </c>
      <c r="J917" t="n">
        <v>0</v>
      </c>
      <c r="K917" t="n">
        <v>0</v>
      </c>
      <c r="L917" t="n">
        <v>0</v>
      </c>
      <c r="M917" t="n">
        <v>0</v>
      </c>
      <c r="N917" t="n">
        <v>0</v>
      </c>
      <c r="O917" t="n">
        <v>0</v>
      </c>
      <c r="P917" t="n">
        <v>0</v>
      </c>
      <c r="Q917" t="n">
        <v>0</v>
      </c>
      <c r="R917" s="2" t="inlineStr"/>
    </row>
    <row r="918" ht="15" customHeight="1">
      <c r="A918" t="inlineStr">
        <is>
          <t>A 57944-2023</t>
        </is>
      </c>
      <c r="B918" s="1" t="n">
        <v>45244</v>
      </c>
      <c r="C918" s="1" t="n">
        <v>46106</v>
      </c>
      <c r="D918" t="inlineStr">
        <is>
          <t>ÖREBRO LÄN</t>
        </is>
      </c>
      <c r="E918" t="inlineStr">
        <is>
          <t>LINDESBERG</t>
        </is>
      </c>
      <c r="G918" t="n">
        <v>2.4</v>
      </c>
      <c r="H918" t="n">
        <v>0</v>
      </c>
      <c r="I918" t="n">
        <v>0</v>
      </c>
      <c r="J918" t="n">
        <v>0</v>
      </c>
      <c r="K918" t="n">
        <v>0</v>
      </c>
      <c r="L918" t="n">
        <v>0</v>
      </c>
      <c r="M918" t="n">
        <v>0</v>
      </c>
      <c r="N918" t="n">
        <v>0</v>
      </c>
      <c r="O918" t="n">
        <v>0</v>
      </c>
      <c r="P918" t="n">
        <v>0</v>
      </c>
      <c r="Q918" t="n">
        <v>0</v>
      </c>
      <c r="R918" s="2" t="inlineStr"/>
    </row>
    <row r="919" ht="15" customHeight="1">
      <c r="A919" t="inlineStr">
        <is>
          <t>A 24017-2025</t>
        </is>
      </c>
      <c r="B919" s="1" t="n">
        <v>45796.44885416667</v>
      </c>
      <c r="C919" s="1" t="n">
        <v>46106</v>
      </c>
      <c r="D919" t="inlineStr">
        <is>
          <t>ÖREBRO LÄN</t>
        </is>
      </c>
      <c r="E919" t="inlineStr">
        <is>
          <t>LINDESBERG</t>
        </is>
      </c>
      <c r="F919" t="inlineStr">
        <is>
          <t>Sveaskog</t>
        </is>
      </c>
      <c r="G919" t="n">
        <v>3.1</v>
      </c>
      <c r="H919" t="n">
        <v>0</v>
      </c>
      <c r="I919" t="n">
        <v>0</v>
      </c>
      <c r="J919" t="n">
        <v>0</v>
      </c>
      <c r="K919" t="n">
        <v>0</v>
      </c>
      <c r="L919" t="n">
        <v>0</v>
      </c>
      <c r="M919" t="n">
        <v>0</v>
      </c>
      <c r="N919" t="n">
        <v>0</v>
      </c>
      <c r="O919" t="n">
        <v>0</v>
      </c>
      <c r="P919" t="n">
        <v>0</v>
      </c>
      <c r="Q919" t="n">
        <v>0</v>
      </c>
      <c r="R919" s="2" t="inlineStr"/>
    </row>
    <row r="920" ht="15" customHeight="1">
      <c r="A920" t="inlineStr">
        <is>
          <t>A 23897-2025</t>
        </is>
      </c>
      <c r="B920" s="1" t="n">
        <v>45794.33498842592</v>
      </c>
      <c r="C920" s="1" t="n">
        <v>46106</v>
      </c>
      <c r="D920" t="inlineStr">
        <is>
          <t>ÖREBRO LÄN</t>
        </is>
      </c>
      <c r="E920" t="inlineStr">
        <is>
          <t>LINDESBERG</t>
        </is>
      </c>
      <c r="G920" t="n">
        <v>5.6</v>
      </c>
      <c r="H920" t="n">
        <v>0</v>
      </c>
      <c r="I920" t="n">
        <v>0</v>
      </c>
      <c r="J920" t="n">
        <v>0</v>
      </c>
      <c r="K920" t="n">
        <v>0</v>
      </c>
      <c r="L920" t="n">
        <v>0</v>
      </c>
      <c r="M920" t="n">
        <v>0</v>
      </c>
      <c r="N920" t="n">
        <v>0</v>
      </c>
      <c r="O920" t="n">
        <v>0</v>
      </c>
      <c r="P920" t="n">
        <v>0</v>
      </c>
      <c r="Q920" t="n">
        <v>0</v>
      </c>
      <c r="R920" s="2" t="inlineStr"/>
    </row>
    <row r="921" ht="15" customHeight="1">
      <c r="A921" t="inlineStr">
        <is>
          <t>A 24107-2025</t>
        </is>
      </c>
      <c r="B921" s="1" t="n">
        <v>45796</v>
      </c>
      <c r="C921" s="1" t="n">
        <v>46106</v>
      </c>
      <c r="D921" t="inlineStr">
        <is>
          <t>ÖREBRO LÄN</t>
        </is>
      </c>
      <c r="E921" t="inlineStr">
        <is>
          <t>LINDESBERG</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23898-2025</t>
        </is>
      </c>
      <c r="B922" s="1" t="n">
        <v>45794.3419212963</v>
      </c>
      <c r="C922" s="1" t="n">
        <v>46106</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24011-2025</t>
        </is>
      </c>
      <c r="B923" s="1" t="n">
        <v>45796</v>
      </c>
      <c r="C923" s="1" t="n">
        <v>46106</v>
      </c>
      <c r="D923" t="inlineStr">
        <is>
          <t>ÖREBRO LÄN</t>
        </is>
      </c>
      <c r="E923" t="inlineStr">
        <is>
          <t>LINDESBERG</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24020-2025</t>
        </is>
      </c>
      <c r="B924" s="1" t="n">
        <v>45796.45054398148</v>
      </c>
      <c r="C924" s="1" t="n">
        <v>46106</v>
      </c>
      <c r="D924" t="inlineStr">
        <is>
          <t>ÖREBRO LÄN</t>
        </is>
      </c>
      <c r="E924" t="inlineStr">
        <is>
          <t>LINDESBERG</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23934-2025</t>
        </is>
      </c>
      <c r="B925" s="1" t="n">
        <v>45795.71547453704</v>
      </c>
      <c r="C925" s="1" t="n">
        <v>46106</v>
      </c>
      <c r="D925" t="inlineStr">
        <is>
          <t>ÖREBRO LÄN</t>
        </is>
      </c>
      <c r="E925" t="inlineStr">
        <is>
          <t>LINDESBERG</t>
        </is>
      </c>
      <c r="G925" t="n">
        <v>1.9</v>
      </c>
      <c r="H925" t="n">
        <v>0</v>
      </c>
      <c r="I925" t="n">
        <v>0</v>
      </c>
      <c r="J925" t="n">
        <v>0</v>
      </c>
      <c r="K925" t="n">
        <v>0</v>
      </c>
      <c r="L925" t="n">
        <v>0</v>
      </c>
      <c r="M925" t="n">
        <v>0</v>
      </c>
      <c r="N925" t="n">
        <v>0</v>
      </c>
      <c r="O925" t="n">
        <v>0</v>
      </c>
      <c r="P925" t="n">
        <v>0</v>
      </c>
      <c r="Q925" t="n">
        <v>0</v>
      </c>
      <c r="R925" s="2" t="inlineStr"/>
    </row>
    <row r="926" ht="15" customHeight="1">
      <c r="A926" t="inlineStr">
        <is>
          <t>A 24043-2024</t>
        </is>
      </c>
      <c r="B926" s="1" t="n">
        <v>45456.48927083334</v>
      </c>
      <c r="C926" s="1" t="n">
        <v>46106</v>
      </c>
      <c r="D926" t="inlineStr">
        <is>
          <t>ÖREBRO LÄN</t>
        </is>
      </c>
      <c r="E926" t="inlineStr">
        <is>
          <t>LINDESBERG</t>
        </is>
      </c>
      <c r="G926" t="n">
        <v>6.2</v>
      </c>
      <c r="H926" t="n">
        <v>0</v>
      </c>
      <c r="I926" t="n">
        <v>0</v>
      </c>
      <c r="J926" t="n">
        <v>0</v>
      </c>
      <c r="K926" t="n">
        <v>0</v>
      </c>
      <c r="L926" t="n">
        <v>0</v>
      </c>
      <c r="M926" t="n">
        <v>0</v>
      </c>
      <c r="N926" t="n">
        <v>0</v>
      </c>
      <c r="O926" t="n">
        <v>0</v>
      </c>
      <c r="P926" t="n">
        <v>0</v>
      </c>
      <c r="Q926" t="n">
        <v>0</v>
      </c>
      <c r="R926" s="2" t="inlineStr"/>
    </row>
    <row r="927" ht="15" customHeight="1">
      <c r="A927" t="inlineStr">
        <is>
          <t>A 12250-2025</t>
        </is>
      </c>
      <c r="B927" s="1" t="n">
        <v>45729.60775462963</v>
      </c>
      <c r="C927" s="1" t="n">
        <v>46106</v>
      </c>
      <c r="D927" t="inlineStr">
        <is>
          <t>ÖREBRO LÄN</t>
        </is>
      </c>
      <c r="E927" t="inlineStr">
        <is>
          <t>LINDESBERG</t>
        </is>
      </c>
      <c r="G927" t="n">
        <v>3.4</v>
      </c>
      <c r="H927" t="n">
        <v>0</v>
      </c>
      <c r="I927" t="n">
        <v>0</v>
      </c>
      <c r="J927" t="n">
        <v>0</v>
      </c>
      <c r="K927" t="n">
        <v>0</v>
      </c>
      <c r="L927" t="n">
        <v>0</v>
      </c>
      <c r="M927" t="n">
        <v>0</v>
      </c>
      <c r="N927" t="n">
        <v>0</v>
      </c>
      <c r="O927" t="n">
        <v>0</v>
      </c>
      <c r="P927" t="n">
        <v>0</v>
      </c>
      <c r="Q927" t="n">
        <v>0</v>
      </c>
      <c r="R927" s="2" t="inlineStr"/>
    </row>
    <row r="928" ht="15" customHeight="1">
      <c r="A928" t="inlineStr">
        <is>
          <t>A 48231-2024</t>
        </is>
      </c>
      <c r="B928" s="1" t="n">
        <v>45590.37590277778</v>
      </c>
      <c r="C928" s="1" t="n">
        <v>46106</v>
      </c>
      <c r="D928" t="inlineStr">
        <is>
          <t>ÖREBRO LÄN</t>
        </is>
      </c>
      <c r="E928" t="inlineStr">
        <is>
          <t>LINDESBERG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25643-2025</t>
        </is>
      </c>
      <c r="B929" s="1" t="n">
        <v>45803</v>
      </c>
      <c r="C929" s="1" t="n">
        <v>46106</v>
      </c>
      <c r="D929" t="inlineStr">
        <is>
          <t>ÖREBRO LÄN</t>
        </is>
      </c>
      <c r="E929" t="inlineStr">
        <is>
          <t>LINDESBERG</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25842-2025</t>
        </is>
      </c>
      <c r="B930" s="1" t="n">
        <v>45804.45474537037</v>
      </c>
      <c r="C930" s="1" t="n">
        <v>46106</v>
      </c>
      <c r="D930" t="inlineStr">
        <is>
          <t>ÖREBRO LÄN</t>
        </is>
      </c>
      <c r="E930" t="inlineStr">
        <is>
          <t>LINDESBERG</t>
        </is>
      </c>
      <c r="G930" t="n">
        <v>1.7</v>
      </c>
      <c r="H930" t="n">
        <v>0</v>
      </c>
      <c r="I930" t="n">
        <v>0</v>
      </c>
      <c r="J930" t="n">
        <v>0</v>
      </c>
      <c r="K930" t="n">
        <v>0</v>
      </c>
      <c r="L930" t="n">
        <v>0</v>
      </c>
      <c r="M930" t="n">
        <v>0</v>
      </c>
      <c r="N930" t="n">
        <v>0</v>
      </c>
      <c r="O930" t="n">
        <v>0</v>
      </c>
      <c r="P930" t="n">
        <v>0</v>
      </c>
      <c r="Q930" t="n">
        <v>0</v>
      </c>
      <c r="R930" s="2" t="inlineStr"/>
    </row>
    <row r="931" ht="15" customHeight="1">
      <c r="A931" t="inlineStr">
        <is>
          <t>A 26016-2025</t>
        </is>
      </c>
      <c r="B931" s="1" t="n">
        <v>45804.67795138889</v>
      </c>
      <c r="C931" s="1" t="n">
        <v>46106</v>
      </c>
      <c r="D931" t="inlineStr">
        <is>
          <t>ÖREBRO LÄN</t>
        </is>
      </c>
      <c r="E931" t="inlineStr">
        <is>
          <t>LINDESBERG</t>
        </is>
      </c>
      <c r="G931" t="n">
        <v>10</v>
      </c>
      <c r="H931" t="n">
        <v>0</v>
      </c>
      <c r="I931" t="n">
        <v>0</v>
      </c>
      <c r="J931" t="n">
        <v>0</v>
      </c>
      <c r="K931" t="n">
        <v>0</v>
      </c>
      <c r="L931" t="n">
        <v>0</v>
      </c>
      <c r="M931" t="n">
        <v>0</v>
      </c>
      <c r="N931" t="n">
        <v>0</v>
      </c>
      <c r="O931" t="n">
        <v>0</v>
      </c>
      <c r="P931" t="n">
        <v>0</v>
      </c>
      <c r="Q931" t="n">
        <v>0</v>
      </c>
      <c r="R931" s="2" t="inlineStr"/>
    </row>
    <row r="932">
      <c r="A932" t="inlineStr">
        <is>
          <t>A 25843-2025</t>
        </is>
      </c>
      <c r="B932" s="1" t="n">
        <v>45804.45584490741</v>
      </c>
      <c r="C932" s="1" t="n">
        <v>46106</v>
      </c>
      <c r="D932" t="inlineStr">
        <is>
          <t>ÖREBRO LÄN</t>
        </is>
      </c>
      <c r="E932" t="inlineStr">
        <is>
          <t>LINDESBERG</t>
        </is>
      </c>
      <c r="G932" t="n">
        <v>4.6</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2026-03-25T11:32:23Z</dcterms:created>
  <dcterms:modified xmlns:dcterms="http://purl.org/dc/terms/" xmlns:xsi="http://www.w3.org/2001/XMLSchema-instance" xsi:type="dcterms:W3CDTF">2026-03-25T11:32:24Z</dcterms:modified>
</cp:coreProperties>
</file>