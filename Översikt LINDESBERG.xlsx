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46116</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46116</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46116</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46116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46116</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54241-2025</t>
        </is>
      </c>
      <c r="B14" s="1" t="n">
        <v>45964.63199074074</v>
      </c>
      <c r="C14" s="1" t="n">
        <v>46116</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28033-2023</t>
        </is>
      </c>
      <c r="B15" s="1" t="n">
        <v>45099</v>
      </c>
      <c r="C15" s="1" t="n">
        <v>46116</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46116</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46116</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46116</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46116</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46116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39193-2025</t>
        </is>
      </c>
      <c r="B22" s="1" t="n">
        <v>45888.67765046296</v>
      </c>
      <c r="C22" s="1" t="n">
        <v>46116</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50989-2023</t>
        </is>
      </c>
      <c r="B23" s="1" t="n">
        <v>45218</v>
      </c>
      <c r="C23" s="1" t="n">
        <v>46116</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46116</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46116</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46116</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54020-2024</t>
        </is>
      </c>
      <c r="B27" s="1" t="n">
        <v>45616.38605324074</v>
      </c>
      <c r="C27" s="1" t="n">
        <v>46116</v>
      </c>
      <c r="D27" t="inlineStr">
        <is>
          <t>ÖREBRO LÄN</t>
        </is>
      </c>
      <c r="E27" t="inlineStr">
        <is>
          <t>LINDESBERG</t>
        </is>
      </c>
      <c r="G27" t="n">
        <v>2.8</v>
      </c>
      <c r="H27" t="n">
        <v>1</v>
      </c>
      <c r="I27" t="n">
        <v>1</v>
      </c>
      <c r="J27" t="n">
        <v>2</v>
      </c>
      <c r="K27" t="n">
        <v>0</v>
      </c>
      <c r="L27" t="n">
        <v>0</v>
      </c>
      <c r="M27" t="n">
        <v>0</v>
      </c>
      <c r="N27" t="n">
        <v>0</v>
      </c>
      <c r="O27" t="n">
        <v>2</v>
      </c>
      <c r="P27" t="n">
        <v>0</v>
      </c>
      <c r="Q27" t="n">
        <v>3</v>
      </c>
      <c r="R27" s="2" t="inlineStr">
        <is>
          <t>Mindre hackspett
Skogsklocka
Kambräken</t>
        </is>
      </c>
      <c r="S27">
        <f>HYPERLINK("https://klasma.github.io/Logging_1885/artfynd/A 54020-2024 artfynd.xlsx", "A 54020-2024")</f>
        <v/>
      </c>
      <c r="T27">
        <f>HYPERLINK("https://klasma.github.io/Logging_1885/kartor/A 54020-2024 karta.png", "A 54020-2024")</f>
        <v/>
      </c>
      <c r="V27">
        <f>HYPERLINK("https://klasma.github.io/Logging_1885/klagomål/A 54020-2024 FSC-klagomål.docx", "A 54020-2024")</f>
        <v/>
      </c>
      <c r="W27">
        <f>HYPERLINK("https://klasma.github.io/Logging_1885/klagomålsmail/A 54020-2024 FSC-klagomål mail.docx", "A 54020-2024")</f>
        <v/>
      </c>
      <c r="X27">
        <f>HYPERLINK("https://klasma.github.io/Logging_1885/tillsyn/A 54020-2024 tillsynsbegäran.docx", "A 54020-2024")</f>
        <v/>
      </c>
      <c r="Y27">
        <f>HYPERLINK("https://klasma.github.io/Logging_1885/tillsynsmail/A 54020-2024 tillsynsbegäran mail.docx", "A 54020-2024")</f>
        <v/>
      </c>
      <c r="Z27">
        <f>HYPERLINK("https://klasma.github.io/Logging_1885/fåglar/A 54020-2024 prioriterade fågelarter.docx", "A 54020-2024")</f>
        <v/>
      </c>
    </row>
    <row r="28" ht="15" customHeight="1">
      <c r="A28" t="inlineStr">
        <is>
          <t>A 8195-2026</t>
        </is>
      </c>
      <c r="B28" s="1" t="n">
        <v>46064.43017361111</v>
      </c>
      <c r="C28" s="1" t="n">
        <v>46116</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34266-2025</t>
        </is>
      </c>
      <c r="B29" s="1" t="n">
        <v>45845.75751157408</v>
      </c>
      <c r="C29" s="1" t="n">
        <v>46116</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46116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46116</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1475-2025</t>
        </is>
      </c>
      <c r="B32" s="1" t="n">
        <v>45670</v>
      </c>
      <c r="C32" s="1" t="n">
        <v>46116</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46116</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46116</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46116</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46116</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46116</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15687-2023</t>
        </is>
      </c>
      <c r="B38" s="1" t="n">
        <v>45021</v>
      </c>
      <c r="C38" s="1" t="n">
        <v>46116</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46116</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8189-2026</t>
        </is>
      </c>
      <c r="B40" s="1" t="n">
        <v>46064.42460648148</v>
      </c>
      <c r="C40" s="1" t="n">
        <v>46116</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46116</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53686-2024</t>
        </is>
      </c>
      <c r="B42" s="1" t="n">
        <v>45615</v>
      </c>
      <c r="C42" s="1" t="n">
        <v>46116</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38380-2024</t>
        </is>
      </c>
      <c r="B43" s="1" t="n">
        <v>45546.28121527778</v>
      </c>
      <c r="C43" s="1" t="n">
        <v>46116</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46116</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46116</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46116</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46116</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46116</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46116</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46116</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46116</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3729-2023</t>
        </is>
      </c>
      <c r="B52" s="1" t="n">
        <v>44949</v>
      </c>
      <c r="C52" s="1" t="n">
        <v>46116</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36669-2024</t>
        </is>
      </c>
      <c r="B53" s="1" t="n">
        <v>45537.64484953704</v>
      </c>
      <c r="C53" s="1" t="n">
        <v>46116</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64513-2023</t>
        </is>
      </c>
      <c r="B54" s="1" t="n">
        <v>45281</v>
      </c>
      <c r="C54" s="1" t="n">
        <v>46116</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46116</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37834-2025</t>
        </is>
      </c>
      <c r="B56" s="1" t="n">
        <v>45881.42446759259</v>
      </c>
      <c r="C56" s="1" t="n">
        <v>46116</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 agg.</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30347-2025</t>
        </is>
      </c>
      <c r="B57" s="1" t="n">
        <v>45827.53077546296</v>
      </c>
      <c r="C57" s="1" t="n">
        <v>46116</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45467-2025</t>
        </is>
      </c>
      <c r="B58" s="1" t="n">
        <v>45922.49990740741</v>
      </c>
      <c r="C58" s="1" t="n">
        <v>46116</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67013-2021</t>
        </is>
      </c>
      <c r="B59" s="1" t="n">
        <v>44522</v>
      </c>
      <c r="C59" s="1" t="n">
        <v>46116</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48956-2025</t>
        </is>
      </c>
      <c r="B60" s="1" t="n">
        <v>45937.54982638889</v>
      </c>
      <c r="C60" s="1" t="n">
        <v>46116</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50777-2025</t>
        </is>
      </c>
      <c r="B61" s="1" t="n">
        <v>45946.45171296296</v>
      </c>
      <c r="C61" s="1" t="n">
        <v>46116</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50766-2025</t>
        </is>
      </c>
      <c r="B62" s="1" t="n">
        <v>45946.44423611111</v>
      </c>
      <c r="C62" s="1" t="n">
        <v>46116</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50768-2025</t>
        </is>
      </c>
      <c r="B63" s="1" t="n">
        <v>45946.44790509259</v>
      </c>
      <c r="C63" s="1" t="n">
        <v>46116</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52105-2025</t>
        </is>
      </c>
      <c r="B64" s="1" t="n">
        <v>45952.68596064814</v>
      </c>
      <c r="C64" s="1" t="n">
        <v>46116</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46116</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46116</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54857-2024</t>
        </is>
      </c>
      <c r="B67" s="1" t="n">
        <v>45618.58876157407</v>
      </c>
      <c r="C67" s="1" t="n">
        <v>46116</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46116</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57362-2025</t>
        </is>
      </c>
      <c r="B69" s="1" t="n">
        <v>45980.37108796297</v>
      </c>
      <c r="C69" s="1" t="n">
        <v>46116</v>
      </c>
      <c r="D69" t="inlineStr">
        <is>
          <t>ÖREBRO LÄN</t>
        </is>
      </c>
      <c r="E69" t="inlineStr">
        <is>
          <t>LINDESBERG</t>
        </is>
      </c>
      <c r="F69" t="inlineStr">
        <is>
          <t>Sveaskog</t>
        </is>
      </c>
      <c r="G69" t="n">
        <v>1.2</v>
      </c>
      <c r="H69" t="n">
        <v>0</v>
      </c>
      <c r="I69" t="n">
        <v>1</v>
      </c>
      <c r="J69" t="n">
        <v>0</v>
      </c>
      <c r="K69" t="n">
        <v>0</v>
      </c>
      <c r="L69" t="n">
        <v>0</v>
      </c>
      <c r="M69" t="n">
        <v>0</v>
      </c>
      <c r="N69" t="n">
        <v>0</v>
      </c>
      <c r="O69" t="n">
        <v>0</v>
      </c>
      <c r="P69" t="n">
        <v>0</v>
      </c>
      <c r="Q69" t="n">
        <v>1</v>
      </c>
      <c r="R69" s="2" t="inlineStr">
        <is>
          <t>Svart trolldruva</t>
        </is>
      </c>
      <c r="S69">
        <f>HYPERLINK("https://klasma.github.io/Logging_1885/artfynd/A 57362-2025 artfynd.xlsx", "A 57362-2025")</f>
        <v/>
      </c>
      <c r="T69">
        <f>HYPERLINK("https://klasma.github.io/Logging_1885/kartor/A 57362-2025 karta.png", "A 57362-2025")</f>
        <v/>
      </c>
      <c r="V69">
        <f>HYPERLINK("https://klasma.github.io/Logging_1885/klagomål/A 57362-2025 FSC-klagomål.docx", "A 57362-2025")</f>
        <v/>
      </c>
      <c r="W69">
        <f>HYPERLINK("https://klasma.github.io/Logging_1885/klagomålsmail/A 57362-2025 FSC-klagomål mail.docx", "A 57362-2025")</f>
        <v/>
      </c>
      <c r="X69">
        <f>HYPERLINK("https://klasma.github.io/Logging_1885/tillsyn/A 57362-2025 tillsynsbegäran.docx", "A 57362-2025")</f>
        <v/>
      </c>
      <c r="Y69">
        <f>HYPERLINK("https://klasma.github.io/Logging_1885/tillsynsmail/A 57362-2025 tillsynsbegäran mail.docx", "A 57362-2025")</f>
        <v/>
      </c>
    </row>
    <row r="70" ht="15" customHeight="1">
      <c r="A70" t="inlineStr">
        <is>
          <t>A 57355-2025</t>
        </is>
      </c>
      <c r="B70" s="1" t="n">
        <v>45980.3659375</v>
      </c>
      <c r="C70" s="1" t="n">
        <v>46116</v>
      </c>
      <c r="D70" t="inlineStr">
        <is>
          <t>ÖREBRO LÄN</t>
        </is>
      </c>
      <c r="E70" t="inlineStr">
        <is>
          <t>LINDESBERG</t>
        </is>
      </c>
      <c r="F70" t="inlineStr">
        <is>
          <t>Sveaskog</t>
        </is>
      </c>
      <c r="G70" t="n">
        <v>2.7</v>
      </c>
      <c r="H70" t="n">
        <v>0</v>
      </c>
      <c r="I70" t="n">
        <v>0</v>
      </c>
      <c r="J70" t="n">
        <v>1</v>
      </c>
      <c r="K70" t="n">
        <v>0</v>
      </c>
      <c r="L70" t="n">
        <v>0</v>
      </c>
      <c r="M70" t="n">
        <v>0</v>
      </c>
      <c r="N70" t="n">
        <v>0</v>
      </c>
      <c r="O70" t="n">
        <v>1</v>
      </c>
      <c r="P70" t="n">
        <v>0</v>
      </c>
      <c r="Q70" t="n">
        <v>1</v>
      </c>
      <c r="R70" s="2" t="inlineStr">
        <is>
          <t>Orange taggsvamp</t>
        </is>
      </c>
      <c r="S70">
        <f>HYPERLINK("https://klasma.github.io/Logging_1885/artfynd/A 57355-2025 artfynd.xlsx", "A 57355-2025")</f>
        <v/>
      </c>
      <c r="T70">
        <f>HYPERLINK("https://klasma.github.io/Logging_1885/kartor/A 57355-2025 karta.png", "A 57355-2025")</f>
        <v/>
      </c>
      <c r="V70">
        <f>HYPERLINK("https://klasma.github.io/Logging_1885/klagomål/A 57355-2025 FSC-klagomål.docx", "A 57355-2025")</f>
        <v/>
      </c>
      <c r="W70">
        <f>HYPERLINK("https://klasma.github.io/Logging_1885/klagomålsmail/A 57355-2025 FSC-klagomål mail.docx", "A 57355-2025")</f>
        <v/>
      </c>
      <c r="X70">
        <f>HYPERLINK("https://klasma.github.io/Logging_1885/tillsyn/A 57355-2025 tillsynsbegäran.docx", "A 57355-2025")</f>
        <v/>
      </c>
      <c r="Y70">
        <f>HYPERLINK("https://klasma.github.io/Logging_1885/tillsynsmail/A 57355-2025 tillsynsbegäran mail.docx", "A 57355-2025")</f>
        <v/>
      </c>
    </row>
    <row r="71" ht="15" customHeight="1">
      <c r="A71" t="inlineStr">
        <is>
          <t>A 28569-2024</t>
        </is>
      </c>
      <c r="B71" s="1" t="n">
        <v>45478.39592592593</v>
      </c>
      <c r="C71" s="1" t="n">
        <v>46116</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16791-2024</t>
        </is>
      </c>
      <c r="B72" s="1" t="n">
        <v>45411.42858796296</v>
      </c>
      <c r="C72" s="1" t="n">
        <v>46116</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46116</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2829-2026</t>
        </is>
      </c>
      <c r="B74" s="1" t="n">
        <v>46038.45296296296</v>
      </c>
      <c r="C74" s="1" t="n">
        <v>46116</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70466-2021</t>
        </is>
      </c>
      <c r="B75" s="1" t="n">
        <v>44536</v>
      </c>
      <c r="C75" s="1" t="n">
        <v>46116</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58206-2023</t>
        </is>
      </c>
      <c r="B76" s="1" t="n">
        <v>45250</v>
      </c>
      <c r="C76" s="1" t="n">
        <v>46116</v>
      </c>
      <c r="D76" t="inlineStr">
        <is>
          <t>ÖREBRO LÄN</t>
        </is>
      </c>
      <c r="E76" t="inlineStr">
        <is>
          <t>LINDESBERG</t>
        </is>
      </c>
      <c r="F76" t="inlineStr">
        <is>
          <t>Sveaskog</t>
        </is>
      </c>
      <c r="G76" t="n">
        <v>1.4</v>
      </c>
      <c r="H76" t="n">
        <v>1</v>
      </c>
      <c r="I76" t="n">
        <v>0</v>
      </c>
      <c r="J76" t="n">
        <v>0</v>
      </c>
      <c r="K76" t="n">
        <v>0</v>
      </c>
      <c r="L76" t="n">
        <v>0</v>
      </c>
      <c r="M76" t="n">
        <v>0</v>
      </c>
      <c r="N76" t="n">
        <v>0</v>
      </c>
      <c r="O76" t="n">
        <v>0</v>
      </c>
      <c r="P76" t="n">
        <v>0</v>
      </c>
      <c r="Q76" t="n">
        <v>1</v>
      </c>
      <c r="R76" s="2" t="inlineStr">
        <is>
          <t>Fläcknycklar</t>
        </is>
      </c>
      <c r="S76">
        <f>HYPERLINK("https://klasma.github.io/Logging_1885/artfynd/A 58206-2023 artfynd.xlsx", "A 58206-2023")</f>
        <v/>
      </c>
      <c r="T76">
        <f>HYPERLINK("https://klasma.github.io/Logging_1885/kartor/A 58206-2023 karta.png", "A 58206-2023")</f>
        <v/>
      </c>
      <c r="V76">
        <f>HYPERLINK("https://klasma.github.io/Logging_1885/klagomål/A 58206-2023 FSC-klagomål.docx", "A 58206-2023")</f>
        <v/>
      </c>
      <c r="W76">
        <f>HYPERLINK("https://klasma.github.io/Logging_1885/klagomålsmail/A 58206-2023 FSC-klagomål mail.docx", "A 58206-2023")</f>
        <v/>
      </c>
      <c r="X76">
        <f>HYPERLINK("https://klasma.github.io/Logging_1885/tillsyn/A 58206-2023 tillsynsbegäran.docx", "A 58206-2023")</f>
        <v/>
      </c>
      <c r="Y76">
        <f>HYPERLINK("https://klasma.github.io/Logging_1885/tillsynsmail/A 58206-2023 tillsynsbegäran mail.docx", "A 58206-2023")</f>
        <v/>
      </c>
    </row>
    <row r="77" ht="15" customHeight="1">
      <c r="A77" t="inlineStr">
        <is>
          <t>A 28787-2023</t>
        </is>
      </c>
      <c r="B77" s="1" t="n">
        <v>45104.3483912037</v>
      </c>
      <c r="C77" s="1" t="n">
        <v>46116</v>
      </c>
      <c r="D77" t="inlineStr">
        <is>
          <t>ÖREBRO LÄN</t>
        </is>
      </c>
      <c r="E77" t="inlineStr">
        <is>
          <t>LINDESBERG</t>
        </is>
      </c>
      <c r="F77" t="inlineStr">
        <is>
          <t>Sveaskog</t>
        </is>
      </c>
      <c r="G77" t="n">
        <v>0.5</v>
      </c>
      <c r="H77" t="n">
        <v>1</v>
      </c>
      <c r="I77" t="n">
        <v>0</v>
      </c>
      <c r="J77" t="n">
        <v>0</v>
      </c>
      <c r="K77" t="n">
        <v>0</v>
      </c>
      <c r="L77" t="n">
        <v>0</v>
      </c>
      <c r="M77" t="n">
        <v>0</v>
      </c>
      <c r="N77" t="n">
        <v>0</v>
      </c>
      <c r="O77" t="n">
        <v>0</v>
      </c>
      <c r="P77" t="n">
        <v>0</v>
      </c>
      <c r="Q77" t="n">
        <v>1</v>
      </c>
      <c r="R77" s="2" t="inlineStr">
        <is>
          <t>Fläcknycklar</t>
        </is>
      </c>
      <c r="S77">
        <f>HYPERLINK("https://klasma.github.io/Logging_1885/artfynd/A 28787-2023 artfynd.xlsx", "A 28787-2023")</f>
        <v/>
      </c>
      <c r="T77">
        <f>HYPERLINK("https://klasma.github.io/Logging_1885/kartor/A 28787-2023 karta.png", "A 28787-2023")</f>
        <v/>
      </c>
      <c r="V77">
        <f>HYPERLINK("https://klasma.github.io/Logging_1885/klagomål/A 28787-2023 FSC-klagomål.docx", "A 28787-2023")</f>
        <v/>
      </c>
      <c r="W77">
        <f>HYPERLINK("https://klasma.github.io/Logging_1885/klagomålsmail/A 28787-2023 FSC-klagomål mail.docx", "A 28787-2023")</f>
        <v/>
      </c>
      <c r="X77">
        <f>HYPERLINK("https://klasma.github.io/Logging_1885/tillsyn/A 28787-2023 tillsynsbegäran.docx", "A 28787-2023")</f>
        <v/>
      </c>
      <c r="Y77">
        <f>HYPERLINK("https://klasma.github.io/Logging_1885/tillsynsmail/A 28787-2023 tillsynsbegäran mail.docx", "A 28787-2023")</f>
        <v/>
      </c>
    </row>
    <row r="78" ht="15" customHeight="1">
      <c r="A78" t="inlineStr">
        <is>
          <t>A 8172-2026</t>
        </is>
      </c>
      <c r="B78" s="1" t="n">
        <v>46064</v>
      </c>
      <c r="C78" s="1" t="n">
        <v>46116</v>
      </c>
      <c r="D78" t="inlineStr">
        <is>
          <t>ÖREBRO LÄN</t>
        </is>
      </c>
      <c r="E78" t="inlineStr">
        <is>
          <t>LINDESBERG</t>
        </is>
      </c>
      <c r="G78" t="n">
        <v>2.9</v>
      </c>
      <c r="H78" t="n">
        <v>0</v>
      </c>
      <c r="I78" t="n">
        <v>0</v>
      </c>
      <c r="J78" t="n">
        <v>0</v>
      </c>
      <c r="K78" t="n">
        <v>0</v>
      </c>
      <c r="L78" t="n">
        <v>1</v>
      </c>
      <c r="M78" t="n">
        <v>0</v>
      </c>
      <c r="N78" t="n">
        <v>0</v>
      </c>
      <c r="O78" t="n">
        <v>1</v>
      </c>
      <c r="P78" t="n">
        <v>1</v>
      </c>
      <c r="Q78" t="n">
        <v>1</v>
      </c>
      <c r="R78" s="2" t="inlineStr">
        <is>
          <t>Bågtuss</t>
        </is>
      </c>
      <c r="S78">
        <f>HYPERLINK("https://klasma.github.io/Logging_1885/artfynd/A 8172-2026 artfynd.xlsx", "A 8172-2026")</f>
        <v/>
      </c>
      <c r="T78">
        <f>HYPERLINK("https://klasma.github.io/Logging_1885/kartor/A 8172-2026 karta.png", "A 8172-2026")</f>
        <v/>
      </c>
      <c r="U78">
        <f>HYPERLINK("https://klasma.github.io/Logging_1885/knärot/A 8172-2026 karta knärot.png", "A 8172-2026")</f>
        <v/>
      </c>
      <c r="V78">
        <f>HYPERLINK("https://klasma.github.io/Logging_1885/klagomål/A 8172-2026 FSC-klagomål.docx", "A 8172-2026")</f>
        <v/>
      </c>
      <c r="W78">
        <f>HYPERLINK("https://klasma.github.io/Logging_1885/klagomålsmail/A 8172-2026 FSC-klagomål mail.docx", "A 8172-2026")</f>
        <v/>
      </c>
      <c r="X78">
        <f>HYPERLINK("https://klasma.github.io/Logging_1885/tillsyn/A 8172-2026 tillsynsbegäran.docx", "A 8172-2026")</f>
        <v/>
      </c>
      <c r="Y78">
        <f>HYPERLINK("https://klasma.github.io/Logging_1885/tillsynsmail/A 8172-2026 tillsynsbegäran mail.docx", "A 8172-2026")</f>
        <v/>
      </c>
    </row>
    <row r="79" ht="15" customHeight="1">
      <c r="A79" t="inlineStr">
        <is>
          <t>A 8186-2026</t>
        </is>
      </c>
      <c r="B79" s="1" t="n">
        <v>46064.42189814815</v>
      </c>
      <c r="C79" s="1" t="n">
        <v>46116</v>
      </c>
      <c r="D79" t="inlineStr">
        <is>
          <t>ÖREBRO LÄN</t>
        </is>
      </c>
      <c r="E79" t="inlineStr">
        <is>
          <t>LINDESBERG</t>
        </is>
      </c>
      <c r="G79" t="n">
        <v>2.4</v>
      </c>
      <c r="H79" t="n">
        <v>1</v>
      </c>
      <c r="I79" t="n">
        <v>0</v>
      </c>
      <c r="J79" t="n">
        <v>0</v>
      </c>
      <c r="K79" t="n">
        <v>0</v>
      </c>
      <c r="L79" t="n">
        <v>1</v>
      </c>
      <c r="M79" t="n">
        <v>0</v>
      </c>
      <c r="N79" t="n">
        <v>0</v>
      </c>
      <c r="O79" t="n">
        <v>1</v>
      </c>
      <c r="P79" t="n">
        <v>1</v>
      </c>
      <c r="Q79" t="n">
        <v>1</v>
      </c>
      <c r="R79" s="2" t="inlineStr">
        <is>
          <t>Asknätfjäril</t>
        </is>
      </c>
      <c r="S79">
        <f>HYPERLINK("https://klasma.github.io/Logging_1885/artfynd/A 8186-2026 artfynd.xlsx", "A 8186-2026")</f>
        <v/>
      </c>
      <c r="T79">
        <f>HYPERLINK("https://klasma.github.io/Logging_1885/kartor/A 8186-2026 karta.png", "A 8186-2026")</f>
        <v/>
      </c>
      <c r="V79">
        <f>HYPERLINK("https://klasma.github.io/Logging_1885/klagomål/A 8186-2026 FSC-klagomål.docx", "A 8186-2026")</f>
        <v/>
      </c>
      <c r="W79">
        <f>HYPERLINK("https://klasma.github.io/Logging_1885/klagomålsmail/A 8186-2026 FSC-klagomål mail.docx", "A 8186-2026")</f>
        <v/>
      </c>
      <c r="X79">
        <f>HYPERLINK("https://klasma.github.io/Logging_1885/tillsyn/A 8186-2026 tillsynsbegäran.docx", "A 8186-2026")</f>
        <v/>
      </c>
      <c r="Y79">
        <f>HYPERLINK("https://klasma.github.io/Logging_1885/tillsynsmail/A 8186-2026 tillsynsbegäran mail.docx", "A 8186-2026")</f>
        <v/>
      </c>
    </row>
    <row r="80" ht="15" customHeight="1">
      <c r="A80" t="inlineStr">
        <is>
          <t>A 8175-2026</t>
        </is>
      </c>
      <c r="B80" s="1" t="n">
        <v>46064</v>
      </c>
      <c r="C80" s="1" t="n">
        <v>46116</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27900-2024</t>
        </is>
      </c>
      <c r="B81" s="1" t="n">
        <v>45475.92849537037</v>
      </c>
      <c r="C81" s="1" t="n">
        <v>46116</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46116</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46116</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46116</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31052-2025</t>
        </is>
      </c>
      <c r="B85" s="1" t="n">
        <v>45832.56153935185</v>
      </c>
      <c r="C85" s="1" t="n">
        <v>46116</v>
      </c>
      <c r="D85" t="inlineStr">
        <is>
          <t>ÖREBRO LÄN</t>
        </is>
      </c>
      <c r="E85" t="inlineStr">
        <is>
          <t>LINDESBERG</t>
        </is>
      </c>
      <c r="F85" t="inlineStr">
        <is>
          <t>Sveaskog</t>
        </is>
      </c>
      <c r="G85" t="n">
        <v>1.1</v>
      </c>
      <c r="H85" t="n">
        <v>1</v>
      </c>
      <c r="I85" t="n">
        <v>0</v>
      </c>
      <c r="J85" t="n">
        <v>0</v>
      </c>
      <c r="K85" t="n">
        <v>0</v>
      </c>
      <c r="L85" t="n">
        <v>0</v>
      </c>
      <c r="M85" t="n">
        <v>0</v>
      </c>
      <c r="N85" t="n">
        <v>0</v>
      </c>
      <c r="O85" t="n">
        <v>0</v>
      </c>
      <c r="P85" t="n">
        <v>0</v>
      </c>
      <c r="Q85" t="n">
        <v>1</v>
      </c>
      <c r="R85" s="2" t="inlineStr">
        <is>
          <t>Fläcknycklar</t>
        </is>
      </c>
      <c r="S85">
        <f>HYPERLINK("https://klasma.github.io/Logging_1885/artfynd/A 31052-2025 artfynd.xlsx", "A 31052-2025")</f>
        <v/>
      </c>
      <c r="T85">
        <f>HYPERLINK("https://klasma.github.io/Logging_1885/kartor/A 31052-2025 karta.png", "A 31052-2025")</f>
        <v/>
      </c>
      <c r="V85">
        <f>HYPERLINK("https://klasma.github.io/Logging_1885/klagomål/A 31052-2025 FSC-klagomål.docx", "A 31052-2025")</f>
        <v/>
      </c>
      <c r="W85">
        <f>HYPERLINK("https://klasma.github.io/Logging_1885/klagomålsmail/A 31052-2025 FSC-klagomål mail.docx", "A 31052-2025")</f>
        <v/>
      </c>
      <c r="X85">
        <f>HYPERLINK("https://klasma.github.io/Logging_1885/tillsyn/A 31052-2025 tillsynsbegäran.docx", "A 31052-2025")</f>
        <v/>
      </c>
      <c r="Y85">
        <f>HYPERLINK("https://klasma.github.io/Logging_1885/tillsynsmail/A 31052-2025 tillsynsbegäran mail.docx", "A 31052-2025")</f>
        <v/>
      </c>
    </row>
    <row r="86" ht="15" customHeight="1">
      <c r="A86" t="inlineStr">
        <is>
          <t>A 16990-2021</t>
        </is>
      </c>
      <c r="B86" s="1" t="n">
        <v>44295.61297453703</v>
      </c>
      <c r="C86" s="1" t="n">
        <v>46116</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46116</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46116</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46116</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46116</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46116</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46116</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46116</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46116</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46116</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46116</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46116</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35739-2021</t>
        </is>
      </c>
      <c r="B98" s="1" t="n">
        <v>44386</v>
      </c>
      <c r="C98" s="1" t="n">
        <v>46116</v>
      </c>
      <c r="D98" t="inlineStr">
        <is>
          <t>ÖREBRO LÄN</t>
        </is>
      </c>
      <c r="E98" t="inlineStr">
        <is>
          <t>LINDESBERG</t>
        </is>
      </c>
      <c r="G98" t="n">
        <v>5.5</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46116</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46116</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46116</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46116</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46116</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46116</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46116</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46116</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46116</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46116</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46116</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46116</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46116</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46116</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46116</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46116</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46116</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46116</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46116</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46116</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46116</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46116</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46116</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46116</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46116</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46116</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46116</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46116</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46116</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46116</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46116</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46116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46116</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46116</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46116</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46116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46116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46116</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46116</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46116</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46116</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46116</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46116</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46116</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46116</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46116</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46116</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46116</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46116</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46116</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46116</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46116</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46116</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46116</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47425-2021</t>
        </is>
      </c>
      <c r="B153" s="1" t="n">
        <v>44447</v>
      </c>
      <c r="C153" s="1" t="n">
        <v>46116</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46116</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46116</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46116</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46116</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46116</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46116</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46116</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46116</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46116</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46116</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46116</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46116</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46116</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46116</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46116</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46116</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46116</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46116</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46116</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46116</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46116</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46116</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46116</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46116</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46116</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46116</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46116</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46116</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46116</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46116</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46116</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46116</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46116</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46116</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46116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46116</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46116</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46116</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46116</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46116</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46116</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46116</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46116</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46116</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46116</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46116</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46116</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46116</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46116</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46116</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46116</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46116</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46116</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46116</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46116</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32818-2022</t>
        </is>
      </c>
      <c r="B209" s="1" t="n">
        <v>44784.38697916667</v>
      </c>
      <c r="C209" s="1" t="n">
        <v>46116</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46116</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46116</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46116</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46116</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46116</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33282-2024</t>
        </is>
      </c>
      <c r="B215" s="1" t="n">
        <v>45518.71482638889</v>
      </c>
      <c r="C215" s="1" t="n">
        <v>46116</v>
      </c>
      <c r="D215" t="inlineStr">
        <is>
          <t>ÖREBRO LÄN</t>
        </is>
      </c>
      <c r="E215" t="inlineStr">
        <is>
          <t>LINDESBERG</t>
        </is>
      </c>
      <c r="G215" t="n">
        <v>7.5</v>
      </c>
      <c r="H215" t="n">
        <v>0</v>
      </c>
      <c r="I215" t="n">
        <v>0</v>
      </c>
      <c r="J215" t="n">
        <v>0</v>
      </c>
      <c r="K215" t="n">
        <v>0</v>
      </c>
      <c r="L215" t="n">
        <v>0</v>
      </c>
      <c r="M215" t="n">
        <v>0</v>
      </c>
      <c r="N215" t="n">
        <v>0</v>
      </c>
      <c r="O215" t="n">
        <v>0</v>
      </c>
      <c r="P215" t="n">
        <v>0</v>
      </c>
      <c r="Q215" t="n">
        <v>0</v>
      </c>
      <c r="R215" s="2" t="inlineStr"/>
    </row>
    <row r="216" ht="15" customHeight="1">
      <c r="A216" t="inlineStr">
        <is>
          <t>A 46603-2021</t>
        </is>
      </c>
      <c r="B216" s="1" t="n">
        <v>44445</v>
      </c>
      <c r="C216" s="1" t="n">
        <v>46116</v>
      </c>
      <c r="D216" t="inlineStr">
        <is>
          <t>ÖREBRO LÄN</t>
        </is>
      </c>
      <c r="E216" t="inlineStr">
        <is>
          <t>LINDESBERG</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20954-2024</t>
        </is>
      </c>
      <c r="B217" s="1" t="n">
        <v>45439.56605324074</v>
      </c>
      <c r="C217" s="1" t="n">
        <v>46116</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30767-2023</t>
        </is>
      </c>
      <c r="B218" s="1" t="n">
        <v>45112.67952546296</v>
      </c>
      <c r="C218" s="1" t="n">
        <v>46116</v>
      </c>
      <c r="D218" t="inlineStr">
        <is>
          <t>ÖREBRO LÄN</t>
        </is>
      </c>
      <c r="E218" t="inlineStr">
        <is>
          <t>LINDESBERG</t>
        </is>
      </c>
      <c r="G218" t="n">
        <v>3.9</v>
      </c>
      <c r="H218" t="n">
        <v>0</v>
      </c>
      <c r="I218" t="n">
        <v>0</v>
      </c>
      <c r="J218" t="n">
        <v>0</v>
      </c>
      <c r="K218" t="n">
        <v>0</v>
      </c>
      <c r="L218" t="n">
        <v>0</v>
      </c>
      <c r="M218" t="n">
        <v>0</v>
      </c>
      <c r="N218" t="n">
        <v>0</v>
      </c>
      <c r="O218" t="n">
        <v>0</v>
      </c>
      <c r="P218" t="n">
        <v>0</v>
      </c>
      <c r="Q218" t="n">
        <v>0</v>
      </c>
      <c r="R218" s="2" t="inlineStr"/>
    </row>
    <row r="219" ht="15" customHeight="1">
      <c r="A219" t="inlineStr">
        <is>
          <t>A 29857-2023</t>
        </is>
      </c>
      <c r="B219" s="1" t="n">
        <v>45107</v>
      </c>
      <c r="C219" s="1" t="n">
        <v>46116</v>
      </c>
      <c r="D219" t="inlineStr">
        <is>
          <t>ÖREBRO LÄN</t>
        </is>
      </c>
      <c r="E219" t="inlineStr">
        <is>
          <t>LINDESBERG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46116</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35739-2024</t>
        </is>
      </c>
      <c r="B221" s="1" t="n">
        <v>45532</v>
      </c>
      <c r="C221" s="1" t="n">
        <v>46116</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46116</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46116</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46116</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16618-2023</t>
        </is>
      </c>
      <c r="B225" s="1" t="n">
        <v>45030</v>
      </c>
      <c r="C225" s="1" t="n">
        <v>46116</v>
      </c>
      <c r="D225" t="inlineStr">
        <is>
          <t>ÖREBRO LÄN</t>
        </is>
      </c>
      <c r="E225" t="inlineStr">
        <is>
          <t>LINDESBERG</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46116</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17895-2022</t>
        </is>
      </c>
      <c r="B227" s="1" t="n">
        <v>44683</v>
      </c>
      <c r="C227" s="1" t="n">
        <v>46116</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6962-2023</t>
        </is>
      </c>
      <c r="B228" s="1" t="n">
        <v>44967.60165509259</v>
      </c>
      <c r="C228" s="1" t="n">
        <v>46116</v>
      </c>
      <c r="D228" t="inlineStr">
        <is>
          <t>ÖREBRO LÄN</t>
        </is>
      </c>
      <c r="E228" t="inlineStr">
        <is>
          <t>LINDESBERG</t>
        </is>
      </c>
      <c r="G228" t="n">
        <v>11.4</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46116</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46116</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46116</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46116</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37507-2023</t>
        </is>
      </c>
      <c r="B233" s="1" t="n">
        <v>45158.41768518519</v>
      </c>
      <c r="C233" s="1" t="n">
        <v>46116</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12692-2024</t>
        </is>
      </c>
      <c r="B234" s="1" t="n">
        <v>45384.43418981481</v>
      </c>
      <c r="C234" s="1" t="n">
        <v>46116</v>
      </c>
      <c r="D234" t="inlineStr">
        <is>
          <t>ÖREBRO LÄN</t>
        </is>
      </c>
      <c r="E234" t="inlineStr">
        <is>
          <t>LINDESBERG</t>
        </is>
      </c>
      <c r="G234" t="n">
        <v>5.2</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46116</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61594-2024</t>
        </is>
      </c>
      <c r="B236" s="1" t="n">
        <v>45646.63482638889</v>
      </c>
      <c r="C236" s="1" t="n">
        <v>46116</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46039-2024</t>
        </is>
      </c>
      <c r="B237" s="1" t="n">
        <v>45580.73525462963</v>
      </c>
      <c r="C237" s="1" t="n">
        <v>46116</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46647-2024</t>
        </is>
      </c>
      <c r="B238" s="1" t="n">
        <v>45583</v>
      </c>
      <c r="C238" s="1" t="n">
        <v>46116</v>
      </c>
      <c r="D238" t="inlineStr">
        <is>
          <t>ÖREBRO LÄN</t>
        </is>
      </c>
      <c r="E238" t="inlineStr">
        <is>
          <t>LINDESBERG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17115-2025</t>
        </is>
      </c>
      <c r="B239" s="1" t="n">
        <v>45755.68247685185</v>
      </c>
      <c r="C239" s="1" t="n">
        <v>46116</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34676-2023</t>
        </is>
      </c>
      <c r="B240" s="1" t="n">
        <v>45140</v>
      </c>
      <c r="C240" s="1" t="n">
        <v>46116</v>
      </c>
      <c r="D240" t="inlineStr">
        <is>
          <t>ÖREBRO LÄN</t>
        </is>
      </c>
      <c r="E240" t="inlineStr">
        <is>
          <t>LINDESBERG</t>
        </is>
      </c>
      <c r="G240" t="n">
        <v>2.4</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46116</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16447-2025</t>
        </is>
      </c>
      <c r="B242" s="1" t="n">
        <v>45751.50498842593</v>
      </c>
      <c r="C242" s="1" t="n">
        <v>46116</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53189-2023</t>
        </is>
      </c>
      <c r="B243" s="1" t="n">
        <v>45194</v>
      </c>
      <c r="C243" s="1" t="n">
        <v>46116</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47535-2022</t>
        </is>
      </c>
      <c r="B244" s="1" t="n">
        <v>44853.79818287037</v>
      </c>
      <c r="C244" s="1" t="n">
        <v>46116</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43433-2024</t>
        </is>
      </c>
      <c r="B245" s="1" t="n">
        <v>45568.64523148148</v>
      </c>
      <c r="C245" s="1" t="n">
        <v>46116</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23649-2023</t>
        </is>
      </c>
      <c r="B246" s="1" t="n">
        <v>45074</v>
      </c>
      <c r="C246" s="1" t="n">
        <v>46116</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45041-2024</t>
        </is>
      </c>
      <c r="B247" s="1" t="n">
        <v>45575.53690972222</v>
      </c>
      <c r="C247" s="1" t="n">
        <v>46116</v>
      </c>
      <c r="D247" t="inlineStr">
        <is>
          <t>ÖREBRO LÄN</t>
        </is>
      </c>
      <c r="E247" t="inlineStr">
        <is>
          <t>LINDESBERG</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45068-2024</t>
        </is>
      </c>
      <c r="B248" s="1" t="n">
        <v>45575.56256944445</v>
      </c>
      <c r="C248" s="1" t="n">
        <v>46116</v>
      </c>
      <c r="D248" t="inlineStr">
        <is>
          <t>ÖREBRO LÄN</t>
        </is>
      </c>
      <c r="E248" t="inlineStr">
        <is>
          <t>LINDESBERG</t>
        </is>
      </c>
      <c r="F248" t="inlineStr">
        <is>
          <t>Sveaskog</t>
        </is>
      </c>
      <c r="G248" t="n">
        <v>16.5</v>
      </c>
      <c r="H248" t="n">
        <v>0</v>
      </c>
      <c r="I248" t="n">
        <v>0</v>
      </c>
      <c r="J248" t="n">
        <v>0</v>
      </c>
      <c r="K248" t="n">
        <v>0</v>
      </c>
      <c r="L248" t="n">
        <v>0</v>
      </c>
      <c r="M248" t="n">
        <v>0</v>
      </c>
      <c r="N248" t="n">
        <v>0</v>
      </c>
      <c r="O248" t="n">
        <v>0</v>
      </c>
      <c r="P248" t="n">
        <v>0</v>
      </c>
      <c r="Q248" t="n">
        <v>0</v>
      </c>
      <c r="R248" s="2" t="inlineStr"/>
    </row>
    <row r="249" ht="15" customHeight="1">
      <c r="A249" t="inlineStr">
        <is>
          <t>A 29938-2024</t>
        </is>
      </c>
      <c r="B249" s="1" t="n">
        <v>45488.41480324074</v>
      </c>
      <c r="C249" s="1" t="n">
        <v>46116</v>
      </c>
      <c r="D249" t="inlineStr">
        <is>
          <t>ÖREBRO LÄN</t>
        </is>
      </c>
      <c r="E249" t="inlineStr">
        <is>
          <t>LINDESBERG</t>
        </is>
      </c>
      <c r="G249" t="n">
        <v>4</v>
      </c>
      <c r="H249" t="n">
        <v>0</v>
      </c>
      <c r="I249" t="n">
        <v>0</v>
      </c>
      <c r="J249" t="n">
        <v>0</v>
      </c>
      <c r="K249" t="n">
        <v>0</v>
      </c>
      <c r="L249" t="n">
        <v>0</v>
      </c>
      <c r="M249" t="n">
        <v>0</v>
      </c>
      <c r="N249" t="n">
        <v>0</v>
      </c>
      <c r="O249" t="n">
        <v>0</v>
      </c>
      <c r="P249" t="n">
        <v>0</v>
      </c>
      <c r="Q249" t="n">
        <v>0</v>
      </c>
      <c r="R249" s="2" t="inlineStr"/>
    </row>
    <row r="250" ht="15" customHeight="1">
      <c r="A250" t="inlineStr">
        <is>
          <t>A 23102-2023</t>
        </is>
      </c>
      <c r="B250" s="1" t="n">
        <v>45075.44152777778</v>
      </c>
      <c r="C250" s="1" t="n">
        <v>46116</v>
      </c>
      <c r="D250" t="inlineStr">
        <is>
          <t>ÖREBRO LÄN</t>
        </is>
      </c>
      <c r="E250" t="inlineStr">
        <is>
          <t>LINDESBERG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1490-2024</t>
        </is>
      </c>
      <c r="B251" s="1" t="n">
        <v>45305</v>
      </c>
      <c r="C251" s="1" t="n">
        <v>46116</v>
      </c>
      <c r="D251" t="inlineStr">
        <is>
          <t>ÖREBRO LÄN</t>
        </is>
      </c>
      <c r="E251" t="inlineStr">
        <is>
          <t>LINDESBERG</t>
        </is>
      </c>
      <c r="G251" t="n">
        <v>17.6</v>
      </c>
      <c r="H251" t="n">
        <v>0</v>
      </c>
      <c r="I251" t="n">
        <v>0</v>
      </c>
      <c r="J251" t="n">
        <v>0</v>
      </c>
      <c r="K251" t="n">
        <v>0</v>
      </c>
      <c r="L251" t="n">
        <v>0</v>
      </c>
      <c r="M251" t="n">
        <v>0</v>
      </c>
      <c r="N251" t="n">
        <v>0</v>
      </c>
      <c r="O251" t="n">
        <v>0</v>
      </c>
      <c r="P251" t="n">
        <v>0</v>
      </c>
      <c r="Q251" t="n">
        <v>0</v>
      </c>
      <c r="R251" s="2" t="inlineStr"/>
    </row>
    <row r="252" ht="15" customHeight="1">
      <c r="A252" t="inlineStr">
        <is>
          <t>A 7201-2024</t>
        </is>
      </c>
      <c r="B252" s="1" t="n">
        <v>45344.6027662037</v>
      </c>
      <c r="C252" s="1" t="n">
        <v>46116</v>
      </c>
      <c r="D252" t="inlineStr">
        <is>
          <t>ÖREBRO LÄN</t>
        </is>
      </c>
      <c r="E252" t="inlineStr">
        <is>
          <t>LINDESBERG</t>
        </is>
      </c>
      <c r="G252" t="n">
        <v>4.7</v>
      </c>
      <c r="H252" t="n">
        <v>0</v>
      </c>
      <c r="I252" t="n">
        <v>0</v>
      </c>
      <c r="J252" t="n">
        <v>0</v>
      </c>
      <c r="K252" t="n">
        <v>0</v>
      </c>
      <c r="L252" t="n">
        <v>0</v>
      </c>
      <c r="M252" t="n">
        <v>0</v>
      </c>
      <c r="N252" t="n">
        <v>0</v>
      </c>
      <c r="O252" t="n">
        <v>0</v>
      </c>
      <c r="P252" t="n">
        <v>0</v>
      </c>
      <c r="Q252" t="n">
        <v>0</v>
      </c>
      <c r="R252" s="2" t="inlineStr"/>
    </row>
    <row r="253" ht="15" customHeight="1">
      <c r="A253" t="inlineStr">
        <is>
          <t>A 5080-2024</t>
        </is>
      </c>
      <c r="B253" s="1" t="n">
        <v>45330</v>
      </c>
      <c r="C253" s="1" t="n">
        <v>46116</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2414-2024</t>
        </is>
      </c>
      <c r="B254" s="1" t="n">
        <v>45310.87931712963</v>
      </c>
      <c r="C254" s="1" t="n">
        <v>46116</v>
      </c>
      <c r="D254" t="inlineStr">
        <is>
          <t>ÖREBRO LÄN</t>
        </is>
      </c>
      <c r="E254" t="inlineStr">
        <is>
          <t>LINDESBERG</t>
        </is>
      </c>
      <c r="G254" t="n">
        <v>7.2</v>
      </c>
      <c r="H254" t="n">
        <v>0</v>
      </c>
      <c r="I254" t="n">
        <v>0</v>
      </c>
      <c r="J254" t="n">
        <v>0</v>
      </c>
      <c r="K254" t="n">
        <v>0</v>
      </c>
      <c r="L254" t="n">
        <v>0</v>
      </c>
      <c r="M254" t="n">
        <v>0</v>
      </c>
      <c r="N254" t="n">
        <v>0</v>
      </c>
      <c r="O254" t="n">
        <v>0</v>
      </c>
      <c r="P254" t="n">
        <v>0</v>
      </c>
      <c r="Q254" t="n">
        <v>0</v>
      </c>
      <c r="R254" s="2" t="inlineStr"/>
    </row>
    <row r="255" ht="15" customHeight="1">
      <c r="A255" t="inlineStr">
        <is>
          <t>A 4440-2024</t>
        </is>
      </c>
      <c r="B255" s="1" t="n">
        <v>45327</v>
      </c>
      <c r="C255" s="1" t="n">
        <v>46116</v>
      </c>
      <c r="D255" t="inlineStr">
        <is>
          <t>ÖREBRO LÄN</t>
        </is>
      </c>
      <c r="E255" t="inlineStr">
        <is>
          <t>LINDESBERG</t>
        </is>
      </c>
      <c r="F255" t="inlineStr">
        <is>
          <t>BillerudKorsnäs AB</t>
        </is>
      </c>
      <c r="G255" t="n">
        <v>2</v>
      </c>
      <c r="H255" t="n">
        <v>0</v>
      </c>
      <c r="I255" t="n">
        <v>0</v>
      </c>
      <c r="J255" t="n">
        <v>0</v>
      </c>
      <c r="K255" t="n">
        <v>0</v>
      </c>
      <c r="L255" t="n">
        <v>0</v>
      </c>
      <c r="M255" t="n">
        <v>0</v>
      </c>
      <c r="N255" t="n">
        <v>0</v>
      </c>
      <c r="O255" t="n">
        <v>0</v>
      </c>
      <c r="P255" t="n">
        <v>0</v>
      </c>
      <c r="Q255" t="n">
        <v>0</v>
      </c>
      <c r="R255" s="2" t="inlineStr"/>
    </row>
    <row r="256" ht="15" customHeight="1">
      <c r="A256" t="inlineStr">
        <is>
          <t>A 27434-2023</t>
        </is>
      </c>
      <c r="B256" s="1" t="n">
        <v>45097.38688657407</v>
      </c>
      <c r="C256" s="1" t="n">
        <v>46116</v>
      </c>
      <c r="D256" t="inlineStr">
        <is>
          <t>ÖREBRO LÄN</t>
        </is>
      </c>
      <c r="E256" t="inlineStr">
        <is>
          <t>LINDESBERG</t>
        </is>
      </c>
      <c r="G256" t="n">
        <v>10.7</v>
      </c>
      <c r="H256" t="n">
        <v>0</v>
      </c>
      <c r="I256" t="n">
        <v>0</v>
      </c>
      <c r="J256" t="n">
        <v>0</v>
      </c>
      <c r="K256" t="n">
        <v>0</v>
      </c>
      <c r="L256" t="n">
        <v>0</v>
      </c>
      <c r="M256" t="n">
        <v>0</v>
      </c>
      <c r="N256" t="n">
        <v>0</v>
      </c>
      <c r="O256" t="n">
        <v>0</v>
      </c>
      <c r="P256" t="n">
        <v>0</v>
      </c>
      <c r="Q256" t="n">
        <v>0</v>
      </c>
      <c r="R256" s="2" t="inlineStr"/>
    </row>
    <row r="257" ht="15" customHeight="1">
      <c r="A257" t="inlineStr">
        <is>
          <t>A 52284-2024</t>
        </is>
      </c>
      <c r="B257" s="1" t="n">
        <v>45608</v>
      </c>
      <c r="C257" s="1" t="n">
        <v>46116</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15899-2025</t>
        </is>
      </c>
      <c r="B258" s="1" t="n">
        <v>45749.42258101852</v>
      </c>
      <c r="C258" s="1" t="n">
        <v>46116</v>
      </c>
      <c r="D258" t="inlineStr">
        <is>
          <t>ÖREBRO LÄN</t>
        </is>
      </c>
      <c r="E258" t="inlineStr">
        <is>
          <t>LINDESBERG</t>
        </is>
      </c>
      <c r="G258" t="n">
        <v>6.6</v>
      </c>
      <c r="H258" t="n">
        <v>0</v>
      </c>
      <c r="I258" t="n">
        <v>0</v>
      </c>
      <c r="J258" t="n">
        <v>0</v>
      </c>
      <c r="K258" t="n">
        <v>0</v>
      </c>
      <c r="L258" t="n">
        <v>0</v>
      </c>
      <c r="M258" t="n">
        <v>0</v>
      </c>
      <c r="N258" t="n">
        <v>0</v>
      </c>
      <c r="O258" t="n">
        <v>0</v>
      </c>
      <c r="P258" t="n">
        <v>0</v>
      </c>
      <c r="Q258" t="n">
        <v>0</v>
      </c>
      <c r="R258" s="2" t="inlineStr"/>
    </row>
    <row r="259" ht="15" customHeight="1">
      <c r="A259" t="inlineStr">
        <is>
          <t>A 15895-2025</t>
        </is>
      </c>
      <c r="B259" s="1" t="n">
        <v>45749</v>
      </c>
      <c r="C259" s="1" t="n">
        <v>46116</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46116</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56579-2023</t>
        </is>
      </c>
      <c r="B261" s="1" t="n">
        <v>45243.62420138889</v>
      </c>
      <c r="C261" s="1" t="n">
        <v>46116</v>
      </c>
      <c r="D261" t="inlineStr">
        <is>
          <t>ÖREBRO LÄN</t>
        </is>
      </c>
      <c r="E261" t="inlineStr">
        <is>
          <t>LINDESBERG</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56582-2023</t>
        </is>
      </c>
      <c r="B262" s="1" t="n">
        <v>45243</v>
      </c>
      <c r="C262" s="1" t="n">
        <v>46116</v>
      </c>
      <c r="D262" t="inlineStr">
        <is>
          <t>ÖREBRO LÄN</t>
        </is>
      </c>
      <c r="E262" t="inlineStr">
        <is>
          <t>LINDESBERG</t>
        </is>
      </c>
      <c r="F262" t="inlineStr">
        <is>
          <t>Naturvårdsverket</t>
        </is>
      </c>
      <c r="G262" t="n">
        <v>2.3</v>
      </c>
      <c r="H262" t="n">
        <v>0</v>
      </c>
      <c r="I262" t="n">
        <v>0</v>
      </c>
      <c r="J262" t="n">
        <v>0</v>
      </c>
      <c r="K262" t="n">
        <v>0</v>
      </c>
      <c r="L262" t="n">
        <v>0</v>
      </c>
      <c r="M262" t="n">
        <v>0</v>
      </c>
      <c r="N262" t="n">
        <v>0</v>
      </c>
      <c r="O262" t="n">
        <v>0</v>
      </c>
      <c r="P262" t="n">
        <v>0</v>
      </c>
      <c r="Q262" t="n">
        <v>0</v>
      </c>
      <c r="R262" s="2" t="inlineStr"/>
    </row>
    <row r="263" ht="15" customHeight="1">
      <c r="A263" t="inlineStr">
        <is>
          <t>A 41947-2023</t>
        </is>
      </c>
      <c r="B263" s="1" t="n">
        <v>45177.31795138889</v>
      </c>
      <c r="C263" s="1" t="n">
        <v>46116</v>
      </c>
      <c r="D263" t="inlineStr">
        <is>
          <t>ÖREBRO LÄN</t>
        </is>
      </c>
      <c r="E263" t="inlineStr">
        <is>
          <t>LINDESBERG</t>
        </is>
      </c>
      <c r="F263" t="inlineStr">
        <is>
          <t>Kyrkan</t>
        </is>
      </c>
      <c r="G263" t="n">
        <v>0.7</v>
      </c>
      <c r="H263" t="n">
        <v>0</v>
      </c>
      <c r="I263" t="n">
        <v>0</v>
      </c>
      <c r="J263" t="n">
        <v>0</v>
      </c>
      <c r="K263" t="n">
        <v>0</v>
      </c>
      <c r="L263" t="n">
        <v>0</v>
      </c>
      <c r="M263" t="n">
        <v>0</v>
      </c>
      <c r="N263" t="n">
        <v>0</v>
      </c>
      <c r="O263" t="n">
        <v>0</v>
      </c>
      <c r="P263" t="n">
        <v>0</v>
      </c>
      <c r="Q263" t="n">
        <v>0</v>
      </c>
      <c r="R263" s="2" t="inlineStr"/>
    </row>
    <row r="264" ht="15" customHeight="1">
      <c r="A264" t="inlineStr">
        <is>
          <t>A 37738-2024</t>
        </is>
      </c>
      <c r="B264" s="1" t="n">
        <v>45541.66916666667</v>
      </c>
      <c r="C264" s="1" t="n">
        <v>46116</v>
      </c>
      <c r="D264" t="inlineStr">
        <is>
          <t>ÖREBRO LÄN</t>
        </is>
      </c>
      <c r="E264" t="inlineStr">
        <is>
          <t>LINDESBERG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15933-2025</t>
        </is>
      </c>
      <c r="B265" s="1" t="n">
        <v>45749.47251157407</v>
      </c>
      <c r="C265" s="1" t="n">
        <v>46116</v>
      </c>
      <c r="D265" t="inlineStr">
        <is>
          <t>ÖREBRO LÄN</t>
        </is>
      </c>
      <c r="E265" t="inlineStr">
        <is>
          <t>LINDESBERG</t>
        </is>
      </c>
      <c r="G265" t="n">
        <v>6.1</v>
      </c>
      <c r="H265" t="n">
        <v>0</v>
      </c>
      <c r="I265" t="n">
        <v>0</v>
      </c>
      <c r="J265" t="n">
        <v>0</v>
      </c>
      <c r="K265" t="n">
        <v>0</v>
      </c>
      <c r="L265" t="n">
        <v>0</v>
      </c>
      <c r="M265" t="n">
        <v>0</v>
      </c>
      <c r="N265" t="n">
        <v>0</v>
      </c>
      <c r="O265" t="n">
        <v>0</v>
      </c>
      <c r="P265" t="n">
        <v>0</v>
      </c>
      <c r="Q265" t="n">
        <v>0</v>
      </c>
      <c r="R265" s="2" t="inlineStr"/>
    </row>
    <row r="266" ht="15" customHeight="1">
      <c r="A266" t="inlineStr">
        <is>
          <t>A 56561-2023</t>
        </is>
      </c>
      <c r="B266" s="1" t="n">
        <v>45243</v>
      </c>
      <c r="C266" s="1" t="n">
        <v>46116</v>
      </c>
      <c r="D266" t="inlineStr">
        <is>
          <t>ÖREBRO LÄN</t>
        </is>
      </c>
      <c r="E266" t="inlineStr">
        <is>
          <t>LINDESBERG</t>
        </is>
      </c>
      <c r="G266" t="n">
        <v>1.9</v>
      </c>
      <c r="H266" t="n">
        <v>0</v>
      </c>
      <c r="I266" t="n">
        <v>0</v>
      </c>
      <c r="J266" t="n">
        <v>0</v>
      </c>
      <c r="K266" t="n">
        <v>0</v>
      </c>
      <c r="L266" t="n">
        <v>0</v>
      </c>
      <c r="M266" t="n">
        <v>0</v>
      </c>
      <c r="N266" t="n">
        <v>0</v>
      </c>
      <c r="O266" t="n">
        <v>0</v>
      </c>
      <c r="P266" t="n">
        <v>0</v>
      </c>
      <c r="Q266" t="n">
        <v>0</v>
      </c>
      <c r="R266" s="2" t="inlineStr"/>
    </row>
    <row r="267" ht="15" customHeight="1">
      <c r="A267" t="inlineStr">
        <is>
          <t>A 62968-2023</t>
        </is>
      </c>
      <c r="B267" s="1" t="n">
        <v>45272.57385416667</v>
      </c>
      <c r="C267" s="1" t="n">
        <v>46116</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10564-2023</t>
        </is>
      </c>
      <c r="B268" s="1" t="n">
        <v>44988</v>
      </c>
      <c r="C268" s="1" t="n">
        <v>46116</v>
      </c>
      <c r="D268" t="inlineStr">
        <is>
          <t>ÖREBRO LÄN</t>
        </is>
      </c>
      <c r="E268" t="inlineStr">
        <is>
          <t>LINDESBERG</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15936-2025</t>
        </is>
      </c>
      <c r="B269" s="1" t="n">
        <v>45749.4737962963</v>
      </c>
      <c r="C269" s="1" t="n">
        <v>46116</v>
      </c>
      <c r="D269" t="inlineStr">
        <is>
          <t>ÖREBRO LÄN</t>
        </is>
      </c>
      <c r="E269" t="inlineStr">
        <is>
          <t>LINDESBERG</t>
        </is>
      </c>
      <c r="G269" t="n">
        <v>22.3</v>
      </c>
      <c r="H269" t="n">
        <v>0</v>
      </c>
      <c r="I269" t="n">
        <v>0</v>
      </c>
      <c r="J269" t="n">
        <v>0</v>
      </c>
      <c r="K269" t="n">
        <v>0</v>
      </c>
      <c r="L269" t="n">
        <v>0</v>
      </c>
      <c r="M269" t="n">
        <v>0</v>
      </c>
      <c r="N269" t="n">
        <v>0</v>
      </c>
      <c r="O269" t="n">
        <v>0</v>
      </c>
      <c r="P269" t="n">
        <v>0</v>
      </c>
      <c r="Q269" t="n">
        <v>0</v>
      </c>
      <c r="R269" s="2" t="inlineStr"/>
    </row>
    <row r="270" ht="15" customHeight="1">
      <c r="A270" t="inlineStr">
        <is>
          <t>A 30830-2024</t>
        </is>
      </c>
      <c r="B270" s="1" t="n">
        <v>45497</v>
      </c>
      <c r="C270" s="1" t="n">
        <v>46116</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36291-2022</t>
        </is>
      </c>
      <c r="B271" s="1" t="n">
        <v>44803.64361111111</v>
      </c>
      <c r="C271" s="1" t="n">
        <v>46116</v>
      </c>
      <c r="D271" t="inlineStr">
        <is>
          <t>ÖREBRO LÄN</t>
        </is>
      </c>
      <c r="E271" t="inlineStr">
        <is>
          <t>LINDESBERG</t>
        </is>
      </c>
      <c r="G271" t="n">
        <v>3.8</v>
      </c>
      <c r="H271" t="n">
        <v>0</v>
      </c>
      <c r="I271" t="n">
        <v>0</v>
      </c>
      <c r="J271" t="n">
        <v>0</v>
      </c>
      <c r="K271" t="n">
        <v>0</v>
      </c>
      <c r="L271" t="n">
        <v>0</v>
      </c>
      <c r="M271" t="n">
        <v>0</v>
      </c>
      <c r="N271" t="n">
        <v>0</v>
      </c>
      <c r="O271" t="n">
        <v>0</v>
      </c>
      <c r="P271" t="n">
        <v>0</v>
      </c>
      <c r="Q271" t="n">
        <v>0</v>
      </c>
      <c r="R271" s="2" t="inlineStr"/>
    </row>
    <row r="272" ht="15" customHeight="1">
      <c r="A272" t="inlineStr">
        <is>
          <t>A 23536-2023</t>
        </is>
      </c>
      <c r="B272" s="1" t="n">
        <v>45077</v>
      </c>
      <c r="C272" s="1" t="n">
        <v>46116</v>
      </c>
      <c r="D272" t="inlineStr">
        <is>
          <t>ÖREBRO LÄN</t>
        </is>
      </c>
      <c r="E272" t="inlineStr">
        <is>
          <t>LINDESBERG</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38552-2023</t>
        </is>
      </c>
      <c r="B273" s="1" t="n">
        <v>45162.5978125</v>
      </c>
      <c r="C273" s="1" t="n">
        <v>46116</v>
      </c>
      <c r="D273" t="inlineStr">
        <is>
          <t>ÖREBRO LÄN</t>
        </is>
      </c>
      <c r="E273" t="inlineStr">
        <is>
          <t>LINDESBERG</t>
        </is>
      </c>
      <c r="G273" t="n">
        <v>10.4</v>
      </c>
      <c r="H273" t="n">
        <v>0</v>
      </c>
      <c r="I273" t="n">
        <v>0</v>
      </c>
      <c r="J273" t="n">
        <v>0</v>
      </c>
      <c r="K273" t="n">
        <v>0</v>
      </c>
      <c r="L273" t="n">
        <v>0</v>
      </c>
      <c r="M273" t="n">
        <v>0</v>
      </c>
      <c r="N273" t="n">
        <v>0</v>
      </c>
      <c r="O273" t="n">
        <v>0</v>
      </c>
      <c r="P273" t="n">
        <v>0</v>
      </c>
      <c r="Q273" t="n">
        <v>0</v>
      </c>
      <c r="R273" s="2" t="inlineStr"/>
    </row>
    <row r="274" ht="15" customHeight="1">
      <c r="A274" t="inlineStr">
        <is>
          <t>A 15213-2025</t>
        </is>
      </c>
      <c r="B274" s="1" t="n">
        <v>45744.57851851852</v>
      </c>
      <c r="C274" s="1" t="n">
        <v>46116</v>
      </c>
      <c r="D274" t="inlineStr">
        <is>
          <t>ÖREBRO LÄN</t>
        </is>
      </c>
      <c r="E274" t="inlineStr">
        <is>
          <t>LINDESBERG</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4999-2025</t>
        </is>
      </c>
      <c r="B275" s="1" t="n">
        <v>45691.36253472222</v>
      </c>
      <c r="C275" s="1" t="n">
        <v>46116</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10836-2024</t>
        </is>
      </c>
      <c r="B276" s="1" t="n">
        <v>45369</v>
      </c>
      <c r="C276" s="1" t="n">
        <v>46116</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19914-2024</t>
        </is>
      </c>
      <c r="B277" s="1" t="n">
        <v>45433.58099537037</v>
      </c>
      <c r="C277" s="1" t="n">
        <v>46116</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15941-2025</t>
        </is>
      </c>
      <c r="B278" s="1" t="n">
        <v>45749</v>
      </c>
      <c r="C278" s="1" t="n">
        <v>46116</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55631-2022</t>
        </is>
      </c>
      <c r="B279" s="1" t="n">
        <v>44888.4577662037</v>
      </c>
      <c r="C279" s="1" t="n">
        <v>46116</v>
      </c>
      <c r="D279" t="inlineStr">
        <is>
          <t>ÖREBRO LÄN</t>
        </is>
      </c>
      <c r="E279" t="inlineStr">
        <is>
          <t>LINDESBERG</t>
        </is>
      </c>
      <c r="G279" t="n">
        <v>4.4</v>
      </c>
      <c r="H279" t="n">
        <v>0</v>
      </c>
      <c r="I279" t="n">
        <v>0</v>
      </c>
      <c r="J279" t="n">
        <v>0</v>
      </c>
      <c r="K279" t="n">
        <v>0</v>
      </c>
      <c r="L279" t="n">
        <v>0</v>
      </c>
      <c r="M279" t="n">
        <v>0</v>
      </c>
      <c r="N279" t="n">
        <v>0</v>
      </c>
      <c r="O279" t="n">
        <v>0</v>
      </c>
      <c r="P279" t="n">
        <v>0</v>
      </c>
      <c r="Q279" t="n">
        <v>0</v>
      </c>
      <c r="R279" s="2" t="inlineStr"/>
    </row>
    <row r="280" ht="15" customHeight="1">
      <c r="A280" t="inlineStr">
        <is>
          <t>A 29975-2023</t>
        </is>
      </c>
      <c r="B280" s="1" t="n">
        <v>45108.7553587963</v>
      </c>
      <c r="C280" s="1" t="n">
        <v>46116</v>
      </c>
      <c r="D280" t="inlineStr">
        <is>
          <t>ÖREBRO LÄN</t>
        </is>
      </c>
      <c r="E280" t="inlineStr">
        <is>
          <t>LINDESBERG</t>
        </is>
      </c>
      <c r="G280" t="n">
        <v>6.4</v>
      </c>
      <c r="H280" t="n">
        <v>0</v>
      </c>
      <c r="I280" t="n">
        <v>0</v>
      </c>
      <c r="J280" t="n">
        <v>0</v>
      </c>
      <c r="K280" t="n">
        <v>0</v>
      </c>
      <c r="L280" t="n">
        <v>0</v>
      </c>
      <c r="M280" t="n">
        <v>0</v>
      </c>
      <c r="N280" t="n">
        <v>0</v>
      </c>
      <c r="O280" t="n">
        <v>0</v>
      </c>
      <c r="P280" t="n">
        <v>0</v>
      </c>
      <c r="Q280" t="n">
        <v>0</v>
      </c>
      <c r="R280" s="2" t="inlineStr"/>
    </row>
    <row r="281" ht="15" customHeight="1">
      <c r="A281" t="inlineStr">
        <is>
          <t>A 265-2023</t>
        </is>
      </c>
      <c r="B281" s="1" t="n">
        <v>44928</v>
      </c>
      <c r="C281" s="1" t="n">
        <v>46116</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60115-2022</t>
        </is>
      </c>
      <c r="B282" s="1" t="n">
        <v>44902</v>
      </c>
      <c r="C282" s="1" t="n">
        <v>46116</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15212-2025</t>
        </is>
      </c>
      <c r="B283" s="1" t="n">
        <v>45744.57673611111</v>
      </c>
      <c r="C283" s="1" t="n">
        <v>46116</v>
      </c>
      <c r="D283" t="inlineStr">
        <is>
          <t>ÖREBRO LÄN</t>
        </is>
      </c>
      <c r="E283" t="inlineStr">
        <is>
          <t>LINDESBERG</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40085-2023</t>
        </is>
      </c>
      <c r="B284" s="1" t="n">
        <v>45168.92155092592</v>
      </c>
      <c r="C284" s="1" t="n">
        <v>46116</v>
      </c>
      <c r="D284" t="inlineStr">
        <is>
          <t>ÖREBRO LÄN</t>
        </is>
      </c>
      <c r="E284" t="inlineStr">
        <is>
          <t>LINDESBERG</t>
        </is>
      </c>
      <c r="G284" t="n">
        <v>6.1</v>
      </c>
      <c r="H284" t="n">
        <v>0</v>
      </c>
      <c r="I284" t="n">
        <v>0</v>
      </c>
      <c r="J284" t="n">
        <v>0</v>
      </c>
      <c r="K284" t="n">
        <v>0</v>
      </c>
      <c r="L284" t="n">
        <v>0</v>
      </c>
      <c r="M284" t="n">
        <v>0</v>
      </c>
      <c r="N284" t="n">
        <v>0</v>
      </c>
      <c r="O284" t="n">
        <v>0</v>
      </c>
      <c r="P284" t="n">
        <v>0</v>
      </c>
      <c r="Q284" t="n">
        <v>0</v>
      </c>
      <c r="R284" s="2" t="inlineStr"/>
    </row>
    <row r="285" ht="15" customHeight="1">
      <c r="A285" t="inlineStr">
        <is>
          <t>A 40117-2023</t>
        </is>
      </c>
      <c r="B285" s="1" t="n">
        <v>45168.94197916667</v>
      </c>
      <c r="C285" s="1" t="n">
        <v>46116</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40905-2023</t>
        </is>
      </c>
      <c r="B286" s="1" t="n">
        <v>45173.39315972223</v>
      </c>
      <c r="C286" s="1" t="n">
        <v>46116</v>
      </c>
      <c r="D286" t="inlineStr">
        <is>
          <t>ÖREBRO LÄN</t>
        </is>
      </c>
      <c r="E286" t="inlineStr">
        <is>
          <t>LINDESBERG</t>
        </is>
      </c>
      <c r="G286" t="n">
        <v>0.5</v>
      </c>
      <c r="H286" t="n">
        <v>0</v>
      </c>
      <c r="I286" t="n">
        <v>0</v>
      </c>
      <c r="J286" t="n">
        <v>0</v>
      </c>
      <c r="K286" t="n">
        <v>0</v>
      </c>
      <c r="L286" t="n">
        <v>0</v>
      </c>
      <c r="M286" t="n">
        <v>0</v>
      </c>
      <c r="N286" t="n">
        <v>0</v>
      </c>
      <c r="O286" t="n">
        <v>0</v>
      </c>
      <c r="P286" t="n">
        <v>0</v>
      </c>
      <c r="Q286" t="n">
        <v>0</v>
      </c>
      <c r="R286" s="2" t="inlineStr"/>
    </row>
    <row r="287" ht="15" customHeight="1">
      <c r="A287" t="inlineStr">
        <is>
          <t>A 21390-2024</t>
        </is>
      </c>
      <c r="B287" s="1" t="n">
        <v>45441.30899305556</v>
      </c>
      <c r="C287" s="1" t="n">
        <v>46116</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21392-2024</t>
        </is>
      </c>
      <c r="B288" s="1" t="n">
        <v>45441.30998842593</v>
      </c>
      <c r="C288" s="1" t="n">
        <v>46116</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9966-2023</t>
        </is>
      </c>
      <c r="B289" s="1" t="n">
        <v>44979</v>
      </c>
      <c r="C289" s="1" t="n">
        <v>46116</v>
      </c>
      <c r="D289" t="inlineStr">
        <is>
          <t>ÖREBRO LÄN</t>
        </is>
      </c>
      <c r="E289" t="inlineStr">
        <is>
          <t>LINDESBERG</t>
        </is>
      </c>
      <c r="G289" t="n">
        <v>4.1</v>
      </c>
      <c r="H289" t="n">
        <v>0</v>
      </c>
      <c r="I289" t="n">
        <v>0</v>
      </c>
      <c r="J289" t="n">
        <v>0</v>
      </c>
      <c r="K289" t="n">
        <v>0</v>
      </c>
      <c r="L289" t="n">
        <v>0</v>
      </c>
      <c r="M289" t="n">
        <v>0</v>
      </c>
      <c r="N289" t="n">
        <v>0</v>
      </c>
      <c r="O289" t="n">
        <v>0</v>
      </c>
      <c r="P289" t="n">
        <v>0</v>
      </c>
      <c r="Q289" t="n">
        <v>0</v>
      </c>
      <c r="R289" s="2" t="inlineStr"/>
    </row>
    <row r="290" ht="15" customHeight="1">
      <c r="A290" t="inlineStr">
        <is>
          <t>A 60941-2024</t>
        </is>
      </c>
      <c r="B290" s="1" t="n">
        <v>45645.3712037037</v>
      </c>
      <c r="C290" s="1" t="n">
        <v>46116</v>
      </c>
      <c r="D290" t="inlineStr">
        <is>
          <t>ÖREBRO LÄN</t>
        </is>
      </c>
      <c r="E290" t="inlineStr">
        <is>
          <t>LINDESBERG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17823-2021</t>
        </is>
      </c>
      <c r="B291" s="1" t="n">
        <v>44300</v>
      </c>
      <c r="C291" s="1" t="n">
        <v>46116</v>
      </c>
      <c r="D291" t="inlineStr">
        <is>
          <t>ÖREBRO LÄN</t>
        </is>
      </c>
      <c r="E291" t="inlineStr">
        <is>
          <t>LINDESBERG</t>
        </is>
      </c>
      <c r="G291" t="n">
        <v>3.9</v>
      </c>
      <c r="H291" t="n">
        <v>0</v>
      </c>
      <c r="I291" t="n">
        <v>0</v>
      </c>
      <c r="J291" t="n">
        <v>0</v>
      </c>
      <c r="K291" t="n">
        <v>0</v>
      </c>
      <c r="L291" t="n">
        <v>0</v>
      </c>
      <c r="M291" t="n">
        <v>0</v>
      </c>
      <c r="N291" t="n">
        <v>0</v>
      </c>
      <c r="O291" t="n">
        <v>0</v>
      </c>
      <c r="P291" t="n">
        <v>0</v>
      </c>
      <c r="Q291" t="n">
        <v>0</v>
      </c>
      <c r="R291" s="2" t="inlineStr"/>
    </row>
    <row r="292" ht="15" customHeight="1">
      <c r="A292" t="inlineStr">
        <is>
          <t>A 56507-2021</t>
        </is>
      </c>
      <c r="B292" s="1" t="n">
        <v>44480.58034722223</v>
      </c>
      <c r="C292" s="1" t="n">
        <v>46116</v>
      </c>
      <c r="D292" t="inlineStr">
        <is>
          <t>ÖREBRO LÄN</t>
        </is>
      </c>
      <c r="E292" t="inlineStr">
        <is>
          <t>LINDESBERG</t>
        </is>
      </c>
      <c r="G292" t="n">
        <v>2.3</v>
      </c>
      <c r="H292" t="n">
        <v>0</v>
      </c>
      <c r="I292" t="n">
        <v>0</v>
      </c>
      <c r="J292" t="n">
        <v>0</v>
      </c>
      <c r="K292" t="n">
        <v>0</v>
      </c>
      <c r="L292" t="n">
        <v>0</v>
      </c>
      <c r="M292" t="n">
        <v>0</v>
      </c>
      <c r="N292" t="n">
        <v>0</v>
      </c>
      <c r="O292" t="n">
        <v>0</v>
      </c>
      <c r="P292" t="n">
        <v>0</v>
      </c>
      <c r="Q292" t="n">
        <v>0</v>
      </c>
      <c r="R292" s="2" t="inlineStr"/>
    </row>
    <row r="293" ht="15" customHeight="1">
      <c r="A293" t="inlineStr">
        <is>
          <t>A 24944-2024</t>
        </is>
      </c>
      <c r="B293" s="1" t="n">
        <v>45461.62924768519</v>
      </c>
      <c r="C293" s="1" t="n">
        <v>46116</v>
      </c>
      <c r="D293" t="inlineStr">
        <is>
          <t>ÖREBRO LÄN</t>
        </is>
      </c>
      <c r="E293" t="inlineStr">
        <is>
          <t>LINDESBERG</t>
        </is>
      </c>
      <c r="F293" t="inlineStr">
        <is>
          <t>Kyrkan</t>
        </is>
      </c>
      <c r="G293" t="n">
        <v>13.7</v>
      </c>
      <c r="H293" t="n">
        <v>0</v>
      </c>
      <c r="I293" t="n">
        <v>0</v>
      </c>
      <c r="J293" t="n">
        <v>0</v>
      </c>
      <c r="K293" t="n">
        <v>0</v>
      </c>
      <c r="L293" t="n">
        <v>0</v>
      </c>
      <c r="M293" t="n">
        <v>0</v>
      </c>
      <c r="N293" t="n">
        <v>0</v>
      </c>
      <c r="O293" t="n">
        <v>0</v>
      </c>
      <c r="P293" t="n">
        <v>0</v>
      </c>
      <c r="Q293" t="n">
        <v>0</v>
      </c>
      <c r="R293" s="2" t="inlineStr"/>
    </row>
    <row r="294" ht="15" customHeight="1">
      <c r="A294" t="inlineStr">
        <is>
          <t>A 38696-2024</t>
        </is>
      </c>
      <c r="B294" s="1" t="n">
        <v>45547.36590277778</v>
      </c>
      <c r="C294" s="1" t="n">
        <v>46116</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33716-2021</t>
        </is>
      </c>
      <c r="B295" s="1" t="n">
        <v>44378.46857638889</v>
      </c>
      <c r="C295" s="1" t="n">
        <v>46116</v>
      </c>
      <c r="D295" t="inlineStr">
        <is>
          <t>ÖREBRO LÄN</t>
        </is>
      </c>
      <c r="E295" t="inlineStr">
        <is>
          <t>LINDESBERG</t>
        </is>
      </c>
      <c r="G295" t="n">
        <v>4.6</v>
      </c>
      <c r="H295" t="n">
        <v>0</v>
      </c>
      <c r="I295" t="n">
        <v>0</v>
      </c>
      <c r="J295" t="n">
        <v>0</v>
      </c>
      <c r="K295" t="n">
        <v>0</v>
      </c>
      <c r="L295" t="n">
        <v>0</v>
      </c>
      <c r="M295" t="n">
        <v>0</v>
      </c>
      <c r="N295" t="n">
        <v>0</v>
      </c>
      <c r="O295" t="n">
        <v>0</v>
      </c>
      <c r="P295" t="n">
        <v>0</v>
      </c>
      <c r="Q295" t="n">
        <v>0</v>
      </c>
      <c r="R295" s="2" t="inlineStr"/>
    </row>
    <row r="296" ht="15" customHeight="1">
      <c r="A296" t="inlineStr">
        <is>
          <t>A 47069-2023</t>
        </is>
      </c>
      <c r="B296" s="1" t="n">
        <v>45201</v>
      </c>
      <c r="C296" s="1" t="n">
        <v>46116</v>
      </c>
      <c r="D296" t="inlineStr">
        <is>
          <t>ÖREBRO LÄN</t>
        </is>
      </c>
      <c r="E296" t="inlineStr">
        <is>
          <t>LINDESBERG</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47074-2023</t>
        </is>
      </c>
      <c r="B297" s="1" t="n">
        <v>45201.60283564815</v>
      </c>
      <c r="C297" s="1" t="n">
        <v>46116</v>
      </c>
      <c r="D297" t="inlineStr">
        <is>
          <t>ÖREBRO LÄN</t>
        </is>
      </c>
      <c r="E297" t="inlineStr">
        <is>
          <t>LINDESBERG</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4997-2024</t>
        </is>
      </c>
      <c r="B298" s="1" t="n">
        <v>45329</v>
      </c>
      <c r="C298" s="1" t="n">
        <v>46116</v>
      </c>
      <c r="D298" t="inlineStr">
        <is>
          <t>ÖREBRO LÄN</t>
        </is>
      </c>
      <c r="E298" t="inlineStr">
        <is>
          <t>LINDESBERG</t>
        </is>
      </c>
      <c r="F298" t="inlineStr">
        <is>
          <t>BillerudKorsnäs AB</t>
        </is>
      </c>
      <c r="G298" t="n">
        <v>3</v>
      </c>
      <c r="H298" t="n">
        <v>0</v>
      </c>
      <c r="I298" t="n">
        <v>0</v>
      </c>
      <c r="J298" t="n">
        <v>0</v>
      </c>
      <c r="K298" t="n">
        <v>0</v>
      </c>
      <c r="L298" t="n">
        <v>0</v>
      </c>
      <c r="M298" t="n">
        <v>0</v>
      </c>
      <c r="N298" t="n">
        <v>0</v>
      </c>
      <c r="O298" t="n">
        <v>0</v>
      </c>
      <c r="P298" t="n">
        <v>0</v>
      </c>
      <c r="Q298" t="n">
        <v>0</v>
      </c>
      <c r="R298" s="2" t="inlineStr"/>
    </row>
    <row r="299" ht="15" customHeight="1">
      <c r="A299" t="inlineStr">
        <is>
          <t>A 33284-2024</t>
        </is>
      </c>
      <c r="B299" s="1" t="n">
        <v>45518.71721064814</v>
      </c>
      <c r="C299" s="1" t="n">
        <v>46116</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19219-2023</t>
        </is>
      </c>
      <c r="B300" s="1" t="n">
        <v>45048</v>
      </c>
      <c r="C300" s="1" t="n">
        <v>46116</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73500-2021</t>
        </is>
      </c>
      <c r="B301" s="1" t="n">
        <v>44551</v>
      </c>
      <c r="C301" s="1" t="n">
        <v>46116</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1742-2022</t>
        </is>
      </c>
      <c r="B302" s="1" t="n">
        <v>44574.50425925926</v>
      </c>
      <c r="C302" s="1" t="n">
        <v>46116</v>
      </c>
      <c r="D302" t="inlineStr">
        <is>
          <t>ÖREBRO LÄN</t>
        </is>
      </c>
      <c r="E302" t="inlineStr">
        <is>
          <t>LINDESBERG</t>
        </is>
      </c>
      <c r="G302" t="n">
        <v>0.9</v>
      </c>
      <c r="H302" t="n">
        <v>0</v>
      </c>
      <c r="I302" t="n">
        <v>0</v>
      </c>
      <c r="J302" t="n">
        <v>0</v>
      </c>
      <c r="K302" t="n">
        <v>0</v>
      </c>
      <c r="L302" t="n">
        <v>0</v>
      </c>
      <c r="M302" t="n">
        <v>0</v>
      </c>
      <c r="N302" t="n">
        <v>0</v>
      </c>
      <c r="O302" t="n">
        <v>0</v>
      </c>
      <c r="P302" t="n">
        <v>0</v>
      </c>
      <c r="Q302" t="n">
        <v>0</v>
      </c>
      <c r="R302" s="2" t="inlineStr"/>
    </row>
    <row r="303" ht="15" customHeight="1">
      <c r="A303" t="inlineStr">
        <is>
          <t>A 16864-2022</t>
        </is>
      </c>
      <c r="B303" s="1" t="n">
        <v>44675</v>
      </c>
      <c r="C303" s="1" t="n">
        <v>46116</v>
      </c>
      <c r="D303" t="inlineStr">
        <is>
          <t>ÖREBRO LÄN</t>
        </is>
      </c>
      <c r="E303" t="inlineStr">
        <is>
          <t>LINDESBERG</t>
        </is>
      </c>
      <c r="F303" t="inlineStr">
        <is>
          <t>Kyrkan</t>
        </is>
      </c>
      <c r="G303" t="n">
        <v>1.7</v>
      </c>
      <c r="H303" t="n">
        <v>0</v>
      </c>
      <c r="I303" t="n">
        <v>0</v>
      </c>
      <c r="J303" t="n">
        <v>0</v>
      </c>
      <c r="K303" t="n">
        <v>0</v>
      </c>
      <c r="L303" t="n">
        <v>0</v>
      </c>
      <c r="M303" t="n">
        <v>0</v>
      </c>
      <c r="N303" t="n">
        <v>0</v>
      </c>
      <c r="O303" t="n">
        <v>0</v>
      </c>
      <c r="P303" t="n">
        <v>0</v>
      </c>
      <c r="Q303" t="n">
        <v>0</v>
      </c>
      <c r="R303" s="2" t="inlineStr"/>
    </row>
    <row r="304" ht="15" customHeight="1">
      <c r="A304" t="inlineStr">
        <is>
          <t>A 11953-2024</t>
        </is>
      </c>
      <c r="B304" s="1" t="n">
        <v>45376.70292824074</v>
      </c>
      <c r="C304" s="1" t="n">
        <v>46116</v>
      </c>
      <c r="D304" t="inlineStr">
        <is>
          <t>ÖREBRO LÄN</t>
        </is>
      </c>
      <c r="E304" t="inlineStr">
        <is>
          <t>LINDESBERG</t>
        </is>
      </c>
      <c r="G304" t="n">
        <v>5.7</v>
      </c>
      <c r="H304" t="n">
        <v>0</v>
      </c>
      <c r="I304" t="n">
        <v>0</v>
      </c>
      <c r="J304" t="n">
        <v>0</v>
      </c>
      <c r="K304" t="n">
        <v>0</v>
      </c>
      <c r="L304" t="n">
        <v>0</v>
      </c>
      <c r="M304" t="n">
        <v>0</v>
      </c>
      <c r="N304" t="n">
        <v>0</v>
      </c>
      <c r="O304" t="n">
        <v>0</v>
      </c>
      <c r="P304" t="n">
        <v>0</v>
      </c>
      <c r="Q304" t="n">
        <v>0</v>
      </c>
      <c r="R304" s="2" t="inlineStr"/>
    </row>
    <row r="305" ht="15" customHeight="1">
      <c r="A305" t="inlineStr">
        <is>
          <t>A 50170-2022</t>
        </is>
      </c>
      <c r="B305" s="1" t="n">
        <v>44865.600625</v>
      </c>
      <c r="C305" s="1" t="n">
        <v>46116</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72706-2021</t>
        </is>
      </c>
      <c r="B306" s="1" t="n">
        <v>44546.67222222222</v>
      </c>
      <c r="C306" s="1" t="n">
        <v>46116</v>
      </c>
      <c r="D306" t="inlineStr">
        <is>
          <t>ÖREBRO LÄN</t>
        </is>
      </c>
      <c r="E306" t="inlineStr">
        <is>
          <t>LINDESBERG</t>
        </is>
      </c>
      <c r="G306" t="n">
        <v>1.7</v>
      </c>
      <c r="H306" t="n">
        <v>0</v>
      </c>
      <c r="I306" t="n">
        <v>0</v>
      </c>
      <c r="J306" t="n">
        <v>0</v>
      </c>
      <c r="K306" t="n">
        <v>0</v>
      </c>
      <c r="L306" t="n">
        <v>0</v>
      </c>
      <c r="M306" t="n">
        <v>0</v>
      </c>
      <c r="N306" t="n">
        <v>0</v>
      </c>
      <c r="O306" t="n">
        <v>0</v>
      </c>
      <c r="P306" t="n">
        <v>0</v>
      </c>
      <c r="Q306" t="n">
        <v>0</v>
      </c>
      <c r="R306" s="2" t="inlineStr"/>
    </row>
    <row r="307" ht="15" customHeight="1">
      <c r="A307" t="inlineStr">
        <is>
          <t>A 52928-2024</t>
        </is>
      </c>
      <c r="B307" s="1" t="n">
        <v>45610</v>
      </c>
      <c r="C307" s="1" t="n">
        <v>46116</v>
      </c>
      <c r="D307" t="inlineStr">
        <is>
          <t>ÖREBRO LÄN</t>
        </is>
      </c>
      <c r="E307" t="inlineStr">
        <is>
          <t>LINDESBERG</t>
        </is>
      </c>
      <c r="G307" t="n">
        <v>8.6</v>
      </c>
      <c r="H307" t="n">
        <v>0</v>
      </c>
      <c r="I307" t="n">
        <v>0</v>
      </c>
      <c r="J307" t="n">
        <v>0</v>
      </c>
      <c r="K307" t="n">
        <v>0</v>
      </c>
      <c r="L307" t="n">
        <v>0</v>
      </c>
      <c r="M307" t="n">
        <v>0</v>
      </c>
      <c r="N307" t="n">
        <v>0</v>
      </c>
      <c r="O307" t="n">
        <v>0</v>
      </c>
      <c r="P307" t="n">
        <v>0</v>
      </c>
      <c r="Q307" t="n">
        <v>0</v>
      </c>
      <c r="R307" s="2" t="inlineStr"/>
    </row>
    <row r="308" ht="15" customHeight="1">
      <c r="A308" t="inlineStr">
        <is>
          <t>A 28469-2023</t>
        </is>
      </c>
      <c r="B308" s="1" t="n">
        <v>45103</v>
      </c>
      <c r="C308" s="1" t="n">
        <v>46116</v>
      </c>
      <c r="D308" t="inlineStr">
        <is>
          <t>ÖREBRO LÄN</t>
        </is>
      </c>
      <c r="E308" t="inlineStr">
        <is>
          <t>LINDESBERG</t>
        </is>
      </c>
      <c r="G308" t="n">
        <v>0.3</v>
      </c>
      <c r="H308" t="n">
        <v>0</v>
      </c>
      <c r="I308" t="n">
        <v>0</v>
      </c>
      <c r="J308" t="n">
        <v>0</v>
      </c>
      <c r="K308" t="n">
        <v>0</v>
      </c>
      <c r="L308" t="n">
        <v>0</v>
      </c>
      <c r="M308" t="n">
        <v>0</v>
      </c>
      <c r="N308" t="n">
        <v>0</v>
      </c>
      <c r="O308" t="n">
        <v>0</v>
      </c>
      <c r="P308" t="n">
        <v>0</v>
      </c>
      <c r="Q308" t="n">
        <v>0</v>
      </c>
      <c r="R308" s="2" t="inlineStr"/>
    </row>
    <row r="309" ht="15" customHeight="1">
      <c r="A309" t="inlineStr">
        <is>
          <t>A 45481-2023</t>
        </is>
      </c>
      <c r="B309" s="1" t="n">
        <v>45194</v>
      </c>
      <c r="C309" s="1" t="n">
        <v>46116</v>
      </c>
      <c r="D309" t="inlineStr">
        <is>
          <t>ÖREBRO LÄN</t>
        </is>
      </c>
      <c r="E309" t="inlineStr">
        <is>
          <t>LINDESBERG</t>
        </is>
      </c>
      <c r="G309" t="n">
        <v>2.1</v>
      </c>
      <c r="H309" t="n">
        <v>0</v>
      </c>
      <c r="I309" t="n">
        <v>0</v>
      </c>
      <c r="J309" t="n">
        <v>0</v>
      </c>
      <c r="K309" t="n">
        <v>0</v>
      </c>
      <c r="L309" t="n">
        <v>0</v>
      </c>
      <c r="M309" t="n">
        <v>0</v>
      </c>
      <c r="N309" t="n">
        <v>0</v>
      </c>
      <c r="O309" t="n">
        <v>0</v>
      </c>
      <c r="P309" t="n">
        <v>0</v>
      </c>
      <c r="Q309" t="n">
        <v>0</v>
      </c>
      <c r="R309" s="2" t="inlineStr"/>
    </row>
    <row r="310" ht="15" customHeight="1">
      <c r="A310" t="inlineStr">
        <is>
          <t>A 59766-2022</t>
        </is>
      </c>
      <c r="B310" s="1" t="n">
        <v>44908.49152777778</v>
      </c>
      <c r="C310" s="1" t="n">
        <v>46116</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27013-2024</t>
        </is>
      </c>
      <c r="B311" s="1" t="n">
        <v>45471.40384259259</v>
      </c>
      <c r="C311" s="1" t="n">
        <v>46116</v>
      </c>
      <c r="D311" t="inlineStr">
        <is>
          <t>ÖREBRO LÄN</t>
        </is>
      </c>
      <c r="E311" t="inlineStr">
        <is>
          <t>LINDESBERG</t>
        </is>
      </c>
      <c r="G311" t="n">
        <v>5.2</v>
      </c>
      <c r="H311" t="n">
        <v>0</v>
      </c>
      <c r="I311" t="n">
        <v>0</v>
      </c>
      <c r="J311" t="n">
        <v>0</v>
      </c>
      <c r="K311" t="n">
        <v>0</v>
      </c>
      <c r="L311" t="n">
        <v>0</v>
      </c>
      <c r="M311" t="n">
        <v>0</v>
      </c>
      <c r="N311" t="n">
        <v>0</v>
      </c>
      <c r="O311" t="n">
        <v>0</v>
      </c>
      <c r="P311" t="n">
        <v>0</v>
      </c>
      <c r="Q311" t="n">
        <v>0</v>
      </c>
      <c r="R311" s="2" t="inlineStr"/>
    </row>
    <row r="312" ht="15" customHeight="1">
      <c r="A312" t="inlineStr">
        <is>
          <t>A 27134-2024</t>
        </is>
      </c>
      <c r="B312" s="1" t="n">
        <v>45471.52878472222</v>
      </c>
      <c r="C312" s="1" t="n">
        <v>46116</v>
      </c>
      <c r="D312" t="inlineStr">
        <is>
          <t>ÖREBRO LÄN</t>
        </is>
      </c>
      <c r="E312" t="inlineStr">
        <is>
          <t>LINDESBERG</t>
        </is>
      </c>
      <c r="G312" t="n">
        <v>0.7</v>
      </c>
      <c r="H312" t="n">
        <v>0</v>
      </c>
      <c r="I312" t="n">
        <v>0</v>
      </c>
      <c r="J312" t="n">
        <v>0</v>
      </c>
      <c r="K312" t="n">
        <v>0</v>
      </c>
      <c r="L312" t="n">
        <v>0</v>
      </c>
      <c r="M312" t="n">
        <v>0</v>
      </c>
      <c r="N312" t="n">
        <v>0</v>
      </c>
      <c r="O312" t="n">
        <v>0</v>
      </c>
      <c r="P312" t="n">
        <v>0</v>
      </c>
      <c r="Q312" t="n">
        <v>0</v>
      </c>
      <c r="R312" s="2" t="inlineStr"/>
    </row>
    <row r="313" ht="15" customHeight="1">
      <c r="A313" t="inlineStr">
        <is>
          <t>A 7990-2025</t>
        </is>
      </c>
      <c r="B313" s="1" t="n">
        <v>45707</v>
      </c>
      <c r="C313" s="1" t="n">
        <v>46116</v>
      </c>
      <c r="D313" t="inlineStr">
        <is>
          <t>ÖREBRO LÄN</t>
        </is>
      </c>
      <c r="E313" t="inlineStr">
        <is>
          <t>LINDESBERG</t>
        </is>
      </c>
      <c r="G313" t="n">
        <v>4.4</v>
      </c>
      <c r="H313" t="n">
        <v>0</v>
      </c>
      <c r="I313" t="n">
        <v>0</v>
      </c>
      <c r="J313" t="n">
        <v>0</v>
      </c>
      <c r="K313" t="n">
        <v>0</v>
      </c>
      <c r="L313" t="n">
        <v>0</v>
      </c>
      <c r="M313" t="n">
        <v>0</v>
      </c>
      <c r="N313" t="n">
        <v>0</v>
      </c>
      <c r="O313" t="n">
        <v>0</v>
      </c>
      <c r="P313" t="n">
        <v>0</v>
      </c>
      <c r="Q313" t="n">
        <v>0</v>
      </c>
      <c r="R313" s="2" t="inlineStr"/>
    </row>
    <row r="314" ht="15" customHeight="1">
      <c r="A314" t="inlineStr">
        <is>
          <t>A 36121-2023</t>
        </is>
      </c>
      <c r="B314" s="1" t="n">
        <v>45148</v>
      </c>
      <c r="C314" s="1" t="n">
        <v>46116</v>
      </c>
      <c r="D314" t="inlineStr">
        <is>
          <t>ÖREBRO LÄN</t>
        </is>
      </c>
      <c r="E314" t="inlineStr">
        <is>
          <t>LINDESBERG</t>
        </is>
      </c>
      <c r="G314" t="n">
        <v>7.1</v>
      </c>
      <c r="H314" t="n">
        <v>0</v>
      </c>
      <c r="I314" t="n">
        <v>0</v>
      </c>
      <c r="J314" t="n">
        <v>0</v>
      </c>
      <c r="K314" t="n">
        <v>0</v>
      </c>
      <c r="L314" t="n">
        <v>0</v>
      </c>
      <c r="M314" t="n">
        <v>0</v>
      </c>
      <c r="N314" t="n">
        <v>0</v>
      </c>
      <c r="O314" t="n">
        <v>0</v>
      </c>
      <c r="P314" t="n">
        <v>0</v>
      </c>
      <c r="Q314" t="n">
        <v>0</v>
      </c>
      <c r="R314" s="2" t="inlineStr"/>
    </row>
    <row r="315" ht="15" customHeight="1">
      <c r="A315" t="inlineStr">
        <is>
          <t>A 36280-2023</t>
        </is>
      </c>
      <c r="B315" s="1" t="n">
        <v>45152.34586805556</v>
      </c>
      <c r="C315" s="1" t="n">
        <v>46116</v>
      </c>
      <c r="D315" t="inlineStr">
        <is>
          <t>ÖREBRO LÄN</t>
        </is>
      </c>
      <c r="E315" t="inlineStr">
        <is>
          <t>LINDESBERG</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46116</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2103-2022</t>
        </is>
      </c>
      <c r="B317" s="1" t="n">
        <v>44577.81121527778</v>
      </c>
      <c r="C317" s="1" t="n">
        <v>46116</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24916-2022</t>
        </is>
      </c>
      <c r="B318" s="1" t="n">
        <v>44728</v>
      </c>
      <c r="C318" s="1" t="n">
        <v>46116</v>
      </c>
      <c r="D318" t="inlineStr">
        <is>
          <t>ÖREBRO LÄN</t>
        </is>
      </c>
      <c r="E318" t="inlineStr">
        <is>
          <t>LINDESBERG</t>
        </is>
      </c>
      <c r="G318" t="n">
        <v>8.1</v>
      </c>
      <c r="H318" t="n">
        <v>0</v>
      </c>
      <c r="I318" t="n">
        <v>0</v>
      </c>
      <c r="J318" t="n">
        <v>0</v>
      </c>
      <c r="K318" t="n">
        <v>0</v>
      </c>
      <c r="L318" t="n">
        <v>0</v>
      </c>
      <c r="M318" t="n">
        <v>0</v>
      </c>
      <c r="N318" t="n">
        <v>0</v>
      </c>
      <c r="O318" t="n">
        <v>0</v>
      </c>
      <c r="P318" t="n">
        <v>0</v>
      </c>
      <c r="Q318" t="n">
        <v>0</v>
      </c>
      <c r="R318" s="2" t="inlineStr"/>
    </row>
    <row r="319" ht="15" customHeight="1">
      <c r="A319" t="inlineStr">
        <is>
          <t>A 5677-2025</t>
        </is>
      </c>
      <c r="B319" s="1" t="n">
        <v>45694</v>
      </c>
      <c r="C319" s="1" t="n">
        <v>46116</v>
      </c>
      <c r="D319" t="inlineStr">
        <is>
          <t>ÖREBRO LÄN</t>
        </is>
      </c>
      <c r="E319" t="inlineStr">
        <is>
          <t>LINDESBERG</t>
        </is>
      </c>
      <c r="G319" t="n">
        <v>1.6</v>
      </c>
      <c r="H319" t="n">
        <v>0</v>
      </c>
      <c r="I319" t="n">
        <v>0</v>
      </c>
      <c r="J319" t="n">
        <v>0</v>
      </c>
      <c r="K319" t="n">
        <v>0</v>
      </c>
      <c r="L319" t="n">
        <v>0</v>
      </c>
      <c r="M319" t="n">
        <v>0</v>
      </c>
      <c r="N319" t="n">
        <v>0</v>
      </c>
      <c r="O319" t="n">
        <v>0</v>
      </c>
      <c r="P319" t="n">
        <v>0</v>
      </c>
      <c r="Q319" t="n">
        <v>0</v>
      </c>
      <c r="R319" s="2" t="inlineStr"/>
    </row>
    <row r="320" ht="15" customHeight="1">
      <c r="A320" t="inlineStr">
        <is>
          <t>A 13968-2025</t>
        </is>
      </c>
      <c r="B320" s="1" t="n">
        <v>45738.42981481482</v>
      </c>
      <c r="C320" s="1" t="n">
        <v>46116</v>
      </c>
      <c r="D320" t="inlineStr">
        <is>
          <t>ÖREBRO LÄN</t>
        </is>
      </c>
      <c r="E320" t="inlineStr">
        <is>
          <t>LINDESBERG</t>
        </is>
      </c>
      <c r="G320" t="n">
        <v>1.5</v>
      </c>
      <c r="H320" t="n">
        <v>0</v>
      </c>
      <c r="I320" t="n">
        <v>0</v>
      </c>
      <c r="J320" t="n">
        <v>0</v>
      </c>
      <c r="K320" t="n">
        <v>0</v>
      </c>
      <c r="L320" t="n">
        <v>0</v>
      </c>
      <c r="M320" t="n">
        <v>0</v>
      </c>
      <c r="N320" t="n">
        <v>0</v>
      </c>
      <c r="O320" t="n">
        <v>0</v>
      </c>
      <c r="P320" t="n">
        <v>0</v>
      </c>
      <c r="Q320" t="n">
        <v>0</v>
      </c>
      <c r="R320" s="2" t="inlineStr"/>
    </row>
    <row r="321" ht="15" customHeight="1">
      <c r="A321" t="inlineStr">
        <is>
          <t>A 1681-2025</t>
        </is>
      </c>
      <c r="B321" s="1" t="n">
        <v>45670.69458333333</v>
      </c>
      <c r="C321" s="1" t="n">
        <v>46116</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36670-2024</t>
        </is>
      </c>
      <c r="B322" s="1" t="n">
        <v>45537.64621527777</v>
      </c>
      <c r="C322" s="1" t="n">
        <v>46116</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33424-2024</t>
        </is>
      </c>
      <c r="B323" s="1" t="n">
        <v>45519.51627314815</v>
      </c>
      <c r="C323" s="1" t="n">
        <v>46116</v>
      </c>
      <c r="D323" t="inlineStr">
        <is>
          <t>ÖREBRO LÄN</t>
        </is>
      </c>
      <c r="E323" t="inlineStr">
        <is>
          <t>LINDESBERG</t>
        </is>
      </c>
      <c r="F323" t="inlineStr">
        <is>
          <t>Sveaskog</t>
        </is>
      </c>
      <c r="G323" t="n">
        <v>0.1</v>
      </c>
      <c r="H323" t="n">
        <v>0</v>
      </c>
      <c r="I323" t="n">
        <v>0</v>
      </c>
      <c r="J323" t="n">
        <v>0</v>
      </c>
      <c r="K323" t="n">
        <v>0</v>
      </c>
      <c r="L323" t="n">
        <v>0</v>
      </c>
      <c r="M323" t="n">
        <v>0</v>
      </c>
      <c r="N323" t="n">
        <v>0</v>
      </c>
      <c r="O323" t="n">
        <v>0</v>
      </c>
      <c r="P323" t="n">
        <v>0</v>
      </c>
      <c r="Q323" t="n">
        <v>0</v>
      </c>
      <c r="R323" s="2" t="inlineStr"/>
    </row>
    <row r="324" ht="15" customHeight="1">
      <c r="A324" t="inlineStr">
        <is>
          <t>A 57911-2022</t>
        </is>
      </c>
      <c r="B324" s="1" t="n">
        <v>44900.36149305556</v>
      </c>
      <c r="C324" s="1" t="n">
        <v>46116</v>
      </c>
      <c r="D324" t="inlineStr">
        <is>
          <t>ÖREBRO LÄN</t>
        </is>
      </c>
      <c r="E324" t="inlineStr">
        <is>
          <t>LINDESBERG</t>
        </is>
      </c>
      <c r="G324" t="n">
        <v>4.9</v>
      </c>
      <c r="H324" t="n">
        <v>0</v>
      </c>
      <c r="I324" t="n">
        <v>0</v>
      </c>
      <c r="J324" t="n">
        <v>0</v>
      </c>
      <c r="K324" t="n">
        <v>0</v>
      </c>
      <c r="L324" t="n">
        <v>0</v>
      </c>
      <c r="M324" t="n">
        <v>0</v>
      </c>
      <c r="N324" t="n">
        <v>0</v>
      </c>
      <c r="O324" t="n">
        <v>0</v>
      </c>
      <c r="P324" t="n">
        <v>0</v>
      </c>
      <c r="Q324" t="n">
        <v>0</v>
      </c>
      <c r="R324" s="2" t="inlineStr"/>
    </row>
    <row r="325" ht="15" customHeight="1">
      <c r="A325" t="inlineStr">
        <is>
          <t>A 35366-2025</t>
        </is>
      </c>
      <c r="B325" s="1" t="n">
        <v>45854</v>
      </c>
      <c r="C325" s="1" t="n">
        <v>46116</v>
      </c>
      <c r="D325" t="inlineStr">
        <is>
          <t>ÖREBRO LÄN</t>
        </is>
      </c>
      <c r="E325" t="inlineStr">
        <is>
          <t>LINDESBERG</t>
        </is>
      </c>
      <c r="G325" t="n">
        <v>5.5</v>
      </c>
      <c r="H325" t="n">
        <v>0</v>
      </c>
      <c r="I325" t="n">
        <v>0</v>
      </c>
      <c r="J325" t="n">
        <v>0</v>
      </c>
      <c r="K325" t="n">
        <v>0</v>
      </c>
      <c r="L325" t="n">
        <v>0</v>
      </c>
      <c r="M325" t="n">
        <v>0</v>
      </c>
      <c r="N325" t="n">
        <v>0</v>
      </c>
      <c r="O325" t="n">
        <v>0</v>
      </c>
      <c r="P325" t="n">
        <v>0</v>
      </c>
      <c r="Q325" t="n">
        <v>0</v>
      </c>
      <c r="R325" s="2" t="inlineStr"/>
    </row>
    <row r="326" ht="15" customHeight="1">
      <c r="A326" t="inlineStr">
        <is>
          <t>A 28032-2023</t>
        </is>
      </c>
      <c r="B326" s="1" t="n">
        <v>45099</v>
      </c>
      <c r="C326" s="1" t="n">
        <v>46116</v>
      </c>
      <c r="D326" t="inlineStr">
        <is>
          <t>ÖREBRO LÄN</t>
        </is>
      </c>
      <c r="E326" t="inlineStr">
        <is>
          <t>LINDESBERG</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35292-2025</t>
        </is>
      </c>
      <c r="B327" s="1" t="n">
        <v>45854</v>
      </c>
      <c r="C327" s="1" t="n">
        <v>46116</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62608-2021</t>
        </is>
      </c>
      <c r="B328" s="1" t="n">
        <v>44503</v>
      </c>
      <c r="C328" s="1" t="n">
        <v>46116</v>
      </c>
      <c r="D328" t="inlineStr">
        <is>
          <t>ÖREBRO LÄN</t>
        </is>
      </c>
      <c r="E328" t="inlineStr">
        <is>
          <t>LINDESBERG</t>
        </is>
      </c>
      <c r="G328" t="n">
        <v>1.4</v>
      </c>
      <c r="H328" t="n">
        <v>0</v>
      </c>
      <c r="I328" t="n">
        <v>0</v>
      </c>
      <c r="J328" t="n">
        <v>0</v>
      </c>
      <c r="K328" t="n">
        <v>0</v>
      </c>
      <c r="L328" t="n">
        <v>0</v>
      </c>
      <c r="M328" t="n">
        <v>0</v>
      </c>
      <c r="N328" t="n">
        <v>0</v>
      </c>
      <c r="O328" t="n">
        <v>0</v>
      </c>
      <c r="P328" t="n">
        <v>0</v>
      </c>
      <c r="Q328" t="n">
        <v>0</v>
      </c>
      <c r="R328" s="2" t="inlineStr"/>
    </row>
    <row r="329" ht="15" customHeight="1">
      <c r="A329" t="inlineStr">
        <is>
          <t>A 73860-2021</t>
        </is>
      </c>
      <c r="B329" s="1" t="n">
        <v>44553.35407407407</v>
      </c>
      <c r="C329" s="1" t="n">
        <v>46116</v>
      </c>
      <c r="D329" t="inlineStr">
        <is>
          <t>ÖREBRO LÄN</t>
        </is>
      </c>
      <c r="E329" t="inlineStr">
        <is>
          <t>LINDESBERG</t>
        </is>
      </c>
      <c r="G329" t="n">
        <v>12.7</v>
      </c>
      <c r="H329" t="n">
        <v>0</v>
      </c>
      <c r="I329" t="n">
        <v>0</v>
      </c>
      <c r="J329" t="n">
        <v>0</v>
      </c>
      <c r="K329" t="n">
        <v>0</v>
      </c>
      <c r="L329" t="n">
        <v>0</v>
      </c>
      <c r="M329" t="n">
        <v>0</v>
      </c>
      <c r="N329" t="n">
        <v>0</v>
      </c>
      <c r="O329" t="n">
        <v>0</v>
      </c>
      <c r="P329" t="n">
        <v>0</v>
      </c>
      <c r="Q329" t="n">
        <v>0</v>
      </c>
      <c r="R329" s="2" t="inlineStr"/>
    </row>
    <row r="330" ht="15" customHeight="1">
      <c r="A330" t="inlineStr">
        <is>
          <t>A 49094-2024</t>
        </is>
      </c>
      <c r="B330" s="1" t="n">
        <v>45594.63747685185</v>
      </c>
      <c r="C330" s="1" t="n">
        <v>46116</v>
      </c>
      <c r="D330" t="inlineStr">
        <is>
          <t>ÖREBRO LÄN</t>
        </is>
      </c>
      <c r="E330" t="inlineStr">
        <is>
          <t>LINDESBERG</t>
        </is>
      </c>
      <c r="G330" t="n">
        <v>3.8</v>
      </c>
      <c r="H330" t="n">
        <v>0</v>
      </c>
      <c r="I330" t="n">
        <v>0</v>
      </c>
      <c r="J330" t="n">
        <v>0</v>
      </c>
      <c r="K330" t="n">
        <v>0</v>
      </c>
      <c r="L330" t="n">
        <v>0</v>
      </c>
      <c r="M330" t="n">
        <v>0</v>
      </c>
      <c r="N330" t="n">
        <v>0</v>
      </c>
      <c r="O330" t="n">
        <v>0</v>
      </c>
      <c r="P330" t="n">
        <v>0</v>
      </c>
      <c r="Q330" t="n">
        <v>0</v>
      </c>
      <c r="R330" s="2" t="inlineStr"/>
    </row>
    <row r="331" ht="15" customHeight="1">
      <c r="A331" t="inlineStr">
        <is>
          <t>A 35710-2025</t>
        </is>
      </c>
      <c r="B331" s="1" t="n">
        <v>45860.3857175926</v>
      </c>
      <c r="C331" s="1" t="n">
        <v>46116</v>
      </c>
      <c r="D331" t="inlineStr">
        <is>
          <t>ÖREBRO LÄN</t>
        </is>
      </c>
      <c r="E331" t="inlineStr">
        <is>
          <t>LINDESBERG</t>
        </is>
      </c>
      <c r="G331" t="n">
        <v>3.2</v>
      </c>
      <c r="H331" t="n">
        <v>0</v>
      </c>
      <c r="I331" t="n">
        <v>0</v>
      </c>
      <c r="J331" t="n">
        <v>0</v>
      </c>
      <c r="K331" t="n">
        <v>0</v>
      </c>
      <c r="L331" t="n">
        <v>0</v>
      </c>
      <c r="M331" t="n">
        <v>0</v>
      </c>
      <c r="N331" t="n">
        <v>0</v>
      </c>
      <c r="O331" t="n">
        <v>0</v>
      </c>
      <c r="P331" t="n">
        <v>0</v>
      </c>
      <c r="Q331" t="n">
        <v>0</v>
      </c>
      <c r="R331" s="2" t="inlineStr"/>
    </row>
    <row r="332" ht="15" customHeight="1">
      <c r="A332" t="inlineStr">
        <is>
          <t>A 3803-2023</t>
        </is>
      </c>
      <c r="B332" s="1" t="n">
        <v>44951.5830324074</v>
      </c>
      <c r="C332" s="1" t="n">
        <v>46116</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46116</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35702-2025</t>
        </is>
      </c>
      <c r="B334" s="1" t="n">
        <v>45860.36222222223</v>
      </c>
      <c r="C334" s="1" t="n">
        <v>46116</v>
      </c>
      <c r="D334" t="inlineStr">
        <is>
          <t>ÖREBRO LÄN</t>
        </is>
      </c>
      <c r="E334" t="inlineStr">
        <is>
          <t>LINDESBERG</t>
        </is>
      </c>
      <c r="G334" t="n">
        <v>5.3</v>
      </c>
      <c r="H334" t="n">
        <v>0</v>
      </c>
      <c r="I334" t="n">
        <v>0</v>
      </c>
      <c r="J334" t="n">
        <v>0</v>
      </c>
      <c r="K334" t="n">
        <v>0</v>
      </c>
      <c r="L334" t="n">
        <v>0</v>
      </c>
      <c r="M334" t="n">
        <v>0</v>
      </c>
      <c r="N334" t="n">
        <v>0</v>
      </c>
      <c r="O334" t="n">
        <v>0</v>
      </c>
      <c r="P334" t="n">
        <v>0</v>
      </c>
      <c r="Q334" t="n">
        <v>0</v>
      </c>
      <c r="R334" s="2" t="inlineStr"/>
    </row>
    <row r="335" ht="15" customHeight="1">
      <c r="A335" t="inlineStr">
        <is>
          <t>A 47304-2024</t>
        </is>
      </c>
      <c r="B335" s="1" t="n">
        <v>45587</v>
      </c>
      <c r="C335" s="1" t="n">
        <v>46116</v>
      </c>
      <c r="D335" t="inlineStr">
        <is>
          <t>ÖREBRO LÄN</t>
        </is>
      </c>
      <c r="E335" t="inlineStr">
        <is>
          <t>LINDESBERG</t>
        </is>
      </c>
      <c r="G335" t="n">
        <v>1</v>
      </c>
      <c r="H335" t="n">
        <v>0</v>
      </c>
      <c r="I335" t="n">
        <v>0</v>
      </c>
      <c r="J335" t="n">
        <v>0</v>
      </c>
      <c r="K335" t="n">
        <v>0</v>
      </c>
      <c r="L335" t="n">
        <v>0</v>
      </c>
      <c r="M335" t="n">
        <v>0</v>
      </c>
      <c r="N335" t="n">
        <v>0</v>
      </c>
      <c r="O335" t="n">
        <v>0</v>
      </c>
      <c r="P335" t="n">
        <v>0</v>
      </c>
      <c r="Q335" t="n">
        <v>0</v>
      </c>
      <c r="R335" s="2" t="inlineStr"/>
    </row>
    <row r="336" ht="15" customHeight="1">
      <c r="A336" t="inlineStr">
        <is>
          <t>A 33507-2023</t>
        </is>
      </c>
      <c r="B336" s="1" t="n">
        <v>45131</v>
      </c>
      <c r="C336" s="1" t="n">
        <v>46116</v>
      </c>
      <c r="D336" t="inlineStr">
        <is>
          <t>ÖREBRO LÄN</t>
        </is>
      </c>
      <c r="E336" t="inlineStr">
        <is>
          <t>LINDESBERG</t>
        </is>
      </c>
      <c r="G336" t="n">
        <v>3.2</v>
      </c>
      <c r="H336" t="n">
        <v>0</v>
      </c>
      <c r="I336" t="n">
        <v>0</v>
      </c>
      <c r="J336" t="n">
        <v>0</v>
      </c>
      <c r="K336" t="n">
        <v>0</v>
      </c>
      <c r="L336" t="n">
        <v>0</v>
      </c>
      <c r="M336" t="n">
        <v>0</v>
      </c>
      <c r="N336" t="n">
        <v>0</v>
      </c>
      <c r="O336" t="n">
        <v>0</v>
      </c>
      <c r="P336" t="n">
        <v>0</v>
      </c>
      <c r="Q336" t="n">
        <v>0</v>
      </c>
      <c r="R336" s="2" t="inlineStr"/>
    </row>
    <row r="337" ht="15" customHeight="1">
      <c r="A337" t="inlineStr">
        <is>
          <t>A 24030-2023</t>
        </is>
      </c>
      <c r="B337" s="1" t="n">
        <v>45078.82620370371</v>
      </c>
      <c r="C337" s="1" t="n">
        <v>46116</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38861-2025</t>
        </is>
      </c>
      <c r="B338" s="1" t="n">
        <v>45887.56101851852</v>
      </c>
      <c r="C338" s="1" t="n">
        <v>46116</v>
      </c>
      <c r="D338" t="inlineStr">
        <is>
          <t>ÖREBRO LÄN</t>
        </is>
      </c>
      <c r="E338" t="inlineStr">
        <is>
          <t>LINDESBERG</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21986-2023</t>
        </is>
      </c>
      <c r="B339" s="1" t="n">
        <v>45068</v>
      </c>
      <c r="C339" s="1" t="n">
        <v>46116</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36253-2024</t>
        </is>
      </c>
      <c r="B340" s="1" t="n">
        <v>45534.54032407407</v>
      </c>
      <c r="C340" s="1" t="n">
        <v>46116</v>
      </c>
      <c r="D340" t="inlineStr">
        <is>
          <t>ÖREBRO LÄN</t>
        </is>
      </c>
      <c r="E340" t="inlineStr">
        <is>
          <t>LINDESBERG</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39429-2025</t>
        </is>
      </c>
      <c r="B341" s="1" t="n">
        <v>45889.67577546297</v>
      </c>
      <c r="C341" s="1" t="n">
        <v>46116</v>
      </c>
      <c r="D341" t="inlineStr">
        <is>
          <t>ÖREBRO LÄN</t>
        </is>
      </c>
      <c r="E341" t="inlineStr">
        <is>
          <t>LINDESBERG</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44010-2023</t>
        </is>
      </c>
      <c r="B342" s="1" t="n">
        <v>45188</v>
      </c>
      <c r="C342" s="1" t="n">
        <v>46116</v>
      </c>
      <c r="D342" t="inlineStr">
        <is>
          <t>ÖREBRO LÄN</t>
        </is>
      </c>
      <c r="E342" t="inlineStr">
        <is>
          <t>LINDESBERG</t>
        </is>
      </c>
      <c r="G342" t="n">
        <v>2.3</v>
      </c>
      <c r="H342" t="n">
        <v>0</v>
      </c>
      <c r="I342" t="n">
        <v>0</v>
      </c>
      <c r="J342" t="n">
        <v>0</v>
      </c>
      <c r="K342" t="n">
        <v>0</v>
      </c>
      <c r="L342" t="n">
        <v>0</v>
      </c>
      <c r="M342" t="n">
        <v>0</v>
      </c>
      <c r="N342" t="n">
        <v>0</v>
      </c>
      <c r="O342" t="n">
        <v>0</v>
      </c>
      <c r="P342" t="n">
        <v>0</v>
      </c>
      <c r="Q342" t="n">
        <v>0</v>
      </c>
      <c r="R342" s="2" t="inlineStr"/>
    </row>
    <row r="343" ht="15" customHeight="1">
      <c r="A343" t="inlineStr">
        <is>
          <t>A 39421-2025</t>
        </is>
      </c>
      <c r="B343" s="1" t="n">
        <v>45889.66935185185</v>
      </c>
      <c r="C343" s="1" t="n">
        <v>46116</v>
      </c>
      <c r="D343" t="inlineStr">
        <is>
          <t>ÖREBRO LÄN</t>
        </is>
      </c>
      <c r="E343" t="inlineStr">
        <is>
          <t>LINDESBERG</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50986-2023</t>
        </is>
      </c>
      <c r="B344" s="1" t="n">
        <v>45218</v>
      </c>
      <c r="C344" s="1" t="n">
        <v>46116</v>
      </c>
      <c r="D344" t="inlineStr">
        <is>
          <t>ÖREBRO LÄN</t>
        </is>
      </c>
      <c r="E344" t="inlineStr">
        <is>
          <t>LINDESBERG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39424-2025</t>
        </is>
      </c>
      <c r="B345" s="1" t="n">
        <v>45889.67290509259</v>
      </c>
      <c r="C345" s="1" t="n">
        <v>46116</v>
      </c>
      <c r="D345" t="inlineStr">
        <is>
          <t>ÖREBRO LÄN</t>
        </is>
      </c>
      <c r="E345" t="inlineStr">
        <is>
          <t>LINDESBERG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61969-2023</t>
        </is>
      </c>
      <c r="B346" s="1" t="n">
        <v>45266.58394675926</v>
      </c>
      <c r="C346" s="1" t="n">
        <v>46116</v>
      </c>
      <c r="D346" t="inlineStr">
        <is>
          <t>ÖREBRO LÄN</t>
        </is>
      </c>
      <c r="E346" t="inlineStr">
        <is>
          <t>LINDESBERG</t>
        </is>
      </c>
      <c r="G346" t="n">
        <v>10.5</v>
      </c>
      <c r="H346" t="n">
        <v>0</v>
      </c>
      <c r="I346" t="n">
        <v>0</v>
      </c>
      <c r="J346" t="n">
        <v>0</v>
      </c>
      <c r="K346" t="n">
        <v>0</v>
      </c>
      <c r="L346" t="n">
        <v>0</v>
      </c>
      <c r="M346" t="n">
        <v>0</v>
      </c>
      <c r="N346" t="n">
        <v>0</v>
      </c>
      <c r="O346" t="n">
        <v>0</v>
      </c>
      <c r="P346" t="n">
        <v>0</v>
      </c>
      <c r="Q346" t="n">
        <v>0</v>
      </c>
      <c r="R346" s="2" t="inlineStr"/>
    </row>
    <row r="347" ht="15" customHeight="1">
      <c r="A347" t="inlineStr">
        <is>
          <t>A 30514-2025</t>
        </is>
      </c>
      <c r="B347" s="1" t="n">
        <v>45831</v>
      </c>
      <c r="C347" s="1" t="n">
        <v>46116</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45173-2024</t>
        </is>
      </c>
      <c r="B348" s="1" t="n">
        <v>45575.65721064815</v>
      </c>
      <c r="C348" s="1" t="n">
        <v>46116</v>
      </c>
      <c r="D348" t="inlineStr">
        <is>
          <t>ÖREBRO LÄN</t>
        </is>
      </c>
      <c r="E348" t="inlineStr">
        <is>
          <t>LINDESBERG</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40450-2023</t>
        </is>
      </c>
      <c r="B349" s="1" t="n">
        <v>45170</v>
      </c>
      <c r="C349" s="1" t="n">
        <v>46116</v>
      </c>
      <c r="D349" t="inlineStr">
        <is>
          <t>ÖREBRO LÄN</t>
        </is>
      </c>
      <c r="E349" t="inlineStr">
        <is>
          <t>LINDESBERG</t>
        </is>
      </c>
      <c r="F349" t="inlineStr">
        <is>
          <t>Kyrkan</t>
        </is>
      </c>
      <c r="G349" t="n">
        <v>4.3</v>
      </c>
      <c r="H349" t="n">
        <v>0</v>
      </c>
      <c r="I349" t="n">
        <v>0</v>
      </c>
      <c r="J349" t="n">
        <v>0</v>
      </c>
      <c r="K349" t="n">
        <v>0</v>
      </c>
      <c r="L349" t="n">
        <v>0</v>
      </c>
      <c r="M349" t="n">
        <v>0</v>
      </c>
      <c r="N349" t="n">
        <v>0</v>
      </c>
      <c r="O349" t="n">
        <v>0</v>
      </c>
      <c r="P349" t="n">
        <v>0</v>
      </c>
      <c r="Q349" t="n">
        <v>0</v>
      </c>
      <c r="R349" s="2" t="inlineStr"/>
    </row>
    <row r="350" ht="15" customHeight="1">
      <c r="A350" t="inlineStr">
        <is>
          <t>A 30512-2025</t>
        </is>
      </c>
      <c r="B350" s="1" t="n">
        <v>45831</v>
      </c>
      <c r="C350" s="1" t="n">
        <v>46116</v>
      </c>
      <c r="D350" t="inlineStr">
        <is>
          <t>ÖREBRO LÄN</t>
        </is>
      </c>
      <c r="E350" t="inlineStr">
        <is>
          <t>LINDESBERG</t>
        </is>
      </c>
      <c r="G350" t="n">
        <v>4.5</v>
      </c>
      <c r="H350" t="n">
        <v>0</v>
      </c>
      <c r="I350" t="n">
        <v>0</v>
      </c>
      <c r="J350" t="n">
        <v>0</v>
      </c>
      <c r="K350" t="n">
        <v>0</v>
      </c>
      <c r="L350" t="n">
        <v>0</v>
      </c>
      <c r="M350" t="n">
        <v>0</v>
      </c>
      <c r="N350" t="n">
        <v>0</v>
      </c>
      <c r="O350" t="n">
        <v>0</v>
      </c>
      <c r="P350" t="n">
        <v>0</v>
      </c>
      <c r="Q350" t="n">
        <v>0</v>
      </c>
      <c r="R350" s="2" t="inlineStr"/>
    </row>
    <row r="351" ht="15" customHeight="1">
      <c r="A351" t="inlineStr">
        <is>
          <t>A 53062-2023</t>
        </is>
      </c>
      <c r="B351" s="1" t="n">
        <v>45227.31859953704</v>
      </c>
      <c r="C351" s="1" t="n">
        <v>46116</v>
      </c>
      <c r="D351" t="inlineStr">
        <is>
          <t>ÖREBRO LÄN</t>
        </is>
      </c>
      <c r="E351" t="inlineStr">
        <is>
          <t>LINDESBERG</t>
        </is>
      </c>
      <c r="G351" t="n">
        <v>3.1</v>
      </c>
      <c r="H351" t="n">
        <v>0</v>
      </c>
      <c r="I351" t="n">
        <v>0</v>
      </c>
      <c r="J351" t="n">
        <v>0</v>
      </c>
      <c r="K351" t="n">
        <v>0</v>
      </c>
      <c r="L351" t="n">
        <v>0</v>
      </c>
      <c r="M351" t="n">
        <v>0</v>
      </c>
      <c r="N351" t="n">
        <v>0</v>
      </c>
      <c r="O351" t="n">
        <v>0</v>
      </c>
      <c r="P351" t="n">
        <v>0</v>
      </c>
      <c r="Q351" t="n">
        <v>0</v>
      </c>
      <c r="R351" s="2" t="inlineStr"/>
    </row>
    <row r="352" ht="15" customHeight="1">
      <c r="A352" t="inlineStr">
        <is>
          <t>A 36572-2025</t>
        </is>
      </c>
      <c r="B352" s="1" t="n">
        <v>45870</v>
      </c>
      <c r="C352" s="1" t="n">
        <v>46116</v>
      </c>
      <c r="D352" t="inlineStr">
        <is>
          <t>ÖREBRO LÄN</t>
        </is>
      </c>
      <c r="E352" t="inlineStr">
        <is>
          <t>LINDESBERG</t>
        </is>
      </c>
      <c r="G352" t="n">
        <v>11.9</v>
      </c>
      <c r="H352" t="n">
        <v>0</v>
      </c>
      <c r="I352" t="n">
        <v>0</v>
      </c>
      <c r="J352" t="n">
        <v>0</v>
      </c>
      <c r="K352" t="n">
        <v>0</v>
      </c>
      <c r="L352" t="n">
        <v>0</v>
      </c>
      <c r="M352" t="n">
        <v>0</v>
      </c>
      <c r="N352" t="n">
        <v>0</v>
      </c>
      <c r="O352" t="n">
        <v>0</v>
      </c>
      <c r="P352" t="n">
        <v>0</v>
      </c>
      <c r="Q352" t="n">
        <v>0</v>
      </c>
      <c r="R352" s="2" t="inlineStr"/>
    </row>
    <row r="353" ht="15" customHeight="1">
      <c r="A353" t="inlineStr">
        <is>
          <t>A 36574-2025</t>
        </is>
      </c>
      <c r="B353" s="1" t="n">
        <v>45870</v>
      </c>
      <c r="C353" s="1" t="n">
        <v>46116</v>
      </c>
      <c r="D353" t="inlineStr">
        <is>
          <t>ÖREBRO LÄN</t>
        </is>
      </c>
      <c r="E353" t="inlineStr">
        <is>
          <t>LINDESBERG</t>
        </is>
      </c>
      <c r="G353" t="n">
        <v>4</v>
      </c>
      <c r="H353" t="n">
        <v>0</v>
      </c>
      <c r="I353" t="n">
        <v>0</v>
      </c>
      <c r="J353" t="n">
        <v>0</v>
      </c>
      <c r="K353" t="n">
        <v>0</v>
      </c>
      <c r="L353" t="n">
        <v>0</v>
      </c>
      <c r="M353" t="n">
        <v>0</v>
      </c>
      <c r="N353" t="n">
        <v>0</v>
      </c>
      <c r="O353" t="n">
        <v>0</v>
      </c>
      <c r="P353" t="n">
        <v>0</v>
      </c>
      <c r="Q353" t="n">
        <v>0</v>
      </c>
      <c r="R353" s="2" t="inlineStr"/>
    </row>
    <row r="354" ht="15" customHeight="1">
      <c r="A354" t="inlineStr">
        <is>
          <t>A 36577-2025</t>
        </is>
      </c>
      <c r="B354" s="1" t="n">
        <v>45870</v>
      </c>
      <c r="C354" s="1" t="n">
        <v>46116</v>
      </c>
      <c r="D354" t="inlineStr">
        <is>
          <t>ÖREBRO LÄN</t>
        </is>
      </c>
      <c r="E354" t="inlineStr">
        <is>
          <t>LINDESBERG</t>
        </is>
      </c>
      <c r="G354" t="n">
        <v>3.7</v>
      </c>
      <c r="H354" t="n">
        <v>0</v>
      </c>
      <c r="I354" t="n">
        <v>0</v>
      </c>
      <c r="J354" t="n">
        <v>0</v>
      </c>
      <c r="K354" t="n">
        <v>0</v>
      </c>
      <c r="L354" t="n">
        <v>0</v>
      </c>
      <c r="M354" t="n">
        <v>0</v>
      </c>
      <c r="N354" t="n">
        <v>0</v>
      </c>
      <c r="O354" t="n">
        <v>0</v>
      </c>
      <c r="P354" t="n">
        <v>0</v>
      </c>
      <c r="Q354" t="n">
        <v>0</v>
      </c>
      <c r="R354" s="2" t="inlineStr"/>
    </row>
    <row r="355" ht="15" customHeight="1">
      <c r="A355" t="inlineStr">
        <is>
          <t>A 12739-2024</t>
        </is>
      </c>
      <c r="B355" s="1" t="n">
        <v>45384</v>
      </c>
      <c r="C355" s="1" t="n">
        <v>46116</v>
      </c>
      <c r="D355" t="inlineStr">
        <is>
          <t>ÖREBRO LÄN</t>
        </is>
      </c>
      <c r="E355" t="inlineStr">
        <is>
          <t>LINDESBERG</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45056-2024</t>
        </is>
      </c>
      <c r="B356" s="1" t="n">
        <v>45575.55273148148</v>
      </c>
      <c r="C356" s="1" t="n">
        <v>46116</v>
      </c>
      <c r="D356" t="inlineStr">
        <is>
          <t>ÖREBRO LÄN</t>
        </is>
      </c>
      <c r="E356" t="inlineStr">
        <is>
          <t>LINDESBERG</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45058-2024</t>
        </is>
      </c>
      <c r="B357" s="1" t="n">
        <v>45575.5547337963</v>
      </c>
      <c r="C357" s="1" t="n">
        <v>46116</v>
      </c>
      <c r="D357" t="inlineStr">
        <is>
          <t>ÖREBRO LÄN</t>
        </is>
      </c>
      <c r="E357" t="inlineStr">
        <is>
          <t>LINDESBERG</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45063-2024</t>
        </is>
      </c>
      <c r="B358" s="1" t="n">
        <v>45575.55684027778</v>
      </c>
      <c r="C358" s="1" t="n">
        <v>46116</v>
      </c>
      <c r="D358" t="inlineStr">
        <is>
          <t>ÖREBRO LÄN</t>
        </is>
      </c>
      <c r="E358" t="inlineStr">
        <is>
          <t>LINDESBERG</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36579-2025</t>
        </is>
      </c>
      <c r="B359" s="1" t="n">
        <v>45870</v>
      </c>
      <c r="C359" s="1" t="n">
        <v>46116</v>
      </c>
      <c r="D359" t="inlineStr">
        <is>
          <t>ÖREBRO LÄN</t>
        </is>
      </c>
      <c r="E359" t="inlineStr">
        <is>
          <t>LINDESBERG</t>
        </is>
      </c>
      <c r="G359" t="n">
        <v>6</v>
      </c>
      <c r="H359" t="n">
        <v>0</v>
      </c>
      <c r="I359" t="n">
        <v>0</v>
      </c>
      <c r="J359" t="n">
        <v>0</v>
      </c>
      <c r="K359" t="n">
        <v>0</v>
      </c>
      <c r="L359" t="n">
        <v>0</v>
      </c>
      <c r="M359" t="n">
        <v>0</v>
      </c>
      <c r="N359" t="n">
        <v>0</v>
      </c>
      <c r="O359" t="n">
        <v>0</v>
      </c>
      <c r="P359" t="n">
        <v>0</v>
      </c>
      <c r="Q359" t="n">
        <v>0</v>
      </c>
      <c r="R359" s="2" t="inlineStr"/>
    </row>
    <row r="360" ht="15" customHeight="1">
      <c r="A360" t="inlineStr">
        <is>
          <t>A 9198-2025</t>
        </is>
      </c>
      <c r="B360" s="1" t="n">
        <v>45714</v>
      </c>
      <c r="C360" s="1" t="n">
        <v>46116</v>
      </c>
      <c r="D360" t="inlineStr">
        <is>
          <t>ÖREBRO LÄN</t>
        </is>
      </c>
      <c r="E360" t="inlineStr">
        <is>
          <t>LINDESBERG</t>
        </is>
      </c>
      <c r="G360" t="n">
        <v>3.3</v>
      </c>
      <c r="H360" t="n">
        <v>0</v>
      </c>
      <c r="I360" t="n">
        <v>0</v>
      </c>
      <c r="J360" t="n">
        <v>0</v>
      </c>
      <c r="K360" t="n">
        <v>0</v>
      </c>
      <c r="L360" t="n">
        <v>0</v>
      </c>
      <c r="M360" t="n">
        <v>0</v>
      </c>
      <c r="N360" t="n">
        <v>0</v>
      </c>
      <c r="O360" t="n">
        <v>0</v>
      </c>
      <c r="P360" t="n">
        <v>0</v>
      </c>
      <c r="Q360" t="n">
        <v>0</v>
      </c>
      <c r="R360" s="2" t="inlineStr"/>
    </row>
    <row r="361" ht="15" customHeight="1">
      <c r="A361" t="inlineStr">
        <is>
          <t>A 60492-2024</t>
        </is>
      </c>
      <c r="B361" s="1" t="n">
        <v>45642</v>
      </c>
      <c r="C361" s="1" t="n">
        <v>46116</v>
      </c>
      <c r="D361" t="inlineStr">
        <is>
          <t>ÖREBRO LÄN</t>
        </is>
      </c>
      <c r="E361" t="inlineStr">
        <is>
          <t>LINDESBERG</t>
        </is>
      </c>
      <c r="G361" t="n">
        <v>2.6</v>
      </c>
      <c r="H361" t="n">
        <v>0</v>
      </c>
      <c r="I361" t="n">
        <v>0</v>
      </c>
      <c r="J361" t="n">
        <v>0</v>
      </c>
      <c r="K361" t="n">
        <v>0</v>
      </c>
      <c r="L361" t="n">
        <v>0</v>
      </c>
      <c r="M361" t="n">
        <v>0</v>
      </c>
      <c r="N361" t="n">
        <v>0</v>
      </c>
      <c r="O361" t="n">
        <v>0</v>
      </c>
      <c r="P361" t="n">
        <v>0</v>
      </c>
      <c r="Q361" t="n">
        <v>0</v>
      </c>
      <c r="R361" s="2" t="inlineStr"/>
    </row>
    <row r="362" ht="15" customHeight="1">
      <c r="A362" t="inlineStr">
        <is>
          <t>A 26093-2023</t>
        </is>
      </c>
      <c r="B362" s="1" t="n">
        <v>45091.39362268519</v>
      </c>
      <c r="C362" s="1" t="n">
        <v>46116</v>
      </c>
      <c r="D362" t="inlineStr">
        <is>
          <t>ÖREBRO LÄN</t>
        </is>
      </c>
      <c r="E362" t="inlineStr">
        <is>
          <t>LINDESBERG</t>
        </is>
      </c>
      <c r="G362" t="n">
        <v>0.4</v>
      </c>
      <c r="H362" t="n">
        <v>0</v>
      </c>
      <c r="I362" t="n">
        <v>0</v>
      </c>
      <c r="J362" t="n">
        <v>0</v>
      </c>
      <c r="K362" t="n">
        <v>0</v>
      </c>
      <c r="L362" t="n">
        <v>0</v>
      </c>
      <c r="M362" t="n">
        <v>0</v>
      </c>
      <c r="N362" t="n">
        <v>0</v>
      </c>
      <c r="O362" t="n">
        <v>0</v>
      </c>
      <c r="P362" t="n">
        <v>0</v>
      </c>
      <c r="Q362" t="n">
        <v>0</v>
      </c>
      <c r="R362" s="2" t="inlineStr"/>
    </row>
    <row r="363" ht="15" customHeight="1">
      <c r="A363" t="inlineStr">
        <is>
          <t>A 40347-2025</t>
        </is>
      </c>
      <c r="B363" s="1" t="n">
        <v>45895.4790625</v>
      </c>
      <c r="C363" s="1" t="n">
        <v>46116</v>
      </c>
      <c r="D363" t="inlineStr">
        <is>
          <t>ÖREBRO LÄN</t>
        </is>
      </c>
      <c r="E363" t="inlineStr">
        <is>
          <t>LINDESBERG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40346-2025</t>
        </is>
      </c>
      <c r="B364" s="1" t="n">
        <v>45895.47704861111</v>
      </c>
      <c r="C364" s="1" t="n">
        <v>46116</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40351-2025</t>
        </is>
      </c>
      <c r="B365" s="1" t="n">
        <v>45895.48394675926</v>
      </c>
      <c r="C365" s="1" t="n">
        <v>46116</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47066-2023</t>
        </is>
      </c>
      <c r="B366" s="1" t="n">
        <v>45201</v>
      </c>
      <c r="C366" s="1" t="n">
        <v>46116</v>
      </c>
      <c r="D366" t="inlineStr">
        <is>
          <t>ÖREBRO LÄN</t>
        </is>
      </c>
      <c r="E366" t="inlineStr">
        <is>
          <t>LINDESBERG</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54859-2024</t>
        </is>
      </c>
      <c r="B367" s="1" t="n">
        <v>45618.58962962963</v>
      </c>
      <c r="C367" s="1" t="n">
        <v>46116</v>
      </c>
      <c r="D367" t="inlineStr">
        <is>
          <t>ÖREBRO LÄN</t>
        </is>
      </c>
      <c r="E367" t="inlineStr">
        <is>
          <t>LINDESBERG</t>
        </is>
      </c>
      <c r="F367" t="inlineStr">
        <is>
          <t>Sveaskog</t>
        </is>
      </c>
      <c r="G367" t="n">
        <v>5.3</v>
      </c>
      <c r="H367" t="n">
        <v>0</v>
      </c>
      <c r="I367" t="n">
        <v>0</v>
      </c>
      <c r="J367" t="n">
        <v>0</v>
      </c>
      <c r="K367" t="n">
        <v>0</v>
      </c>
      <c r="L367" t="n">
        <v>0</v>
      </c>
      <c r="M367" t="n">
        <v>0</v>
      </c>
      <c r="N367" t="n">
        <v>0</v>
      </c>
      <c r="O367" t="n">
        <v>0</v>
      </c>
      <c r="P367" t="n">
        <v>0</v>
      </c>
      <c r="Q367" t="n">
        <v>0</v>
      </c>
      <c r="R367" s="2" t="inlineStr"/>
    </row>
    <row r="368" ht="15" customHeight="1">
      <c r="A368" t="inlineStr">
        <is>
          <t>A 36773-2024</t>
        </is>
      </c>
      <c r="B368" s="1" t="n">
        <v>45538</v>
      </c>
      <c r="C368" s="1" t="n">
        <v>46116</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36859-2025</t>
        </is>
      </c>
      <c r="B369" s="1" t="n">
        <v>45874.40503472222</v>
      </c>
      <c r="C369" s="1" t="n">
        <v>46116</v>
      </c>
      <c r="D369" t="inlineStr">
        <is>
          <t>ÖREBRO LÄN</t>
        </is>
      </c>
      <c r="E369" t="inlineStr">
        <is>
          <t>LINDESBERG</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40366-2025</t>
        </is>
      </c>
      <c r="B370" s="1" t="n">
        <v>45895.49994212963</v>
      </c>
      <c r="C370" s="1" t="n">
        <v>46116</v>
      </c>
      <c r="D370" t="inlineStr">
        <is>
          <t>ÖREBRO LÄN</t>
        </is>
      </c>
      <c r="E370" t="inlineStr">
        <is>
          <t>LINDESBERG</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59804-2023</t>
        </is>
      </c>
      <c r="B371" s="1" t="n">
        <v>45257.48188657407</v>
      </c>
      <c r="C371" s="1" t="n">
        <v>46116</v>
      </c>
      <c r="D371" t="inlineStr">
        <is>
          <t>ÖREBRO LÄN</t>
        </is>
      </c>
      <c r="E371" t="inlineStr">
        <is>
          <t>LINDESBERG</t>
        </is>
      </c>
      <c r="G371" t="n">
        <v>1.2</v>
      </c>
      <c r="H371" t="n">
        <v>0</v>
      </c>
      <c r="I371" t="n">
        <v>0</v>
      </c>
      <c r="J371" t="n">
        <v>0</v>
      </c>
      <c r="K371" t="n">
        <v>0</v>
      </c>
      <c r="L371" t="n">
        <v>0</v>
      </c>
      <c r="M371" t="n">
        <v>0</v>
      </c>
      <c r="N371" t="n">
        <v>0</v>
      </c>
      <c r="O371" t="n">
        <v>0</v>
      </c>
      <c r="P371" t="n">
        <v>0</v>
      </c>
      <c r="Q371" t="n">
        <v>0</v>
      </c>
      <c r="R371" s="2" t="inlineStr"/>
    </row>
    <row r="372" ht="15" customHeight="1">
      <c r="A372" t="inlineStr">
        <is>
          <t>A 40758-2021</t>
        </is>
      </c>
      <c r="B372" s="1" t="n">
        <v>44420</v>
      </c>
      <c r="C372" s="1" t="n">
        <v>46116</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61691-2023</t>
        </is>
      </c>
      <c r="B373" s="1" t="n">
        <v>45265.64142361111</v>
      </c>
      <c r="C373" s="1" t="n">
        <v>46116</v>
      </c>
      <c r="D373" t="inlineStr">
        <is>
          <t>ÖREBRO LÄN</t>
        </is>
      </c>
      <c r="E373" t="inlineStr">
        <is>
          <t>LINDESBERG</t>
        </is>
      </c>
      <c r="G373" t="n">
        <v>2.6</v>
      </c>
      <c r="H373" t="n">
        <v>0</v>
      </c>
      <c r="I373" t="n">
        <v>0</v>
      </c>
      <c r="J373" t="n">
        <v>0</v>
      </c>
      <c r="K373" t="n">
        <v>0</v>
      </c>
      <c r="L373" t="n">
        <v>0</v>
      </c>
      <c r="M373" t="n">
        <v>0</v>
      </c>
      <c r="N373" t="n">
        <v>0</v>
      </c>
      <c r="O373" t="n">
        <v>0</v>
      </c>
      <c r="P373" t="n">
        <v>0</v>
      </c>
      <c r="Q373" t="n">
        <v>0</v>
      </c>
      <c r="R373" s="2" t="inlineStr"/>
    </row>
    <row r="374" ht="15" customHeight="1">
      <c r="A374" t="inlineStr">
        <is>
          <t>A 37497-2025</t>
        </is>
      </c>
      <c r="B374" s="1" t="n">
        <v>45877.64431712963</v>
      </c>
      <c r="C374" s="1" t="n">
        <v>46116</v>
      </c>
      <c r="D374" t="inlineStr">
        <is>
          <t>ÖREBRO LÄN</t>
        </is>
      </c>
      <c r="E374" t="inlineStr">
        <is>
          <t>LINDESBERG</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37490-2025</t>
        </is>
      </c>
      <c r="B375" s="1" t="n">
        <v>45877.63989583333</v>
      </c>
      <c r="C375" s="1" t="n">
        <v>46116</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37491-2025</t>
        </is>
      </c>
      <c r="B376" s="1" t="n">
        <v>45877.64144675926</v>
      </c>
      <c r="C376" s="1" t="n">
        <v>46116</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37499-2025</t>
        </is>
      </c>
      <c r="B377" s="1" t="n">
        <v>45877.64605324074</v>
      </c>
      <c r="C377" s="1" t="n">
        <v>46116</v>
      </c>
      <c r="D377" t="inlineStr">
        <is>
          <t>ÖREBRO LÄN</t>
        </is>
      </c>
      <c r="E377" t="inlineStr">
        <is>
          <t>LINDESBERG</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37503-2025</t>
        </is>
      </c>
      <c r="B378" s="1" t="n">
        <v>45877.65075231482</v>
      </c>
      <c r="C378" s="1" t="n">
        <v>46116</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37501-2025</t>
        </is>
      </c>
      <c r="B379" s="1" t="n">
        <v>45877.64847222222</v>
      </c>
      <c r="C379" s="1" t="n">
        <v>46116</v>
      </c>
      <c r="D379" t="inlineStr">
        <is>
          <t>ÖREBRO LÄN</t>
        </is>
      </c>
      <c r="E379" t="inlineStr">
        <is>
          <t>LINDESBERG</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4298-2025</t>
        </is>
      </c>
      <c r="B380" s="1" t="n">
        <v>45685</v>
      </c>
      <c r="C380" s="1" t="n">
        <v>46116</v>
      </c>
      <c r="D380" t="inlineStr">
        <is>
          <t>ÖREBRO LÄN</t>
        </is>
      </c>
      <c r="E380" t="inlineStr">
        <is>
          <t>LINDESBERG</t>
        </is>
      </c>
      <c r="G380" t="n">
        <v>13.5</v>
      </c>
      <c r="H380" t="n">
        <v>0</v>
      </c>
      <c r="I380" t="n">
        <v>0</v>
      </c>
      <c r="J380" t="n">
        <v>0</v>
      </c>
      <c r="K380" t="n">
        <v>0</v>
      </c>
      <c r="L380" t="n">
        <v>0</v>
      </c>
      <c r="M380" t="n">
        <v>0</v>
      </c>
      <c r="N380" t="n">
        <v>0</v>
      </c>
      <c r="O380" t="n">
        <v>0</v>
      </c>
      <c r="P380" t="n">
        <v>0</v>
      </c>
      <c r="Q380" t="n">
        <v>0</v>
      </c>
      <c r="R380" s="2" t="inlineStr"/>
    </row>
    <row r="381" ht="15" customHeight="1">
      <c r="A381" t="inlineStr">
        <is>
          <t>A 53597-2024</t>
        </is>
      </c>
      <c r="B381" s="1" t="n">
        <v>45614.68083333333</v>
      </c>
      <c r="C381" s="1" t="n">
        <v>46116</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40357-2025</t>
        </is>
      </c>
      <c r="B382" s="1" t="n">
        <v>45895.48927083334</v>
      </c>
      <c r="C382" s="1" t="n">
        <v>46116</v>
      </c>
      <c r="D382" t="inlineStr">
        <is>
          <t>ÖREBRO LÄN</t>
        </is>
      </c>
      <c r="E382" t="inlineStr">
        <is>
          <t>LINDESBERG</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37500-2025</t>
        </is>
      </c>
      <c r="B383" s="1" t="n">
        <v>45877.64776620371</v>
      </c>
      <c r="C383" s="1" t="n">
        <v>46116</v>
      </c>
      <c r="D383" t="inlineStr">
        <is>
          <t>ÖREBRO LÄN</t>
        </is>
      </c>
      <c r="E383" t="inlineStr">
        <is>
          <t>LINDESBERG</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37301-2025</t>
        </is>
      </c>
      <c r="B384" s="1" t="n">
        <v>45876.59166666667</v>
      </c>
      <c r="C384" s="1" t="n">
        <v>46116</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37492-2025</t>
        </is>
      </c>
      <c r="B385" s="1" t="n">
        <v>45877.64230324074</v>
      </c>
      <c r="C385" s="1" t="n">
        <v>46116</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43081-2021</t>
        </is>
      </c>
      <c r="B386" s="1" t="n">
        <v>44431</v>
      </c>
      <c r="C386" s="1" t="n">
        <v>46116</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32002-2023</t>
        </is>
      </c>
      <c r="B387" s="1" t="n">
        <v>45119.46452546296</v>
      </c>
      <c r="C387" s="1" t="n">
        <v>46116</v>
      </c>
      <c r="D387" t="inlineStr">
        <is>
          <t>ÖREBRO LÄN</t>
        </is>
      </c>
      <c r="E387" t="inlineStr">
        <is>
          <t>LINDESBERG</t>
        </is>
      </c>
      <c r="F387" t="inlineStr">
        <is>
          <t>Kyrkan</t>
        </is>
      </c>
      <c r="G387" t="n">
        <v>0.6</v>
      </c>
      <c r="H387" t="n">
        <v>0</v>
      </c>
      <c r="I387" t="n">
        <v>0</v>
      </c>
      <c r="J387" t="n">
        <v>0</v>
      </c>
      <c r="K387" t="n">
        <v>0</v>
      </c>
      <c r="L387" t="n">
        <v>0</v>
      </c>
      <c r="M387" t="n">
        <v>0</v>
      </c>
      <c r="N387" t="n">
        <v>0</v>
      </c>
      <c r="O387" t="n">
        <v>0</v>
      </c>
      <c r="P387" t="n">
        <v>0</v>
      </c>
      <c r="Q387" t="n">
        <v>0</v>
      </c>
      <c r="R387" s="2" t="inlineStr"/>
    </row>
    <row r="388" ht="15" customHeight="1">
      <c r="A388" t="inlineStr">
        <is>
          <t>A 37837-2025</t>
        </is>
      </c>
      <c r="B388" s="1" t="n">
        <v>45881.42791666667</v>
      </c>
      <c r="C388" s="1" t="n">
        <v>46116</v>
      </c>
      <c r="D388" t="inlineStr">
        <is>
          <t>ÖREBRO LÄN</t>
        </is>
      </c>
      <c r="E388" t="inlineStr">
        <is>
          <t>LINDESBERG</t>
        </is>
      </c>
      <c r="G388" t="n">
        <v>1.3</v>
      </c>
      <c r="H388" t="n">
        <v>0</v>
      </c>
      <c r="I388" t="n">
        <v>0</v>
      </c>
      <c r="J388" t="n">
        <v>0</v>
      </c>
      <c r="K388" t="n">
        <v>0</v>
      </c>
      <c r="L388" t="n">
        <v>0</v>
      </c>
      <c r="M388" t="n">
        <v>0</v>
      </c>
      <c r="N388" t="n">
        <v>0</v>
      </c>
      <c r="O388" t="n">
        <v>0</v>
      </c>
      <c r="P388" t="n">
        <v>0</v>
      </c>
      <c r="Q388" t="n">
        <v>0</v>
      </c>
      <c r="R388" s="2" t="inlineStr"/>
    </row>
    <row r="389" ht="15" customHeight="1">
      <c r="A389" t="inlineStr">
        <is>
          <t>A 37602-2025</t>
        </is>
      </c>
      <c r="B389" s="1" t="n">
        <v>45880</v>
      </c>
      <c r="C389" s="1" t="n">
        <v>46116</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37625-2025</t>
        </is>
      </c>
      <c r="B390" s="1" t="n">
        <v>45880.46056712963</v>
      </c>
      <c r="C390" s="1" t="n">
        <v>46116</v>
      </c>
      <c r="D390" t="inlineStr">
        <is>
          <t>ÖREBRO LÄN</t>
        </is>
      </c>
      <c r="E390" t="inlineStr">
        <is>
          <t>LINDESBERG</t>
        </is>
      </c>
      <c r="G390" t="n">
        <v>12.5</v>
      </c>
      <c r="H390" t="n">
        <v>0</v>
      </c>
      <c r="I390" t="n">
        <v>0</v>
      </c>
      <c r="J390" t="n">
        <v>0</v>
      </c>
      <c r="K390" t="n">
        <v>0</v>
      </c>
      <c r="L390" t="n">
        <v>0</v>
      </c>
      <c r="M390" t="n">
        <v>0</v>
      </c>
      <c r="N390" t="n">
        <v>0</v>
      </c>
      <c r="O390" t="n">
        <v>0</v>
      </c>
      <c r="P390" t="n">
        <v>0</v>
      </c>
      <c r="Q390" t="n">
        <v>0</v>
      </c>
      <c r="R390" s="2" t="inlineStr"/>
    </row>
    <row r="391" ht="15" customHeight="1">
      <c r="A391" t="inlineStr">
        <is>
          <t>A 37552-2025</t>
        </is>
      </c>
      <c r="B391" s="1" t="n">
        <v>45880.28673611111</v>
      </c>
      <c r="C391" s="1" t="n">
        <v>46116</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7661-2024</t>
        </is>
      </c>
      <c r="B392" s="1" t="n">
        <v>45348</v>
      </c>
      <c r="C392" s="1" t="n">
        <v>46116</v>
      </c>
      <c r="D392" t="inlineStr">
        <is>
          <t>ÖREBRO LÄN</t>
        </is>
      </c>
      <c r="E392" t="inlineStr">
        <is>
          <t>LINDESBERG</t>
        </is>
      </c>
      <c r="G392" t="n">
        <v>4.1</v>
      </c>
      <c r="H392" t="n">
        <v>0</v>
      </c>
      <c r="I392" t="n">
        <v>0</v>
      </c>
      <c r="J392" t="n">
        <v>0</v>
      </c>
      <c r="K392" t="n">
        <v>0</v>
      </c>
      <c r="L392" t="n">
        <v>0</v>
      </c>
      <c r="M392" t="n">
        <v>0</v>
      </c>
      <c r="N392" t="n">
        <v>0</v>
      </c>
      <c r="O392" t="n">
        <v>0</v>
      </c>
      <c r="P392" t="n">
        <v>0</v>
      </c>
      <c r="Q392" t="n">
        <v>0</v>
      </c>
      <c r="R392" s="2" t="inlineStr"/>
    </row>
    <row r="393" ht="15" customHeight="1">
      <c r="A393" t="inlineStr">
        <is>
          <t>A 37935-2025</t>
        </is>
      </c>
      <c r="B393" s="1" t="n">
        <v>45881.59550925926</v>
      </c>
      <c r="C393" s="1" t="n">
        <v>46116</v>
      </c>
      <c r="D393" t="inlineStr">
        <is>
          <t>ÖREBRO LÄN</t>
        </is>
      </c>
      <c r="E393" t="inlineStr">
        <is>
          <t>LINDESBERG</t>
        </is>
      </c>
      <c r="G393" t="n">
        <v>5.1</v>
      </c>
      <c r="H393" t="n">
        <v>0</v>
      </c>
      <c r="I393" t="n">
        <v>0</v>
      </c>
      <c r="J393" t="n">
        <v>0</v>
      </c>
      <c r="K393" t="n">
        <v>0</v>
      </c>
      <c r="L393" t="n">
        <v>0</v>
      </c>
      <c r="M393" t="n">
        <v>0</v>
      </c>
      <c r="N393" t="n">
        <v>0</v>
      </c>
      <c r="O393" t="n">
        <v>0</v>
      </c>
      <c r="P393" t="n">
        <v>0</v>
      </c>
      <c r="Q393" t="n">
        <v>0</v>
      </c>
      <c r="R393" s="2" t="inlineStr"/>
    </row>
    <row r="394" ht="15" customHeight="1">
      <c r="A394" t="inlineStr">
        <is>
          <t>A 12278-2025</t>
        </is>
      </c>
      <c r="B394" s="1" t="n">
        <v>45729.65171296296</v>
      </c>
      <c r="C394" s="1" t="n">
        <v>46116</v>
      </c>
      <c r="D394" t="inlineStr">
        <is>
          <t>ÖREBRO LÄN</t>
        </is>
      </c>
      <c r="E394" t="inlineStr">
        <is>
          <t>LINDESBERG</t>
        </is>
      </c>
      <c r="G394" t="n">
        <v>3.2</v>
      </c>
      <c r="H394" t="n">
        <v>0</v>
      </c>
      <c r="I394" t="n">
        <v>0</v>
      </c>
      <c r="J394" t="n">
        <v>0</v>
      </c>
      <c r="K394" t="n">
        <v>0</v>
      </c>
      <c r="L394" t="n">
        <v>0</v>
      </c>
      <c r="M394" t="n">
        <v>0</v>
      </c>
      <c r="N394" t="n">
        <v>0</v>
      </c>
      <c r="O394" t="n">
        <v>0</v>
      </c>
      <c r="P394" t="n">
        <v>0</v>
      </c>
      <c r="Q394" t="n">
        <v>0</v>
      </c>
      <c r="R394" s="2" t="inlineStr"/>
    </row>
    <row r="395" ht="15" customHeight="1">
      <c r="A395" t="inlineStr">
        <is>
          <t>A 37553-2025</t>
        </is>
      </c>
      <c r="B395" s="1" t="n">
        <v>45880.3172337963</v>
      </c>
      <c r="C395" s="1" t="n">
        <v>46116</v>
      </c>
      <c r="D395" t="inlineStr">
        <is>
          <t>ÖREBRO LÄN</t>
        </is>
      </c>
      <c r="E395" t="inlineStr">
        <is>
          <t>LINDESBERG</t>
        </is>
      </c>
      <c r="G395" t="n">
        <v>0.6</v>
      </c>
      <c r="H395" t="n">
        <v>0</v>
      </c>
      <c r="I395" t="n">
        <v>0</v>
      </c>
      <c r="J395" t="n">
        <v>0</v>
      </c>
      <c r="K395" t="n">
        <v>0</v>
      </c>
      <c r="L395" t="n">
        <v>0</v>
      </c>
      <c r="M395" t="n">
        <v>0</v>
      </c>
      <c r="N395" t="n">
        <v>0</v>
      </c>
      <c r="O395" t="n">
        <v>0</v>
      </c>
      <c r="P395" t="n">
        <v>0</v>
      </c>
      <c r="Q395" t="n">
        <v>0</v>
      </c>
      <c r="R395" s="2" t="inlineStr"/>
    </row>
    <row r="396" ht="15" customHeight="1">
      <c r="A396" t="inlineStr">
        <is>
          <t>A 34237-2023</t>
        </is>
      </c>
      <c r="B396" s="1" t="n">
        <v>45138</v>
      </c>
      <c r="C396" s="1" t="n">
        <v>46116</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41340-2025</t>
        </is>
      </c>
      <c r="B397" s="1" t="n">
        <v>45899.38057870371</v>
      </c>
      <c r="C397" s="1" t="n">
        <v>46116</v>
      </c>
      <c r="D397" t="inlineStr">
        <is>
          <t>ÖREBRO LÄN</t>
        </is>
      </c>
      <c r="E397" t="inlineStr">
        <is>
          <t>LINDESBERG</t>
        </is>
      </c>
      <c r="G397" t="n">
        <v>16.5</v>
      </c>
      <c r="H397" t="n">
        <v>0</v>
      </c>
      <c r="I397" t="n">
        <v>0</v>
      </c>
      <c r="J397" t="n">
        <v>0</v>
      </c>
      <c r="K397" t="n">
        <v>0</v>
      </c>
      <c r="L397" t="n">
        <v>0</v>
      </c>
      <c r="M397" t="n">
        <v>0</v>
      </c>
      <c r="N397" t="n">
        <v>0</v>
      </c>
      <c r="O397" t="n">
        <v>0</v>
      </c>
      <c r="P397" t="n">
        <v>0</v>
      </c>
      <c r="Q397" t="n">
        <v>0</v>
      </c>
      <c r="R397" s="2" t="inlineStr"/>
    </row>
    <row r="398" ht="15" customHeight="1">
      <c r="A398" t="inlineStr">
        <is>
          <t>A 41027-2025</t>
        </is>
      </c>
      <c r="B398" s="1" t="n">
        <v>45898.37138888889</v>
      </c>
      <c r="C398" s="1" t="n">
        <v>46116</v>
      </c>
      <c r="D398" t="inlineStr">
        <is>
          <t>ÖREBRO LÄN</t>
        </is>
      </c>
      <c r="E398" t="inlineStr">
        <is>
          <t>LINDESBERG</t>
        </is>
      </c>
      <c r="G398" t="n">
        <v>4.7</v>
      </c>
      <c r="H398" t="n">
        <v>0</v>
      </c>
      <c r="I398" t="n">
        <v>0</v>
      </c>
      <c r="J398" t="n">
        <v>0</v>
      </c>
      <c r="K398" t="n">
        <v>0</v>
      </c>
      <c r="L398" t="n">
        <v>0</v>
      </c>
      <c r="M398" t="n">
        <v>0</v>
      </c>
      <c r="N398" t="n">
        <v>0</v>
      </c>
      <c r="O398" t="n">
        <v>0</v>
      </c>
      <c r="P398" t="n">
        <v>0</v>
      </c>
      <c r="Q398" t="n">
        <v>0</v>
      </c>
      <c r="R398" s="2" t="inlineStr"/>
    </row>
    <row r="399" ht="15" customHeight="1">
      <c r="A399" t="inlineStr">
        <is>
          <t>A 29942-2024</t>
        </is>
      </c>
      <c r="B399" s="1" t="n">
        <v>45488.42258101852</v>
      </c>
      <c r="C399" s="1" t="n">
        <v>46116</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3294-2024</t>
        </is>
      </c>
      <c r="B400" s="1" t="n">
        <v>45316</v>
      </c>
      <c r="C400" s="1" t="n">
        <v>46116</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46116</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14190-2024</t>
        </is>
      </c>
      <c r="B402" s="1" t="n">
        <v>45393.36060185185</v>
      </c>
      <c r="C402" s="1" t="n">
        <v>46116</v>
      </c>
      <c r="D402" t="inlineStr">
        <is>
          <t>ÖREBRO LÄN</t>
        </is>
      </c>
      <c r="E402" t="inlineStr">
        <is>
          <t>LINDESBERG</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41889-2025</t>
        </is>
      </c>
      <c r="B403" s="1" t="n">
        <v>45903.37475694445</v>
      </c>
      <c r="C403" s="1" t="n">
        <v>46116</v>
      </c>
      <c r="D403" t="inlineStr">
        <is>
          <t>ÖREBRO LÄN</t>
        </is>
      </c>
      <c r="E403" t="inlineStr">
        <is>
          <t>LINDESBERG</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41653-2025</t>
        </is>
      </c>
      <c r="B404" s="1" t="n">
        <v>45902.3406712963</v>
      </c>
      <c r="C404" s="1" t="n">
        <v>46116</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51656-2023</t>
        </is>
      </c>
      <c r="B405" s="1" t="n">
        <v>45222</v>
      </c>
      <c r="C405" s="1" t="n">
        <v>46116</v>
      </c>
      <c r="D405" t="inlineStr">
        <is>
          <t>ÖREBRO LÄN</t>
        </is>
      </c>
      <c r="E405" t="inlineStr">
        <is>
          <t>LINDESBERG</t>
        </is>
      </c>
      <c r="G405" t="n">
        <v>1.2</v>
      </c>
      <c r="H405" t="n">
        <v>0</v>
      </c>
      <c r="I405" t="n">
        <v>0</v>
      </c>
      <c r="J405" t="n">
        <v>0</v>
      </c>
      <c r="K405" t="n">
        <v>0</v>
      </c>
      <c r="L405" t="n">
        <v>0</v>
      </c>
      <c r="M405" t="n">
        <v>0</v>
      </c>
      <c r="N405" t="n">
        <v>0</v>
      </c>
      <c r="O405" t="n">
        <v>0</v>
      </c>
      <c r="P405" t="n">
        <v>0</v>
      </c>
      <c r="Q405" t="n">
        <v>0</v>
      </c>
      <c r="R405" s="2" t="inlineStr"/>
    </row>
    <row r="406" ht="15" customHeight="1">
      <c r="A406" t="inlineStr">
        <is>
          <t>A 3732-2023</t>
        </is>
      </c>
      <c r="B406" s="1" t="n">
        <v>44949</v>
      </c>
      <c r="C406" s="1" t="n">
        <v>46116</v>
      </c>
      <c r="D406" t="inlineStr">
        <is>
          <t>ÖREBRO LÄN</t>
        </is>
      </c>
      <c r="E406" t="inlineStr">
        <is>
          <t>LINDESBERG</t>
        </is>
      </c>
      <c r="G406" t="n">
        <v>3.3</v>
      </c>
      <c r="H406" t="n">
        <v>0</v>
      </c>
      <c r="I406" t="n">
        <v>0</v>
      </c>
      <c r="J406" t="n">
        <v>0</v>
      </c>
      <c r="K406" t="n">
        <v>0</v>
      </c>
      <c r="L406" t="n">
        <v>0</v>
      </c>
      <c r="M406" t="n">
        <v>0</v>
      </c>
      <c r="N406" t="n">
        <v>0</v>
      </c>
      <c r="O406" t="n">
        <v>0</v>
      </c>
      <c r="P406" t="n">
        <v>0</v>
      </c>
      <c r="Q406" t="n">
        <v>0</v>
      </c>
      <c r="R406" s="2" t="inlineStr"/>
    </row>
    <row r="407" ht="15" customHeight="1">
      <c r="A407" t="inlineStr">
        <is>
          <t>A 57069-2022</t>
        </is>
      </c>
      <c r="B407" s="1" t="n">
        <v>44895</v>
      </c>
      <c r="C407" s="1" t="n">
        <v>46116</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4067-2024</t>
        </is>
      </c>
      <c r="B408" s="1" t="n">
        <v>45323</v>
      </c>
      <c r="C408" s="1" t="n">
        <v>46116</v>
      </c>
      <c r="D408" t="inlineStr">
        <is>
          <t>ÖREBRO LÄN</t>
        </is>
      </c>
      <c r="E408" t="inlineStr">
        <is>
          <t>LINDESBERG</t>
        </is>
      </c>
      <c r="G408" t="n">
        <v>1</v>
      </c>
      <c r="H408" t="n">
        <v>0</v>
      </c>
      <c r="I408" t="n">
        <v>0</v>
      </c>
      <c r="J408" t="n">
        <v>0</v>
      </c>
      <c r="K408" t="n">
        <v>0</v>
      </c>
      <c r="L408" t="n">
        <v>0</v>
      </c>
      <c r="M408" t="n">
        <v>0</v>
      </c>
      <c r="N408" t="n">
        <v>0</v>
      </c>
      <c r="O408" t="n">
        <v>0</v>
      </c>
      <c r="P408" t="n">
        <v>0</v>
      </c>
      <c r="Q408" t="n">
        <v>0</v>
      </c>
      <c r="R408" s="2" t="inlineStr"/>
    </row>
    <row r="409" ht="15" customHeight="1">
      <c r="A409" t="inlineStr">
        <is>
          <t>A 29500-2023</t>
        </is>
      </c>
      <c r="B409" s="1" t="n">
        <v>45106</v>
      </c>
      <c r="C409" s="1" t="n">
        <v>46116</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38534-2025</t>
        </is>
      </c>
      <c r="B410" s="1" t="n">
        <v>45884</v>
      </c>
      <c r="C410" s="1" t="n">
        <v>46116</v>
      </c>
      <c r="D410" t="inlineStr">
        <is>
          <t>ÖREBRO LÄN</t>
        </is>
      </c>
      <c r="E410" t="inlineStr">
        <is>
          <t>LINDESBERG</t>
        </is>
      </c>
      <c r="G410" t="n">
        <v>4.9</v>
      </c>
      <c r="H410" t="n">
        <v>0</v>
      </c>
      <c r="I410" t="n">
        <v>0</v>
      </c>
      <c r="J410" t="n">
        <v>0</v>
      </c>
      <c r="K410" t="n">
        <v>0</v>
      </c>
      <c r="L410" t="n">
        <v>0</v>
      </c>
      <c r="M410" t="n">
        <v>0</v>
      </c>
      <c r="N410" t="n">
        <v>0</v>
      </c>
      <c r="O410" t="n">
        <v>0</v>
      </c>
      <c r="P410" t="n">
        <v>0</v>
      </c>
      <c r="Q410" t="n">
        <v>0</v>
      </c>
      <c r="R410" s="2" t="inlineStr"/>
    </row>
    <row r="411" ht="15" customHeight="1">
      <c r="A411" t="inlineStr">
        <is>
          <t>A 10823-2023</t>
        </is>
      </c>
      <c r="B411" s="1" t="n">
        <v>44990</v>
      </c>
      <c r="C411" s="1" t="n">
        <v>46116</v>
      </c>
      <c r="D411" t="inlineStr">
        <is>
          <t>ÖREBRO LÄN</t>
        </is>
      </c>
      <c r="E411" t="inlineStr">
        <is>
          <t>LINDESBERG</t>
        </is>
      </c>
      <c r="G411" t="n">
        <v>1.8</v>
      </c>
      <c r="H411" t="n">
        <v>0</v>
      </c>
      <c r="I411" t="n">
        <v>0</v>
      </c>
      <c r="J411" t="n">
        <v>0</v>
      </c>
      <c r="K411" t="n">
        <v>0</v>
      </c>
      <c r="L411" t="n">
        <v>0</v>
      </c>
      <c r="M411" t="n">
        <v>0</v>
      </c>
      <c r="N411" t="n">
        <v>0</v>
      </c>
      <c r="O411" t="n">
        <v>0</v>
      </c>
      <c r="P411" t="n">
        <v>0</v>
      </c>
      <c r="Q411" t="n">
        <v>0</v>
      </c>
      <c r="R411" s="2" t="inlineStr"/>
    </row>
    <row r="412" ht="15" customHeight="1">
      <c r="A412" t="inlineStr">
        <is>
          <t>A 42630-2025</t>
        </is>
      </c>
      <c r="B412" s="1" t="n">
        <v>45905.89143518519</v>
      </c>
      <c r="C412" s="1" t="n">
        <v>46116</v>
      </c>
      <c r="D412" t="inlineStr">
        <is>
          <t>ÖREBRO LÄN</t>
        </is>
      </c>
      <c r="E412" t="inlineStr">
        <is>
          <t>LINDESBERG</t>
        </is>
      </c>
      <c r="F412" t="inlineStr">
        <is>
          <t>Sveaskog</t>
        </is>
      </c>
      <c r="G412" t="n">
        <v>9.9</v>
      </c>
      <c r="H412" t="n">
        <v>0</v>
      </c>
      <c r="I412" t="n">
        <v>0</v>
      </c>
      <c r="J412" t="n">
        <v>0</v>
      </c>
      <c r="K412" t="n">
        <v>0</v>
      </c>
      <c r="L412" t="n">
        <v>0</v>
      </c>
      <c r="M412" t="n">
        <v>0</v>
      </c>
      <c r="N412" t="n">
        <v>0</v>
      </c>
      <c r="O412" t="n">
        <v>0</v>
      </c>
      <c r="P412" t="n">
        <v>0</v>
      </c>
      <c r="Q412" t="n">
        <v>0</v>
      </c>
      <c r="R412" s="2" t="inlineStr"/>
    </row>
    <row r="413" ht="15" customHeight="1">
      <c r="A413" t="inlineStr">
        <is>
          <t>A 8902-2024</t>
        </is>
      </c>
      <c r="B413" s="1" t="n">
        <v>45357.34521990741</v>
      </c>
      <c r="C413" s="1" t="n">
        <v>46116</v>
      </c>
      <c r="D413" t="inlineStr">
        <is>
          <t>ÖREBRO LÄN</t>
        </is>
      </c>
      <c r="E413" t="inlineStr">
        <is>
          <t>LINDESBERG</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42631-2025</t>
        </is>
      </c>
      <c r="B414" s="1" t="n">
        <v>45905.89236111111</v>
      </c>
      <c r="C414" s="1" t="n">
        <v>46116</v>
      </c>
      <c r="D414" t="inlineStr">
        <is>
          <t>ÖREBRO LÄN</t>
        </is>
      </c>
      <c r="E414" t="inlineStr">
        <is>
          <t>LINDESBERG</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40305-2024</t>
        </is>
      </c>
      <c r="B415" s="1" t="n">
        <v>45554.71863425926</v>
      </c>
      <c r="C415" s="1" t="n">
        <v>46116</v>
      </c>
      <c r="D415" t="inlineStr">
        <is>
          <t>ÖREBRO LÄN</t>
        </is>
      </c>
      <c r="E415" t="inlineStr">
        <is>
          <t>LINDESBERG</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19436-2025</t>
        </is>
      </c>
      <c r="B416" s="1" t="n">
        <v>45769.98449074074</v>
      </c>
      <c r="C416" s="1" t="n">
        <v>46116</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42632-2025</t>
        </is>
      </c>
      <c r="B417" s="1" t="n">
        <v>45905.89329861111</v>
      </c>
      <c r="C417" s="1" t="n">
        <v>46116</v>
      </c>
      <c r="D417" t="inlineStr">
        <is>
          <t>ÖREBRO LÄN</t>
        </is>
      </c>
      <c r="E417" t="inlineStr">
        <is>
          <t>LINDESBERG</t>
        </is>
      </c>
      <c r="F417" t="inlineStr">
        <is>
          <t>Sveaskog</t>
        </is>
      </c>
      <c r="G417" t="n">
        <v>6.7</v>
      </c>
      <c r="H417" t="n">
        <v>0</v>
      </c>
      <c r="I417" t="n">
        <v>0</v>
      </c>
      <c r="J417" t="n">
        <v>0</v>
      </c>
      <c r="K417" t="n">
        <v>0</v>
      </c>
      <c r="L417" t="n">
        <v>0</v>
      </c>
      <c r="M417" t="n">
        <v>0</v>
      </c>
      <c r="N417" t="n">
        <v>0</v>
      </c>
      <c r="O417" t="n">
        <v>0</v>
      </c>
      <c r="P417" t="n">
        <v>0</v>
      </c>
      <c r="Q417" t="n">
        <v>0</v>
      </c>
      <c r="R417" s="2" t="inlineStr"/>
    </row>
    <row r="418" ht="15" customHeight="1">
      <c r="A418" t="inlineStr">
        <is>
          <t>A 22829-2023</t>
        </is>
      </c>
      <c r="B418" s="1" t="n">
        <v>45072.42776620371</v>
      </c>
      <c r="C418" s="1" t="n">
        <v>46116</v>
      </c>
      <c r="D418" t="inlineStr">
        <is>
          <t>ÖREBRO LÄN</t>
        </is>
      </c>
      <c r="E418" t="inlineStr">
        <is>
          <t>LINDESBERG</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37843-2025</t>
        </is>
      </c>
      <c r="B419" s="1" t="n">
        <v>45881.43759259259</v>
      </c>
      <c r="C419" s="1" t="n">
        <v>46116</v>
      </c>
      <c r="D419" t="inlineStr">
        <is>
          <t>ÖREBRO LÄN</t>
        </is>
      </c>
      <c r="E419" t="inlineStr">
        <is>
          <t>LINDESBERG</t>
        </is>
      </c>
      <c r="G419" t="n">
        <v>5.2</v>
      </c>
      <c r="H419" t="n">
        <v>0</v>
      </c>
      <c r="I419" t="n">
        <v>0</v>
      </c>
      <c r="J419" t="n">
        <v>0</v>
      </c>
      <c r="K419" t="n">
        <v>0</v>
      </c>
      <c r="L419" t="n">
        <v>0</v>
      </c>
      <c r="M419" t="n">
        <v>0</v>
      </c>
      <c r="N419" t="n">
        <v>0</v>
      </c>
      <c r="O419" t="n">
        <v>0</v>
      </c>
      <c r="P419" t="n">
        <v>0</v>
      </c>
      <c r="Q419" t="n">
        <v>0</v>
      </c>
      <c r="R419" s="2" t="inlineStr"/>
    </row>
    <row r="420" ht="15" customHeight="1">
      <c r="A420" t="inlineStr">
        <is>
          <t>A 28463-2024</t>
        </is>
      </c>
      <c r="B420" s="1" t="n">
        <v>45477.70315972222</v>
      </c>
      <c r="C420" s="1" t="n">
        <v>46116</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15822-2024</t>
        </is>
      </c>
      <c r="B421" s="1" t="n">
        <v>45404.68190972223</v>
      </c>
      <c r="C421" s="1" t="n">
        <v>46116</v>
      </c>
      <c r="D421" t="inlineStr">
        <is>
          <t>ÖREBRO LÄN</t>
        </is>
      </c>
      <c r="E421" t="inlineStr">
        <is>
          <t>LINDESBERG</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38509-2025</t>
        </is>
      </c>
      <c r="B422" s="1" t="n">
        <v>45884.38858796296</v>
      </c>
      <c r="C422" s="1" t="n">
        <v>46116</v>
      </c>
      <c r="D422" t="inlineStr">
        <is>
          <t>ÖREBRO LÄN</t>
        </is>
      </c>
      <c r="E422" t="inlineStr">
        <is>
          <t>LINDESBERG</t>
        </is>
      </c>
      <c r="G422" t="n">
        <v>14.9</v>
      </c>
      <c r="H422" t="n">
        <v>0</v>
      </c>
      <c r="I422" t="n">
        <v>0</v>
      </c>
      <c r="J422" t="n">
        <v>0</v>
      </c>
      <c r="K422" t="n">
        <v>0</v>
      </c>
      <c r="L422" t="n">
        <v>0</v>
      </c>
      <c r="M422" t="n">
        <v>0</v>
      </c>
      <c r="N422" t="n">
        <v>0</v>
      </c>
      <c r="O422" t="n">
        <v>0</v>
      </c>
      <c r="P422" t="n">
        <v>0</v>
      </c>
      <c r="Q422" t="n">
        <v>0</v>
      </c>
      <c r="R422" s="2" t="inlineStr"/>
    </row>
    <row r="423" ht="15" customHeight="1">
      <c r="A423" t="inlineStr">
        <is>
          <t>A 59052-2023</t>
        </is>
      </c>
      <c r="B423" s="1" t="n">
        <v>45252.78021990741</v>
      </c>
      <c r="C423" s="1" t="n">
        <v>46116</v>
      </c>
      <c r="D423" t="inlineStr">
        <is>
          <t>ÖREBRO LÄN</t>
        </is>
      </c>
      <c r="E423" t="inlineStr">
        <is>
          <t>LINDESBERG</t>
        </is>
      </c>
      <c r="G423" t="n">
        <v>4.2</v>
      </c>
      <c r="H423" t="n">
        <v>0</v>
      </c>
      <c r="I423" t="n">
        <v>0</v>
      </c>
      <c r="J423" t="n">
        <v>0</v>
      </c>
      <c r="K423" t="n">
        <v>0</v>
      </c>
      <c r="L423" t="n">
        <v>0</v>
      </c>
      <c r="M423" t="n">
        <v>0</v>
      </c>
      <c r="N423" t="n">
        <v>0</v>
      </c>
      <c r="O423" t="n">
        <v>0</v>
      </c>
      <c r="P423" t="n">
        <v>0</v>
      </c>
      <c r="Q423" t="n">
        <v>0</v>
      </c>
      <c r="R423" s="2" t="inlineStr"/>
    </row>
    <row r="424" ht="15" customHeight="1">
      <c r="A424" t="inlineStr">
        <is>
          <t>A 2107-2022</t>
        </is>
      </c>
      <c r="B424" s="1" t="n">
        <v>44577.83484953704</v>
      </c>
      <c r="C424" s="1" t="n">
        <v>46116</v>
      </c>
      <c r="D424" t="inlineStr">
        <is>
          <t>ÖREBRO LÄN</t>
        </is>
      </c>
      <c r="E424" t="inlineStr">
        <is>
          <t>LINDESBERG</t>
        </is>
      </c>
      <c r="G424" t="n">
        <v>2.9</v>
      </c>
      <c r="H424" t="n">
        <v>0</v>
      </c>
      <c r="I424" t="n">
        <v>0</v>
      </c>
      <c r="J424" t="n">
        <v>0</v>
      </c>
      <c r="K424" t="n">
        <v>0</v>
      </c>
      <c r="L424" t="n">
        <v>0</v>
      </c>
      <c r="M424" t="n">
        <v>0</v>
      </c>
      <c r="N424" t="n">
        <v>0</v>
      </c>
      <c r="O424" t="n">
        <v>0</v>
      </c>
      <c r="P424" t="n">
        <v>0</v>
      </c>
      <c r="Q424" t="n">
        <v>0</v>
      </c>
      <c r="R424" s="2" t="inlineStr"/>
    </row>
    <row r="425" ht="15" customHeight="1">
      <c r="A425" t="inlineStr">
        <is>
          <t>A 43847-2025</t>
        </is>
      </c>
      <c r="B425" s="1" t="n">
        <v>45912.63751157407</v>
      </c>
      <c r="C425" s="1" t="n">
        <v>46116</v>
      </c>
      <c r="D425" t="inlineStr">
        <is>
          <t>ÖREBRO LÄN</t>
        </is>
      </c>
      <c r="E425" t="inlineStr">
        <is>
          <t>LINDESBERG</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23603-2023</t>
        </is>
      </c>
      <c r="B426" s="1" t="n">
        <v>45077</v>
      </c>
      <c r="C426" s="1" t="n">
        <v>46116</v>
      </c>
      <c r="D426" t="inlineStr">
        <is>
          <t>ÖREBRO LÄN</t>
        </is>
      </c>
      <c r="E426" t="inlineStr">
        <is>
          <t>LINDESBERG</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23607-2023</t>
        </is>
      </c>
      <c r="B427" s="1" t="n">
        <v>45077</v>
      </c>
      <c r="C427" s="1" t="n">
        <v>46116</v>
      </c>
      <c r="D427" t="inlineStr">
        <is>
          <t>ÖREBRO LÄN</t>
        </is>
      </c>
      <c r="E427" t="inlineStr">
        <is>
          <t>LINDESBERG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23612-2023</t>
        </is>
      </c>
      <c r="B428" s="1" t="n">
        <v>45077</v>
      </c>
      <c r="C428" s="1" t="n">
        <v>46116</v>
      </c>
      <c r="D428" t="inlineStr">
        <is>
          <t>ÖREBRO LÄN</t>
        </is>
      </c>
      <c r="E428" t="inlineStr">
        <is>
          <t>LINDESBERG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46116</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44041-2025</t>
        </is>
      </c>
      <c r="B430" s="1" t="n">
        <v>45915.49238425926</v>
      </c>
      <c r="C430" s="1" t="n">
        <v>46116</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43837-2025</t>
        </is>
      </c>
      <c r="B431" s="1" t="n">
        <v>45912.63451388889</v>
      </c>
      <c r="C431" s="1" t="n">
        <v>46116</v>
      </c>
      <c r="D431" t="inlineStr">
        <is>
          <t>ÖREBRO LÄN</t>
        </is>
      </c>
      <c r="E431" t="inlineStr">
        <is>
          <t>LINDESBERG</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43836-2025</t>
        </is>
      </c>
      <c r="B432" s="1" t="n">
        <v>45912.63359953704</v>
      </c>
      <c r="C432" s="1" t="n">
        <v>46116</v>
      </c>
      <c r="D432" t="inlineStr">
        <is>
          <t>ÖREBRO LÄN</t>
        </is>
      </c>
      <c r="E432" t="inlineStr">
        <is>
          <t>LINDESBERG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23641-2024</t>
        </is>
      </c>
      <c r="B433" s="1" t="n">
        <v>45454.49679398148</v>
      </c>
      <c r="C433" s="1" t="n">
        <v>46116</v>
      </c>
      <c r="D433" t="inlineStr">
        <is>
          <t>ÖREBRO LÄN</t>
        </is>
      </c>
      <c r="E433" t="inlineStr">
        <is>
          <t>LINDESBERG</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46219-2022</t>
        </is>
      </c>
      <c r="B434" s="1" t="n">
        <v>44846</v>
      </c>
      <c r="C434" s="1" t="n">
        <v>46116</v>
      </c>
      <c r="D434" t="inlineStr">
        <is>
          <t>ÖREBRO LÄN</t>
        </is>
      </c>
      <c r="E434" t="inlineStr">
        <is>
          <t>LINDESBERG</t>
        </is>
      </c>
      <c r="G434" t="n">
        <v>6</v>
      </c>
      <c r="H434" t="n">
        <v>0</v>
      </c>
      <c r="I434" t="n">
        <v>0</v>
      </c>
      <c r="J434" t="n">
        <v>0</v>
      </c>
      <c r="K434" t="n">
        <v>0</v>
      </c>
      <c r="L434" t="n">
        <v>0</v>
      </c>
      <c r="M434" t="n">
        <v>0</v>
      </c>
      <c r="N434" t="n">
        <v>0</v>
      </c>
      <c r="O434" t="n">
        <v>0</v>
      </c>
      <c r="P434" t="n">
        <v>0</v>
      </c>
      <c r="Q434" t="n">
        <v>0</v>
      </c>
      <c r="R434" s="2" t="inlineStr"/>
    </row>
    <row r="435" ht="15" customHeight="1">
      <c r="A435" t="inlineStr">
        <is>
          <t>A 44067-2025</t>
        </is>
      </c>
      <c r="B435" s="1" t="n">
        <v>45915.54439814815</v>
      </c>
      <c r="C435" s="1" t="n">
        <v>46116</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44545-2025</t>
        </is>
      </c>
      <c r="B436" s="1" t="n">
        <v>45917.31780092593</v>
      </c>
      <c r="C436" s="1" t="n">
        <v>46116</v>
      </c>
      <c r="D436" t="inlineStr">
        <is>
          <t>ÖREBRO LÄN</t>
        </is>
      </c>
      <c r="E436" t="inlineStr">
        <is>
          <t>LINDESBERG</t>
        </is>
      </c>
      <c r="F436" t="inlineStr">
        <is>
          <t>Kommuner</t>
        </is>
      </c>
      <c r="G436" t="n">
        <v>2.3</v>
      </c>
      <c r="H436" t="n">
        <v>0</v>
      </c>
      <c r="I436" t="n">
        <v>0</v>
      </c>
      <c r="J436" t="n">
        <v>0</v>
      </c>
      <c r="K436" t="n">
        <v>0</v>
      </c>
      <c r="L436" t="n">
        <v>0</v>
      </c>
      <c r="M436" t="n">
        <v>0</v>
      </c>
      <c r="N436" t="n">
        <v>0</v>
      </c>
      <c r="O436" t="n">
        <v>0</v>
      </c>
      <c r="P436" t="n">
        <v>0</v>
      </c>
      <c r="Q436" t="n">
        <v>0</v>
      </c>
      <c r="R436" s="2" t="inlineStr"/>
    </row>
    <row r="437" ht="15" customHeight="1">
      <c r="A437" t="inlineStr">
        <is>
          <t>A 10057-2025</t>
        </is>
      </c>
      <c r="B437" s="1" t="n">
        <v>45719.52871527777</v>
      </c>
      <c r="C437" s="1" t="n">
        <v>46116</v>
      </c>
      <c r="D437" t="inlineStr">
        <is>
          <t>ÖREBRO LÄN</t>
        </is>
      </c>
      <c r="E437" t="inlineStr">
        <is>
          <t>LINDESBERG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46116</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5358-2022</t>
        </is>
      </c>
      <c r="B439" s="1" t="n">
        <v>44594.84091435185</v>
      </c>
      <c r="C439" s="1" t="n">
        <v>46116</v>
      </c>
      <c r="D439" t="inlineStr">
        <is>
          <t>ÖREBRO LÄN</t>
        </is>
      </c>
      <c r="E439" t="inlineStr">
        <is>
          <t>LINDESBERG</t>
        </is>
      </c>
      <c r="G439" t="n">
        <v>2.8</v>
      </c>
      <c r="H439" t="n">
        <v>0</v>
      </c>
      <c r="I439" t="n">
        <v>0</v>
      </c>
      <c r="J439" t="n">
        <v>0</v>
      </c>
      <c r="K439" t="n">
        <v>0</v>
      </c>
      <c r="L439" t="n">
        <v>0</v>
      </c>
      <c r="M439" t="n">
        <v>0</v>
      </c>
      <c r="N439" t="n">
        <v>0</v>
      </c>
      <c r="O439" t="n">
        <v>0</v>
      </c>
      <c r="P439" t="n">
        <v>0</v>
      </c>
      <c r="Q439" t="n">
        <v>0</v>
      </c>
      <c r="R439" s="2" t="inlineStr"/>
    </row>
    <row r="440" ht="15" customHeight="1">
      <c r="A440" t="inlineStr">
        <is>
          <t>A 60943-2024</t>
        </is>
      </c>
      <c r="B440" s="1" t="n">
        <v>45645.3737962963</v>
      </c>
      <c r="C440" s="1" t="n">
        <v>46116</v>
      </c>
      <c r="D440" t="inlineStr">
        <is>
          <t>ÖREBRO LÄN</t>
        </is>
      </c>
      <c r="E440" t="inlineStr">
        <is>
          <t>LINDESBERG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41948-2023</t>
        </is>
      </c>
      <c r="B441" s="1" t="n">
        <v>45177.33091435185</v>
      </c>
      <c r="C441" s="1" t="n">
        <v>46116</v>
      </c>
      <c r="D441" t="inlineStr">
        <is>
          <t>ÖREBRO LÄN</t>
        </is>
      </c>
      <c r="E441" t="inlineStr">
        <is>
          <t>LINDESBERG</t>
        </is>
      </c>
      <c r="F441" t="inlineStr">
        <is>
          <t>Kyrkan</t>
        </is>
      </c>
      <c r="G441" t="n">
        <v>1.4</v>
      </c>
      <c r="H441" t="n">
        <v>0</v>
      </c>
      <c r="I441" t="n">
        <v>0</v>
      </c>
      <c r="J441" t="n">
        <v>0</v>
      </c>
      <c r="K441" t="n">
        <v>0</v>
      </c>
      <c r="L441" t="n">
        <v>0</v>
      </c>
      <c r="M441" t="n">
        <v>0</v>
      </c>
      <c r="N441" t="n">
        <v>0</v>
      </c>
      <c r="O441" t="n">
        <v>0</v>
      </c>
      <c r="P441" t="n">
        <v>0</v>
      </c>
      <c r="Q441" t="n">
        <v>0</v>
      </c>
      <c r="R441" s="2" t="inlineStr"/>
    </row>
    <row r="442" ht="15" customHeight="1">
      <c r="A442" t="inlineStr">
        <is>
          <t>A 44804-2024</t>
        </is>
      </c>
      <c r="B442" s="1" t="n">
        <v>45574.65189814815</v>
      </c>
      <c r="C442" s="1" t="n">
        <v>46116</v>
      </c>
      <c r="D442" t="inlineStr">
        <is>
          <t>ÖREBRO LÄN</t>
        </is>
      </c>
      <c r="E442" t="inlineStr">
        <is>
          <t>LINDESBERG</t>
        </is>
      </c>
      <c r="F442" t="inlineStr">
        <is>
          <t>Sveaskog</t>
        </is>
      </c>
      <c r="G442" t="n">
        <v>5.7</v>
      </c>
      <c r="H442" t="n">
        <v>0</v>
      </c>
      <c r="I442" t="n">
        <v>0</v>
      </c>
      <c r="J442" t="n">
        <v>0</v>
      </c>
      <c r="K442" t="n">
        <v>0</v>
      </c>
      <c r="L442" t="n">
        <v>0</v>
      </c>
      <c r="M442" t="n">
        <v>0</v>
      </c>
      <c r="N442" t="n">
        <v>0</v>
      </c>
      <c r="O442" t="n">
        <v>0</v>
      </c>
      <c r="P442" t="n">
        <v>0</v>
      </c>
      <c r="Q442" t="n">
        <v>0</v>
      </c>
      <c r="R442" s="2" t="inlineStr"/>
    </row>
    <row r="443" ht="15" customHeight="1">
      <c r="A443" t="inlineStr">
        <is>
          <t>A 26778-2023</t>
        </is>
      </c>
      <c r="B443" s="1" t="n">
        <v>45093.48221064815</v>
      </c>
      <c r="C443" s="1" t="n">
        <v>46116</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19392-2025</t>
        </is>
      </c>
      <c r="B444" s="1" t="n">
        <v>45769.66260416667</v>
      </c>
      <c r="C444" s="1" t="n">
        <v>46116</v>
      </c>
      <c r="D444" t="inlineStr">
        <is>
          <t>ÖREBRO LÄN</t>
        </is>
      </c>
      <c r="E444" t="inlineStr">
        <is>
          <t>LINDESBERG</t>
        </is>
      </c>
      <c r="G444" t="n">
        <v>6.5</v>
      </c>
      <c r="H444" t="n">
        <v>0</v>
      </c>
      <c r="I444" t="n">
        <v>0</v>
      </c>
      <c r="J444" t="n">
        <v>0</v>
      </c>
      <c r="K444" t="n">
        <v>0</v>
      </c>
      <c r="L444" t="n">
        <v>0</v>
      </c>
      <c r="M444" t="n">
        <v>0</v>
      </c>
      <c r="N444" t="n">
        <v>0</v>
      </c>
      <c r="O444" t="n">
        <v>0</v>
      </c>
      <c r="P444" t="n">
        <v>0</v>
      </c>
      <c r="Q444" t="n">
        <v>0</v>
      </c>
      <c r="R444" s="2" t="inlineStr"/>
    </row>
    <row r="445" ht="15" customHeight="1">
      <c r="A445" t="inlineStr">
        <is>
          <t>A 61597-2023</t>
        </is>
      </c>
      <c r="B445" s="1" t="n">
        <v>45265.49225694445</v>
      </c>
      <c r="C445" s="1" t="n">
        <v>46116</v>
      </c>
      <c r="D445" t="inlineStr">
        <is>
          <t>ÖREBRO LÄN</t>
        </is>
      </c>
      <c r="E445" t="inlineStr">
        <is>
          <t>LINDESBERG</t>
        </is>
      </c>
      <c r="G445" t="n">
        <v>10.3</v>
      </c>
      <c r="H445" t="n">
        <v>0</v>
      </c>
      <c r="I445" t="n">
        <v>0</v>
      </c>
      <c r="J445" t="n">
        <v>0</v>
      </c>
      <c r="K445" t="n">
        <v>0</v>
      </c>
      <c r="L445" t="n">
        <v>0</v>
      </c>
      <c r="M445" t="n">
        <v>0</v>
      </c>
      <c r="N445" t="n">
        <v>0</v>
      </c>
      <c r="O445" t="n">
        <v>0</v>
      </c>
      <c r="P445" t="n">
        <v>0</v>
      </c>
      <c r="Q445" t="n">
        <v>0</v>
      </c>
      <c r="R445" s="2" t="inlineStr"/>
    </row>
    <row r="446" ht="15" customHeight="1">
      <c r="A446" t="inlineStr">
        <is>
          <t>A 7211-2024</t>
        </is>
      </c>
      <c r="B446" s="1" t="n">
        <v>45344.623125</v>
      </c>
      <c r="C446" s="1" t="n">
        <v>46116</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41582-2021</t>
        </is>
      </c>
      <c r="B447" s="1" t="n">
        <v>44425.40297453704</v>
      </c>
      <c r="C447" s="1" t="n">
        <v>46116</v>
      </c>
      <c r="D447" t="inlineStr">
        <is>
          <t>ÖREBRO LÄN</t>
        </is>
      </c>
      <c r="E447" t="inlineStr">
        <is>
          <t>LINDESBERG</t>
        </is>
      </c>
      <c r="F447" t="inlineStr">
        <is>
          <t>Sveaskog</t>
        </is>
      </c>
      <c r="G447" t="n">
        <v>5.2</v>
      </c>
      <c r="H447" t="n">
        <v>0</v>
      </c>
      <c r="I447" t="n">
        <v>0</v>
      </c>
      <c r="J447" t="n">
        <v>0</v>
      </c>
      <c r="K447" t="n">
        <v>0</v>
      </c>
      <c r="L447" t="n">
        <v>0</v>
      </c>
      <c r="M447" t="n">
        <v>0</v>
      </c>
      <c r="N447" t="n">
        <v>0</v>
      </c>
      <c r="O447" t="n">
        <v>0</v>
      </c>
      <c r="P447" t="n">
        <v>0</v>
      </c>
      <c r="Q447" t="n">
        <v>0</v>
      </c>
      <c r="R447" s="2" t="inlineStr"/>
    </row>
    <row r="448" ht="15" customHeight="1">
      <c r="A448" t="inlineStr">
        <is>
          <t>A 6511-2025</t>
        </is>
      </c>
      <c r="B448" s="1" t="n">
        <v>45699.65424768518</v>
      </c>
      <c r="C448" s="1" t="n">
        <v>46116</v>
      </c>
      <c r="D448" t="inlineStr">
        <is>
          <t>ÖREBRO LÄN</t>
        </is>
      </c>
      <c r="E448" t="inlineStr">
        <is>
          <t>LINDESBERG</t>
        </is>
      </c>
      <c r="G448" t="n">
        <v>9.1</v>
      </c>
      <c r="H448" t="n">
        <v>0</v>
      </c>
      <c r="I448" t="n">
        <v>0</v>
      </c>
      <c r="J448" t="n">
        <v>0</v>
      </c>
      <c r="K448" t="n">
        <v>0</v>
      </c>
      <c r="L448" t="n">
        <v>0</v>
      </c>
      <c r="M448" t="n">
        <v>0</v>
      </c>
      <c r="N448" t="n">
        <v>0</v>
      </c>
      <c r="O448" t="n">
        <v>0</v>
      </c>
      <c r="P448" t="n">
        <v>0</v>
      </c>
      <c r="Q448" t="n">
        <v>0</v>
      </c>
      <c r="R448" s="2" t="inlineStr"/>
    </row>
    <row r="449" ht="15" customHeight="1">
      <c r="A449" t="inlineStr">
        <is>
          <t>A 38460-2024</t>
        </is>
      </c>
      <c r="B449" s="1" t="n">
        <v>45546.46497685185</v>
      </c>
      <c r="C449" s="1" t="n">
        <v>46116</v>
      </c>
      <c r="D449" t="inlineStr">
        <is>
          <t>ÖREBRO LÄN</t>
        </is>
      </c>
      <c r="E449" t="inlineStr">
        <is>
          <t>LINDESBERG</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46404-2025</t>
        </is>
      </c>
      <c r="B450" s="1" t="n">
        <v>45925.56173611111</v>
      </c>
      <c r="C450" s="1" t="n">
        <v>46116</v>
      </c>
      <c r="D450" t="inlineStr">
        <is>
          <t>ÖREBRO LÄN</t>
        </is>
      </c>
      <c r="E450" t="inlineStr">
        <is>
          <t>LINDESBERG</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48265-2021</t>
        </is>
      </c>
      <c r="B451" s="1" t="n">
        <v>44449</v>
      </c>
      <c r="C451" s="1" t="n">
        <v>46116</v>
      </c>
      <c r="D451" t="inlineStr">
        <is>
          <t>ÖREBRO LÄN</t>
        </is>
      </c>
      <c r="E451" t="inlineStr">
        <is>
          <t>LINDESBERG</t>
        </is>
      </c>
      <c r="G451" t="n">
        <v>23.7</v>
      </c>
      <c r="H451" t="n">
        <v>0</v>
      </c>
      <c r="I451" t="n">
        <v>0</v>
      </c>
      <c r="J451" t="n">
        <v>0</v>
      </c>
      <c r="K451" t="n">
        <v>0</v>
      </c>
      <c r="L451" t="n">
        <v>0</v>
      </c>
      <c r="M451" t="n">
        <v>0</v>
      </c>
      <c r="N451" t="n">
        <v>0</v>
      </c>
      <c r="O451" t="n">
        <v>0</v>
      </c>
      <c r="P451" t="n">
        <v>0</v>
      </c>
      <c r="Q451" t="n">
        <v>0</v>
      </c>
      <c r="R451" s="2" t="inlineStr"/>
    </row>
    <row r="452" ht="15" customHeight="1">
      <c r="A452" t="inlineStr">
        <is>
          <t>A 67016-2021</t>
        </is>
      </c>
      <c r="B452" s="1" t="n">
        <v>44522</v>
      </c>
      <c r="C452" s="1" t="n">
        <v>46116</v>
      </c>
      <c r="D452" t="inlineStr">
        <is>
          <t>ÖREBRO LÄN</t>
        </is>
      </c>
      <c r="E452" t="inlineStr">
        <is>
          <t>LINDESBERG</t>
        </is>
      </c>
      <c r="G452" t="n">
        <v>8</v>
      </c>
      <c r="H452" t="n">
        <v>0</v>
      </c>
      <c r="I452" t="n">
        <v>0</v>
      </c>
      <c r="J452" t="n">
        <v>0</v>
      </c>
      <c r="K452" t="n">
        <v>0</v>
      </c>
      <c r="L452" t="n">
        <v>0</v>
      </c>
      <c r="M452" t="n">
        <v>0</v>
      </c>
      <c r="N452" t="n">
        <v>0</v>
      </c>
      <c r="O452" t="n">
        <v>0</v>
      </c>
      <c r="P452" t="n">
        <v>0</v>
      </c>
      <c r="Q452" t="n">
        <v>0</v>
      </c>
      <c r="R452" s="2" t="inlineStr"/>
    </row>
    <row r="453" ht="15" customHeight="1">
      <c r="A453" t="inlineStr">
        <is>
          <t>A 46484-2025</t>
        </is>
      </c>
      <c r="B453" s="1" t="n">
        <v>45925.70290509259</v>
      </c>
      <c r="C453" s="1" t="n">
        <v>46116</v>
      </c>
      <c r="D453" t="inlineStr">
        <is>
          <t>ÖREBRO LÄN</t>
        </is>
      </c>
      <c r="E453" t="inlineStr">
        <is>
          <t>LINDESBERG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7026-2024</t>
        </is>
      </c>
      <c r="B454" s="1" t="n">
        <v>45343.58587962963</v>
      </c>
      <c r="C454" s="1" t="n">
        <v>46116</v>
      </c>
      <c r="D454" t="inlineStr">
        <is>
          <t>ÖREBRO LÄN</t>
        </is>
      </c>
      <c r="E454" t="inlineStr">
        <is>
          <t>LINDESBERG</t>
        </is>
      </c>
      <c r="G454" t="n">
        <v>2.4</v>
      </c>
      <c r="H454" t="n">
        <v>0</v>
      </c>
      <c r="I454" t="n">
        <v>0</v>
      </c>
      <c r="J454" t="n">
        <v>0</v>
      </c>
      <c r="K454" t="n">
        <v>0</v>
      </c>
      <c r="L454" t="n">
        <v>0</v>
      </c>
      <c r="M454" t="n">
        <v>0</v>
      </c>
      <c r="N454" t="n">
        <v>0</v>
      </c>
      <c r="O454" t="n">
        <v>0</v>
      </c>
      <c r="P454" t="n">
        <v>0</v>
      </c>
      <c r="Q454" t="n">
        <v>0</v>
      </c>
      <c r="R454" s="2" t="inlineStr"/>
    </row>
    <row r="455" ht="15" customHeight="1">
      <c r="A455" t="inlineStr">
        <is>
          <t>A 4013-2025</t>
        </is>
      </c>
      <c r="B455" s="1" t="n">
        <v>45684.5790162037</v>
      </c>
      <c r="C455" s="1" t="n">
        <v>46116</v>
      </c>
      <c r="D455" t="inlineStr">
        <is>
          <t>ÖREBRO LÄN</t>
        </is>
      </c>
      <c r="E455" t="inlineStr">
        <is>
          <t>LINDESBERG</t>
        </is>
      </c>
      <c r="G455" t="n">
        <v>0.9</v>
      </c>
      <c r="H455" t="n">
        <v>0</v>
      </c>
      <c r="I455" t="n">
        <v>0</v>
      </c>
      <c r="J455" t="n">
        <v>0</v>
      </c>
      <c r="K455" t="n">
        <v>0</v>
      </c>
      <c r="L455" t="n">
        <v>0</v>
      </c>
      <c r="M455" t="n">
        <v>0</v>
      </c>
      <c r="N455" t="n">
        <v>0</v>
      </c>
      <c r="O455" t="n">
        <v>0</v>
      </c>
      <c r="P455" t="n">
        <v>0</v>
      </c>
      <c r="Q455" t="n">
        <v>0</v>
      </c>
      <c r="R455" s="2" t="inlineStr"/>
    </row>
    <row r="456" ht="15" customHeight="1">
      <c r="A456" t="inlineStr">
        <is>
          <t>A 33978-2023</t>
        </is>
      </c>
      <c r="B456" s="1" t="n">
        <v>45134.68158564815</v>
      </c>
      <c r="C456" s="1" t="n">
        <v>46116</v>
      </c>
      <c r="D456" t="inlineStr">
        <is>
          <t>ÖREBRO LÄN</t>
        </is>
      </c>
      <c r="E456" t="inlineStr">
        <is>
          <t>LINDESBERG</t>
        </is>
      </c>
      <c r="G456" t="n">
        <v>4.1</v>
      </c>
      <c r="H456" t="n">
        <v>0</v>
      </c>
      <c r="I456" t="n">
        <v>0</v>
      </c>
      <c r="J456" t="n">
        <v>0</v>
      </c>
      <c r="K456" t="n">
        <v>0</v>
      </c>
      <c r="L456" t="n">
        <v>0</v>
      </c>
      <c r="M456" t="n">
        <v>0</v>
      </c>
      <c r="N456" t="n">
        <v>0</v>
      </c>
      <c r="O456" t="n">
        <v>0</v>
      </c>
      <c r="P456" t="n">
        <v>0</v>
      </c>
      <c r="Q456" t="n">
        <v>0</v>
      </c>
      <c r="R456" s="2" t="inlineStr"/>
    </row>
    <row r="457" ht="15" customHeight="1">
      <c r="A457" t="inlineStr">
        <is>
          <t>A 55272-2023</t>
        </is>
      </c>
      <c r="B457" s="1" t="n">
        <v>45237.67819444444</v>
      </c>
      <c r="C457" s="1" t="n">
        <v>46116</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12307-2025</t>
        </is>
      </c>
      <c r="B458" s="1" t="n">
        <v>45729.76231481481</v>
      </c>
      <c r="C458" s="1" t="n">
        <v>46116</v>
      </c>
      <c r="D458" t="inlineStr">
        <is>
          <t>ÖREBRO LÄN</t>
        </is>
      </c>
      <c r="E458" t="inlineStr">
        <is>
          <t>LINDESBERG</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15852-2025</t>
        </is>
      </c>
      <c r="B459" s="1" t="n">
        <v>45749</v>
      </c>
      <c r="C459" s="1" t="n">
        <v>46116</v>
      </c>
      <c r="D459" t="inlineStr">
        <is>
          <t>ÖREBRO LÄN</t>
        </is>
      </c>
      <c r="E459" t="inlineStr">
        <is>
          <t>LINDESBERG</t>
        </is>
      </c>
      <c r="G459" t="n">
        <v>8.9</v>
      </c>
      <c r="H459" t="n">
        <v>0</v>
      </c>
      <c r="I459" t="n">
        <v>0</v>
      </c>
      <c r="J459" t="n">
        <v>0</v>
      </c>
      <c r="K459" t="n">
        <v>0</v>
      </c>
      <c r="L459" t="n">
        <v>0</v>
      </c>
      <c r="M459" t="n">
        <v>0</v>
      </c>
      <c r="N459" t="n">
        <v>0</v>
      </c>
      <c r="O459" t="n">
        <v>0</v>
      </c>
      <c r="P459" t="n">
        <v>0</v>
      </c>
      <c r="Q459" t="n">
        <v>0</v>
      </c>
      <c r="R459" s="2" t="inlineStr"/>
    </row>
    <row r="460" ht="15" customHeight="1">
      <c r="A460" t="inlineStr">
        <is>
          <t>A 8834-2023</t>
        </is>
      </c>
      <c r="B460" s="1" t="n">
        <v>44978</v>
      </c>
      <c r="C460" s="1" t="n">
        <v>46116</v>
      </c>
      <c r="D460" t="inlineStr">
        <is>
          <t>ÖREBRO LÄN</t>
        </is>
      </c>
      <c r="E460" t="inlineStr">
        <is>
          <t>LINDESBERG</t>
        </is>
      </c>
      <c r="G460" t="n">
        <v>0.5</v>
      </c>
      <c r="H460" t="n">
        <v>0</v>
      </c>
      <c r="I460" t="n">
        <v>0</v>
      </c>
      <c r="J460" t="n">
        <v>0</v>
      </c>
      <c r="K460" t="n">
        <v>0</v>
      </c>
      <c r="L460" t="n">
        <v>0</v>
      </c>
      <c r="M460" t="n">
        <v>0</v>
      </c>
      <c r="N460" t="n">
        <v>0</v>
      </c>
      <c r="O460" t="n">
        <v>0</v>
      </c>
      <c r="P460" t="n">
        <v>0</v>
      </c>
      <c r="Q460" t="n">
        <v>0</v>
      </c>
      <c r="R460" s="2" t="inlineStr"/>
    </row>
    <row r="461" ht="15" customHeight="1">
      <c r="A461" t="inlineStr">
        <is>
          <t>A 51071-2022</t>
        </is>
      </c>
      <c r="B461" s="1" t="n">
        <v>44868.36924768519</v>
      </c>
      <c r="C461" s="1" t="n">
        <v>46116</v>
      </c>
      <c r="D461" t="inlineStr">
        <is>
          <t>ÖREBRO LÄN</t>
        </is>
      </c>
      <c r="E461" t="inlineStr">
        <is>
          <t>LINDESBERG</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60926-2024</t>
        </is>
      </c>
      <c r="B462" s="1" t="n">
        <v>45645</v>
      </c>
      <c r="C462" s="1" t="n">
        <v>46116</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1383-2025</t>
        </is>
      </c>
      <c r="B463" s="1" t="n">
        <v>45667</v>
      </c>
      <c r="C463" s="1" t="n">
        <v>46116</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46757-2025</t>
        </is>
      </c>
      <c r="B464" s="1" t="n">
        <v>45926.62039351852</v>
      </c>
      <c r="C464" s="1" t="n">
        <v>46116</v>
      </c>
      <c r="D464" t="inlineStr">
        <is>
          <t>ÖREBRO LÄN</t>
        </is>
      </c>
      <c r="E464" t="inlineStr">
        <is>
          <t>LINDESBERG</t>
        </is>
      </c>
      <c r="G464" t="n">
        <v>7.9</v>
      </c>
      <c r="H464" t="n">
        <v>0</v>
      </c>
      <c r="I464" t="n">
        <v>0</v>
      </c>
      <c r="J464" t="n">
        <v>0</v>
      </c>
      <c r="K464" t="n">
        <v>0</v>
      </c>
      <c r="L464" t="n">
        <v>0</v>
      </c>
      <c r="M464" t="n">
        <v>0</v>
      </c>
      <c r="N464" t="n">
        <v>0</v>
      </c>
      <c r="O464" t="n">
        <v>0</v>
      </c>
      <c r="P464" t="n">
        <v>0</v>
      </c>
      <c r="Q464" t="n">
        <v>0</v>
      </c>
      <c r="R464" s="2" t="inlineStr"/>
    </row>
    <row r="465" ht="15" customHeight="1">
      <c r="A465" t="inlineStr">
        <is>
          <t>A 47678-2025</t>
        </is>
      </c>
      <c r="B465" s="1" t="n">
        <v>45931.57967592592</v>
      </c>
      <c r="C465" s="1" t="n">
        <v>46116</v>
      </c>
      <c r="D465" t="inlineStr">
        <is>
          <t>ÖREBRO LÄN</t>
        </is>
      </c>
      <c r="E465" t="inlineStr">
        <is>
          <t>LINDESBERG</t>
        </is>
      </c>
      <c r="G465" t="n">
        <v>0.6</v>
      </c>
      <c r="H465" t="n">
        <v>0</v>
      </c>
      <c r="I465" t="n">
        <v>0</v>
      </c>
      <c r="J465" t="n">
        <v>0</v>
      </c>
      <c r="K465" t="n">
        <v>0</v>
      </c>
      <c r="L465" t="n">
        <v>0</v>
      </c>
      <c r="M465" t="n">
        <v>0</v>
      </c>
      <c r="N465" t="n">
        <v>0</v>
      </c>
      <c r="O465" t="n">
        <v>0</v>
      </c>
      <c r="P465" t="n">
        <v>0</v>
      </c>
      <c r="Q465" t="n">
        <v>0</v>
      </c>
      <c r="R465" s="2" t="inlineStr"/>
    </row>
    <row r="466" ht="15" customHeight="1">
      <c r="A466" t="inlineStr">
        <is>
          <t>A 35229-2024</t>
        </is>
      </c>
      <c r="B466" s="1" t="n">
        <v>45530</v>
      </c>
      <c r="C466" s="1" t="n">
        <v>46116</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50285-2022</t>
        </is>
      </c>
      <c r="B467" s="1" t="n">
        <v>44865.87770833333</v>
      </c>
      <c r="C467" s="1" t="n">
        <v>46116</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10822-2023</t>
        </is>
      </c>
      <c r="B468" s="1" t="n">
        <v>44990</v>
      </c>
      <c r="C468" s="1" t="n">
        <v>46116</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47676-2025</t>
        </is>
      </c>
      <c r="B469" s="1" t="n">
        <v>45931.57756944445</v>
      </c>
      <c r="C469" s="1" t="n">
        <v>46116</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3233-2023</t>
        </is>
      </c>
      <c r="B470" s="1" t="n">
        <v>44946</v>
      </c>
      <c r="C470" s="1" t="n">
        <v>46116</v>
      </c>
      <c r="D470" t="inlineStr">
        <is>
          <t>ÖREBRO LÄN</t>
        </is>
      </c>
      <c r="E470" t="inlineStr">
        <is>
          <t>LINDESBERG</t>
        </is>
      </c>
      <c r="G470" t="n">
        <v>3</v>
      </c>
      <c r="H470" t="n">
        <v>0</v>
      </c>
      <c r="I470" t="n">
        <v>0</v>
      </c>
      <c r="J470" t="n">
        <v>0</v>
      </c>
      <c r="K470" t="n">
        <v>0</v>
      </c>
      <c r="L470" t="n">
        <v>0</v>
      </c>
      <c r="M470" t="n">
        <v>0</v>
      </c>
      <c r="N470" t="n">
        <v>0</v>
      </c>
      <c r="O470" t="n">
        <v>0</v>
      </c>
      <c r="P470" t="n">
        <v>0</v>
      </c>
      <c r="Q470" t="n">
        <v>0</v>
      </c>
      <c r="R470" s="2" t="inlineStr"/>
    </row>
    <row r="471" ht="15" customHeight="1">
      <c r="A471" t="inlineStr">
        <is>
          <t>A 15325-2024</t>
        </is>
      </c>
      <c r="B471" s="1" t="n">
        <v>45400.6709837963</v>
      </c>
      <c r="C471" s="1" t="n">
        <v>46116</v>
      </c>
      <c r="D471" t="inlineStr">
        <is>
          <t>ÖREBRO LÄN</t>
        </is>
      </c>
      <c r="E471" t="inlineStr">
        <is>
          <t>LINDESBERG</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40970-2023</t>
        </is>
      </c>
      <c r="B472" s="1" t="n">
        <v>45173</v>
      </c>
      <c r="C472" s="1" t="n">
        <v>46116</v>
      </c>
      <c r="D472" t="inlineStr">
        <is>
          <t>ÖREBRO LÄN</t>
        </is>
      </c>
      <c r="E472" t="inlineStr">
        <is>
          <t>LINDESBERG</t>
        </is>
      </c>
      <c r="G472" t="n">
        <v>2.1</v>
      </c>
      <c r="H472" t="n">
        <v>0</v>
      </c>
      <c r="I472" t="n">
        <v>0</v>
      </c>
      <c r="J472" t="n">
        <v>0</v>
      </c>
      <c r="K472" t="n">
        <v>0</v>
      </c>
      <c r="L472" t="n">
        <v>0</v>
      </c>
      <c r="M472" t="n">
        <v>0</v>
      </c>
      <c r="N472" t="n">
        <v>0</v>
      </c>
      <c r="O472" t="n">
        <v>0</v>
      </c>
      <c r="P472" t="n">
        <v>0</v>
      </c>
      <c r="Q472" t="n">
        <v>0</v>
      </c>
      <c r="R472" s="2" t="inlineStr"/>
    </row>
    <row r="473" ht="15" customHeight="1">
      <c r="A473" t="inlineStr">
        <is>
          <t>A 34093-2022</t>
        </is>
      </c>
      <c r="B473" s="1" t="n">
        <v>44791</v>
      </c>
      <c r="C473" s="1" t="n">
        <v>46116</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58662-2022</t>
        </is>
      </c>
      <c r="B474" s="1" t="n">
        <v>44902</v>
      </c>
      <c r="C474" s="1" t="n">
        <v>46116</v>
      </c>
      <c r="D474" t="inlineStr">
        <is>
          <t>ÖREBRO LÄN</t>
        </is>
      </c>
      <c r="E474" t="inlineStr">
        <is>
          <t>LINDESBERG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48061-2025</t>
        </is>
      </c>
      <c r="B475" s="1" t="n">
        <v>45932.68006944445</v>
      </c>
      <c r="C475" s="1" t="n">
        <v>46116</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48750-2025</t>
        </is>
      </c>
      <c r="B476" s="1" t="n">
        <v>45936.68452546297</v>
      </c>
      <c r="C476" s="1" t="n">
        <v>46116</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48620-2025</t>
        </is>
      </c>
      <c r="B477" s="1" t="n">
        <v>45936.49210648148</v>
      </c>
      <c r="C477" s="1" t="n">
        <v>46116</v>
      </c>
      <c r="D477" t="inlineStr">
        <is>
          <t>ÖREBRO LÄN</t>
        </is>
      </c>
      <c r="E477" t="inlineStr">
        <is>
          <t>LINDESBERG</t>
        </is>
      </c>
      <c r="F477" t="inlineStr">
        <is>
          <t>Sveaskog</t>
        </is>
      </c>
      <c r="G477" t="n">
        <v>5.2</v>
      </c>
      <c r="H477" t="n">
        <v>0</v>
      </c>
      <c r="I477" t="n">
        <v>0</v>
      </c>
      <c r="J477" t="n">
        <v>0</v>
      </c>
      <c r="K477" t="n">
        <v>0</v>
      </c>
      <c r="L477" t="n">
        <v>0</v>
      </c>
      <c r="M477" t="n">
        <v>0</v>
      </c>
      <c r="N477" t="n">
        <v>0</v>
      </c>
      <c r="O477" t="n">
        <v>0</v>
      </c>
      <c r="P477" t="n">
        <v>0</v>
      </c>
      <c r="Q477" t="n">
        <v>0</v>
      </c>
      <c r="R477" s="2" t="inlineStr"/>
    </row>
    <row r="478" ht="15" customHeight="1">
      <c r="A478" t="inlineStr">
        <is>
          <t>A 15060-2024</t>
        </is>
      </c>
      <c r="B478" s="1" t="n">
        <v>45399.56596064815</v>
      </c>
      <c r="C478" s="1" t="n">
        <v>46116</v>
      </c>
      <c r="D478" t="inlineStr">
        <is>
          <t>ÖREBRO LÄN</t>
        </is>
      </c>
      <c r="E478" t="inlineStr">
        <is>
          <t>LINDESBERG</t>
        </is>
      </c>
      <c r="F478" t="inlineStr">
        <is>
          <t>Sveaskog</t>
        </is>
      </c>
      <c r="G478" t="n">
        <v>3.8</v>
      </c>
      <c r="H478" t="n">
        <v>0</v>
      </c>
      <c r="I478" t="n">
        <v>0</v>
      </c>
      <c r="J478" t="n">
        <v>0</v>
      </c>
      <c r="K478" t="n">
        <v>0</v>
      </c>
      <c r="L478" t="n">
        <v>0</v>
      </c>
      <c r="M478" t="n">
        <v>0</v>
      </c>
      <c r="N478" t="n">
        <v>0</v>
      </c>
      <c r="O478" t="n">
        <v>0</v>
      </c>
      <c r="P478" t="n">
        <v>0</v>
      </c>
      <c r="Q478" t="n">
        <v>0</v>
      </c>
      <c r="R478" s="2" t="inlineStr"/>
    </row>
    <row r="479" ht="15" customHeight="1">
      <c r="A479" t="inlineStr">
        <is>
          <t>A 48497-2025</t>
        </is>
      </c>
      <c r="B479" s="1" t="n">
        <v>45936.37523148148</v>
      </c>
      <c r="C479" s="1" t="n">
        <v>46116</v>
      </c>
      <c r="D479" t="inlineStr">
        <is>
          <t>ÖREBRO LÄN</t>
        </is>
      </c>
      <c r="E479" t="inlineStr">
        <is>
          <t>LINDESBERG</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48489-2025</t>
        </is>
      </c>
      <c r="B480" s="1" t="n">
        <v>45936.36637731481</v>
      </c>
      <c r="C480" s="1" t="n">
        <v>46116</v>
      </c>
      <c r="D480" t="inlineStr">
        <is>
          <t>ÖREBRO LÄN</t>
        </is>
      </c>
      <c r="E480" t="inlineStr">
        <is>
          <t>LINDESBERG</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28031-2023</t>
        </is>
      </c>
      <c r="B481" s="1" t="n">
        <v>45099.27354166667</v>
      </c>
      <c r="C481" s="1" t="n">
        <v>46116</v>
      </c>
      <c r="D481" t="inlineStr">
        <is>
          <t>ÖREBRO LÄN</t>
        </is>
      </c>
      <c r="E481" t="inlineStr">
        <is>
          <t>LINDESBERG</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48618-2025</t>
        </is>
      </c>
      <c r="B482" s="1" t="n">
        <v>45936.49026620371</v>
      </c>
      <c r="C482" s="1" t="n">
        <v>46116</v>
      </c>
      <c r="D482" t="inlineStr">
        <is>
          <t>ÖREBRO LÄN</t>
        </is>
      </c>
      <c r="E482" t="inlineStr">
        <is>
          <t>LINDESBERG</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46116</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4310-2025</t>
        </is>
      </c>
      <c r="B484" s="1" t="n">
        <v>45685</v>
      </c>
      <c r="C484" s="1" t="n">
        <v>46116</v>
      </c>
      <c r="D484" t="inlineStr">
        <is>
          <t>ÖREBRO LÄN</t>
        </is>
      </c>
      <c r="E484" t="inlineStr">
        <is>
          <t>LINDESBERG</t>
        </is>
      </c>
      <c r="G484" t="n">
        <v>1.2</v>
      </c>
      <c r="H484" t="n">
        <v>0</v>
      </c>
      <c r="I484" t="n">
        <v>0</v>
      </c>
      <c r="J484" t="n">
        <v>0</v>
      </c>
      <c r="K484" t="n">
        <v>0</v>
      </c>
      <c r="L484" t="n">
        <v>0</v>
      </c>
      <c r="M484" t="n">
        <v>0</v>
      </c>
      <c r="N484" t="n">
        <v>0</v>
      </c>
      <c r="O484" t="n">
        <v>0</v>
      </c>
      <c r="P484" t="n">
        <v>0</v>
      </c>
      <c r="Q484" t="n">
        <v>0</v>
      </c>
      <c r="R484" s="2" t="inlineStr"/>
    </row>
    <row r="485" ht="15" customHeight="1">
      <c r="A485" t="inlineStr">
        <is>
          <t>A 48867-2025</t>
        </is>
      </c>
      <c r="B485" s="1" t="n">
        <v>45937.4484837963</v>
      </c>
      <c r="C485" s="1" t="n">
        <v>46116</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19026-2021</t>
        </is>
      </c>
      <c r="B486" s="1" t="n">
        <v>44308</v>
      </c>
      <c r="C486" s="1" t="n">
        <v>46116</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48953-2025</t>
        </is>
      </c>
      <c r="B487" s="1" t="n">
        <v>45937.54697916667</v>
      </c>
      <c r="C487" s="1" t="n">
        <v>46116</v>
      </c>
      <c r="D487" t="inlineStr">
        <is>
          <t>ÖREBRO LÄN</t>
        </is>
      </c>
      <c r="E487" t="inlineStr">
        <is>
          <t>LINDESBERG</t>
        </is>
      </c>
      <c r="F487" t="inlineStr">
        <is>
          <t>Sveaskog</t>
        </is>
      </c>
      <c r="G487" t="n">
        <v>3</v>
      </c>
      <c r="H487" t="n">
        <v>0</v>
      </c>
      <c r="I487" t="n">
        <v>0</v>
      </c>
      <c r="J487" t="n">
        <v>0</v>
      </c>
      <c r="K487" t="n">
        <v>0</v>
      </c>
      <c r="L487" t="n">
        <v>0</v>
      </c>
      <c r="M487" t="n">
        <v>0</v>
      </c>
      <c r="N487" t="n">
        <v>0</v>
      </c>
      <c r="O487" t="n">
        <v>0</v>
      </c>
      <c r="P487" t="n">
        <v>0</v>
      </c>
      <c r="Q487" t="n">
        <v>0</v>
      </c>
      <c r="R487" s="2" t="inlineStr"/>
    </row>
    <row r="488" ht="15" customHeight="1">
      <c r="A488" t="inlineStr">
        <is>
          <t>A 48971-2025</t>
        </is>
      </c>
      <c r="B488" s="1" t="n">
        <v>45937.56420138889</v>
      </c>
      <c r="C488" s="1" t="n">
        <v>46116</v>
      </c>
      <c r="D488" t="inlineStr">
        <is>
          <t>ÖREBRO LÄN</t>
        </is>
      </c>
      <c r="E488" t="inlineStr">
        <is>
          <t>LINDESBERG</t>
        </is>
      </c>
      <c r="F488" t="inlineStr">
        <is>
          <t>Sveaskog</t>
        </is>
      </c>
      <c r="G488" t="n">
        <v>4.1</v>
      </c>
      <c r="H488" t="n">
        <v>0</v>
      </c>
      <c r="I488" t="n">
        <v>0</v>
      </c>
      <c r="J488" t="n">
        <v>0</v>
      </c>
      <c r="K488" t="n">
        <v>0</v>
      </c>
      <c r="L488" t="n">
        <v>0</v>
      </c>
      <c r="M488" t="n">
        <v>0</v>
      </c>
      <c r="N488" t="n">
        <v>0</v>
      </c>
      <c r="O488" t="n">
        <v>0</v>
      </c>
      <c r="P488" t="n">
        <v>0</v>
      </c>
      <c r="Q488" t="n">
        <v>0</v>
      </c>
      <c r="R488" s="2" t="inlineStr"/>
    </row>
    <row r="489" ht="15" customHeight="1">
      <c r="A489" t="inlineStr">
        <is>
          <t>A 48975-2025</t>
        </is>
      </c>
      <c r="B489" s="1" t="n">
        <v>45937.56798611111</v>
      </c>
      <c r="C489" s="1" t="n">
        <v>46116</v>
      </c>
      <c r="D489" t="inlineStr">
        <is>
          <t>ÖREBRO LÄN</t>
        </is>
      </c>
      <c r="E489" t="inlineStr">
        <is>
          <t>LINDESBERG</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47110-2024</t>
        </is>
      </c>
      <c r="B490" s="1" t="n">
        <v>45586.55451388889</v>
      </c>
      <c r="C490" s="1" t="n">
        <v>46116</v>
      </c>
      <c r="D490" t="inlineStr">
        <is>
          <t>ÖREBRO LÄN</t>
        </is>
      </c>
      <c r="E490" t="inlineStr">
        <is>
          <t>LINDESBERG</t>
        </is>
      </c>
      <c r="G490" t="n">
        <v>0.6</v>
      </c>
      <c r="H490" t="n">
        <v>0</v>
      </c>
      <c r="I490" t="n">
        <v>0</v>
      </c>
      <c r="J490" t="n">
        <v>0</v>
      </c>
      <c r="K490" t="n">
        <v>0</v>
      </c>
      <c r="L490" t="n">
        <v>0</v>
      </c>
      <c r="M490" t="n">
        <v>0</v>
      </c>
      <c r="N490" t="n">
        <v>0</v>
      </c>
      <c r="O490" t="n">
        <v>0</v>
      </c>
      <c r="P490" t="n">
        <v>0</v>
      </c>
      <c r="Q490" t="n">
        <v>0</v>
      </c>
      <c r="R490" s="2" t="inlineStr"/>
    </row>
    <row r="491" ht="15" customHeight="1">
      <c r="A491" t="inlineStr">
        <is>
          <t>A 49100-2025</t>
        </is>
      </c>
      <c r="B491" s="1" t="n">
        <v>45937.71556712963</v>
      </c>
      <c r="C491" s="1" t="n">
        <v>46116</v>
      </c>
      <c r="D491" t="inlineStr">
        <is>
          <t>ÖREBRO LÄN</t>
        </is>
      </c>
      <c r="E491" t="inlineStr">
        <is>
          <t>LINDESBERG</t>
        </is>
      </c>
      <c r="G491" t="n">
        <v>2.2</v>
      </c>
      <c r="H491" t="n">
        <v>0</v>
      </c>
      <c r="I491" t="n">
        <v>0</v>
      </c>
      <c r="J491" t="n">
        <v>0</v>
      </c>
      <c r="K491" t="n">
        <v>0</v>
      </c>
      <c r="L491" t="n">
        <v>0</v>
      </c>
      <c r="M491" t="n">
        <v>0</v>
      </c>
      <c r="N491" t="n">
        <v>0</v>
      </c>
      <c r="O491" t="n">
        <v>0</v>
      </c>
      <c r="P491" t="n">
        <v>0</v>
      </c>
      <c r="Q491" t="n">
        <v>0</v>
      </c>
      <c r="R491" s="2" t="inlineStr"/>
    </row>
    <row r="492" ht="15" customHeight="1">
      <c r="A492" t="inlineStr">
        <is>
          <t>A 49133-2025</t>
        </is>
      </c>
      <c r="B492" s="1" t="n">
        <v>45937.92319444445</v>
      </c>
      <c r="C492" s="1" t="n">
        <v>46116</v>
      </c>
      <c r="D492" t="inlineStr">
        <is>
          <t>ÖREBRO LÄN</t>
        </is>
      </c>
      <c r="E492" t="inlineStr">
        <is>
          <t>LINDESBERG</t>
        </is>
      </c>
      <c r="G492" t="n">
        <v>5</v>
      </c>
      <c r="H492" t="n">
        <v>0</v>
      </c>
      <c r="I492" t="n">
        <v>0</v>
      </c>
      <c r="J492" t="n">
        <v>0</v>
      </c>
      <c r="K492" t="n">
        <v>0</v>
      </c>
      <c r="L492" t="n">
        <v>0</v>
      </c>
      <c r="M492" t="n">
        <v>0</v>
      </c>
      <c r="N492" t="n">
        <v>0</v>
      </c>
      <c r="O492" t="n">
        <v>0</v>
      </c>
      <c r="P492" t="n">
        <v>0</v>
      </c>
      <c r="Q492" t="n">
        <v>0</v>
      </c>
      <c r="R492" s="2" t="inlineStr"/>
    </row>
    <row r="493" ht="15" customHeight="1">
      <c r="A493" t="inlineStr">
        <is>
          <t>A 27702-2025</t>
        </is>
      </c>
      <c r="B493" s="1" t="n">
        <v>45813</v>
      </c>
      <c r="C493" s="1" t="n">
        <v>46116</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27440-2023</t>
        </is>
      </c>
      <c r="B494" s="1" t="n">
        <v>45097.39893518519</v>
      </c>
      <c r="C494" s="1" t="n">
        <v>46116</v>
      </c>
      <c r="D494" t="inlineStr">
        <is>
          <t>ÖREBRO LÄN</t>
        </is>
      </c>
      <c r="E494" t="inlineStr">
        <is>
          <t>LINDESBERG</t>
        </is>
      </c>
      <c r="G494" t="n">
        <v>6.6</v>
      </c>
      <c r="H494" t="n">
        <v>0</v>
      </c>
      <c r="I494" t="n">
        <v>0</v>
      </c>
      <c r="J494" t="n">
        <v>0</v>
      </c>
      <c r="K494" t="n">
        <v>0</v>
      </c>
      <c r="L494" t="n">
        <v>0</v>
      </c>
      <c r="M494" t="n">
        <v>0</v>
      </c>
      <c r="N494" t="n">
        <v>0</v>
      </c>
      <c r="O494" t="n">
        <v>0</v>
      </c>
      <c r="P494" t="n">
        <v>0</v>
      </c>
      <c r="Q494" t="n">
        <v>0</v>
      </c>
      <c r="R494" s="2" t="inlineStr"/>
    </row>
    <row r="495" ht="15" customHeight="1">
      <c r="A495" t="inlineStr">
        <is>
          <t>A 48993-2025</t>
        </is>
      </c>
      <c r="B495" s="1" t="n">
        <v>45937.58590277778</v>
      </c>
      <c r="C495" s="1" t="n">
        <v>46116</v>
      </c>
      <c r="D495" t="inlineStr">
        <is>
          <t>ÖREBRO LÄN</t>
        </is>
      </c>
      <c r="E495" t="inlineStr">
        <is>
          <t>LINDESBERG</t>
        </is>
      </c>
      <c r="F495" t="inlineStr">
        <is>
          <t>Kyrkan</t>
        </is>
      </c>
      <c r="G495" t="n">
        <v>4</v>
      </c>
      <c r="H495" t="n">
        <v>0</v>
      </c>
      <c r="I495" t="n">
        <v>0</v>
      </c>
      <c r="J495" t="n">
        <v>0</v>
      </c>
      <c r="K495" t="n">
        <v>0</v>
      </c>
      <c r="L495" t="n">
        <v>0</v>
      </c>
      <c r="M495" t="n">
        <v>0</v>
      </c>
      <c r="N495" t="n">
        <v>0</v>
      </c>
      <c r="O495" t="n">
        <v>0</v>
      </c>
      <c r="P495" t="n">
        <v>0</v>
      </c>
      <c r="Q495" t="n">
        <v>0</v>
      </c>
      <c r="R495" s="2" t="inlineStr"/>
    </row>
    <row r="496" ht="15" customHeight="1">
      <c r="A496" t="inlineStr">
        <is>
          <t>A 49183-2025</t>
        </is>
      </c>
      <c r="B496" s="1" t="n">
        <v>45938.39741898148</v>
      </c>
      <c r="C496" s="1" t="n">
        <v>46116</v>
      </c>
      <c r="D496" t="inlineStr">
        <is>
          <t>ÖREBRO LÄN</t>
        </is>
      </c>
      <c r="E496" t="inlineStr">
        <is>
          <t>LINDESBERG</t>
        </is>
      </c>
      <c r="G496" t="n">
        <v>4.4</v>
      </c>
      <c r="H496" t="n">
        <v>0</v>
      </c>
      <c r="I496" t="n">
        <v>0</v>
      </c>
      <c r="J496" t="n">
        <v>0</v>
      </c>
      <c r="K496" t="n">
        <v>0</v>
      </c>
      <c r="L496" t="n">
        <v>0</v>
      </c>
      <c r="M496" t="n">
        <v>0</v>
      </c>
      <c r="N496" t="n">
        <v>0</v>
      </c>
      <c r="O496" t="n">
        <v>0</v>
      </c>
      <c r="P496" t="n">
        <v>0</v>
      </c>
      <c r="Q496" t="n">
        <v>0</v>
      </c>
      <c r="R496" s="2" t="inlineStr"/>
    </row>
    <row r="497" ht="15" customHeight="1">
      <c r="A497" t="inlineStr">
        <is>
          <t>A 39137-2024</t>
        </is>
      </c>
      <c r="B497" s="1" t="n">
        <v>45548</v>
      </c>
      <c r="C497" s="1" t="n">
        <v>46116</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39152-2024</t>
        </is>
      </c>
      <c r="B498" s="1" t="n">
        <v>45548</v>
      </c>
      <c r="C498" s="1" t="n">
        <v>46116</v>
      </c>
      <c r="D498" t="inlineStr">
        <is>
          <t>ÖREBRO LÄN</t>
        </is>
      </c>
      <c r="E498" t="inlineStr">
        <is>
          <t>LINDESBERG</t>
        </is>
      </c>
      <c r="F498" t="inlineStr">
        <is>
          <t>Sveaskog</t>
        </is>
      </c>
      <c r="G498" t="n">
        <v>2.4</v>
      </c>
      <c r="H498" t="n">
        <v>0</v>
      </c>
      <c r="I498" t="n">
        <v>0</v>
      </c>
      <c r="J498" t="n">
        <v>0</v>
      </c>
      <c r="K498" t="n">
        <v>0</v>
      </c>
      <c r="L498" t="n">
        <v>0</v>
      </c>
      <c r="M498" t="n">
        <v>0</v>
      </c>
      <c r="N498" t="n">
        <v>0</v>
      </c>
      <c r="O498" t="n">
        <v>0</v>
      </c>
      <c r="P498" t="n">
        <v>0</v>
      </c>
      <c r="Q498" t="n">
        <v>0</v>
      </c>
      <c r="R498" s="2" t="inlineStr"/>
    </row>
    <row r="499" ht="15" customHeight="1">
      <c r="A499" t="inlineStr">
        <is>
          <t>A 49707-2025</t>
        </is>
      </c>
      <c r="B499" s="1" t="n">
        <v>45939.67951388889</v>
      </c>
      <c r="C499" s="1" t="n">
        <v>46116</v>
      </c>
      <c r="D499" t="inlineStr">
        <is>
          <t>ÖREBRO LÄN</t>
        </is>
      </c>
      <c r="E499" t="inlineStr">
        <is>
          <t>LINDESBERG</t>
        </is>
      </c>
      <c r="F499" t="inlineStr">
        <is>
          <t>Kommuner</t>
        </is>
      </c>
      <c r="G499" t="n">
        <v>0.6</v>
      </c>
      <c r="H499" t="n">
        <v>0</v>
      </c>
      <c r="I499" t="n">
        <v>0</v>
      </c>
      <c r="J499" t="n">
        <v>0</v>
      </c>
      <c r="K499" t="n">
        <v>0</v>
      </c>
      <c r="L499" t="n">
        <v>0</v>
      </c>
      <c r="M499" t="n">
        <v>0</v>
      </c>
      <c r="N499" t="n">
        <v>0</v>
      </c>
      <c r="O499" t="n">
        <v>0</v>
      </c>
      <c r="P499" t="n">
        <v>0</v>
      </c>
      <c r="Q499" t="n">
        <v>0</v>
      </c>
      <c r="R499" s="2" t="inlineStr"/>
    </row>
    <row r="500" ht="15" customHeight="1">
      <c r="A500" t="inlineStr">
        <is>
          <t>A 21245-2024</t>
        </is>
      </c>
      <c r="B500" s="1" t="n">
        <v>45440</v>
      </c>
      <c r="C500" s="1" t="n">
        <v>46116</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49946-2025</t>
        </is>
      </c>
      <c r="B501" s="1" t="n">
        <v>45940.69862268519</v>
      </c>
      <c r="C501" s="1" t="n">
        <v>46116</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4603-2024</t>
        </is>
      </c>
      <c r="B502" s="1" t="n">
        <v>45328</v>
      </c>
      <c r="C502" s="1" t="n">
        <v>46116</v>
      </c>
      <c r="D502" t="inlineStr">
        <is>
          <t>ÖREBRO LÄN</t>
        </is>
      </c>
      <c r="E502" t="inlineStr">
        <is>
          <t>LINDESBERG</t>
        </is>
      </c>
      <c r="F502" t="inlineStr">
        <is>
          <t>BillerudKorsnäs AB</t>
        </is>
      </c>
      <c r="G502" t="n">
        <v>4.3</v>
      </c>
      <c r="H502" t="n">
        <v>0</v>
      </c>
      <c r="I502" t="n">
        <v>0</v>
      </c>
      <c r="J502" t="n">
        <v>0</v>
      </c>
      <c r="K502" t="n">
        <v>0</v>
      </c>
      <c r="L502" t="n">
        <v>0</v>
      </c>
      <c r="M502" t="n">
        <v>0</v>
      </c>
      <c r="N502" t="n">
        <v>0</v>
      </c>
      <c r="O502" t="n">
        <v>0</v>
      </c>
      <c r="P502" t="n">
        <v>0</v>
      </c>
      <c r="Q502" t="n">
        <v>0</v>
      </c>
      <c r="R502" s="2" t="inlineStr"/>
    </row>
    <row r="503" ht="15" customHeight="1">
      <c r="A503" t="inlineStr">
        <is>
          <t>A 49943-2025</t>
        </is>
      </c>
      <c r="B503" s="1" t="n">
        <v>45940.69521990741</v>
      </c>
      <c r="C503" s="1" t="n">
        <v>46116</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61601-2024</t>
        </is>
      </c>
      <c r="B504" s="1" t="n">
        <v>45646.63839120371</v>
      </c>
      <c r="C504" s="1" t="n">
        <v>46116</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6604-2024</t>
        </is>
      </c>
      <c r="B505" s="1" t="n">
        <v>45341.56577546296</v>
      </c>
      <c r="C505" s="1" t="n">
        <v>46116</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49944-2025</t>
        </is>
      </c>
      <c r="B506" s="1" t="n">
        <v>45940.69643518519</v>
      </c>
      <c r="C506" s="1" t="n">
        <v>46116</v>
      </c>
      <c r="D506" t="inlineStr">
        <is>
          <t>ÖREBRO LÄN</t>
        </is>
      </c>
      <c r="E506" t="inlineStr">
        <is>
          <t>LINDESBERG</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49947-2025</t>
        </is>
      </c>
      <c r="B507" s="1" t="n">
        <v>45940.70018518518</v>
      </c>
      <c r="C507" s="1" t="n">
        <v>46116</v>
      </c>
      <c r="D507" t="inlineStr">
        <is>
          <t>ÖREBRO LÄN</t>
        </is>
      </c>
      <c r="E507" t="inlineStr">
        <is>
          <t>LINDESBERG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50072-2025</t>
        </is>
      </c>
      <c r="B508" s="1" t="n">
        <v>45943.45966435185</v>
      </c>
      <c r="C508" s="1" t="n">
        <v>46116</v>
      </c>
      <c r="D508" t="inlineStr">
        <is>
          <t>ÖREBRO LÄN</t>
        </is>
      </c>
      <c r="E508" t="inlineStr">
        <is>
          <t>LINDESBERG</t>
        </is>
      </c>
      <c r="G508" t="n">
        <v>1.5</v>
      </c>
      <c r="H508" t="n">
        <v>0</v>
      </c>
      <c r="I508" t="n">
        <v>0</v>
      </c>
      <c r="J508" t="n">
        <v>0</v>
      </c>
      <c r="K508" t="n">
        <v>0</v>
      </c>
      <c r="L508" t="n">
        <v>0</v>
      </c>
      <c r="M508" t="n">
        <v>0</v>
      </c>
      <c r="N508" t="n">
        <v>0</v>
      </c>
      <c r="O508" t="n">
        <v>0</v>
      </c>
      <c r="P508" t="n">
        <v>0</v>
      </c>
      <c r="Q508" t="n">
        <v>0</v>
      </c>
      <c r="R508" s="2" t="inlineStr"/>
    </row>
    <row r="509" ht="15" customHeight="1">
      <c r="A509" t="inlineStr">
        <is>
          <t>A 50086-2025</t>
        </is>
      </c>
      <c r="B509" s="1" t="n">
        <v>45943.47649305555</v>
      </c>
      <c r="C509" s="1" t="n">
        <v>46116</v>
      </c>
      <c r="D509" t="inlineStr">
        <is>
          <t>ÖREBRO LÄN</t>
        </is>
      </c>
      <c r="E509" t="inlineStr">
        <is>
          <t>LINDESBERG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42410-2024</t>
        </is>
      </c>
      <c r="B510" s="1" t="n">
        <v>45565</v>
      </c>
      <c r="C510" s="1" t="n">
        <v>46116</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50073-2025</t>
        </is>
      </c>
      <c r="B511" s="1" t="n">
        <v>45943.4603125</v>
      </c>
      <c r="C511" s="1" t="n">
        <v>46116</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9140-2025</t>
        </is>
      </c>
      <c r="B512" s="1" t="n">
        <v>45714.31533564815</v>
      </c>
      <c r="C512" s="1" t="n">
        <v>46116</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8139-2023</t>
        </is>
      </c>
      <c r="B513" s="1" t="n">
        <v>44970</v>
      </c>
      <c r="C513" s="1" t="n">
        <v>46116</v>
      </c>
      <c r="D513" t="inlineStr">
        <is>
          <t>ÖREBRO LÄN</t>
        </is>
      </c>
      <c r="E513" t="inlineStr">
        <is>
          <t>LINDESBERG</t>
        </is>
      </c>
      <c r="G513" t="n">
        <v>3.6</v>
      </c>
      <c r="H513" t="n">
        <v>0</v>
      </c>
      <c r="I513" t="n">
        <v>0</v>
      </c>
      <c r="J513" t="n">
        <v>0</v>
      </c>
      <c r="K513" t="n">
        <v>0</v>
      </c>
      <c r="L513" t="n">
        <v>0</v>
      </c>
      <c r="M513" t="n">
        <v>0</v>
      </c>
      <c r="N513" t="n">
        <v>0</v>
      </c>
      <c r="O513" t="n">
        <v>0</v>
      </c>
      <c r="P513" t="n">
        <v>0</v>
      </c>
      <c r="Q513" t="n">
        <v>0</v>
      </c>
      <c r="R513" s="2" t="inlineStr"/>
    </row>
    <row r="514" ht="15" customHeight="1">
      <c r="A514" t="inlineStr">
        <is>
          <t>A 53168-2023</t>
        </is>
      </c>
      <c r="B514" s="1" t="n">
        <v>45229</v>
      </c>
      <c r="C514" s="1" t="n">
        <v>46116</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51186-2025</t>
        </is>
      </c>
      <c r="B515" s="1" t="n">
        <v>45947.62353009259</v>
      </c>
      <c r="C515" s="1" t="n">
        <v>46116</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51172-2025</t>
        </is>
      </c>
      <c r="B516" s="1" t="n">
        <v>45947.60508101852</v>
      </c>
      <c r="C516" s="1" t="n">
        <v>46116</v>
      </c>
      <c r="D516" t="inlineStr">
        <is>
          <t>ÖREBRO LÄN</t>
        </is>
      </c>
      <c r="E516" t="inlineStr">
        <is>
          <t>LINDESBERG</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45946.68859953704</v>
      </c>
      <c r="C517" s="1" t="n">
        <v>46116</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36748-2024</t>
        </is>
      </c>
      <c r="B518" s="1" t="n">
        <v>45538.34460648148</v>
      </c>
      <c r="C518" s="1" t="n">
        <v>46116</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50765-2025</t>
        </is>
      </c>
      <c r="B519" s="1" t="n">
        <v>45946.44216435185</v>
      </c>
      <c r="C519" s="1" t="n">
        <v>46116</v>
      </c>
      <c r="D519" t="inlineStr">
        <is>
          <t>ÖREBRO LÄN</t>
        </is>
      </c>
      <c r="E519" t="inlineStr">
        <is>
          <t>LINDESBERG</t>
        </is>
      </c>
      <c r="F519" t="inlineStr">
        <is>
          <t>Sveaskog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51030-2025</t>
        </is>
      </c>
      <c r="B520" s="1" t="n">
        <v>45947.40105324074</v>
      </c>
      <c r="C520" s="1" t="n">
        <v>46116</v>
      </c>
      <c r="D520" t="inlineStr">
        <is>
          <t>ÖREBRO LÄN</t>
        </is>
      </c>
      <c r="E520" t="inlineStr">
        <is>
          <t>LINDESBERG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50936-2025</t>
        </is>
      </c>
      <c r="B521" s="1" t="n">
        <v>45946.69616898148</v>
      </c>
      <c r="C521" s="1" t="n">
        <v>46116</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28082-2021</t>
        </is>
      </c>
      <c r="B522" s="1" t="n">
        <v>44355</v>
      </c>
      <c r="C522" s="1" t="n">
        <v>46116</v>
      </c>
      <c r="D522" t="inlineStr">
        <is>
          <t>ÖREBRO LÄN</t>
        </is>
      </c>
      <c r="E522" t="inlineStr">
        <is>
          <t>LINDESBERG</t>
        </is>
      </c>
      <c r="F522" t="inlineStr">
        <is>
          <t>Sveaskog</t>
        </is>
      </c>
      <c r="G522" t="n">
        <v>9.9</v>
      </c>
      <c r="H522" t="n">
        <v>0</v>
      </c>
      <c r="I522" t="n">
        <v>0</v>
      </c>
      <c r="J522" t="n">
        <v>0</v>
      </c>
      <c r="K522" t="n">
        <v>0</v>
      </c>
      <c r="L522" t="n">
        <v>0</v>
      </c>
      <c r="M522" t="n">
        <v>0</v>
      </c>
      <c r="N522" t="n">
        <v>0</v>
      </c>
      <c r="O522" t="n">
        <v>0</v>
      </c>
      <c r="P522" t="n">
        <v>0</v>
      </c>
      <c r="Q522" t="n">
        <v>0</v>
      </c>
      <c r="R522" s="2" t="inlineStr"/>
    </row>
    <row r="523" ht="15" customHeight="1">
      <c r="A523" t="inlineStr">
        <is>
          <t>A 64427-2021</t>
        </is>
      </c>
      <c r="B523" s="1" t="n">
        <v>44511</v>
      </c>
      <c r="C523" s="1" t="n">
        <v>46116</v>
      </c>
      <c r="D523" t="inlineStr">
        <is>
          <t>ÖREBRO LÄN</t>
        </is>
      </c>
      <c r="E523" t="inlineStr">
        <is>
          <t>LINDESBERG</t>
        </is>
      </c>
      <c r="G523" t="n">
        <v>2.2</v>
      </c>
      <c r="H523" t="n">
        <v>0</v>
      </c>
      <c r="I523" t="n">
        <v>0</v>
      </c>
      <c r="J523" t="n">
        <v>0</v>
      </c>
      <c r="K523" t="n">
        <v>0</v>
      </c>
      <c r="L523" t="n">
        <v>0</v>
      </c>
      <c r="M523" t="n">
        <v>0</v>
      </c>
      <c r="N523" t="n">
        <v>0</v>
      </c>
      <c r="O523" t="n">
        <v>0</v>
      </c>
      <c r="P523" t="n">
        <v>0</v>
      </c>
      <c r="Q523" t="n">
        <v>0</v>
      </c>
      <c r="R523" s="2" t="inlineStr"/>
    </row>
    <row r="524" ht="15" customHeight="1">
      <c r="A524" t="inlineStr">
        <is>
          <t>A 47620-2023</t>
        </is>
      </c>
      <c r="B524" s="1" t="n">
        <v>45203.510625</v>
      </c>
      <c r="C524" s="1" t="n">
        <v>46116</v>
      </c>
      <c r="D524" t="inlineStr">
        <is>
          <t>ÖREBRO LÄN</t>
        </is>
      </c>
      <c r="E524" t="inlineStr">
        <is>
          <t>LINDESBERG</t>
        </is>
      </c>
      <c r="G524" t="n">
        <v>2.7</v>
      </c>
      <c r="H524" t="n">
        <v>0</v>
      </c>
      <c r="I524" t="n">
        <v>0</v>
      </c>
      <c r="J524" t="n">
        <v>0</v>
      </c>
      <c r="K524" t="n">
        <v>0</v>
      </c>
      <c r="L524" t="n">
        <v>0</v>
      </c>
      <c r="M524" t="n">
        <v>0</v>
      </c>
      <c r="N524" t="n">
        <v>0</v>
      </c>
      <c r="O524" t="n">
        <v>0</v>
      </c>
      <c r="P524" t="n">
        <v>0</v>
      </c>
      <c r="Q524" t="n">
        <v>0</v>
      </c>
      <c r="R524" s="2" t="inlineStr"/>
    </row>
    <row r="525" ht="15" customHeight="1">
      <c r="A525" t="inlineStr">
        <is>
          <t>A 53352-2023</t>
        </is>
      </c>
      <c r="B525" s="1" t="n">
        <v>45229.66262731481</v>
      </c>
      <c r="C525" s="1" t="n">
        <v>46116</v>
      </c>
      <c r="D525" t="inlineStr">
        <is>
          <t>ÖREBRO LÄN</t>
        </is>
      </c>
      <c r="E525" t="inlineStr">
        <is>
          <t>LINDESBERG</t>
        </is>
      </c>
      <c r="F525" t="inlineStr">
        <is>
          <t>Sveaskog</t>
        </is>
      </c>
      <c r="G525" t="n">
        <v>0.3</v>
      </c>
      <c r="H525" t="n">
        <v>0</v>
      </c>
      <c r="I525" t="n">
        <v>0</v>
      </c>
      <c r="J525" t="n">
        <v>0</v>
      </c>
      <c r="K525" t="n">
        <v>0</v>
      </c>
      <c r="L525" t="n">
        <v>0</v>
      </c>
      <c r="M525" t="n">
        <v>0</v>
      </c>
      <c r="N525" t="n">
        <v>0</v>
      </c>
      <c r="O525" t="n">
        <v>0</v>
      </c>
      <c r="P525" t="n">
        <v>0</v>
      </c>
      <c r="Q525" t="n">
        <v>0</v>
      </c>
      <c r="R525" s="2" t="inlineStr"/>
    </row>
    <row r="526" ht="15" customHeight="1">
      <c r="A526" t="inlineStr">
        <is>
          <t>A 52102-2025</t>
        </is>
      </c>
      <c r="B526" s="1" t="n">
        <v>45952.68358796297</v>
      </c>
      <c r="C526" s="1" t="n">
        <v>46116</v>
      </c>
      <c r="D526" t="inlineStr">
        <is>
          <t>ÖREBRO LÄN</t>
        </is>
      </c>
      <c r="E526" t="inlineStr">
        <is>
          <t>LINDESBERG</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52117-2025</t>
        </is>
      </c>
      <c r="B527" s="1" t="n">
        <v>45952.70765046297</v>
      </c>
      <c r="C527" s="1" t="n">
        <v>46116</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52098-2025</t>
        </is>
      </c>
      <c r="B528" s="1" t="n">
        <v>45952.68001157408</v>
      </c>
      <c r="C528" s="1" t="n">
        <v>46116</v>
      </c>
      <c r="D528" t="inlineStr">
        <is>
          <t>ÖREBRO LÄN</t>
        </is>
      </c>
      <c r="E528" t="inlineStr">
        <is>
          <t>LINDESBERG</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52103-2025</t>
        </is>
      </c>
      <c r="B529" s="1" t="n">
        <v>45952.68439814815</v>
      </c>
      <c r="C529" s="1" t="n">
        <v>46116</v>
      </c>
      <c r="D529" t="inlineStr">
        <is>
          <t>ÖREBRO LÄN</t>
        </is>
      </c>
      <c r="E529" t="inlineStr">
        <is>
          <t>LINDESBERG</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6727-2022</t>
        </is>
      </c>
      <c r="B530" s="1" t="n">
        <v>44602.45490740741</v>
      </c>
      <c r="C530" s="1" t="n">
        <v>46116</v>
      </c>
      <c r="D530" t="inlineStr">
        <is>
          <t>ÖREBRO LÄN</t>
        </is>
      </c>
      <c r="E530" t="inlineStr">
        <is>
          <t>LINDESBERG</t>
        </is>
      </c>
      <c r="G530" t="n">
        <v>0.8</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46116</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46116</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52298-2025</t>
        </is>
      </c>
      <c r="B533" s="1" t="n">
        <v>45953.61387731481</v>
      </c>
      <c r="C533" s="1" t="n">
        <v>46116</v>
      </c>
      <c r="D533" t="inlineStr">
        <is>
          <t>ÖREBRO LÄN</t>
        </is>
      </c>
      <c r="E533" t="inlineStr">
        <is>
          <t>LINDESBERG</t>
        </is>
      </c>
      <c r="G533" t="n">
        <v>18.2</v>
      </c>
      <c r="H533" t="n">
        <v>0</v>
      </c>
      <c r="I533" t="n">
        <v>0</v>
      </c>
      <c r="J533" t="n">
        <v>0</v>
      </c>
      <c r="K533" t="n">
        <v>0</v>
      </c>
      <c r="L533" t="n">
        <v>0</v>
      </c>
      <c r="M533" t="n">
        <v>0</v>
      </c>
      <c r="N533" t="n">
        <v>0</v>
      </c>
      <c r="O533" t="n">
        <v>0</v>
      </c>
      <c r="P533" t="n">
        <v>0</v>
      </c>
      <c r="Q533" t="n">
        <v>0</v>
      </c>
      <c r="R533" s="2" t="inlineStr"/>
    </row>
    <row r="534" ht="15" customHeight="1">
      <c r="A534" t="inlineStr">
        <is>
          <t>A 52730-2025</t>
        </is>
      </c>
      <c r="B534" s="1" t="n">
        <v>45957.36386574074</v>
      </c>
      <c r="C534" s="1" t="n">
        <v>46116</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44803-2024</t>
        </is>
      </c>
      <c r="B535" s="1" t="n">
        <v>45574.65087962963</v>
      </c>
      <c r="C535" s="1" t="n">
        <v>46116</v>
      </c>
      <c r="D535" t="inlineStr">
        <is>
          <t>ÖREBRO LÄN</t>
        </is>
      </c>
      <c r="E535" t="inlineStr">
        <is>
          <t>LINDESBERG</t>
        </is>
      </c>
      <c r="F535" t="inlineStr">
        <is>
          <t>Sveaskog</t>
        </is>
      </c>
      <c r="G535" t="n">
        <v>6.8</v>
      </c>
      <c r="H535" t="n">
        <v>0</v>
      </c>
      <c r="I535" t="n">
        <v>0</v>
      </c>
      <c r="J535" t="n">
        <v>0</v>
      </c>
      <c r="K535" t="n">
        <v>0</v>
      </c>
      <c r="L535" t="n">
        <v>0</v>
      </c>
      <c r="M535" t="n">
        <v>0</v>
      </c>
      <c r="N535" t="n">
        <v>0</v>
      </c>
      <c r="O535" t="n">
        <v>0</v>
      </c>
      <c r="P535" t="n">
        <v>0</v>
      </c>
      <c r="Q535" t="n">
        <v>0</v>
      </c>
      <c r="R535" s="2" t="inlineStr"/>
    </row>
    <row r="536" ht="15" customHeight="1">
      <c r="A536" t="inlineStr">
        <is>
          <t>A 25012-2023</t>
        </is>
      </c>
      <c r="B536" s="1" t="n">
        <v>45085</v>
      </c>
      <c r="C536" s="1" t="n">
        <v>46116</v>
      </c>
      <c r="D536" t="inlineStr">
        <is>
          <t>ÖREBRO LÄN</t>
        </is>
      </c>
      <c r="E536" t="inlineStr">
        <is>
          <t>LINDESBERG</t>
        </is>
      </c>
      <c r="G536" t="n">
        <v>1.1</v>
      </c>
      <c r="H536" t="n">
        <v>0</v>
      </c>
      <c r="I536" t="n">
        <v>0</v>
      </c>
      <c r="J536" t="n">
        <v>0</v>
      </c>
      <c r="K536" t="n">
        <v>0</v>
      </c>
      <c r="L536" t="n">
        <v>0</v>
      </c>
      <c r="M536" t="n">
        <v>0</v>
      </c>
      <c r="N536" t="n">
        <v>0</v>
      </c>
      <c r="O536" t="n">
        <v>0</v>
      </c>
      <c r="P536" t="n">
        <v>0</v>
      </c>
      <c r="Q536" t="n">
        <v>0</v>
      </c>
      <c r="R536" s="2" t="inlineStr"/>
    </row>
    <row r="537" ht="15" customHeight="1">
      <c r="A537" t="inlineStr">
        <is>
          <t>A 13969-2025</t>
        </is>
      </c>
      <c r="B537" s="1" t="n">
        <v>45738.43714120371</v>
      </c>
      <c r="C537" s="1" t="n">
        <v>46116</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52401-2025</t>
        </is>
      </c>
      <c r="B538" s="1" t="n">
        <v>45954.35075231481</v>
      </c>
      <c r="C538" s="1" t="n">
        <v>46116</v>
      </c>
      <c r="D538" t="inlineStr">
        <is>
          <t>ÖREBRO LÄN</t>
        </is>
      </c>
      <c r="E538" t="inlineStr">
        <is>
          <t>LINDESBERG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52402-2025</t>
        </is>
      </c>
      <c r="B539" s="1" t="n">
        <v>45954.35387731482</v>
      </c>
      <c r="C539" s="1" t="n">
        <v>46116</v>
      </c>
      <c r="D539" t="inlineStr">
        <is>
          <t>ÖREBRO LÄN</t>
        </is>
      </c>
      <c r="E539" t="inlineStr">
        <is>
          <t>LINDESBERG</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53288-2025</t>
        </is>
      </c>
      <c r="B540" s="1" t="n">
        <v>45958.79287037037</v>
      </c>
      <c r="C540" s="1" t="n">
        <v>46116</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53187-2025</t>
        </is>
      </c>
      <c r="B541" s="1" t="n">
        <v>45958.55577546296</v>
      </c>
      <c r="C541" s="1" t="n">
        <v>46116</v>
      </c>
      <c r="D541" t="inlineStr">
        <is>
          <t>ÖREBRO LÄN</t>
        </is>
      </c>
      <c r="E541" t="inlineStr">
        <is>
          <t>LINDESBERG</t>
        </is>
      </c>
      <c r="F541" t="inlineStr">
        <is>
          <t>Kommuner</t>
        </is>
      </c>
      <c r="G541" t="n">
        <v>2.7</v>
      </c>
      <c r="H541" t="n">
        <v>0</v>
      </c>
      <c r="I541" t="n">
        <v>0</v>
      </c>
      <c r="J541" t="n">
        <v>0</v>
      </c>
      <c r="K541" t="n">
        <v>0</v>
      </c>
      <c r="L541" t="n">
        <v>0</v>
      </c>
      <c r="M541" t="n">
        <v>0</v>
      </c>
      <c r="N541" t="n">
        <v>0</v>
      </c>
      <c r="O541" t="n">
        <v>0</v>
      </c>
      <c r="P541" t="n">
        <v>0</v>
      </c>
      <c r="Q541" t="n">
        <v>0</v>
      </c>
      <c r="R541" s="2" t="inlineStr"/>
    </row>
    <row r="542" ht="15" customHeight="1">
      <c r="A542" t="inlineStr">
        <is>
          <t>A 53366-2023</t>
        </is>
      </c>
      <c r="B542" s="1" t="n">
        <v>45229</v>
      </c>
      <c r="C542" s="1" t="n">
        <v>46116</v>
      </c>
      <c r="D542" t="inlineStr">
        <is>
          <t>ÖREBRO LÄN</t>
        </is>
      </c>
      <c r="E542" t="inlineStr">
        <is>
          <t>LINDESBERG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42430-2024</t>
        </is>
      </c>
      <c r="B543" s="1" t="n">
        <v>45565.40700231482</v>
      </c>
      <c r="C543" s="1" t="n">
        <v>46116</v>
      </c>
      <c r="D543" t="inlineStr">
        <is>
          <t>ÖREBRO LÄN</t>
        </is>
      </c>
      <c r="E543" t="inlineStr">
        <is>
          <t>LINDESBERG</t>
        </is>
      </c>
      <c r="G543" t="n">
        <v>4</v>
      </c>
      <c r="H543" t="n">
        <v>0</v>
      </c>
      <c r="I543" t="n">
        <v>0</v>
      </c>
      <c r="J543" t="n">
        <v>0</v>
      </c>
      <c r="K543" t="n">
        <v>0</v>
      </c>
      <c r="L543" t="n">
        <v>0</v>
      </c>
      <c r="M543" t="n">
        <v>0</v>
      </c>
      <c r="N543" t="n">
        <v>0</v>
      </c>
      <c r="O543" t="n">
        <v>0</v>
      </c>
      <c r="P543" t="n">
        <v>0</v>
      </c>
      <c r="Q543" t="n">
        <v>0</v>
      </c>
      <c r="R543" s="2" t="inlineStr"/>
    </row>
    <row r="544" ht="15" customHeight="1">
      <c r="A544" t="inlineStr">
        <is>
          <t>A 36754-2024</t>
        </is>
      </c>
      <c r="B544" s="1" t="n">
        <v>45538.34796296297</v>
      </c>
      <c r="C544" s="1" t="n">
        <v>46116</v>
      </c>
      <c r="D544" t="inlineStr">
        <is>
          <t>ÖREBRO LÄN</t>
        </is>
      </c>
      <c r="E544" t="inlineStr">
        <is>
          <t>LINDESBERG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1354-2024</t>
        </is>
      </c>
      <c r="B545" s="1" t="n">
        <v>45303</v>
      </c>
      <c r="C545" s="1" t="n">
        <v>46116</v>
      </c>
      <c r="D545" t="inlineStr">
        <is>
          <t>ÖREBRO LÄN</t>
        </is>
      </c>
      <c r="E545" t="inlineStr">
        <is>
          <t>LINDESBERG</t>
        </is>
      </c>
      <c r="G545" t="n">
        <v>2.1</v>
      </c>
      <c r="H545" t="n">
        <v>0</v>
      </c>
      <c r="I545" t="n">
        <v>0</v>
      </c>
      <c r="J545" t="n">
        <v>0</v>
      </c>
      <c r="K545" t="n">
        <v>0</v>
      </c>
      <c r="L545" t="n">
        <v>0</v>
      </c>
      <c r="M545" t="n">
        <v>0</v>
      </c>
      <c r="N545" t="n">
        <v>0</v>
      </c>
      <c r="O545" t="n">
        <v>0</v>
      </c>
      <c r="P545" t="n">
        <v>0</v>
      </c>
      <c r="Q545" t="n">
        <v>0</v>
      </c>
      <c r="R545" s="2" t="inlineStr"/>
    </row>
    <row r="546" ht="15" customHeight="1">
      <c r="A546" t="inlineStr">
        <is>
          <t>A 53721-2025</t>
        </is>
      </c>
      <c r="B546" s="1" t="n">
        <v>45960</v>
      </c>
      <c r="C546" s="1" t="n">
        <v>46116</v>
      </c>
      <c r="D546" t="inlineStr">
        <is>
          <t>ÖREBRO LÄN</t>
        </is>
      </c>
      <c r="E546" t="inlineStr">
        <is>
          <t>LINDESBERG</t>
        </is>
      </c>
      <c r="G546" t="n">
        <v>3.3</v>
      </c>
      <c r="H546" t="n">
        <v>0</v>
      </c>
      <c r="I546" t="n">
        <v>0</v>
      </c>
      <c r="J546" t="n">
        <v>0</v>
      </c>
      <c r="K546" t="n">
        <v>0</v>
      </c>
      <c r="L546" t="n">
        <v>0</v>
      </c>
      <c r="M546" t="n">
        <v>0</v>
      </c>
      <c r="N546" t="n">
        <v>0</v>
      </c>
      <c r="O546" t="n">
        <v>0</v>
      </c>
      <c r="P546" t="n">
        <v>0</v>
      </c>
      <c r="Q546" t="n">
        <v>0</v>
      </c>
      <c r="R546" s="2" t="inlineStr"/>
    </row>
    <row r="547" ht="15" customHeight="1">
      <c r="A547" t="inlineStr">
        <is>
          <t>A 53723-2025</t>
        </is>
      </c>
      <c r="B547" s="1" t="n">
        <v>45960.62986111111</v>
      </c>
      <c r="C547" s="1" t="n">
        <v>46116</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27001-2024</t>
        </is>
      </c>
      <c r="B548" s="1" t="n">
        <v>45471.38995370371</v>
      </c>
      <c r="C548" s="1" t="n">
        <v>46116</v>
      </c>
      <c r="D548" t="inlineStr">
        <is>
          <t>ÖREBRO LÄN</t>
        </is>
      </c>
      <c r="E548" t="inlineStr">
        <is>
          <t>LINDESBERG</t>
        </is>
      </c>
      <c r="G548" t="n">
        <v>2.8</v>
      </c>
      <c r="H548" t="n">
        <v>0</v>
      </c>
      <c r="I548" t="n">
        <v>0</v>
      </c>
      <c r="J548" t="n">
        <v>0</v>
      </c>
      <c r="K548" t="n">
        <v>0</v>
      </c>
      <c r="L548" t="n">
        <v>0</v>
      </c>
      <c r="M548" t="n">
        <v>0</v>
      </c>
      <c r="N548" t="n">
        <v>0</v>
      </c>
      <c r="O548" t="n">
        <v>0</v>
      </c>
      <c r="P548" t="n">
        <v>0</v>
      </c>
      <c r="Q548" t="n">
        <v>0</v>
      </c>
      <c r="R548" s="2" t="inlineStr"/>
    </row>
    <row r="549" ht="15" customHeight="1">
      <c r="A549" t="inlineStr">
        <is>
          <t>A 26067-2022</t>
        </is>
      </c>
      <c r="B549" s="1" t="n">
        <v>44734.64337962963</v>
      </c>
      <c r="C549" s="1" t="n">
        <v>46116</v>
      </c>
      <c r="D549" t="inlineStr">
        <is>
          <t>ÖREBRO LÄN</t>
        </is>
      </c>
      <c r="E549" t="inlineStr">
        <is>
          <t>LINDESBERG</t>
        </is>
      </c>
      <c r="G549" t="n">
        <v>3.1</v>
      </c>
      <c r="H549" t="n">
        <v>0</v>
      </c>
      <c r="I549" t="n">
        <v>0</v>
      </c>
      <c r="J549" t="n">
        <v>0</v>
      </c>
      <c r="K549" t="n">
        <v>0</v>
      </c>
      <c r="L549" t="n">
        <v>0</v>
      </c>
      <c r="M549" t="n">
        <v>0</v>
      </c>
      <c r="N549" t="n">
        <v>0</v>
      </c>
      <c r="O549" t="n">
        <v>0</v>
      </c>
      <c r="P549" t="n">
        <v>0</v>
      </c>
      <c r="Q549" t="n">
        <v>0</v>
      </c>
      <c r="R549" s="2" t="inlineStr"/>
    </row>
    <row r="550" ht="15" customHeight="1">
      <c r="A550" t="inlineStr">
        <is>
          <t>A 59395-2022</t>
        </is>
      </c>
      <c r="B550" s="1" t="n">
        <v>44906.73321759259</v>
      </c>
      <c r="C550" s="1" t="n">
        <v>46116</v>
      </c>
      <c r="D550" t="inlineStr">
        <is>
          <t>ÖREBRO LÄN</t>
        </is>
      </c>
      <c r="E550" t="inlineStr">
        <is>
          <t>LINDESBERG</t>
        </is>
      </c>
      <c r="G550" t="n">
        <v>4.3</v>
      </c>
      <c r="H550" t="n">
        <v>0</v>
      </c>
      <c r="I550" t="n">
        <v>0</v>
      </c>
      <c r="J550" t="n">
        <v>0</v>
      </c>
      <c r="K550" t="n">
        <v>0</v>
      </c>
      <c r="L550" t="n">
        <v>0</v>
      </c>
      <c r="M550" t="n">
        <v>0</v>
      </c>
      <c r="N550" t="n">
        <v>0</v>
      </c>
      <c r="O550" t="n">
        <v>0</v>
      </c>
      <c r="P550" t="n">
        <v>0</v>
      </c>
      <c r="Q550" t="n">
        <v>0</v>
      </c>
      <c r="R550" s="2" t="inlineStr"/>
    </row>
    <row r="551" ht="15" customHeight="1">
      <c r="A551" t="inlineStr">
        <is>
          <t>A 19043-2023</t>
        </is>
      </c>
      <c r="B551" s="1" t="n">
        <v>45047.7181712963</v>
      </c>
      <c r="C551" s="1" t="n">
        <v>46116</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41343-2021</t>
        </is>
      </c>
      <c r="B552" s="1" t="n">
        <v>44424.61709490741</v>
      </c>
      <c r="C552" s="1" t="n">
        <v>46116</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43416-2024</t>
        </is>
      </c>
      <c r="B553" s="1" t="n">
        <v>45568.62625</v>
      </c>
      <c r="C553" s="1" t="n">
        <v>46116</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54249-2025</t>
        </is>
      </c>
      <c r="B554" s="1" t="n">
        <v>45964.64599537037</v>
      </c>
      <c r="C554" s="1" t="n">
        <v>46116</v>
      </c>
      <c r="D554" t="inlineStr">
        <is>
          <t>ÖREBRO LÄN</t>
        </is>
      </c>
      <c r="E554" t="inlineStr">
        <is>
          <t>LINDESBERG</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54070-2025</t>
        </is>
      </c>
      <c r="B555" s="1" t="n">
        <v>45964.34680555556</v>
      </c>
      <c r="C555" s="1" t="n">
        <v>46116</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10654-2023</t>
        </is>
      </c>
      <c r="B556" s="1" t="n">
        <v>44984</v>
      </c>
      <c r="C556" s="1" t="n">
        <v>46116</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54072-2025</t>
        </is>
      </c>
      <c r="B557" s="1" t="n">
        <v>45964.3550925926</v>
      </c>
      <c r="C557" s="1" t="n">
        <v>46116</v>
      </c>
      <c r="D557" t="inlineStr">
        <is>
          <t>ÖREBRO LÄN</t>
        </is>
      </c>
      <c r="E557" t="inlineStr">
        <is>
          <t>LINDESBERG</t>
        </is>
      </c>
      <c r="G557" t="n">
        <v>1.3</v>
      </c>
      <c r="H557" t="n">
        <v>0</v>
      </c>
      <c r="I557" t="n">
        <v>0</v>
      </c>
      <c r="J557" t="n">
        <v>0</v>
      </c>
      <c r="K557" t="n">
        <v>0</v>
      </c>
      <c r="L557" t="n">
        <v>0</v>
      </c>
      <c r="M557" t="n">
        <v>0</v>
      </c>
      <c r="N557" t="n">
        <v>0</v>
      </c>
      <c r="O557" t="n">
        <v>0</v>
      </c>
      <c r="P557" t="n">
        <v>0</v>
      </c>
      <c r="Q557" t="n">
        <v>0</v>
      </c>
      <c r="R557" s="2" t="inlineStr"/>
    </row>
    <row r="558" ht="15" customHeight="1">
      <c r="A558" t="inlineStr">
        <is>
          <t>A 63125-2023</t>
        </is>
      </c>
      <c r="B558" s="1" t="n">
        <v>45273</v>
      </c>
      <c r="C558" s="1" t="n">
        <v>46116</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54250-2025</t>
        </is>
      </c>
      <c r="B559" s="1" t="n">
        <v>45964.64709490741</v>
      </c>
      <c r="C559" s="1" t="n">
        <v>46116</v>
      </c>
      <c r="D559" t="inlineStr">
        <is>
          <t>ÖREBRO LÄN</t>
        </is>
      </c>
      <c r="E559" t="inlineStr">
        <is>
          <t>LINDESBERG</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54251-2025</t>
        </is>
      </c>
      <c r="B560" s="1" t="n">
        <v>45964.64778935185</v>
      </c>
      <c r="C560" s="1" t="n">
        <v>46116</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54240-2025</t>
        </is>
      </c>
      <c r="B561" s="1" t="n">
        <v>45964.62796296296</v>
      </c>
      <c r="C561" s="1" t="n">
        <v>46116</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14454-2024</t>
        </is>
      </c>
      <c r="B562" s="1" t="n">
        <v>45394.51289351852</v>
      </c>
      <c r="C562" s="1" t="n">
        <v>46116</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55065-2025</t>
        </is>
      </c>
      <c r="B563" s="1" t="n">
        <v>45967.7096875</v>
      </c>
      <c r="C563" s="1" t="n">
        <v>46116</v>
      </c>
      <c r="D563" t="inlineStr">
        <is>
          <t>ÖREBRO LÄN</t>
        </is>
      </c>
      <c r="E563" t="inlineStr">
        <is>
          <t>LINDESBERG</t>
        </is>
      </c>
      <c r="G563" t="n">
        <v>3.5</v>
      </c>
      <c r="H563" t="n">
        <v>0</v>
      </c>
      <c r="I563" t="n">
        <v>0</v>
      </c>
      <c r="J563" t="n">
        <v>0</v>
      </c>
      <c r="K563" t="n">
        <v>0</v>
      </c>
      <c r="L563" t="n">
        <v>0</v>
      </c>
      <c r="M563" t="n">
        <v>0</v>
      </c>
      <c r="N563" t="n">
        <v>0</v>
      </c>
      <c r="O563" t="n">
        <v>0</v>
      </c>
      <c r="P563" t="n">
        <v>0</v>
      </c>
      <c r="Q563" t="n">
        <v>0</v>
      </c>
      <c r="R563" s="2" t="inlineStr"/>
    </row>
    <row r="564" ht="15" customHeight="1">
      <c r="A564" t="inlineStr">
        <is>
          <t>A 61960-2024</t>
        </is>
      </c>
      <c r="B564" s="1" t="n">
        <v>45653.53664351852</v>
      </c>
      <c r="C564" s="1" t="n">
        <v>46116</v>
      </c>
      <c r="D564" t="inlineStr">
        <is>
          <t>ÖREBRO LÄN</t>
        </is>
      </c>
      <c r="E564" t="inlineStr">
        <is>
          <t>LINDESBERG</t>
        </is>
      </c>
      <c r="G564" t="n">
        <v>1.1</v>
      </c>
      <c r="H564" t="n">
        <v>0</v>
      </c>
      <c r="I564" t="n">
        <v>0</v>
      </c>
      <c r="J564" t="n">
        <v>0</v>
      </c>
      <c r="K564" t="n">
        <v>0</v>
      </c>
      <c r="L564" t="n">
        <v>0</v>
      </c>
      <c r="M564" t="n">
        <v>0</v>
      </c>
      <c r="N564" t="n">
        <v>0</v>
      </c>
      <c r="O564" t="n">
        <v>0</v>
      </c>
      <c r="P564" t="n">
        <v>0</v>
      </c>
      <c r="Q564" t="n">
        <v>0</v>
      </c>
      <c r="R564" s="2" t="inlineStr"/>
    </row>
    <row r="565" ht="15" customHeight="1">
      <c r="A565" t="inlineStr">
        <is>
          <t>A 34436-2023</t>
        </is>
      </c>
      <c r="B565" s="1" t="n">
        <v>45139.64328703703</v>
      </c>
      <c r="C565" s="1" t="n">
        <v>46116</v>
      </c>
      <c r="D565" t="inlineStr">
        <is>
          <t>ÖREBRO LÄN</t>
        </is>
      </c>
      <c r="E565" t="inlineStr">
        <is>
          <t>LINDESBERG</t>
        </is>
      </c>
      <c r="F565" t="inlineStr">
        <is>
          <t>Kyrkan</t>
        </is>
      </c>
      <c r="G565" t="n">
        <v>5.8</v>
      </c>
      <c r="H565" t="n">
        <v>0</v>
      </c>
      <c r="I565" t="n">
        <v>0</v>
      </c>
      <c r="J565" t="n">
        <v>0</v>
      </c>
      <c r="K565" t="n">
        <v>0</v>
      </c>
      <c r="L565" t="n">
        <v>0</v>
      </c>
      <c r="M565" t="n">
        <v>0</v>
      </c>
      <c r="N565" t="n">
        <v>0</v>
      </c>
      <c r="O565" t="n">
        <v>0</v>
      </c>
      <c r="P565" t="n">
        <v>0</v>
      </c>
      <c r="Q565" t="n">
        <v>0</v>
      </c>
      <c r="R565" s="2" t="inlineStr"/>
    </row>
    <row r="566" ht="15" customHeight="1">
      <c r="A566" t="inlineStr">
        <is>
          <t>A 54860-2024</t>
        </is>
      </c>
      <c r="B566" s="1" t="n">
        <v>45618.59219907408</v>
      </c>
      <c r="C566" s="1" t="n">
        <v>46116</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55255-2025</t>
        </is>
      </c>
      <c r="B567" s="1" t="n">
        <v>45968.63695601852</v>
      </c>
      <c r="C567" s="1" t="n">
        <v>46116</v>
      </c>
      <c r="D567" t="inlineStr">
        <is>
          <t>ÖREBRO LÄN</t>
        </is>
      </c>
      <c r="E567" t="inlineStr">
        <is>
          <t>LINDESBERG</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55477-2025</t>
        </is>
      </c>
      <c r="B568" s="1" t="n">
        <v>45971.56197916667</v>
      </c>
      <c r="C568" s="1" t="n">
        <v>46116</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55490-2025</t>
        </is>
      </c>
      <c r="B569" s="1" t="n">
        <v>45971.57659722222</v>
      </c>
      <c r="C569" s="1" t="n">
        <v>46116</v>
      </c>
      <c r="D569" t="inlineStr">
        <is>
          <t>ÖREBRO LÄN</t>
        </is>
      </c>
      <c r="E569" t="inlineStr">
        <is>
          <t>LINDESBERG</t>
        </is>
      </c>
      <c r="G569" t="n">
        <v>1.1</v>
      </c>
      <c r="H569" t="n">
        <v>0</v>
      </c>
      <c r="I569" t="n">
        <v>0</v>
      </c>
      <c r="J569" t="n">
        <v>0</v>
      </c>
      <c r="K569" t="n">
        <v>0</v>
      </c>
      <c r="L569" t="n">
        <v>0</v>
      </c>
      <c r="M569" t="n">
        <v>0</v>
      </c>
      <c r="N569" t="n">
        <v>0</v>
      </c>
      <c r="O569" t="n">
        <v>0</v>
      </c>
      <c r="P569" t="n">
        <v>0</v>
      </c>
      <c r="Q569" t="n">
        <v>0</v>
      </c>
      <c r="R569" s="2" t="inlineStr"/>
    </row>
    <row r="570" ht="15" customHeight="1">
      <c r="A570" t="inlineStr">
        <is>
          <t>A 6181-2025</t>
        </is>
      </c>
      <c r="B570" s="1" t="n">
        <v>45698</v>
      </c>
      <c r="C570" s="1" t="n">
        <v>46116</v>
      </c>
      <c r="D570" t="inlineStr">
        <is>
          <t>ÖREBRO LÄN</t>
        </is>
      </c>
      <c r="E570" t="inlineStr">
        <is>
          <t>LINDESBERG</t>
        </is>
      </c>
      <c r="G570" t="n">
        <v>2.8</v>
      </c>
      <c r="H570" t="n">
        <v>0</v>
      </c>
      <c r="I570" t="n">
        <v>0</v>
      </c>
      <c r="J570" t="n">
        <v>0</v>
      </c>
      <c r="K570" t="n">
        <v>0</v>
      </c>
      <c r="L570" t="n">
        <v>0</v>
      </c>
      <c r="M570" t="n">
        <v>0</v>
      </c>
      <c r="N570" t="n">
        <v>0</v>
      </c>
      <c r="O570" t="n">
        <v>0</v>
      </c>
      <c r="P570" t="n">
        <v>0</v>
      </c>
      <c r="Q570" t="n">
        <v>0</v>
      </c>
      <c r="R570" s="2" t="inlineStr"/>
    </row>
    <row r="571" ht="15" customHeight="1">
      <c r="A571" t="inlineStr">
        <is>
          <t>A 8612-2024</t>
        </is>
      </c>
      <c r="B571" s="1" t="n">
        <v>45355.70009259259</v>
      </c>
      <c r="C571" s="1" t="n">
        <v>46116</v>
      </c>
      <c r="D571" t="inlineStr">
        <is>
          <t>ÖREBRO LÄN</t>
        </is>
      </c>
      <c r="E571" t="inlineStr">
        <is>
          <t>LINDESBERG</t>
        </is>
      </c>
      <c r="G571" t="n">
        <v>4.5</v>
      </c>
      <c r="H571" t="n">
        <v>0</v>
      </c>
      <c r="I571" t="n">
        <v>0</v>
      </c>
      <c r="J571" t="n">
        <v>0</v>
      </c>
      <c r="K571" t="n">
        <v>0</v>
      </c>
      <c r="L571" t="n">
        <v>0</v>
      </c>
      <c r="M571" t="n">
        <v>0</v>
      </c>
      <c r="N571" t="n">
        <v>0</v>
      </c>
      <c r="O571" t="n">
        <v>0</v>
      </c>
      <c r="P571" t="n">
        <v>0</v>
      </c>
      <c r="Q571" t="n">
        <v>0</v>
      </c>
      <c r="R571" s="2" t="inlineStr"/>
    </row>
    <row r="572" ht="15" customHeight="1">
      <c r="A572" t="inlineStr">
        <is>
          <t>A 7126-2025</t>
        </is>
      </c>
      <c r="B572" s="1" t="n">
        <v>45702</v>
      </c>
      <c r="C572" s="1" t="n">
        <v>46116</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56306-2025</t>
        </is>
      </c>
      <c r="B573" s="1" t="n">
        <v>45974.61217592593</v>
      </c>
      <c r="C573" s="1" t="n">
        <v>46116</v>
      </c>
      <c r="D573" t="inlineStr">
        <is>
          <t>ÖREBRO LÄN</t>
        </is>
      </c>
      <c r="E573" t="inlineStr">
        <is>
          <t>LINDESBERG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56308-2025</t>
        </is>
      </c>
      <c r="B574" s="1" t="n">
        <v>45974.61344907407</v>
      </c>
      <c r="C574" s="1" t="n">
        <v>46116</v>
      </c>
      <c r="D574" t="inlineStr">
        <is>
          <t>ÖREBRO LÄN</t>
        </is>
      </c>
      <c r="E574" t="inlineStr">
        <is>
          <t>LINDESBERG</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56232-2025</t>
        </is>
      </c>
      <c r="B575" s="1" t="n">
        <v>45974.53239583333</v>
      </c>
      <c r="C575" s="1" t="n">
        <v>46116</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9961-2023</t>
        </is>
      </c>
      <c r="B576" s="1" t="n">
        <v>44979</v>
      </c>
      <c r="C576" s="1" t="n">
        <v>46116</v>
      </c>
      <c r="D576" t="inlineStr">
        <is>
          <t>ÖREBRO LÄN</t>
        </is>
      </c>
      <c r="E576" t="inlineStr">
        <is>
          <t>LINDESBERG</t>
        </is>
      </c>
      <c r="G576" t="n">
        <v>4.8</v>
      </c>
      <c r="H576" t="n">
        <v>0</v>
      </c>
      <c r="I576" t="n">
        <v>0</v>
      </c>
      <c r="J576" t="n">
        <v>0</v>
      </c>
      <c r="K576" t="n">
        <v>0</v>
      </c>
      <c r="L576" t="n">
        <v>0</v>
      </c>
      <c r="M576" t="n">
        <v>0</v>
      </c>
      <c r="N576" t="n">
        <v>0</v>
      </c>
      <c r="O576" t="n">
        <v>0</v>
      </c>
      <c r="P576" t="n">
        <v>0</v>
      </c>
      <c r="Q576" t="n">
        <v>0</v>
      </c>
      <c r="R576" s="2" t="inlineStr"/>
    </row>
    <row r="577" ht="15" customHeight="1">
      <c r="A577" t="inlineStr">
        <is>
          <t>A 21084-2021</t>
        </is>
      </c>
      <c r="B577" s="1" t="n">
        <v>44319</v>
      </c>
      <c r="C577" s="1" t="n">
        <v>46116</v>
      </c>
      <c r="D577" t="inlineStr">
        <is>
          <t>ÖREBRO LÄN</t>
        </is>
      </c>
      <c r="E577" t="inlineStr">
        <is>
          <t>LINDESBERG</t>
        </is>
      </c>
      <c r="G577" t="n">
        <v>3.1</v>
      </c>
      <c r="H577" t="n">
        <v>0</v>
      </c>
      <c r="I577" t="n">
        <v>0</v>
      </c>
      <c r="J577" t="n">
        <v>0</v>
      </c>
      <c r="K577" t="n">
        <v>0</v>
      </c>
      <c r="L577" t="n">
        <v>0</v>
      </c>
      <c r="M577" t="n">
        <v>0</v>
      </c>
      <c r="N577" t="n">
        <v>0</v>
      </c>
      <c r="O577" t="n">
        <v>0</v>
      </c>
      <c r="P577" t="n">
        <v>0</v>
      </c>
      <c r="Q577" t="n">
        <v>0</v>
      </c>
      <c r="R577" s="2" t="inlineStr"/>
    </row>
    <row r="578" ht="15" customHeight="1">
      <c r="A578" t="inlineStr">
        <is>
          <t>A 56226-2025</t>
        </is>
      </c>
      <c r="B578" s="1" t="n">
        <v>45974.51283564815</v>
      </c>
      <c r="C578" s="1" t="n">
        <v>46116</v>
      </c>
      <c r="D578" t="inlineStr">
        <is>
          <t>ÖREBRO LÄN</t>
        </is>
      </c>
      <c r="E578" t="inlineStr">
        <is>
          <t>LINDESBERG</t>
        </is>
      </c>
      <c r="G578" t="n">
        <v>1.8</v>
      </c>
      <c r="H578" t="n">
        <v>0</v>
      </c>
      <c r="I578" t="n">
        <v>0</v>
      </c>
      <c r="J578" t="n">
        <v>0</v>
      </c>
      <c r="K578" t="n">
        <v>0</v>
      </c>
      <c r="L578" t="n">
        <v>0</v>
      </c>
      <c r="M578" t="n">
        <v>0</v>
      </c>
      <c r="N578" t="n">
        <v>0</v>
      </c>
      <c r="O578" t="n">
        <v>0</v>
      </c>
      <c r="P578" t="n">
        <v>0</v>
      </c>
      <c r="Q578" t="n">
        <v>0</v>
      </c>
      <c r="R578" s="2" t="inlineStr"/>
    </row>
    <row r="579" ht="15" customHeight="1">
      <c r="A579" t="inlineStr">
        <is>
          <t>A 5047-2023</t>
        </is>
      </c>
      <c r="B579" s="1" t="n">
        <v>44958.58982638889</v>
      </c>
      <c r="C579" s="1" t="n">
        <v>46116</v>
      </c>
      <c r="D579" t="inlineStr">
        <is>
          <t>ÖREBRO LÄN</t>
        </is>
      </c>
      <c r="E579" t="inlineStr">
        <is>
          <t>LINDESBERG</t>
        </is>
      </c>
      <c r="G579" t="n">
        <v>2</v>
      </c>
      <c r="H579" t="n">
        <v>0</v>
      </c>
      <c r="I579" t="n">
        <v>0</v>
      </c>
      <c r="J579" t="n">
        <v>0</v>
      </c>
      <c r="K579" t="n">
        <v>0</v>
      </c>
      <c r="L579" t="n">
        <v>0</v>
      </c>
      <c r="M579" t="n">
        <v>0</v>
      </c>
      <c r="N579" t="n">
        <v>0</v>
      </c>
      <c r="O579" t="n">
        <v>0</v>
      </c>
      <c r="P579" t="n">
        <v>0</v>
      </c>
      <c r="Q579" t="n">
        <v>0</v>
      </c>
      <c r="R579" s="2" t="inlineStr"/>
    </row>
    <row r="580" ht="15" customHeight="1">
      <c r="A580" t="inlineStr">
        <is>
          <t>A 18590-2023</t>
        </is>
      </c>
      <c r="B580" s="1" t="n">
        <v>45043.40300925926</v>
      </c>
      <c r="C580" s="1" t="n">
        <v>46116</v>
      </c>
      <c r="D580" t="inlineStr">
        <is>
          <t>ÖREBRO LÄN</t>
        </is>
      </c>
      <c r="E580" t="inlineStr">
        <is>
          <t>LINDESBERG</t>
        </is>
      </c>
      <c r="G580" t="n">
        <v>2.4</v>
      </c>
      <c r="H580" t="n">
        <v>0</v>
      </c>
      <c r="I580" t="n">
        <v>0</v>
      </c>
      <c r="J580" t="n">
        <v>0</v>
      </c>
      <c r="K580" t="n">
        <v>0</v>
      </c>
      <c r="L580" t="n">
        <v>0</v>
      </c>
      <c r="M580" t="n">
        <v>0</v>
      </c>
      <c r="N580" t="n">
        <v>0</v>
      </c>
      <c r="O580" t="n">
        <v>0</v>
      </c>
      <c r="P580" t="n">
        <v>0</v>
      </c>
      <c r="Q580" t="n">
        <v>0</v>
      </c>
      <c r="R580" s="2" t="inlineStr"/>
    </row>
    <row r="581" ht="15" customHeight="1">
      <c r="A581" t="inlineStr">
        <is>
          <t>A 56982-2025</t>
        </is>
      </c>
      <c r="B581" s="1" t="n">
        <v>45978.71075231482</v>
      </c>
      <c r="C581" s="1" t="n">
        <v>46116</v>
      </c>
      <c r="D581" t="inlineStr">
        <is>
          <t>ÖREBRO LÄN</t>
        </is>
      </c>
      <c r="E581" t="inlineStr">
        <is>
          <t>LINDESBERG</t>
        </is>
      </c>
      <c r="G581" t="n">
        <v>4.3</v>
      </c>
      <c r="H581" t="n">
        <v>0</v>
      </c>
      <c r="I581" t="n">
        <v>0</v>
      </c>
      <c r="J581" t="n">
        <v>0</v>
      </c>
      <c r="K581" t="n">
        <v>0</v>
      </c>
      <c r="L581" t="n">
        <v>0</v>
      </c>
      <c r="M581" t="n">
        <v>0</v>
      </c>
      <c r="N581" t="n">
        <v>0</v>
      </c>
      <c r="O581" t="n">
        <v>0</v>
      </c>
      <c r="P581" t="n">
        <v>0</v>
      </c>
      <c r="Q581" t="n">
        <v>0</v>
      </c>
      <c r="R581" s="2" t="inlineStr"/>
    </row>
    <row r="582" ht="15" customHeight="1">
      <c r="A582" t="inlineStr">
        <is>
          <t>A 57299-2025</t>
        </is>
      </c>
      <c r="B582" s="1" t="n">
        <v>45979.81347222222</v>
      </c>
      <c r="C582" s="1" t="n">
        <v>46116</v>
      </c>
      <c r="D582" t="inlineStr">
        <is>
          <t>ÖREBRO LÄN</t>
        </is>
      </c>
      <c r="E582" t="inlineStr">
        <is>
          <t>LINDESBERG</t>
        </is>
      </c>
      <c r="F582" t="inlineStr">
        <is>
          <t>Sveaskog</t>
        </is>
      </c>
      <c r="G582" t="n">
        <v>4.5</v>
      </c>
      <c r="H582" t="n">
        <v>0</v>
      </c>
      <c r="I582" t="n">
        <v>0</v>
      </c>
      <c r="J582" t="n">
        <v>0</v>
      </c>
      <c r="K582" t="n">
        <v>0</v>
      </c>
      <c r="L582" t="n">
        <v>0</v>
      </c>
      <c r="M582" t="n">
        <v>0</v>
      </c>
      <c r="N582" t="n">
        <v>0</v>
      </c>
      <c r="O582" t="n">
        <v>0</v>
      </c>
      <c r="P582" t="n">
        <v>0</v>
      </c>
      <c r="Q582" t="n">
        <v>0</v>
      </c>
      <c r="R582" s="2" t="inlineStr"/>
    </row>
    <row r="583" ht="15" customHeight="1">
      <c r="A583" t="inlineStr">
        <is>
          <t>A 57317-2025</t>
        </is>
      </c>
      <c r="B583" s="1" t="n">
        <v>45980.01226851852</v>
      </c>
      <c r="C583" s="1" t="n">
        <v>46116</v>
      </c>
      <c r="D583" t="inlineStr">
        <is>
          <t>ÖREBRO LÄN</t>
        </is>
      </c>
      <c r="E583" t="inlineStr">
        <is>
          <t>LINDESBERG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5784-2025</t>
        </is>
      </c>
      <c r="B584" s="1" t="n">
        <v>45694</v>
      </c>
      <c r="C584" s="1" t="n">
        <v>46116</v>
      </c>
      <c r="D584" t="inlineStr">
        <is>
          <t>ÖREBRO LÄN</t>
        </is>
      </c>
      <c r="E584" t="inlineStr">
        <is>
          <t>LINDESBERG</t>
        </is>
      </c>
      <c r="F584" t="inlineStr">
        <is>
          <t>Allmännings- och besparingsskogar</t>
        </is>
      </c>
      <c r="G584" t="n">
        <v>1.6</v>
      </c>
      <c r="H584" t="n">
        <v>0</v>
      </c>
      <c r="I584" t="n">
        <v>0</v>
      </c>
      <c r="J584" t="n">
        <v>0</v>
      </c>
      <c r="K584" t="n">
        <v>0</v>
      </c>
      <c r="L584" t="n">
        <v>0</v>
      </c>
      <c r="M584" t="n">
        <v>0</v>
      </c>
      <c r="N584" t="n">
        <v>0</v>
      </c>
      <c r="O584" t="n">
        <v>0</v>
      </c>
      <c r="P584" t="n">
        <v>0</v>
      </c>
      <c r="Q584" t="n">
        <v>0</v>
      </c>
      <c r="R584" s="2" t="inlineStr"/>
    </row>
    <row r="585" ht="15" customHeight="1">
      <c r="A585" t="inlineStr">
        <is>
          <t>A 57300-2025</t>
        </is>
      </c>
      <c r="B585" s="1" t="n">
        <v>45979.81403935186</v>
      </c>
      <c r="C585" s="1" t="n">
        <v>46116</v>
      </c>
      <c r="D585" t="inlineStr">
        <is>
          <t>ÖREBRO LÄN</t>
        </is>
      </c>
      <c r="E585" t="inlineStr">
        <is>
          <t>LINDESBERG</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57359-2025</t>
        </is>
      </c>
      <c r="B586" s="1" t="n">
        <v>45980.36866898148</v>
      </c>
      <c r="C586" s="1" t="n">
        <v>46116</v>
      </c>
      <c r="D586" t="inlineStr">
        <is>
          <t>ÖREBRO LÄN</t>
        </is>
      </c>
      <c r="E586" t="inlineStr">
        <is>
          <t>LINDESBERG</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57361-2025</t>
        </is>
      </c>
      <c r="B587" s="1" t="n">
        <v>45980.36988425926</v>
      </c>
      <c r="C587" s="1" t="n">
        <v>46116</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57313-2025</t>
        </is>
      </c>
      <c r="B588" s="1" t="n">
        <v>45979.97458333334</v>
      </c>
      <c r="C588" s="1" t="n">
        <v>46116</v>
      </c>
      <c r="D588" t="inlineStr">
        <is>
          <t>ÖREBRO LÄN</t>
        </is>
      </c>
      <c r="E588" t="inlineStr">
        <is>
          <t>LINDESBERG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57314-2025</t>
        </is>
      </c>
      <c r="B589" s="1" t="n">
        <v>45980.00710648148</v>
      </c>
      <c r="C589" s="1" t="n">
        <v>46116</v>
      </c>
      <c r="D589" t="inlineStr">
        <is>
          <t>ÖREBRO LÄN</t>
        </is>
      </c>
      <c r="E589" t="inlineStr">
        <is>
          <t>LINDESBERG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57315-2025</t>
        </is>
      </c>
      <c r="B590" s="1" t="n">
        <v>45980.00753472222</v>
      </c>
      <c r="C590" s="1" t="n">
        <v>46116</v>
      </c>
      <c r="D590" t="inlineStr">
        <is>
          <t>ÖREBRO LÄN</t>
        </is>
      </c>
      <c r="E590" t="inlineStr">
        <is>
          <t>LINDESBERG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57316-2025</t>
        </is>
      </c>
      <c r="B591" s="1" t="n">
        <v>45980.0115625</v>
      </c>
      <c r="C591" s="1" t="n">
        <v>46116</v>
      </c>
      <c r="D591" t="inlineStr">
        <is>
          <t>ÖREBRO LÄN</t>
        </is>
      </c>
      <c r="E591" t="inlineStr">
        <is>
          <t>LINDESBERG</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57320-2025</t>
        </is>
      </c>
      <c r="B592" s="1" t="n">
        <v>45980.01553240741</v>
      </c>
      <c r="C592" s="1" t="n">
        <v>46116</v>
      </c>
      <c r="D592" t="inlineStr">
        <is>
          <t>ÖREBRO LÄN</t>
        </is>
      </c>
      <c r="E592" t="inlineStr">
        <is>
          <t>LINDESBERG</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57363-2025</t>
        </is>
      </c>
      <c r="B593" s="1" t="n">
        <v>45980.3716087963</v>
      </c>
      <c r="C593" s="1" t="n">
        <v>46116</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57356-2025</t>
        </is>
      </c>
      <c r="B594" s="1" t="n">
        <v>45980.36633101852</v>
      </c>
      <c r="C594" s="1" t="n">
        <v>46116</v>
      </c>
      <c r="D594" t="inlineStr">
        <is>
          <t>ÖREBRO LÄN</t>
        </is>
      </c>
      <c r="E594" t="inlineStr">
        <is>
          <t>LINDESBERG</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57358-2025</t>
        </is>
      </c>
      <c r="B595" s="1" t="n">
        <v>45980.36679398148</v>
      </c>
      <c r="C595" s="1" t="n">
        <v>46116</v>
      </c>
      <c r="D595" t="inlineStr">
        <is>
          <t>ÖREBRO LÄN</t>
        </is>
      </c>
      <c r="E595" t="inlineStr">
        <is>
          <t>LINDESBERG</t>
        </is>
      </c>
      <c r="F595" t="inlineStr">
        <is>
          <t>Sveaskog</t>
        </is>
      </c>
      <c r="G595" t="n">
        <v>4.2</v>
      </c>
      <c r="H595" t="n">
        <v>0</v>
      </c>
      <c r="I595" t="n">
        <v>0</v>
      </c>
      <c r="J595" t="n">
        <v>0</v>
      </c>
      <c r="K595" t="n">
        <v>0</v>
      </c>
      <c r="L595" t="n">
        <v>0</v>
      </c>
      <c r="M595" t="n">
        <v>0</v>
      </c>
      <c r="N595" t="n">
        <v>0</v>
      </c>
      <c r="O595" t="n">
        <v>0</v>
      </c>
      <c r="P595" t="n">
        <v>0</v>
      </c>
      <c r="Q595" t="n">
        <v>0</v>
      </c>
      <c r="R595" s="2" t="inlineStr"/>
    </row>
    <row r="596" ht="15" customHeight="1">
      <c r="A596" t="inlineStr">
        <is>
          <t>A 16448-2025</t>
        </is>
      </c>
      <c r="B596" s="1" t="n">
        <v>45751.5056712963</v>
      </c>
      <c r="C596" s="1" t="n">
        <v>46116</v>
      </c>
      <c r="D596" t="inlineStr">
        <is>
          <t>ÖREBRO LÄN</t>
        </is>
      </c>
      <c r="E596" t="inlineStr">
        <is>
          <t>LINDESBERG</t>
        </is>
      </c>
      <c r="G596" t="n">
        <v>20.1</v>
      </c>
      <c r="H596" t="n">
        <v>0</v>
      </c>
      <c r="I596" t="n">
        <v>0</v>
      </c>
      <c r="J596" t="n">
        <v>0</v>
      </c>
      <c r="K596" t="n">
        <v>0</v>
      </c>
      <c r="L596" t="n">
        <v>0</v>
      </c>
      <c r="M596" t="n">
        <v>0</v>
      </c>
      <c r="N596" t="n">
        <v>0</v>
      </c>
      <c r="O596" t="n">
        <v>0</v>
      </c>
      <c r="P596" t="n">
        <v>0</v>
      </c>
      <c r="Q596" t="n">
        <v>0</v>
      </c>
      <c r="R596" s="2" t="inlineStr"/>
    </row>
    <row r="597" ht="15" customHeight="1">
      <c r="A597" t="inlineStr">
        <is>
          <t>A 54432-2023</t>
        </is>
      </c>
      <c r="B597" s="1" t="n">
        <v>45233.42121527778</v>
      </c>
      <c r="C597" s="1" t="n">
        <v>46116</v>
      </c>
      <c r="D597" t="inlineStr">
        <is>
          <t>ÖREBRO LÄN</t>
        </is>
      </c>
      <c r="E597" t="inlineStr">
        <is>
          <t>LINDESBERG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9436-2023</t>
        </is>
      </c>
      <c r="B598" s="1" t="n">
        <v>44981</v>
      </c>
      <c r="C598" s="1" t="n">
        <v>46116</v>
      </c>
      <c r="D598" t="inlineStr">
        <is>
          <t>ÖREBRO LÄN</t>
        </is>
      </c>
      <c r="E598" t="inlineStr">
        <is>
          <t>LINDESBERG</t>
        </is>
      </c>
      <c r="G598" t="n">
        <v>2.8</v>
      </c>
      <c r="H598" t="n">
        <v>0</v>
      </c>
      <c r="I598" t="n">
        <v>0</v>
      </c>
      <c r="J598" t="n">
        <v>0</v>
      </c>
      <c r="K598" t="n">
        <v>0</v>
      </c>
      <c r="L598" t="n">
        <v>0</v>
      </c>
      <c r="M598" t="n">
        <v>0</v>
      </c>
      <c r="N598" t="n">
        <v>0</v>
      </c>
      <c r="O598" t="n">
        <v>0</v>
      </c>
      <c r="P598" t="n">
        <v>0</v>
      </c>
      <c r="Q598" t="n">
        <v>0</v>
      </c>
      <c r="R598" s="2" t="inlineStr"/>
    </row>
    <row r="599" ht="15" customHeight="1">
      <c r="A599" t="inlineStr">
        <is>
          <t>A 60200-2024</t>
        </is>
      </c>
      <c r="B599" s="1" t="n">
        <v>45642.66184027777</v>
      </c>
      <c r="C599" s="1" t="n">
        <v>46116</v>
      </c>
      <c r="D599" t="inlineStr">
        <is>
          <t>ÖREBRO LÄN</t>
        </is>
      </c>
      <c r="E599" t="inlineStr">
        <is>
          <t>LINDESBERG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58166-2025</t>
        </is>
      </c>
      <c r="B600" s="1" t="n">
        <v>45982.71017361111</v>
      </c>
      <c r="C600" s="1" t="n">
        <v>46116</v>
      </c>
      <c r="D600" t="inlineStr">
        <is>
          <t>ÖREBRO LÄN</t>
        </is>
      </c>
      <c r="E600" t="inlineStr">
        <is>
          <t>LINDESBERG</t>
        </is>
      </c>
      <c r="G600" t="n">
        <v>2.5</v>
      </c>
      <c r="H600" t="n">
        <v>0</v>
      </c>
      <c r="I600" t="n">
        <v>0</v>
      </c>
      <c r="J600" t="n">
        <v>0</v>
      </c>
      <c r="K600" t="n">
        <v>0</v>
      </c>
      <c r="L600" t="n">
        <v>0</v>
      </c>
      <c r="M600" t="n">
        <v>0</v>
      </c>
      <c r="N600" t="n">
        <v>0</v>
      </c>
      <c r="O600" t="n">
        <v>0</v>
      </c>
      <c r="P600" t="n">
        <v>0</v>
      </c>
      <c r="Q600" t="n">
        <v>0</v>
      </c>
      <c r="R600" s="2" t="inlineStr"/>
    </row>
    <row r="601" ht="15" customHeight="1">
      <c r="A601" t="inlineStr">
        <is>
          <t>A 36747-2024</t>
        </is>
      </c>
      <c r="B601" s="1" t="n">
        <v>45538.34193287037</v>
      </c>
      <c r="C601" s="1" t="n">
        <v>46116</v>
      </c>
      <c r="D601" t="inlineStr">
        <is>
          <t>ÖREBRO LÄN</t>
        </is>
      </c>
      <c r="E601" t="inlineStr">
        <is>
          <t>LINDESBERG</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13305-2023</t>
        </is>
      </c>
      <c r="B602" s="1" t="n">
        <v>45005.35967592592</v>
      </c>
      <c r="C602" s="1" t="n">
        <v>46116</v>
      </c>
      <c r="D602" t="inlineStr">
        <is>
          <t>ÖREBRO LÄN</t>
        </is>
      </c>
      <c r="E602" t="inlineStr">
        <is>
          <t>LINDESBERG</t>
        </is>
      </c>
      <c r="G602" t="n">
        <v>5.5</v>
      </c>
      <c r="H602" t="n">
        <v>0</v>
      </c>
      <c r="I602" t="n">
        <v>0</v>
      </c>
      <c r="J602" t="n">
        <v>0</v>
      </c>
      <c r="K602" t="n">
        <v>0</v>
      </c>
      <c r="L602" t="n">
        <v>0</v>
      </c>
      <c r="M602" t="n">
        <v>0</v>
      </c>
      <c r="N602" t="n">
        <v>0</v>
      </c>
      <c r="O602" t="n">
        <v>0</v>
      </c>
      <c r="P602" t="n">
        <v>0</v>
      </c>
      <c r="Q602" t="n">
        <v>0</v>
      </c>
      <c r="R602" s="2" t="inlineStr"/>
    </row>
    <row r="603" ht="15" customHeight="1">
      <c r="A603" t="inlineStr">
        <is>
          <t>A 13368-2023</t>
        </is>
      </c>
      <c r="B603" s="1" t="n">
        <v>45005.47820601852</v>
      </c>
      <c r="C603" s="1" t="n">
        <v>46116</v>
      </c>
      <c r="D603" t="inlineStr">
        <is>
          <t>ÖREBRO LÄN</t>
        </is>
      </c>
      <c r="E603" t="inlineStr">
        <is>
          <t>LINDESBERG</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56912-2024</t>
        </is>
      </c>
      <c r="B604" s="1" t="n">
        <v>45628.59233796296</v>
      </c>
      <c r="C604" s="1" t="n">
        <v>46116</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15745-2024</t>
        </is>
      </c>
      <c r="B605" s="1" t="n">
        <v>45404.55239583334</v>
      </c>
      <c r="C605" s="1" t="n">
        <v>46116</v>
      </c>
      <c r="D605" t="inlineStr">
        <is>
          <t>ÖREBRO LÄN</t>
        </is>
      </c>
      <c r="E605" t="inlineStr">
        <is>
          <t>LINDESBERG</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15750-2024</t>
        </is>
      </c>
      <c r="B606" s="1" t="n">
        <v>45404.55601851852</v>
      </c>
      <c r="C606" s="1" t="n">
        <v>46116</v>
      </c>
      <c r="D606" t="inlineStr">
        <is>
          <t>ÖREBRO LÄN</t>
        </is>
      </c>
      <c r="E606" t="inlineStr">
        <is>
          <t>LINDESBERG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58963-2025</t>
        </is>
      </c>
      <c r="B607" s="1" t="n">
        <v>45987.60012731481</v>
      </c>
      <c r="C607" s="1" t="n">
        <v>46116</v>
      </c>
      <c r="D607" t="inlineStr">
        <is>
          <t>ÖREBRO LÄN</t>
        </is>
      </c>
      <c r="E607" t="inlineStr">
        <is>
          <t>LINDESBERG</t>
        </is>
      </c>
      <c r="G607" t="n">
        <v>0.8</v>
      </c>
      <c r="H607" t="n">
        <v>0</v>
      </c>
      <c r="I607" t="n">
        <v>0</v>
      </c>
      <c r="J607" t="n">
        <v>0</v>
      </c>
      <c r="K607" t="n">
        <v>0</v>
      </c>
      <c r="L607" t="n">
        <v>0</v>
      </c>
      <c r="M607" t="n">
        <v>0</v>
      </c>
      <c r="N607" t="n">
        <v>0</v>
      </c>
      <c r="O607" t="n">
        <v>0</v>
      </c>
      <c r="P607" t="n">
        <v>0</v>
      </c>
      <c r="Q607" t="n">
        <v>0</v>
      </c>
      <c r="R607" s="2" t="inlineStr"/>
    </row>
    <row r="608" ht="15" customHeight="1">
      <c r="A608" t="inlineStr">
        <is>
          <t>A 72698-2021</t>
        </is>
      </c>
      <c r="B608" s="1" t="n">
        <v>44546.6679050926</v>
      </c>
      <c r="C608" s="1" t="n">
        <v>46116</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19110-2025</t>
        </is>
      </c>
      <c r="B609" s="1" t="n">
        <v>45768.49947916667</v>
      </c>
      <c r="C609" s="1" t="n">
        <v>46116</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46678-2023</t>
        </is>
      </c>
      <c r="B610" s="1" t="n">
        <v>45194</v>
      </c>
      <c r="C610" s="1" t="n">
        <v>46116</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23579-2022</t>
        </is>
      </c>
      <c r="B611" s="1" t="n">
        <v>44721.52627314815</v>
      </c>
      <c r="C611" s="1" t="n">
        <v>46116</v>
      </c>
      <c r="D611" t="inlineStr">
        <is>
          <t>ÖREBRO LÄN</t>
        </is>
      </c>
      <c r="E611" t="inlineStr">
        <is>
          <t>LINDESBERG</t>
        </is>
      </c>
      <c r="G611" t="n">
        <v>0.7</v>
      </c>
      <c r="H611" t="n">
        <v>0</v>
      </c>
      <c r="I611" t="n">
        <v>0</v>
      </c>
      <c r="J611" t="n">
        <v>0</v>
      </c>
      <c r="K611" t="n">
        <v>0</v>
      </c>
      <c r="L611" t="n">
        <v>0</v>
      </c>
      <c r="M611" t="n">
        <v>0</v>
      </c>
      <c r="N611" t="n">
        <v>0</v>
      </c>
      <c r="O611" t="n">
        <v>0</v>
      </c>
      <c r="P611" t="n">
        <v>0</v>
      </c>
      <c r="Q611" t="n">
        <v>0</v>
      </c>
      <c r="R611" s="2" t="inlineStr"/>
    </row>
    <row r="612" ht="15" customHeight="1">
      <c r="A612" t="inlineStr">
        <is>
          <t>A 53054-2022</t>
        </is>
      </c>
      <c r="B612" s="1" t="n">
        <v>44876.35706018518</v>
      </c>
      <c r="C612" s="1" t="n">
        <v>46116</v>
      </c>
      <c r="D612" t="inlineStr">
        <is>
          <t>ÖREBRO LÄN</t>
        </is>
      </c>
      <c r="E612" t="inlineStr">
        <is>
          <t>LINDESBERG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20467-2023</t>
        </is>
      </c>
      <c r="B613" s="1" t="n">
        <v>45057</v>
      </c>
      <c r="C613" s="1" t="n">
        <v>46116</v>
      </c>
      <c r="D613" t="inlineStr">
        <is>
          <t>ÖREBRO LÄN</t>
        </is>
      </c>
      <c r="E613" t="inlineStr">
        <is>
          <t>LINDESBERG</t>
        </is>
      </c>
      <c r="G613" t="n">
        <v>2.1</v>
      </c>
      <c r="H613" t="n">
        <v>0</v>
      </c>
      <c r="I613" t="n">
        <v>0</v>
      </c>
      <c r="J613" t="n">
        <v>0</v>
      </c>
      <c r="K613" t="n">
        <v>0</v>
      </c>
      <c r="L613" t="n">
        <v>0</v>
      </c>
      <c r="M613" t="n">
        <v>0</v>
      </c>
      <c r="N613" t="n">
        <v>0</v>
      </c>
      <c r="O613" t="n">
        <v>0</v>
      </c>
      <c r="P613" t="n">
        <v>0</v>
      </c>
      <c r="Q613" t="n">
        <v>0</v>
      </c>
      <c r="R613" s="2" t="inlineStr"/>
    </row>
    <row r="614" ht="15" customHeight="1">
      <c r="A614" t="inlineStr">
        <is>
          <t>A 35140-2023</t>
        </is>
      </c>
      <c r="B614" s="1" t="n">
        <v>45145</v>
      </c>
      <c r="C614" s="1" t="n">
        <v>46116</v>
      </c>
      <c r="D614" t="inlineStr">
        <is>
          <t>ÖREBRO LÄN</t>
        </is>
      </c>
      <c r="E614" t="inlineStr">
        <is>
          <t>LINDESBERG</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38762-2021</t>
        </is>
      </c>
      <c r="B615" s="1" t="n">
        <v>44410.61837962963</v>
      </c>
      <c r="C615" s="1" t="n">
        <v>46116</v>
      </c>
      <c r="D615" t="inlineStr">
        <is>
          <t>ÖREBRO LÄN</t>
        </is>
      </c>
      <c r="E615" t="inlineStr">
        <is>
          <t>LINDESBERG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39419-2023</t>
        </is>
      </c>
      <c r="B616" s="1" t="n">
        <v>45166.68493055556</v>
      </c>
      <c r="C616" s="1" t="n">
        <v>46116</v>
      </c>
      <c r="D616" t="inlineStr">
        <is>
          <t>ÖREBRO LÄN</t>
        </is>
      </c>
      <c r="E616" t="inlineStr">
        <is>
          <t>LINDESBERG</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6470-2024</t>
        </is>
      </c>
      <c r="B617" s="1" t="n">
        <v>45338</v>
      </c>
      <c r="C617" s="1" t="n">
        <v>46116</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58697-2024</t>
        </is>
      </c>
      <c r="B618" s="1" t="n">
        <v>45635.63706018519</v>
      </c>
      <c r="C618" s="1" t="n">
        <v>46116</v>
      </c>
      <c r="D618" t="inlineStr">
        <is>
          <t>ÖREBRO LÄN</t>
        </is>
      </c>
      <c r="E618" t="inlineStr">
        <is>
          <t>LINDESBERG</t>
        </is>
      </c>
      <c r="G618" t="n">
        <v>25.1</v>
      </c>
      <c r="H618" t="n">
        <v>0</v>
      </c>
      <c r="I618" t="n">
        <v>0</v>
      </c>
      <c r="J618" t="n">
        <v>0</v>
      </c>
      <c r="K618" t="n">
        <v>0</v>
      </c>
      <c r="L618" t="n">
        <v>0</v>
      </c>
      <c r="M618" t="n">
        <v>0</v>
      </c>
      <c r="N618" t="n">
        <v>0</v>
      </c>
      <c r="O618" t="n">
        <v>0</v>
      </c>
      <c r="P618" t="n">
        <v>0</v>
      </c>
      <c r="Q618" t="n">
        <v>0</v>
      </c>
      <c r="R618" s="2" t="inlineStr"/>
    </row>
    <row r="619" ht="15" customHeight="1">
      <c r="A619" t="inlineStr">
        <is>
          <t>A 45978-2021</t>
        </is>
      </c>
      <c r="B619" s="1" t="n">
        <v>44441.70047453704</v>
      </c>
      <c r="C619" s="1" t="n">
        <v>46116</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11218-2025</t>
        </is>
      </c>
      <c r="B620" s="1" t="n">
        <v>45726.33763888889</v>
      </c>
      <c r="C620" s="1" t="n">
        <v>46116</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11220-2025</t>
        </is>
      </c>
      <c r="B621" s="1" t="n">
        <v>45726.34090277777</v>
      </c>
      <c r="C621" s="1" t="n">
        <v>46116</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37616-2023</t>
        </is>
      </c>
      <c r="B622" s="1" t="n">
        <v>45159.44525462963</v>
      </c>
      <c r="C622" s="1" t="n">
        <v>46116</v>
      </c>
      <c r="D622" t="inlineStr">
        <is>
          <t>ÖREBRO LÄN</t>
        </is>
      </c>
      <c r="E622" t="inlineStr">
        <is>
          <t>LINDESBERG</t>
        </is>
      </c>
      <c r="G622" t="n">
        <v>5.3</v>
      </c>
      <c r="H622" t="n">
        <v>0</v>
      </c>
      <c r="I622" t="n">
        <v>0</v>
      </c>
      <c r="J622" t="n">
        <v>0</v>
      </c>
      <c r="K622" t="n">
        <v>0</v>
      </c>
      <c r="L622" t="n">
        <v>0</v>
      </c>
      <c r="M622" t="n">
        <v>0</v>
      </c>
      <c r="N622" t="n">
        <v>0</v>
      </c>
      <c r="O622" t="n">
        <v>0</v>
      </c>
      <c r="P622" t="n">
        <v>0</v>
      </c>
      <c r="Q622" t="n">
        <v>0</v>
      </c>
      <c r="R622" s="2" t="inlineStr"/>
    </row>
    <row r="623" ht="15" customHeight="1">
      <c r="A623" t="inlineStr">
        <is>
          <t>A 28562-2023</t>
        </is>
      </c>
      <c r="B623" s="1" t="n">
        <v>45103.53614583334</v>
      </c>
      <c r="C623" s="1" t="n">
        <v>46116</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60400-2025</t>
        </is>
      </c>
      <c r="B624" s="1" t="n">
        <v>45995</v>
      </c>
      <c r="C624" s="1" t="n">
        <v>46116</v>
      </c>
      <c r="D624" t="inlineStr">
        <is>
          <t>ÖREBRO LÄN</t>
        </is>
      </c>
      <c r="E624" t="inlineStr">
        <is>
          <t>LINDESBERG</t>
        </is>
      </c>
      <c r="G624" t="n">
        <v>11.2</v>
      </c>
      <c r="H624" t="n">
        <v>0</v>
      </c>
      <c r="I624" t="n">
        <v>0</v>
      </c>
      <c r="J624" t="n">
        <v>0</v>
      </c>
      <c r="K624" t="n">
        <v>0</v>
      </c>
      <c r="L624" t="n">
        <v>0</v>
      </c>
      <c r="M624" t="n">
        <v>0</v>
      </c>
      <c r="N624" t="n">
        <v>0</v>
      </c>
      <c r="O624" t="n">
        <v>0</v>
      </c>
      <c r="P624" t="n">
        <v>0</v>
      </c>
      <c r="Q624" t="n">
        <v>0</v>
      </c>
      <c r="R624" s="2" t="inlineStr"/>
    </row>
    <row r="625" ht="15" customHeight="1">
      <c r="A625" t="inlineStr">
        <is>
          <t>A 21016-2023</t>
        </is>
      </c>
      <c r="B625" s="1" t="n">
        <v>45061.53414351852</v>
      </c>
      <c r="C625" s="1" t="n">
        <v>46116</v>
      </c>
      <c r="D625" t="inlineStr">
        <is>
          <t>ÖREBRO LÄN</t>
        </is>
      </c>
      <c r="E625" t="inlineStr">
        <is>
          <t>LINDESBERG</t>
        </is>
      </c>
      <c r="G625" t="n">
        <v>8.1</v>
      </c>
      <c r="H625" t="n">
        <v>0</v>
      </c>
      <c r="I625" t="n">
        <v>0</v>
      </c>
      <c r="J625" t="n">
        <v>0</v>
      </c>
      <c r="K625" t="n">
        <v>0</v>
      </c>
      <c r="L625" t="n">
        <v>0</v>
      </c>
      <c r="M625" t="n">
        <v>0</v>
      </c>
      <c r="N625" t="n">
        <v>0</v>
      </c>
      <c r="O625" t="n">
        <v>0</v>
      </c>
      <c r="P625" t="n">
        <v>0</v>
      </c>
      <c r="Q625" t="n">
        <v>0</v>
      </c>
      <c r="R625" s="2" t="inlineStr"/>
    </row>
    <row r="626" ht="15" customHeight="1">
      <c r="A626" t="inlineStr">
        <is>
          <t>A 60450-2025</t>
        </is>
      </c>
      <c r="B626" s="1" t="n">
        <v>45995</v>
      </c>
      <c r="C626" s="1" t="n">
        <v>46116</v>
      </c>
      <c r="D626" t="inlineStr">
        <is>
          <t>ÖREBRO LÄN</t>
        </is>
      </c>
      <c r="E626" t="inlineStr">
        <is>
          <t>LINDESBERG</t>
        </is>
      </c>
      <c r="G626" t="n">
        <v>4.1</v>
      </c>
      <c r="H626" t="n">
        <v>0</v>
      </c>
      <c r="I626" t="n">
        <v>0</v>
      </c>
      <c r="J626" t="n">
        <v>0</v>
      </c>
      <c r="K626" t="n">
        <v>0</v>
      </c>
      <c r="L626" t="n">
        <v>0</v>
      </c>
      <c r="M626" t="n">
        <v>0</v>
      </c>
      <c r="N626" t="n">
        <v>0</v>
      </c>
      <c r="O626" t="n">
        <v>0</v>
      </c>
      <c r="P626" t="n">
        <v>0</v>
      </c>
      <c r="Q626" t="n">
        <v>0</v>
      </c>
      <c r="R626" s="2" t="inlineStr"/>
    </row>
    <row r="627" ht="15" customHeight="1">
      <c r="A627" t="inlineStr">
        <is>
          <t>A 64084-2023</t>
        </is>
      </c>
      <c r="B627" s="1" t="n">
        <v>45279</v>
      </c>
      <c r="C627" s="1" t="n">
        <v>46116</v>
      </c>
      <c r="D627" t="inlineStr">
        <is>
          <t>ÖREBRO LÄN</t>
        </is>
      </c>
      <c r="E627" t="inlineStr">
        <is>
          <t>LINDESBERG</t>
        </is>
      </c>
      <c r="G627" t="n">
        <v>2.1</v>
      </c>
      <c r="H627" t="n">
        <v>0</v>
      </c>
      <c r="I627" t="n">
        <v>0</v>
      </c>
      <c r="J627" t="n">
        <v>0</v>
      </c>
      <c r="K627" t="n">
        <v>0</v>
      </c>
      <c r="L627" t="n">
        <v>0</v>
      </c>
      <c r="M627" t="n">
        <v>0</v>
      </c>
      <c r="N627" t="n">
        <v>0</v>
      </c>
      <c r="O627" t="n">
        <v>0</v>
      </c>
      <c r="P627" t="n">
        <v>0</v>
      </c>
      <c r="Q627" t="n">
        <v>0</v>
      </c>
      <c r="R627" s="2" t="inlineStr"/>
    </row>
    <row r="628" ht="15" customHeight="1">
      <c r="A628" t="inlineStr">
        <is>
          <t>A 33886-2024</t>
        </is>
      </c>
      <c r="B628" s="1" t="n">
        <v>45523.31621527778</v>
      </c>
      <c r="C628" s="1" t="n">
        <v>46116</v>
      </c>
      <c r="D628" t="inlineStr">
        <is>
          <t>ÖREBRO LÄN</t>
        </is>
      </c>
      <c r="E628" t="inlineStr">
        <is>
          <t>LINDESBERG</t>
        </is>
      </c>
      <c r="G628" t="n">
        <v>1.3</v>
      </c>
      <c r="H628" t="n">
        <v>0</v>
      </c>
      <c r="I628" t="n">
        <v>0</v>
      </c>
      <c r="J628" t="n">
        <v>0</v>
      </c>
      <c r="K628" t="n">
        <v>0</v>
      </c>
      <c r="L628" t="n">
        <v>0</v>
      </c>
      <c r="M628" t="n">
        <v>0</v>
      </c>
      <c r="N628" t="n">
        <v>0</v>
      </c>
      <c r="O628" t="n">
        <v>0</v>
      </c>
      <c r="P628" t="n">
        <v>0</v>
      </c>
      <c r="Q628" t="n">
        <v>0</v>
      </c>
      <c r="R628" s="2" t="inlineStr"/>
    </row>
    <row r="629" ht="15" customHeight="1">
      <c r="A629" t="inlineStr">
        <is>
          <t>A 43046-2022</t>
        </is>
      </c>
      <c r="B629" s="1" t="n">
        <v>44833</v>
      </c>
      <c r="C629" s="1" t="n">
        <v>46116</v>
      </c>
      <c r="D629" t="inlineStr">
        <is>
          <t>ÖREBRO LÄN</t>
        </is>
      </c>
      <c r="E629" t="inlineStr">
        <is>
          <t>LINDESBERG</t>
        </is>
      </c>
      <c r="G629" t="n">
        <v>0.9</v>
      </c>
      <c r="H629" t="n">
        <v>0</v>
      </c>
      <c r="I629" t="n">
        <v>0</v>
      </c>
      <c r="J629" t="n">
        <v>0</v>
      </c>
      <c r="K629" t="n">
        <v>0</v>
      </c>
      <c r="L629" t="n">
        <v>0</v>
      </c>
      <c r="M629" t="n">
        <v>0</v>
      </c>
      <c r="N629" t="n">
        <v>0</v>
      </c>
      <c r="O629" t="n">
        <v>0</v>
      </c>
      <c r="P629" t="n">
        <v>0</v>
      </c>
      <c r="Q629" t="n">
        <v>0</v>
      </c>
      <c r="R629" s="2" t="inlineStr"/>
    </row>
    <row r="630" ht="15" customHeight="1">
      <c r="A630" t="inlineStr">
        <is>
          <t>A 60806-2025</t>
        </is>
      </c>
      <c r="B630" s="1" t="n">
        <v>45999.43730324074</v>
      </c>
      <c r="C630" s="1" t="n">
        <v>46116</v>
      </c>
      <c r="D630" t="inlineStr">
        <is>
          <t>ÖREBRO LÄN</t>
        </is>
      </c>
      <c r="E630" t="inlineStr">
        <is>
          <t>LINDESBERG</t>
        </is>
      </c>
      <c r="G630" t="n">
        <v>7.9</v>
      </c>
      <c r="H630" t="n">
        <v>0</v>
      </c>
      <c r="I630" t="n">
        <v>0</v>
      </c>
      <c r="J630" t="n">
        <v>0</v>
      </c>
      <c r="K630" t="n">
        <v>0</v>
      </c>
      <c r="L630" t="n">
        <v>0</v>
      </c>
      <c r="M630" t="n">
        <v>0</v>
      </c>
      <c r="N630" t="n">
        <v>0</v>
      </c>
      <c r="O630" t="n">
        <v>0</v>
      </c>
      <c r="P630" t="n">
        <v>0</v>
      </c>
      <c r="Q630" t="n">
        <v>0</v>
      </c>
      <c r="R630" s="2" t="inlineStr"/>
    </row>
    <row r="631" ht="15" customHeight="1">
      <c r="A631" t="inlineStr">
        <is>
          <t>A 62866-2023</t>
        </is>
      </c>
      <c r="B631" s="1" t="n">
        <v>45272.36168981482</v>
      </c>
      <c r="C631" s="1" t="n">
        <v>46116</v>
      </c>
      <c r="D631" t="inlineStr">
        <is>
          <t>ÖREBRO LÄN</t>
        </is>
      </c>
      <c r="E631" t="inlineStr">
        <is>
          <t>LINDESBERG</t>
        </is>
      </c>
      <c r="G631" t="n">
        <v>14.5</v>
      </c>
      <c r="H631" t="n">
        <v>0</v>
      </c>
      <c r="I631" t="n">
        <v>0</v>
      </c>
      <c r="J631" t="n">
        <v>0</v>
      </c>
      <c r="K631" t="n">
        <v>0</v>
      </c>
      <c r="L631" t="n">
        <v>0</v>
      </c>
      <c r="M631" t="n">
        <v>0</v>
      </c>
      <c r="N631" t="n">
        <v>0</v>
      </c>
      <c r="O631" t="n">
        <v>0</v>
      </c>
      <c r="P631" t="n">
        <v>0</v>
      </c>
      <c r="Q631" t="n">
        <v>0</v>
      </c>
      <c r="R631" s="2" t="inlineStr"/>
    </row>
    <row r="632" ht="15" customHeight="1">
      <c r="A632" t="inlineStr">
        <is>
          <t>A 6-2023</t>
        </is>
      </c>
      <c r="B632" s="1" t="n">
        <v>44927.72487268518</v>
      </c>
      <c r="C632" s="1" t="n">
        <v>46116</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13729-2025</t>
        </is>
      </c>
      <c r="B633" s="1" t="n">
        <v>45737.3846412037</v>
      </c>
      <c r="C633" s="1" t="n">
        <v>46116</v>
      </c>
      <c r="D633" t="inlineStr">
        <is>
          <t>ÖREBRO LÄN</t>
        </is>
      </c>
      <c r="E633" t="inlineStr">
        <is>
          <t>LINDESBERG</t>
        </is>
      </c>
      <c r="F633" t="inlineStr">
        <is>
          <t>Sveaskog</t>
        </is>
      </c>
      <c r="G633" t="n">
        <v>5.4</v>
      </c>
      <c r="H633" t="n">
        <v>0</v>
      </c>
      <c r="I633" t="n">
        <v>0</v>
      </c>
      <c r="J633" t="n">
        <v>0</v>
      </c>
      <c r="K633" t="n">
        <v>0</v>
      </c>
      <c r="L633" t="n">
        <v>0</v>
      </c>
      <c r="M633" t="n">
        <v>0</v>
      </c>
      <c r="N633" t="n">
        <v>0</v>
      </c>
      <c r="O633" t="n">
        <v>0</v>
      </c>
      <c r="P633" t="n">
        <v>0</v>
      </c>
      <c r="Q633" t="n">
        <v>0</v>
      </c>
      <c r="R633" s="2" t="inlineStr"/>
    </row>
    <row r="634" ht="15" customHeight="1">
      <c r="A634" t="inlineStr">
        <is>
          <t>A 41353-2024</t>
        </is>
      </c>
      <c r="B634" s="1" t="n">
        <v>45559</v>
      </c>
      <c r="C634" s="1" t="n">
        <v>46116</v>
      </c>
      <c r="D634" t="inlineStr">
        <is>
          <t>ÖREBRO LÄN</t>
        </is>
      </c>
      <c r="E634" t="inlineStr">
        <is>
          <t>LINDESBERG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63508-2023</t>
        </is>
      </c>
      <c r="B635" s="1" t="n">
        <v>45274</v>
      </c>
      <c r="C635" s="1" t="n">
        <v>46116</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36136-2023</t>
        </is>
      </c>
      <c r="B636" s="1" t="n">
        <v>45149</v>
      </c>
      <c r="C636" s="1" t="n">
        <v>46116</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46116</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19077-2025</t>
        </is>
      </c>
      <c r="B638" s="1" t="n">
        <v>45766.33309027777</v>
      </c>
      <c r="C638" s="1" t="n">
        <v>46116</v>
      </c>
      <c r="D638" t="inlineStr">
        <is>
          <t>ÖREBRO LÄN</t>
        </is>
      </c>
      <c r="E638" t="inlineStr">
        <is>
          <t>LINDESBERG</t>
        </is>
      </c>
      <c r="G638" t="n">
        <v>0</v>
      </c>
      <c r="H638" t="n">
        <v>0</v>
      </c>
      <c r="I638" t="n">
        <v>0</v>
      </c>
      <c r="J638" t="n">
        <v>0</v>
      </c>
      <c r="K638" t="n">
        <v>0</v>
      </c>
      <c r="L638" t="n">
        <v>0</v>
      </c>
      <c r="M638" t="n">
        <v>0</v>
      </c>
      <c r="N638" t="n">
        <v>0</v>
      </c>
      <c r="O638" t="n">
        <v>0</v>
      </c>
      <c r="P638" t="n">
        <v>0</v>
      </c>
      <c r="Q638" t="n">
        <v>0</v>
      </c>
      <c r="R638" s="2" t="inlineStr"/>
    </row>
    <row r="639" ht="15" customHeight="1">
      <c r="A639" t="inlineStr">
        <is>
          <t>A 61761-2025</t>
        </is>
      </c>
      <c r="B639" s="1" t="n">
        <v>46002.62465277778</v>
      </c>
      <c r="C639" s="1" t="n">
        <v>46116</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13884-2023</t>
        </is>
      </c>
      <c r="B640" s="1" t="n">
        <v>45007</v>
      </c>
      <c r="C640" s="1" t="n">
        <v>46116</v>
      </c>
      <c r="D640" t="inlineStr">
        <is>
          <t>ÖREBRO LÄN</t>
        </is>
      </c>
      <c r="E640" t="inlineStr">
        <is>
          <t>LINDESBERG</t>
        </is>
      </c>
      <c r="F640" t="inlineStr">
        <is>
          <t>Kommuner</t>
        </is>
      </c>
      <c r="G640" t="n">
        <v>7.7</v>
      </c>
      <c r="H640" t="n">
        <v>0</v>
      </c>
      <c r="I640" t="n">
        <v>0</v>
      </c>
      <c r="J640" t="n">
        <v>0</v>
      </c>
      <c r="K640" t="n">
        <v>0</v>
      </c>
      <c r="L640" t="n">
        <v>0</v>
      </c>
      <c r="M640" t="n">
        <v>0</v>
      </c>
      <c r="N640" t="n">
        <v>0</v>
      </c>
      <c r="O640" t="n">
        <v>0</v>
      </c>
      <c r="P640" t="n">
        <v>0</v>
      </c>
      <c r="Q640" t="n">
        <v>0</v>
      </c>
      <c r="R640" s="2" t="inlineStr"/>
    </row>
    <row r="641" ht="15" customHeight="1">
      <c r="A641" t="inlineStr">
        <is>
          <t>A 50275-2024</t>
        </is>
      </c>
      <c r="B641" s="1" t="n">
        <v>45600.60071759259</v>
      </c>
      <c r="C641" s="1" t="n">
        <v>46116</v>
      </c>
      <c r="D641" t="inlineStr">
        <is>
          <t>ÖREBRO LÄN</t>
        </is>
      </c>
      <c r="E641" t="inlineStr">
        <is>
          <t>LINDESBERG</t>
        </is>
      </c>
      <c r="G641" t="n">
        <v>4.3</v>
      </c>
      <c r="H641" t="n">
        <v>0</v>
      </c>
      <c r="I641" t="n">
        <v>0</v>
      </c>
      <c r="J641" t="n">
        <v>0</v>
      </c>
      <c r="K641" t="n">
        <v>0</v>
      </c>
      <c r="L641" t="n">
        <v>0</v>
      </c>
      <c r="M641" t="n">
        <v>0</v>
      </c>
      <c r="N641" t="n">
        <v>0</v>
      </c>
      <c r="O641" t="n">
        <v>0</v>
      </c>
      <c r="P641" t="n">
        <v>0</v>
      </c>
      <c r="Q641" t="n">
        <v>0</v>
      </c>
      <c r="R641" s="2" t="inlineStr"/>
    </row>
    <row r="642" ht="15" customHeight="1">
      <c r="A642" t="inlineStr">
        <is>
          <t>A 17463-2023</t>
        </is>
      </c>
      <c r="B642" s="1" t="n">
        <v>45036</v>
      </c>
      <c r="C642" s="1" t="n">
        <v>46116</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61745-2025</t>
        </is>
      </c>
      <c r="B643" s="1" t="n">
        <v>46002.60324074074</v>
      </c>
      <c r="C643" s="1" t="n">
        <v>46116</v>
      </c>
      <c r="D643" t="inlineStr">
        <is>
          <t>ÖREBRO LÄN</t>
        </is>
      </c>
      <c r="E643" t="inlineStr">
        <is>
          <t>LINDESBERG</t>
        </is>
      </c>
      <c r="G643" t="n">
        <v>1.8</v>
      </c>
      <c r="H643" t="n">
        <v>0</v>
      </c>
      <c r="I643" t="n">
        <v>0</v>
      </c>
      <c r="J643" t="n">
        <v>0</v>
      </c>
      <c r="K643" t="n">
        <v>0</v>
      </c>
      <c r="L643" t="n">
        <v>0</v>
      </c>
      <c r="M643" t="n">
        <v>0</v>
      </c>
      <c r="N643" t="n">
        <v>0</v>
      </c>
      <c r="O643" t="n">
        <v>0</v>
      </c>
      <c r="P643" t="n">
        <v>0</v>
      </c>
      <c r="Q643" t="n">
        <v>0</v>
      </c>
      <c r="R643" s="2" t="inlineStr"/>
    </row>
    <row r="644" ht="15" customHeight="1">
      <c r="A644" t="inlineStr">
        <is>
          <t>A 61758-2025</t>
        </is>
      </c>
      <c r="B644" s="1" t="n">
        <v>46002.61762731482</v>
      </c>
      <c r="C644" s="1" t="n">
        <v>46116</v>
      </c>
      <c r="D644" t="inlineStr">
        <is>
          <t>ÖREBRO LÄN</t>
        </is>
      </c>
      <c r="E644" t="inlineStr">
        <is>
          <t>LINDESBERG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14522-2025</t>
        </is>
      </c>
      <c r="B645" s="1" t="n">
        <v>45741.64491898148</v>
      </c>
      <c r="C645" s="1" t="n">
        <v>46116</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36001-2021</t>
        </is>
      </c>
      <c r="B646" s="1" t="n">
        <v>44389</v>
      </c>
      <c r="C646" s="1" t="n">
        <v>46116</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58050-2025</t>
        </is>
      </c>
      <c r="B647" s="1" t="n">
        <v>45982</v>
      </c>
      <c r="C647" s="1" t="n">
        <v>46116</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33280-2024</t>
        </is>
      </c>
      <c r="B648" s="1" t="n">
        <v>45518.71048611111</v>
      </c>
      <c r="C648" s="1" t="n">
        <v>46116</v>
      </c>
      <c r="D648" t="inlineStr">
        <is>
          <t>ÖREBRO LÄN</t>
        </is>
      </c>
      <c r="E648" t="inlineStr">
        <is>
          <t>LINDESBERG</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33281-2024</t>
        </is>
      </c>
      <c r="B649" s="1" t="n">
        <v>45518.71202546296</v>
      </c>
      <c r="C649" s="1" t="n">
        <v>46116</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33283-2024</t>
        </is>
      </c>
      <c r="B650" s="1" t="n">
        <v>45518.71591435185</v>
      </c>
      <c r="C650" s="1" t="n">
        <v>46116</v>
      </c>
      <c r="D650" t="inlineStr">
        <is>
          <t>ÖREBRO LÄN</t>
        </is>
      </c>
      <c r="E650" t="inlineStr">
        <is>
          <t>LINDESBERG</t>
        </is>
      </c>
      <c r="G650" t="n">
        <v>3.9</v>
      </c>
      <c r="H650" t="n">
        <v>0</v>
      </c>
      <c r="I650" t="n">
        <v>0</v>
      </c>
      <c r="J650" t="n">
        <v>0</v>
      </c>
      <c r="K650" t="n">
        <v>0</v>
      </c>
      <c r="L650" t="n">
        <v>0</v>
      </c>
      <c r="M650" t="n">
        <v>0</v>
      </c>
      <c r="N650" t="n">
        <v>0</v>
      </c>
      <c r="O650" t="n">
        <v>0</v>
      </c>
      <c r="P650" t="n">
        <v>0</v>
      </c>
      <c r="Q650" t="n">
        <v>0</v>
      </c>
      <c r="R650" s="2" t="inlineStr"/>
    </row>
    <row r="651" ht="15" customHeight="1">
      <c r="A651" t="inlineStr">
        <is>
          <t>A 58056-2025</t>
        </is>
      </c>
      <c r="B651" s="1" t="n">
        <v>45982</v>
      </c>
      <c r="C651" s="1" t="n">
        <v>46116</v>
      </c>
      <c r="D651" t="inlineStr">
        <is>
          <t>ÖREBRO LÄN</t>
        </is>
      </c>
      <c r="E651" t="inlineStr">
        <is>
          <t>LINDESBERG</t>
        </is>
      </c>
      <c r="G651" t="n">
        <v>0.9</v>
      </c>
      <c r="H651" t="n">
        <v>0</v>
      </c>
      <c r="I651" t="n">
        <v>0</v>
      </c>
      <c r="J651" t="n">
        <v>0</v>
      </c>
      <c r="K651" t="n">
        <v>0</v>
      </c>
      <c r="L651" t="n">
        <v>0</v>
      </c>
      <c r="M651" t="n">
        <v>0</v>
      </c>
      <c r="N651" t="n">
        <v>0</v>
      </c>
      <c r="O651" t="n">
        <v>0</v>
      </c>
      <c r="P651" t="n">
        <v>0</v>
      </c>
      <c r="Q651" t="n">
        <v>0</v>
      </c>
      <c r="R651" s="2" t="inlineStr"/>
    </row>
    <row r="652" ht="15" customHeight="1">
      <c r="A652" t="inlineStr">
        <is>
          <t>A 62383-2025</t>
        </is>
      </c>
      <c r="B652" s="1" t="n">
        <v>46007.3708449074</v>
      </c>
      <c r="C652" s="1" t="n">
        <v>46116</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39140-2024</t>
        </is>
      </c>
      <c r="B653" s="1" t="n">
        <v>45548</v>
      </c>
      <c r="C653" s="1" t="n">
        <v>46116</v>
      </c>
      <c r="D653" t="inlineStr">
        <is>
          <t>ÖREBRO LÄN</t>
        </is>
      </c>
      <c r="E653" t="inlineStr">
        <is>
          <t>LINDESBERG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62246-2025</t>
        </is>
      </c>
      <c r="B654" s="1" t="n">
        <v>46006.60633101852</v>
      </c>
      <c r="C654" s="1" t="n">
        <v>46116</v>
      </c>
      <c r="D654" t="inlineStr">
        <is>
          <t>ÖREBRO LÄN</t>
        </is>
      </c>
      <c r="E654" t="inlineStr">
        <is>
          <t>LINDESBERG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63083-2025</t>
        </is>
      </c>
      <c r="B655" s="1" t="n">
        <v>46009.67175925926</v>
      </c>
      <c r="C655" s="1" t="n">
        <v>46116</v>
      </c>
      <c r="D655" t="inlineStr">
        <is>
          <t>ÖREBRO LÄN</t>
        </is>
      </c>
      <c r="E655" t="inlineStr">
        <is>
          <t>LINDESBERG</t>
        </is>
      </c>
      <c r="G655" t="n">
        <v>0.7</v>
      </c>
      <c r="H655" t="n">
        <v>0</v>
      </c>
      <c r="I655" t="n">
        <v>0</v>
      </c>
      <c r="J655" t="n">
        <v>0</v>
      </c>
      <c r="K655" t="n">
        <v>0</v>
      </c>
      <c r="L655" t="n">
        <v>0</v>
      </c>
      <c r="M655" t="n">
        <v>0</v>
      </c>
      <c r="N655" t="n">
        <v>0</v>
      </c>
      <c r="O655" t="n">
        <v>0</v>
      </c>
      <c r="P655" t="n">
        <v>0</v>
      </c>
      <c r="Q655" t="n">
        <v>0</v>
      </c>
      <c r="R655" s="2" t="inlineStr"/>
    </row>
    <row r="656" ht="15" customHeight="1">
      <c r="A656" t="inlineStr">
        <is>
          <t>A 63078-2025</t>
        </is>
      </c>
      <c r="B656" s="1" t="n">
        <v>46009</v>
      </c>
      <c r="C656" s="1" t="n">
        <v>46116</v>
      </c>
      <c r="D656" t="inlineStr">
        <is>
          <t>ÖREBRO LÄN</t>
        </is>
      </c>
      <c r="E656" t="inlineStr">
        <is>
          <t>LINDESBERG</t>
        </is>
      </c>
      <c r="G656" t="n">
        <v>0.9</v>
      </c>
      <c r="H656" t="n">
        <v>0</v>
      </c>
      <c r="I656" t="n">
        <v>0</v>
      </c>
      <c r="J656" t="n">
        <v>0</v>
      </c>
      <c r="K656" t="n">
        <v>0</v>
      </c>
      <c r="L656" t="n">
        <v>0</v>
      </c>
      <c r="M656" t="n">
        <v>0</v>
      </c>
      <c r="N656" t="n">
        <v>0</v>
      </c>
      <c r="O656" t="n">
        <v>0</v>
      </c>
      <c r="P656" t="n">
        <v>0</v>
      </c>
      <c r="Q656" t="n">
        <v>0</v>
      </c>
      <c r="R656" s="2" t="inlineStr"/>
    </row>
    <row r="657" ht="15" customHeight="1">
      <c r="A657" t="inlineStr">
        <is>
          <t>A 62603-2025</t>
        </is>
      </c>
      <c r="B657" s="1" t="n">
        <v>46008.25765046296</v>
      </c>
      <c r="C657" s="1" t="n">
        <v>46116</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62604-2025</t>
        </is>
      </c>
      <c r="B658" s="1" t="n">
        <v>46008.26085648148</v>
      </c>
      <c r="C658" s="1" t="n">
        <v>46116</v>
      </c>
      <c r="D658" t="inlineStr">
        <is>
          <t>ÖREBRO LÄN</t>
        </is>
      </c>
      <c r="E658" t="inlineStr">
        <is>
          <t>LINDESBERG</t>
        </is>
      </c>
      <c r="G658" t="n">
        <v>0.6</v>
      </c>
      <c r="H658" t="n">
        <v>0</v>
      </c>
      <c r="I658" t="n">
        <v>0</v>
      </c>
      <c r="J658" t="n">
        <v>0</v>
      </c>
      <c r="K658" t="n">
        <v>0</v>
      </c>
      <c r="L658" t="n">
        <v>0</v>
      </c>
      <c r="M658" t="n">
        <v>0</v>
      </c>
      <c r="N658" t="n">
        <v>0</v>
      </c>
      <c r="O658" t="n">
        <v>0</v>
      </c>
      <c r="P658" t="n">
        <v>0</v>
      </c>
      <c r="Q658" t="n">
        <v>0</v>
      </c>
      <c r="R658" s="2" t="inlineStr"/>
    </row>
    <row r="659" ht="15" customHeight="1">
      <c r="A659" t="inlineStr">
        <is>
          <t>A 63526-2025</t>
        </is>
      </c>
      <c r="B659" s="1" t="n">
        <v>46013</v>
      </c>
      <c r="C659" s="1" t="n">
        <v>46116</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61736-2025</t>
        </is>
      </c>
      <c r="B660" s="1" t="n">
        <v>46002</v>
      </c>
      <c r="C660" s="1" t="n">
        <v>46116</v>
      </c>
      <c r="D660" t="inlineStr">
        <is>
          <t>ÖREBRO LÄN</t>
        </is>
      </c>
      <c r="E660" t="inlineStr">
        <is>
          <t>LINDESBERG</t>
        </is>
      </c>
      <c r="G660" t="n">
        <v>4.5</v>
      </c>
      <c r="H660" t="n">
        <v>0</v>
      </c>
      <c r="I660" t="n">
        <v>0</v>
      </c>
      <c r="J660" t="n">
        <v>0</v>
      </c>
      <c r="K660" t="n">
        <v>0</v>
      </c>
      <c r="L660" t="n">
        <v>0</v>
      </c>
      <c r="M660" t="n">
        <v>0</v>
      </c>
      <c r="N660" t="n">
        <v>0</v>
      </c>
      <c r="O660" t="n">
        <v>0</v>
      </c>
      <c r="P660" t="n">
        <v>0</v>
      </c>
      <c r="Q660" t="n">
        <v>0</v>
      </c>
      <c r="R660" s="2" t="inlineStr"/>
    </row>
    <row r="661" ht="15" customHeight="1">
      <c r="A661" t="inlineStr">
        <is>
          <t>A 61739-2025</t>
        </is>
      </c>
      <c r="B661" s="1" t="n">
        <v>46002</v>
      </c>
      <c r="C661" s="1" t="n">
        <v>46116</v>
      </c>
      <c r="D661" t="inlineStr">
        <is>
          <t>ÖREBRO LÄN</t>
        </is>
      </c>
      <c r="E661" t="inlineStr">
        <is>
          <t>LINDESBERG</t>
        </is>
      </c>
      <c r="G661" t="n">
        <v>5.3</v>
      </c>
      <c r="H661" t="n">
        <v>0</v>
      </c>
      <c r="I661" t="n">
        <v>0</v>
      </c>
      <c r="J661" t="n">
        <v>0</v>
      </c>
      <c r="K661" t="n">
        <v>0</v>
      </c>
      <c r="L661" t="n">
        <v>0</v>
      </c>
      <c r="M661" t="n">
        <v>0</v>
      </c>
      <c r="N661" t="n">
        <v>0</v>
      </c>
      <c r="O661" t="n">
        <v>0</v>
      </c>
      <c r="P661" t="n">
        <v>0</v>
      </c>
      <c r="Q661" t="n">
        <v>0</v>
      </c>
      <c r="R661" s="2" t="inlineStr"/>
    </row>
    <row r="662" ht="15" customHeight="1">
      <c r="A662" t="inlineStr">
        <is>
          <t>A 32928-2023</t>
        </is>
      </c>
      <c r="B662" s="1" t="n">
        <v>45125.41458333333</v>
      </c>
      <c r="C662" s="1" t="n">
        <v>46116</v>
      </c>
      <c r="D662" t="inlineStr">
        <is>
          <t>ÖREBRO LÄN</t>
        </is>
      </c>
      <c r="E662" t="inlineStr">
        <is>
          <t>LINDESBERG</t>
        </is>
      </c>
      <c r="G662" t="n">
        <v>4.8</v>
      </c>
      <c r="H662" t="n">
        <v>0</v>
      </c>
      <c r="I662" t="n">
        <v>0</v>
      </c>
      <c r="J662" t="n">
        <v>0</v>
      </c>
      <c r="K662" t="n">
        <v>0</v>
      </c>
      <c r="L662" t="n">
        <v>0</v>
      </c>
      <c r="M662" t="n">
        <v>0</v>
      </c>
      <c r="N662" t="n">
        <v>0</v>
      </c>
      <c r="O662" t="n">
        <v>0</v>
      </c>
      <c r="P662" t="n">
        <v>0</v>
      </c>
      <c r="Q662" t="n">
        <v>0</v>
      </c>
      <c r="R662" s="2" t="inlineStr"/>
    </row>
    <row r="663" ht="15" customHeight="1">
      <c r="A663" t="inlineStr">
        <is>
          <t>A 32994-2023</t>
        </is>
      </c>
      <c r="B663" s="1" t="n">
        <v>45113</v>
      </c>
      <c r="C663" s="1" t="n">
        <v>46116</v>
      </c>
      <c r="D663" t="inlineStr">
        <is>
          <t>ÖREBRO LÄN</t>
        </is>
      </c>
      <c r="E663" t="inlineStr">
        <is>
          <t>LINDESBERG</t>
        </is>
      </c>
      <c r="G663" t="n">
        <v>2.3</v>
      </c>
      <c r="H663" t="n">
        <v>0</v>
      </c>
      <c r="I663" t="n">
        <v>0</v>
      </c>
      <c r="J663" t="n">
        <v>0</v>
      </c>
      <c r="K663" t="n">
        <v>0</v>
      </c>
      <c r="L663" t="n">
        <v>0</v>
      </c>
      <c r="M663" t="n">
        <v>0</v>
      </c>
      <c r="N663" t="n">
        <v>0</v>
      </c>
      <c r="O663" t="n">
        <v>0</v>
      </c>
      <c r="P663" t="n">
        <v>0</v>
      </c>
      <c r="Q663" t="n">
        <v>0</v>
      </c>
      <c r="R663" s="2" t="inlineStr"/>
    </row>
    <row r="664" ht="15" customHeight="1">
      <c r="A664" t="inlineStr">
        <is>
          <t>A 45062-2022</t>
        </is>
      </c>
      <c r="B664" s="1" t="n">
        <v>44841</v>
      </c>
      <c r="C664" s="1" t="n">
        <v>46116</v>
      </c>
      <c r="D664" t="inlineStr">
        <is>
          <t>ÖREBRO LÄN</t>
        </is>
      </c>
      <c r="E664" t="inlineStr">
        <is>
          <t>LINDESBERG</t>
        </is>
      </c>
      <c r="G664" t="n">
        <v>2</v>
      </c>
      <c r="H664" t="n">
        <v>0</v>
      </c>
      <c r="I664" t="n">
        <v>0</v>
      </c>
      <c r="J664" t="n">
        <v>0</v>
      </c>
      <c r="K664" t="n">
        <v>0</v>
      </c>
      <c r="L664" t="n">
        <v>0</v>
      </c>
      <c r="M664" t="n">
        <v>0</v>
      </c>
      <c r="N664" t="n">
        <v>0</v>
      </c>
      <c r="O664" t="n">
        <v>0</v>
      </c>
      <c r="P664" t="n">
        <v>0</v>
      </c>
      <c r="Q664" t="n">
        <v>0</v>
      </c>
      <c r="R664" s="2" t="inlineStr"/>
    </row>
    <row r="665" ht="15" customHeight="1">
      <c r="A665" t="inlineStr">
        <is>
          <t>A 21012-2023</t>
        </is>
      </c>
      <c r="B665" s="1" t="n">
        <v>45061.52474537037</v>
      </c>
      <c r="C665" s="1" t="n">
        <v>46116</v>
      </c>
      <c r="D665" t="inlineStr">
        <is>
          <t>ÖREBRO LÄN</t>
        </is>
      </c>
      <c r="E665" t="inlineStr">
        <is>
          <t>LINDESBERG</t>
        </is>
      </c>
      <c r="G665" t="n">
        <v>0.5</v>
      </c>
      <c r="H665" t="n">
        <v>0</v>
      </c>
      <c r="I665" t="n">
        <v>0</v>
      </c>
      <c r="J665" t="n">
        <v>0</v>
      </c>
      <c r="K665" t="n">
        <v>0</v>
      </c>
      <c r="L665" t="n">
        <v>0</v>
      </c>
      <c r="M665" t="n">
        <v>0</v>
      </c>
      <c r="N665" t="n">
        <v>0</v>
      </c>
      <c r="O665" t="n">
        <v>0</v>
      </c>
      <c r="P665" t="n">
        <v>0</v>
      </c>
      <c r="Q665" t="n">
        <v>0</v>
      </c>
      <c r="R665" s="2" t="inlineStr"/>
    </row>
    <row r="666" ht="15" customHeight="1">
      <c r="A666" t="inlineStr">
        <is>
          <t>A 40456-2023</t>
        </is>
      </c>
      <c r="B666" s="1" t="n">
        <v>45170</v>
      </c>
      <c r="C666" s="1" t="n">
        <v>46116</v>
      </c>
      <c r="D666" t="inlineStr">
        <is>
          <t>ÖREBRO LÄN</t>
        </is>
      </c>
      <c r="E666" t="inlineStr">
        <is>
          <t>LINDESBERG</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42282-2024</t>
        </is>
      </c>
      <c r="B667" s="1" t="n">
        <v>45562.61158564815</v>
      </c>
      <c r="C667" s="1" t="n">
        <v>46116</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32262-2021</t>
        </is>
      </c>
      <c r="B668" s="1" t="n">
        <v>44371.47609953704</v>
      </c>
      <c r="C668" s="1" t="n">
        <v>46116</v>
      </c>
      <c r="D668" t="inlineStr">
        <is>
          <t>ÖREBRO LÄN</t>
        </is>
      </c>
      <c r="E668" t="inlineStr">
        <is>
          <t>LINDESBERG</t>
        </is>
      </c>
      <c r="G668" t="n">
        <v>0.9</v>
      </c>
      <c r="H668" t="n">
        <v>0</v>
      </c>
      <c r="I668" t="n">
        <v>0</v>
      </c>
      <c r="J668" t="n">
        <v>0</v>
      </c>
      <c r="K668" t="n">
        <v>0</v>
      </c>
      <c r="L668" t="n">
        <v>0</v>
      </c>
      <c r="M668" t="n">
        <v>0</v>
      </c>
      <c r="N668" t="n">
        <v>0</v>
      </c>
      <c r="O668" t="n">
        <v>0</v>
      </c>
      <c r="P668" t="n">
        <v>0</v>
      </c>
      <c r="Q668" t="n">
        <v>0</v>
      </c>
      <c r="R668" s="2" t="inlineStr"/>
    </row>
    <row r="669" ht="15" customHeight="1">
      <c r="A669" t="inlineStr">
        <is>
          <t>A 27576-2024</t>
        </is>
      </c>
      <c r="B669" s="1" t="n">
        <v>45474.65005787037</v>
      </c>
      <c r="C669" s="1" t="n">
        <v>46116</v>
      </c>
      <c r="D669" t="inlineStr">
        <is>
          <t>ÖREBRO LÄN</t>
        </is>
      </c>
      <c r="E669" t="inlineStr">
        <is>
          <t>LINDESBERG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32099-2024</t>
        </is>
      </c>
      <c r="B670" s="1" t="n">
        <v>45511.40297453704</v>
      </c>
      <c r="C670" s="1" t="n">
        <v>46116</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8836-2023</t>
        </is>
      </c>
      <c r="B671" s="1" t="n">
        <v>44978</v>
      </c>
      <c r="C671" s="1" t="n">
        <v>46116</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5772-2023</t>
        </is>
      </c>
      <c r="B672" s="1" t="n">
        <v>44963.37709490741</v>
      </c>
      <c r="C672" s="1" t="n">
        <v>46116</v>
      </c>
      <c r="D672" t="inlineStr">
        <is>
          <t>ÖREBRO LÄN</t>
        </is>
      </c>
      <c r="E672" t="inlineStr">
        <is>
          <t>LINDESBERG</t>
        </is>
      </c>
      <c r="G672" t="n">
        <v>3</v>
      </c>
      <c r="H672" t="n">
        <v>0</v>
      </c>
      <c r="I672" t="n">
        <v>0</v>
      </c>
      <c r="J672" t="n">
        <v>0</v>
      </c>
      <c r="K672" t="n">
        <v>0</v>
      </c>
      <c r="L672" t="n">
        <v>0</v>
      </c>
      <c r="M672" t="n">
        <v>0</v>
      </c>
      <c r="N672" t="n">
        <v>0</v>
      </c>
      <c r="O672" t="n">
        <v>0</v>
      </c>
      <c r="P672" t="n">
        <v>0</v>
      </c>
      <c r="Q672" t="n">
        <v>0</v>
      </c>
      <c r="R672" s="2" t="inlineStr"/>
    </row>
    <row r="673" ht="15" customHeight="1">
      <c r="A673" t="inlineStr">
        <is>
          <t>A 36024-2021</t>
        </is>
      </c>
      <c r="B673" s="1" t="n">
        <v>44389</v>
      </c>
      <c r="C673" s="1" t="n">
        <v>46116</v>
      </c>
      <c r="D673" t="inlineStr">
        <is>
          <t>ÖREBRO LÄN</t>
        </is>
      </c>
      <c r="E673" t="inlineStr">
        <is>
          <t>LINDESBERG</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11559-2024</t>
        </is>
      </c>
      <c r="B674" s="1" t="n">
        <v>45373.30434027778</v>
      </c>
      <c r="C674" s="1" t="n">
        <v>46116</v>
      </c>
      <c r="D674" t="inlineStr">
        <is>
          <t>ÖREBRO LÄN</t>
        </is>
      </c>
      <c r="E674" t="inlineStr">
        <is>
          <t>LINDESBERG</t>
        </is>
      </c>
      <c r="F674" t="inlineStr">
        <is>
          <t>BillerudKorsnäs AB</t>
        </is>
      </c>
      <c r="G674" t="n">
        <v>1.9</v>
      </c>
      <c r="H674" t="n">
        <v>0</v>
      </c>
      <c r="I674" t="n">
        <v>0</v>
      </c>
      <c r="J674" t="n">
        <v>0</v>
      </c>
      <c r="K674" t="n">
        <v>0</v>
      </c>
      <c r="L674" t="n">
        <v>0</v>
      </c>
      <c r="M674" t="n">
        <v>0</v>
      </c>
      <c r="N674" t="n">
        <v>0</v>
      </c>
      <c r="O674" t="n">
        <v>0</v>
      </c>
      <c r="P674" t="n">
        <v>0</v>
      </c>
      <c r="Q674" t="n">
        <v>0</v>
      </c>
      <c r="R674" s="2" t="inlineStr"/>
    </row>
    <row r="675" ht="15" customHeight="1">
      <c r="A675" t="inlineStr">
        <is>
          <t>A 13472-2023</t>
        </is>
      </c>
      <c r="B675" s="1" t="n">
        <v>45005</v>
      </c>
      <c r="C675" s="1" t="n">
        <v>46116</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610-2026</t>
        </is>
      </c>
      <c r="B676" s="1" t="n">
        <v>46029</v>
      </c>
      <c r="C676" s="1" t="n">
        <v>46116</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17087-2023</t>
        </is>
      </c>
      <c r="B677" s="1" t="n">
        <v>45034.5174537037</v>
      </c>
      <c r="C677" s="1" t="n">
        <v>46116</v>
      </c>
      <c r="D677" t="inlineStr">
        <is>
          <t>ÖREBRO LÄN</t>
        </is>
      </c>
      <c r="E677" t="inlineStr">
        <is>
          <t>LINDESBERG</t>
        </is>
      </c>
      <c r="G677" t="n">
        <v>2.7</v>
      </c>
      <c r="H677" t="n">
        <v>0</v>
      </c>
      <c r="I677" t="n">
        <v>0</v>
      </c>
      <c r="J677" t="n">
        <v>0</v>
      </c>
      <c r="K677" t="n">
        <v>0</v>
      </c>
      <c r="L677" t="n">
        <v>0</v>
      </c>
      <c r="M677" t="n">
        <v>0</v>
      </c>
      <c r="N677" t="n">
        <v>0</v>
      </c>
      <c r="O677" t="n">
        <v>0</v>
      </c>
      <c r="P677" t="n">
        <v>0</v>
      </c>
      <c r="Q677" t="n">
        <v>0</v>
      </c>
      <c r="R677" s="2" t="inlineStr"/>
    </row>
    <row r="678" ht="15" customHeight="1">
      <c r="A678" t="inlineStr">
        <is>
          <t>A 61222-2022</t>
        </is>
      </c>
      <c r="B678" s="1" t="n">
        <v>44909</v>
      </c>
      <c r="C678" s="1" t="n">
        <v>46116</v>
      </c>
      <c r="D678" t="inlineStr">
        <is>
          <t>ÖREBRO LÄN</t>
        </is>
      </c>
      <c r="E678" t="inlineStr">
        <is>
          <t>LINDESBERG</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46484-2024</t>
        </is>
      </c>
      <c r="B679" s="1" t="n">
        <v>45582.57542824074</v>
      </c>
      <c r="C679" s="1" t="n">
        <v>46116</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911-2026</t>
        </is>
      </c>
      <c r="B680" s="1" t="n">
        <v>46030.47725694445</v>
      </c>
      <c r="C680" s="1" t="n">
        <v>46116</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1160-2026</t>
        </is>
      </c>
      <c r="B681" s="1" t="n">
        <v>46031</v>
      </c>
      <c r="C681" s="1" t="n">
        <v>46116</v>
      </c>
      <c r="D681" t="inlineStr">
        <is>
          <t>ÖREBRO LÄN</t>
        </is>
      </c>
      <c r="E681" t="inlineStr">
        <is>
          <t>LINDESBERG</t>
        </is>
      </c>
      <c r="G681" t="n">
        <v>12.2</v>
      </c>
      <c r="H681" t="n">
        <v>0</v>
      </c>
      <c r="I681" t="n">
        <v>0</v>
      </c>
      <c r="J681" t="n">
        <v>0</v>
      </c>
      <c r="K681" t="n">
        <v>0</v>
      </c>
      <c r="L681" t="n">
        <v>0</v>
      </c>
      <c r="M681" t="n">
        <v>0</v>
      </c>
      <c r="N681" t="n">
        <v>0</v>
      </c>
      <c r="O681" t="n">
        <v>0</v>
      </c>
      <c r="P681" t="n">
        <v>0</v>
      </c>
      <c r="Q681" t="n">
        <v>0</v>
      </c>
      <c r="R681" s="2" t="inlineStr"/>
    </row>
    <row r="682" ht="15" customHeight="1">
      <c r="A682" t="inlineStr">
        <is>
          <t>A 41576-2021</t>
        </is>
      </c>
      <c r="B682" s="1" t="n">
        <v>44425</v>
      </c>
      <c r="C682" s="1" t="n">
        <v>46116</v>
      </c>
      <c r="D682" t="inlineStr">
        <is>
          <t>ÖREBRO LÄN</t>
        </is>
      </c>
      <c r="E682" t="inlineStr">
        <is>
          <t>LINDESBERG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878-2026</t>
        </is>
      </c>
      <c r="B683" s="1" t="n">
        <v>46030.44277777777</v>
      </c>
      <c r="C683" s="1" t="n">
        <v>46116</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58741-2024</t>
        </is>
      </c>
      <c r="B684" s="1" t="n">
        <v>45635.69581018519</v>
      </c>
      <c r="C684" s="1" t="n">
        <v>46116</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2556-2026</t>
        </is>
      </c>
      <c r="B685" s="1" t="n">
        <v>46035</v>
      </c>
      <c r="C685" s="1" t="n">
        <v>46116</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26967-2022</t>
        </is>
      </c>
      <c r="B686" s="1" t="n">
        <v>44740.66997685185</v>
      </c>
      <c r="C686" s="1" t="n">
        <v>46116</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1749-2026</t>
        </is>
      </c>
      <c r="B687" s="1" t="n">
        <v>46034.65601851852</v>
      </c>
      <c r="C687" s="1" t="n">
        <v>46116</v>
      </c>
      <c r="D687" t="inlineStr">
        <is>
          <t>ÖREBRO LÄN</t>
        </is>
      </c>
      <c r="E687" t="inlineStr">
        <is>
          <t>LINDESBERG</t>
        </is>
      </c>
      <c r="G687" t="n">
        <v>2.2</v>
      </c>
      <c r="H687" t="n">
        <v>0</v>
      </c>
      <c r="I687" t="n">
        <v>0</v>
      </c>
      <c r="J687" t="n">
        <v>0</v>
      </c>
      <c r="K687" t="n">
        <v>0</v>
      </c>
      <c r="L687" t="n">
        <v>0</v>
      </c>
      <c r="M687" t="n">
        <v>0</v>
      </c>
      <c r="N687" t="n">
        <v>0</v>
      </c>
      <c r="O687" t="n">
        <v>0</v>
      </c>
      <c r="P687" t="n">
        <v>0</v>
      </c>
      <c r="Q687" t="n">
        <v>0</v>
      </c>
      <c r="R687" s="2" t="inlineStr"/>
    </row>
    <row r="688" ht="15" customHeight="1">
      <c r="A688" t="inlineStr">
        <is>
          <t>A 43066-2021</t>
        </is>
      </c>
      <c r="B688" s="1" t="n">
        <v>44431</v>
      </c>
      <c r="C688" s="1" t="n">
        <v>46116</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45428-2023</t>
        </is>
      </c>
      <c r="B689" s="1" t="n">
        <v>45194</v>
      </c>
      <c r="C689" s="1" t="n">
        <v>46116</v>
      </c>
      <c r="D689" t="inlineStr">
        <is>
          <t>ÖREBRO LÄN</t>
        </is>
      </c>
      <c r="E689" t="inlineStr">
        <is>
          <t>LINDESBERG</t>
        </is>
      </c>
      <c r="G689" t="n">
        <v>7.7</v>
      </c>
      <c r="H689" t="n">
        <v>0</v>
      </c>
      <c r="I689" t="n">
        <v>0</v>
      </c>
      <c r="J689" t="n">
        <v>0</v>
      </c>
      <c r="K689" t="n">
        <v>0</v>
      </c>
      <c r="L689" t="n">
        <v>0</v>
      </c>
      <c r="M689" t="n">
        <v>0</v>
      </c>
      <c r="N689" t="n">
        <v>0</v>
      </c>
      <c r="O689" t="n">
        <v>0</v>
      </c>
      <c r="P689" t="n">
        <v>0</v>
      </c>
      <c r="Q689" t="n">
        <v>0</v>
      </c>
      <c r="R689" s="2" t="inlineStr"/>
    </row>
    <row r="690" ht="15" customHeight="1">
      <c r="A690" t="inlineStr">
        <is>
          <t>A 53897-2024</t>
        </is>
      </c>
      <c r="B690" s="1" t="n">
        <v>45615.69570601852</v>
      </c>
      <c r="C690" s="1" t="n">
        <v>46116</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56907-2024</t>
        </is>
      </c>
      <c r="B691" s="1" t="n">
        <v>45628.58975694444</v>
      </c>
      <c r="C691" s="1" t="n">
        <v>46116</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7992-2025</t>
        </is>
      </c>
      <c r="B692" s="1" t="n">
        <v>45707</v>
      </c>
      <c r="C692" s="1" t="n">
        <v>46116</v>
      </c>
      <c r="D692" t="inlineStr">
        <is>
          <t>ÖREBRO LÄN</t>
        </is>
      </c>
      <c r="E692" t="inlineStr">
        <is>
          <t>LINDESBERG</t>
        </is>
      </c>
      <c r="G692" t="n">
        <v>4.8</v>
      </c>
      <c r="H692" t="n">
        <v>0</v>
      </c>
      <c r="I692" t="n">
        <v>0</v>
      </c>
      <c r="J692" t="n">
        <v>0</v>
      </c>
      <c r="K692" t="n">
        <v>0</v>
      </c>
      <c r="L692" t="n">
        <v>0</v>
      </c>
      <c r="M692" t="n">
        <v>0</v>
      </c>
      <c r="N692" t="n">
        <v>0</v>
      </c>
      <c r="O692" t="n">
        <v>0</v>
      </c>
      <c r="P692" t="n">
        <v>0</v>
      </c>
      <c r="Q692" t="n">
        <v>0</v>
      </c>
      <c r="R692" s="2" t="inlineStr"/>
    </row>
    <row r="693" ht="15" customHeight="1">
      <c r="A693" t="inlineStr">
        <is>
          <t>A 17242-2025</t>
        </is>
      </c>
      <c r="B693" s="1" t="n">
        <v>45756.49009259259</v>
      </c>
      <c r="C693" s="1" t="n">
        <v>46116</v>
      </c>
      <c r="D693" t="inlineStr">
        <is>
          <t>ÖREBRO LÄN</t>
        </is>
      </c>
      <c r="E693" t="inlineStr">
        <is>
          <t>LINDESBERG</t>
        </is>
      </c>
      <c r="G693" t="n">
        <v>7.3</v>
      </c>
      <c r="H693" t="n">
        <v>0</v>
      </c>
      <c r="I693" t="n">
        <v>0</v>
      </c>
      <c r="J693" t="n">
        <v>0</v>
      </c>
      <c r="K693" t="n">
        <v>0</v>
      </c>
      <c r="L693" t="n">
        <v>0</v>
      </c>
      <c r="M693" t="n">
        <v>0</v>
      </c>
      <c r="N693" t="n">
        <v>0</v>
      </c>
      <c r="O693" t="n">
        <v>0</v>
      </c>
      <c r="P693" t="n">
        <v>0</v>
      </c>
      <c r="Q693" t="n">
        <v>0</v>
      </c>
      <c r="R693" s="2" t="inlineStr"/>
    </row>
    <row r="694" ht="15" customHeight="1">
      <c r="A694" t="inlineStr">
        <is>
          <t>A 2704-2026</t>
        </is>
      </c>
      <c r="B694" s="1" t="n">
        <v>46037.69133101852</v>
      </c>
      <c r="C694" s="1" t="n">
        <v>46116</v>
      </c>
      <c r="D694" t="inlineStr">
        <is>
          <t>ÖREBRO LÄN</t>
        </is>
      </c>
      <c r="E694" t="inlineStr">
        <is>
          <t>LINDESBERG</t>
        </is>
      </c>
      <c r="G694" t="n">
        <v>1.9</v>
      </c>
      <c r="H694" t="n">
        <v>0</v>
      </c>
      <c r="I694" t="n">
        <v>0</v>
      </c>
      <c r="J694" t="n">
        <v>0</v>
      </c>
      <c r="K694" t="n">
        <v>0</v>
      </c>
      <c r="L694" t="n">
        <v>0</v>
      </c>
      <c r="M694" t="n">
        <v>0</v>
      </c>
      <c r="N694" t="n">
        <v>0</v>
      </c>
      <c r="O694" t="n">
        <v>0</v>
      </c>
      <c r="P694" t="n">
        <v>0</v>
      </c>
      <c r="Q694" t="n">
        <v>0</v>
      </c>
      <c r="R694" s="2" t="inlineStr"/>
    </row>
    <row r="695" ht="15" customHeight="1">
      <c r="A695" t="inlineStr">
        <is>
          <t>A 3227-2026</t>
        </is>
      </c>
      <c r="B695" s="1" t="n">
        <v>46041.54181712963</v>
      </c>
      <c r="C695" s="1" t="n">
        <v>46116</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7119-2025</t>
        </is>
      </c>
      <c r="B696" s="1" t="n">
        <v>45702</v>
      </c>
      <c r="C696" s="1" t="n">
        <v>46116</v>
      </c>
      <c r="D696" t="inlineStr">
        <is>
          <t>ÖREBRO LÄN</t>
        </is>
      </c>
      <c r="E696" t="inlineStr">
        <is>
          <t>LINDESBERG</t>
        </is>
      </c>
      <c r="G696" t="n">
        <v>0.9</v>
      </c>
      <c r="H696" t="n">
        <v>0</v>
      </c>
      <c r="I696" t="n">
        <v>0</v>
      </c>
      <c r="J696" t="n">
        <v>0</v>
      </c>
      <c r="K696" t="n">
        <v>0</v>
      </c>
      <c r="L696" t="n">
        <v>0</v>
      </c>
      <c r="M696" t="n">
        <v>0</v>
      </c>
      <c r="N696" t="n">
        <v>0</v>
      </c>
      <c r="O696" t="n">
        <v>0</v>
      </c>
      <c r="P696" t="n">
        <v>0</v>
      </c>
      <c r="Q696" t="n">
        <v>0</v>
      </c>
      <c r="R696" s="2" t="inlineStr"/>
    </row>
    <row r="697" ht="15" customHeight="1">
      <c r="A697" t="inlineStr">
        <is>
          <t>A 45060-2024</t>
        </is>
      </c>
      <c r="B697" s="1" t="n">
        <v>45575.55570601852</v>
      </c>
      <c r="C697" s="1" t="n">
        <v>46116</v>
      </c>
      <c r="D697" t="inlineStr">
        <is>
          <t>ÖREBRO LÄN</t>
        </is>
      </c>
      <c r="E697" t="inlineStr">
        <is>
          <t>LINDESBERG</t>
        </is>
      </c>
      <c r="F697" t="inlineStr">
        <is>
          <t>Sveaskog</t>
        </is>
      </c>
      <c r="G697" t="n">
        <v>4.6</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46041.68443287037</v>
      </c>
      <c r="C698" s="1" t="n">
        <v>46116</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2969-2026</t>
        </is>
      </c>
      <c r="B699" s="1" t="n">
        <v>46038.61912037037</v>
      </c>
      <c r="C699" s="1" t="n">
        <v>46116</v>
      </c>
      <c r="D699" t="inlineStr">
        <is>
          <t>ÖREBRO LÄN</t>
        </is>
      </c>
      <c r="E699" t="inlineStr">
        <is>
          <t>LINDESBERG</t>
        </is>
      </c>
      <c r="G699" t="n">
        <v>2.6</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46116</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2902-2026</t>
        </is>
      </c>
      <c r="B701" s="1" t="n">
        <v>46038.55849537037</v>
      </c>
      <c r="C701" s="1" t="n">
        <v>46116</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50225-2021</t>
        </is>
      </c>
      <c r="B702" s="1" t="n">
        <v>44457</v>
      </c>
      <c r="C702" s="1" t="n">
        <v>46116</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2929-2026</t>
        </is>
      </c>
      <c r="B703" s="1" t="n">
        <v>46038.58241898148</v>
      </c>
      <c r="C703" s="1" t="n">
        <v>46116</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17995-2021</t>
        </is>
      </c>
      <c r="B704" s="1" t="n">
        <v>44301</v>
      </c>
      <c r="C704" s="1" t="n">
        <v>46116</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2949-2026</t>
        </is>
      </c>
      <c r="B705" s="1" t="n">
        <v>46038.59640046296</v>
      </c>
      <c r="C705" s="1" t="n">
        <v>46116</v>
      </c>
      <c r="D705" t="inlineStr">
        <is>
          <t>ÖREBRO LÄN</t>
        </is>
      </c>
      <c r="E705" t="inlineStr">
        <is>
          <t>LINDESBERG</t>
        </is>
      </c>
      <c r="G705" t="n">
        <v>4</v>
      </c>
      <c r="H705" t="n">
        <v>0</v>
      </c>
      <c r="I705" t="n">
        <v>0</v>
      </c>
      <c r="J705" t="n">
        <v>0</v>
      </c>
      <c r="K705" t="n">
        <v>0</v>
      </c>
      <c r="L705" t="n">
        <v>0</v>
      </c>
      <c r="M705" t="n">
        <v>0</v>
      </c>
      <c r="N705" t="n">
        <v>0</v>
      </c>
      <c r="O705" t="n">
        <v>0</v>
      </c>
      <c r="P705" t="n">
        <v>0</v>
      </c>
      <c r="Q705" t="n">
        <v>0</v>
      </c>
      <c r="R705" s="2" t="inlineStr"/>
    </row>
    <row r="706" ht="15" customHeight="1">
      <c r="A706" t="inlineStr">
        <is>
          <t>A 2859-2026</t>
        </is>
      </c>
      <c r="B706" s="1" t="n">
        <v>46038.49269675926</v>
      </c>
      <c r="C706" s="1" t="n">
        <v>46116</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48244-2024</t>
        </is>
      </c>
      <c r="B707" s="1" t="n">
        <v>45590.39471064815</v>
      </c>
      <c r="C707" s="1" t="n">
        <v>46116</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2958-2026</t>
        </is>
      </c>
      <c r="B708" s="1" t="n">
        <v>46038.61067129629</v>
      </c>
      <c r="C708" s="1" t="n">
        <v>46116</v>
      </c>
      <c r="D708" t="inlineStr">
        <is>
          <t>ÖREBRO LÄN</t>
        </is>
      </c>
      <c r="E708" t="inlineStr">
        <is>
          <t>LINDESBERG</t>
        </is>
      </c>
      <c r="G708" t="n">
        <v>5.8</v>
      </c>
      <c r="H708" t="n">
        <v>0</v>
      </c>
      <c r="I708" t="n">
        <v>0</v>
      </c>
      <c r="J708" t="n">
        <v>0</v>
      </c>
      <c r="K708" t="n">
        <v>0</v>
      </c>
      <c r="L708" t="n">
        <v>0</v>
      </c>
      <c r="M708" t="n">
        <v>0</v>
      </c>
      <c r="N708" t="n">
        <v>0</v>
      </c>
      <c r="O708" t="n">
        <v>0</v>
      </c>
      <c r="P708" t="n">
        <v>0</v>
      </c>
      <c r="Q708" t="n">
        <v>0</v>
      </c>
      <c r="R708" s="2" t="inlineStr"/>
    </row>
    <row r="709" ht="15" customHeight="1">
      <c r="A709" t="inlineStr">
        <is>
          <t>A 20210-2024</t>
        </is>
      </c>
      <c r="B709" s="1" t="n">
        <v>45434.65854166666</v>
      </c>
      <c r="C709" s="1" t="n">
        <v>46116</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3660-2026</t>
        </is>
      </c>
      <c r="B710" s="1" t="n">
        <v>46043.38744212963</v>
      </c>
      <c r="C710" s="1" t="n">
        <v>46116</v>
      </c>
      <c r="D710" t="inlineStr">
        <is>
          <t>ÖREBRO LÄN</t>
        </is>
      </c>
      <c r="E710" t="inlineStr">
        <is>
          <t>LINDESBERG</t>
        </is>
      </c>
      <c r="G710" t="n">
        <v>3.4</v>
      </c>
      <c r="H710" t="n">
        <v>0</v>
      </c>
      <c r="I710" t="n">
        <v>0</v>
      </c>
      <c r="J710" t="n">
        <v>0</v>
      </c>
      <c r="K710" t="n">
        <v>0</v>
      </c>
      <c r="L710" t="n">
        <v>0</v>
      </c>
      <c r="M710" t="n">
        <v>0</v>
      </c>
      <c r="N710" t="n">
        <v>0</v>
      </c>
      <c r="O710" t="n">
        <v>0</v>
      </c>
      <c r="P710" t="n">
        <v>0</v>
      </c>
      <c r="Q710" t="n">
        <v>0</v>
      </c>
      <c r="R710" s="2" t="inlineStr"/>
    </row>
    <row r="711" ht="15" customHeight="1">
      <c r="A711" t="inlineStr">
        <is>
          <t>A 24352-2023</t>
        </is>
      </c>
      <c r="B711" s="1" t="n">
        <v>45082.31421296296</v>
      </c>
      <c r="C711" s="1" t="n">
        <v>46116</v>
      </c>
      <c r="D711" t="inlineStr">
        <is>
          <t>ÖREBRO LÄN</t>
        </is>
      </c>
      <c r="E711" t="inlineStr">
        <is>
          <t>LINDESBERG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3659-2026</t>
        </is>
      </c>
      <c r="B712" s="1" t="n">
        <v>46043</v>
      </c>
      <c r="C712" s="1" t="n">
        <v>46116</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3026-2026</t>
        </is>
      </c>
      <c r="B713" s="1" t="n">
        <v>46038</v>
      </c>
      <c r="C713" s="1" t="n">
        <v>46116</v>
      </c>
      <c r="D713" t="inlineStr">
        <is>
          <t>ÖREBRO LÄN</t>
        </is>
      </c>
      <c r="E713" t="inlineStr">
        <is>
          <t>LINDESBERG</t>
        </is>
      </c>
      <c r="G713" t="n">
        <v>10.3</v>
      </c>
      <c r="H713" t="n">
        <v>0</v>
      </c>
      <c r="I713" t="n">
        <v>0</v>
      </c>
      <c r="J713" t="n">
        <v>0</v>
      </c>
      <c r="K713" t="n">
        <v>0</v>
      </c>
      <c r="L713" t="n">
        <v>0</v>
      </c>
      <c r="M713" t="n">
        <v>0</v>
      </c>
      <c r="N713" t="n">
        <v>0</v>
      </c>
      <c r="O713" t="n">
        <v>0</v>
      </c>
      <c r="P713" t="n">
        <v>0</v>
      </c>
      <c r="Q713" t="n">
        <v>0</v>
      </c>
      <c r="R713" s="2" t="inlineStr"/>
    </row>
    <row r="714" ht="15" customHeight="1">
      <c r="A714" t="inlineStr">
        <is>
          <t>A 22824-2023</t>
        </is>
      </c>
      <c r="B714" s="1" t="n">
        <v>45072</v>
      </c>
      <c r="C714" s="1" t="n">
        <v>46116</v>
      </c>
      <c r="D714" t="inlineStr">
        <is>
          <t>ÖREBRO LÄN</t>
        </is>
      </c>
      <c r="E714" t="inlineStr">
        <is>
          <t>LINDESBERG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36509-2024</t>
        </is>
      </c>
      <c r="B715" s="1" t="n">
        <v>45537.42240740741</v>
      </c>
      <c r="C715" s="1" t="n">
        <v>46116</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33428-2024</t>
        </is>
      </c>
      <c r="B716" s="1" t="n">
        <v>45519.52319444445</v>
      </c>
      <c r="C716" s="1" t="n">
        <v>46116</v>
      </c>
      <c r="D716" t="inlineStr">
        <is>
          <t>ÖREBRO LÄN</t>
        </is>
      </c>
      <c r="E716" t="inlineStr">
        <is>
          <t>LINDESBERG</t>
        </is>
      </c>
      <c r="F716" t="inlineStr">
        <is>
          <t>Sveaskog</t>
        </is>
      </c>
      <c r="G716" t="n">
        <v>0.2</v>
      </c>
      <c r="H716" t="n">
        <v>0</v>
      </c>
      <c r="I716" t="n">
        <v>0</v>
      </c>
      <c r="J716" t="n">
        <v>0</v>
      </c>
      <c r="K716" t="n">
        <v>0</v>
      </c>
      <c r="L716" t="n">
        <v>0</v>
      </c>
      <c r="M716" t="n">
        <v>0</v>
      </c>
      <c r="N716" t="n">
        <v>0</v>
      </c>
      <c r="O716" t="n">
        <v>0</v>
      </c>
      <c r="P716" t="n">
        <v>0</v>
      </c>
      <c r="Q716" t="n">
        <v>0</v>
      </c>
      <c r="R716" s="2" t="inlineStr"/>
    </row>
    <row r="717" ht="15" customHeight="1">
      <c r="A717" t="inlineStr">
        <is>
          <t>A 3951-2026</t>
        </is>
      </c>
      <c r="B717" s="1" t="n">
        <v>46044</v>
      </c>
      <c r="C717" s="1" t="n">
        <v>46116</v>
      </c>
      <c r="D717" t="inlineStr">
        <is>
          <t>ÖREBRO LÄN</t>
        </is>
      </c>
      <c r="E717" t="inlineStr">
        <is>
          <t>LINDESBERG</t>
        </is>
      </c>
      <c r="G717" t="n">
        <v>0.6</v>
      </c>
      <c r="H717" t="n">
        <v>0</v>
      </c>
      <c r="I717" t="n">
        <v>0</v>
      </c>
      <c r="J717" t="n">
        <v>0</v>
      </c>
      <c r="K717" t="n">
        <v>0</v>
      </c>
      <c r="L717" t="n">
        <v>0</v>
      </c>
      <c r="M717" t="n">
        <v>0</v>
      </c>
      <c r="N717" t="n">
        <v>0</v>
      </c>
      <c r="O717" t="n">
        <v>0</v>
      </c>
      <c r="P717" t="n">
        <v>0</v>
      </c>
      <c r="Q717" t="n">
        <v>0</v>
      </c>
      <c r="R717" s="2" t="inlineStr"/>
    </row>
    <row r="718" ht="15" customHeight="1">
      <c r="A718" t="inlineStr">
        <is>
          <t>A 17104-2024</t>
        </is>
      </c>
      <c r="B718" s="1" t="n">
        <v>45412.54541666667</v>
      </c>
      <c r="C718" s="1" t="n">
        <v>46116</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13350-2024</t>
        </is>
      </c>
      <c r="B719" s="1" t="n">
        <v>45387.24732638889</v>
      </c>
      <c r="C719" s="1" t="n">
        <v>46116</v>
      </c>
      <c r="D719" t="inlineStr">
        <is>
          <t>ÖREBRO LÄN</t>
        </is>
      </c>
      <c r="E719" t="inlineStr">
        <is>
          <t>LINDESBERG</t>
        </is>
      </c>
      <c r="G719" t="n">
        <v>4.1</v>
      </c>
      <c r="H719" t="n">
        <v>0</v>
      </c>
      <c r="I719" t="n">
        <v>0</v>
      </c>
      <c r="J719" t="n">
        <v>0</v>
      </c>
      <c r="K719" t="n">
        <v>0</v>
      </c>
      <c r="L719" t="n">
        <v>0</v>
      </c>
      <c r="M719" t="n">
        <v>0</v>
      </c>
      <c r="N719" t="n">
        <v>0</v>
      </c>
      <c r="O719" t="n">
        <v>0</v>
      </c>
      <c r="P719" t="n">
        <v>0</v>
      </c>
      <c r="Q719" t="n">
        <v>0</v>
      </c>
      <c r="R719" s="2" t="inlineStr"/>
    </row>
    <row r="720" ht="15" customHeight="1">
      <c r="A720" t="inlineStr">
        <is>
          <t>A 13351-2024</t>
        </is>
      </c>
      <c r="B720" s="1" t="n">
        <v>45387.2521875</v>
      </c>
      <c r="C720" s="1" t="n">
        <v>46116</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40303-2024</t>
        </is>
      </c>
      <c r="B721" s="1" t="n">
        <v>45554.7158912037</v>
      </c>
      <c r="C721" s="1" t="n">
        <v>46116</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34838-2023</t>
        </is>
      </c>
      <c r="B722" s="1" t="n">
        <v>45141.76530092592</v>
      </c>
      <c r="C722" s="1" t="n">
        <v>46116</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15324-2024</t>
        </is>
      </c>
      <c r="B723" s="1" t="n">
        <v>45400.66995370371</v>
      </c>
      <c r="C723" s="1" t="n">
        <v>46116</v>
      </c>
      <c r="D723" t="inlineStr">
        <is>
          <t>ÖREBRO LÄN</t>
        </is>
      </c>
      <c r="E723" t="inlineStr">
        <is>
          <t>LINDESBERG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36170-2021</t>
        </is>
      </c>
      <c r="B724" s="1" t="n">
        <v>44389</v>
      </c>
      <c r="C724" s="1" t="n">
        <v>46116</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7180-2023</t>
        </is>
      </c>
      <c r="B725" s="1" t="n">
        <v>44970.51849537037</v>
      </c>
      <c r="C725" s="1" t="n">
        <v>46116</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46675-2023</t>
        </is>
      </c>
      <c r="B726" s="1" t="n">
        <v>45194</v>
      </c>
      <c r="C726" s="1" t="n">
        <v>46116</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50964-2023</t>
        </is>
      </c>
      <c r="B727" s="1" t="n">
        <v>45218.488125</v>
      </c>
      <c r="C727" s="1" t="n">
        <v>46116</v>
      </c>
      <c r="D727" t="inlineStr">
        <is>
          <t>ÖREBRO LÄN</t>
        </is>
      </c>
      <c r="E727" t="inlineStr">
        <is>
          <t>LINDESBERG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50619-2022</t>
        </is>
      </c>
      <c r="B728" s="1" t="n">
        <v>44866.79668981482</v>
      </c>
      <c r="C728" s="1" t="n">
        <v>46116</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36893-2024</t>
        </is>
      </c>
      <c r="B729" s="1" t="n">
        <v>45538</v>
      </c>
      <c r="C729" s="1" t="n">
        <v>46116</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5717-2026</t>
        </is>
      </c>
      <c r="B730" s="1" t="n">
        <v>46051.53689814815</v>
      </c>
      <c r="C730" s="1" t="n">
        <v>46116</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47155-2024</t>
        </is>
      </c>
      <c r="B731" s="1" t="n">
        <v>45586</v>
      </c>
      <c r="C731" s="1" t="n">
        <v>46116</v>
      </c>
      <c r="D731" t="inlineStr">
        <is>
          <t>ÖREBRO LÄN</t>
        </is>
      </c>
      <c r="E731" t="inlineStr">
        <is>
          <t>LINDESBERG</t>
        </is>
      </c>
      <c r="F731" t="inlineStr">
        <is>
          <t>Sveaskog</t>
        </is>
      </c>
      <c r="G731" t="n">
        <v>5.7</v>
      </c>
      <c r="H731" t="n">
        <v>0</v>
      </c>
      <c r="I731" t="n">
        <v>0</v>
      </c>
      <c r="J731" t="n">
        <v>0</v>
      </c>
      <c r="K731" t="n">
        <v>0</v>
      </c>
      <c r="L731" t="n">
        <v>0</v>
      </c>
      <c r="M731" t="n">
        <v>0</v>
      </c>
      <c r="N731" t="n">
        <v>0</v>
      </c>
      <c r="O731" t="n">
        <v>0</v>
      </c>
      <c r="P731" t="n">
        <v>0</v>
      </c>
      <c r="Q731" t="n">
        <v>0</v>
      </c>
      <c r="R731" s="2" t="inlineStr"/>
    </row>
    <row r="732" ht="15" customHeight="1">
      <c r="A732" t="inlineStr">
        <is>
          <t>A 5235-2026</t>
        </is>
      </c>
      <c r="B732" s="1" t="n">
        <v>46049.84017361111</v>
      </c>
      <c r="C732" s="1" t="n">
        <v>46116</v>
      </c>
      <c r="D732" t="inlineStr">
        <is>
          <t>ÖREBRO LÄN</t>
        </is>
      </c>
      <c r="E732" t="inlineStr">
        <is>
          <t>LINDESBERG</t>
        </is>
      </c>
      <c r="G732" t="n">
        <v>4.8</v>
      </c>
      <c r="H732" t="n">
        <v>0</v>
      </c>
      <c r="I732" t="n">
        <v>0</v>
      </c>
      <c r="J732" t="n">
        <v>0</v>
      </c>
      <c r="K732" t="n">
        <v>0</v>
      </c>
      <c r="L732" t="n">
        <v>0</v>
      </c>
      <c r="M732" t="n">
        <v>0</v>
      </c>
      <c r="N732" t="n">
        <v>0</v>
      </c>
      <c r="O732" t="n">
        <v>0</v>
      </c>
      <c r="P732" t="n">
        <v>0</v>
      </c>
      <c r="Q732" t="n">
        <v>0</v>
      </c>
      <c r="R732" s="2" t="inlineStr"/>
    </row>
    <row r="733" ht="15" customHeight="1">
      <c r="A733" t="inlineStr">
        <is>
          <t>A 10111-2022</t>
        </is>
      </c>
      <c r="B733" s="1" t="n">
        <v>44621.85737268518</v>
      </c>
      <c r="C733" s="1" t="n">
        <v>46116</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5715-2026</t>
        </is>
      </c>
      <c r="B734" s="1" t="n">
        <v>46051.53563657407</v>
      </c>
      <c r="C734" s="1" t="n">
        <v>46116</v>
      </c>
      <c r="D734" t="inlineStr">
        <is>
          <t>ÖREBRO LÄN</t>
        </is>
      </c>
      <c r="E734" t="inlineStr">
        <is>
          <t>LINDESBERG</t>
        </is>
      </c>
      <c r="G734" t="n">
        <v>0.7</v>
      </c>
      <c r="H734" t="n">
        <v>0</v>
      </c>
      <c r="I734" t="n">
        <v>0</v>
      </c>
      <c r="J734" t="n">
        <v>0</v>
      </c>
      <c r="K734" t="n">
        <v>0</v>
      </c>
      <c r="L734" t="n">
        <v>0</v>
      </c>
      <c r="M734" t="n">
        <v>0</v>
      </c>
      <c r="N734" t="n">
        <v>0</v>
      </c>
      <c r="O734" t="n">
        <v>0</v>
      </c>
      <c r="P734" t="n">
        <v>0</v>
      </c>
      <c r="Q734" t="n">
        <v>0</v>
      </c>
      <c r="R734" s="2" t="inlineStr"/>
    </row>
    <row r="735" ht="15" customHeight="1">
      <c r="A735" t="inlineStr">
        <is>
          <t>A 14231-2023</t>
        </is>
      </c>
      <c r="B735" s="1" t="n">
        <v>45009.64217592592</v>
      </c>
      <c r="C735" s="1" t="n">
        <v>46116</v>
      </c>
      <c r="D735" t="inlineStr">
        <is>
          <t>ÖREBRO LÄN</t>
        </is>
      </c>
      <c r="E735" t="inlineStr">
        <is>
          <t>LINDESBERG</t>
        </is>
      </c>
      <c r="G735" t="n">
        <v>4.3</v>
      </c>
      <c r="H735" t="n">
        <v>0</v>
      </c>
      <c r="I735" t="n">
        <v>0</v>
      </c>
      <c r="J735" t="n">
        <v>0</v>
      </c>
      <c r="K735" t="n">
        <v>0</v>
      </c>
      <c r="L735" t="n">
        <v>0</v>
      </c>
      <c r="M735" t="n">
        <v>0</v>
      </c>
      <c r="N735" t="n">
        <v>0</v>
      </c>
      <c r="O735" t="n">
        <v>0</v>
      </c>
      <c r="P735" t="n">
        <v>0</v>
      </c>
      <c r="Q735" t="n">
        <v>0</v>
      </c>
      <c r="R735" s="2" t="inlineStr"/>
    </row>
    <row r="736" ht="15" customHeight="1">
      <c r="A736" t="inlineStr">
        <is>
          <t>A 484-2022</t>
        </is>
      </c>
      <c r="B736" s="1" t="n">
        <v>44566</v>
      </c>
      <c r="C736" s="1" t="n">
        <v>46116</v>
      </c>
      <c r="D736" t="inlineStr">
        <is>
          <t>ÖREBRO LÄN</t>
        </is>
      </c>
      <c r="E736" t="inlineStr">
        <is>
          <t>LINDESBERG</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1395-2025</t>
        </is>
      </c>
      <c r="B737" s="1" t="n">
        <v>45667</v>
      </c>
      <c r="C737" s="1" t="n">
        <v>46116</v>
      </c>
      <c r="D737" t="inlineStr">
        <is>
          <t>ÖREBRO LÄN</t>
        </is>
      </c>
      <c r="E737" t="inlineStr">
        <is>
          <t>LINDESBERG</t>
        </is>
      </c>
      <c r="G737" t="n">
        <v>4.6</v>
      </c>
      <c r="H737" t="n">
        <v>0</v>
      </c>
      <c r="I737" t="n">
        <v>0</v>
      </c>
      <c r="J737" t="n">
        <v>0</v>
      </c>
      <c r="K737" t="n">
        <v>0</v>
      </c>
      <c r="L737" t="n">
        <v>0</v>
      </c>
      <c r="M737" t="n">
        <v>0</v>
      </c>
      <c r="N737" t="n">
        <v>0</v>
      </c>
      <c r="O737" t="n">
        <v>0</v>
      </c>
      <c r="P737" t="n">
        <v>0</v>
      </c>
      <c r="Q737" t="n">
        <v>0</v>
      </c>
      <c r="R737" s="2" t="inlineStr"/>
    </row>
    <row r="738" ht="15" customHeight="1">
      <c r="A738" t="inlineStr">
        <is>
          <t>A 1405-2025</t>
        </is>
      </c>
      <c r="B738" s="1" t="n">
        <v>45667</v>
      </c>
      <c r="C738" s="1" t="n">
        <v>46116</v>
      </c>
      <c r="D738" t="inlineStr">
        <is>
          <t>ÖREBRO LÄN</t>
        </is>
      </c>
      <c r="E738" t="inlineStr">
        <is>
          <t>LINDESBERG</t>
        </is>
      </c>
      <c r="F738" t="inlineStr">
        <is>
          <t>Allmännings- och besparingsskogar</t>
        </is>
      </c>
      <c r="G738" t="n">
        <v>3.1</v>
      </c>
      <c r="H738" t="n">
        <v>0</v>
      </c>
      <c r="I738" t="n">
        <v>0</v>
      </c>
      <c r="J738" t="n">
        <v>0</v>
      </c>
      <c r="K738" t="n">
        <v>0</v>
      </c>
      <c r="L738" t="n">
        <v>0</v>
      </c>
      <c r="M738" t="n">
        <v>0</v>
      </c>
      <c r="N738" t="n">
        <v>0</v>
      </c>
      <c r="O738" t="n">
        <v>0</v>
      </c>
      <c r="P738" t="n">
        <v>0</v>
      </c>
      <c r="Q738" t="n">
        <v>0</v>
      </c>
      <c r="R738" s="2" t="inlineStr"/>
    </row>
    <row r="739" ht="15" customHeight="1">
      <c r="A739" t="inlineStr">
        <is>
          <t>A 34434-2023</t>
        </is>
      </c>
      <c r="B739" s="1" t="n">
        <v>45139.63480324074</v>
      </c>
      <c r="C739" s="1" t="n">
        <v>46116</v>
      </c>
      <c r="D739" t="inlineStr">
        <is>
          <t>ÖREBRO LÄN</t>
        </is>
      </c>
      <c r="E739" t="inlineStr">
        <is>
          <t>LINDESBERG</t>
        </is>
      </c>
      <c r="F739" t="inlineStr">
        <is>
          <t>Kyrkan</t>
        </is>
      </c>
      <c r="G739" t="n">
        <v>1.7</v>
      </c>
      <c r="H739" t="n">
        <v>0</v>
      </c>
      <c r="I739" t="n">
        <v>0</v>
      </c>
      <c r="J739" t="n">
        <v>0</v>
      </c>
      <c r="K739" t="n">
        <v>0</v>
      </c>
      <c r="L739" t="n">
        <v>0</v>
      </c>
      <c r="M739" t="n">
        <v>0</v>
      </c>
      <c r="N739" t="n">
        <v>0</v>
      </c>
      <c r="O739" t="n">
        <v>0</v>
      </c>
      <c r="P739" t="n">
        <v>0</v>
      </c>
      <c r="Q739" t="n">
        <v>0</v>
      </c>
      <c r="R739" s="2" t="inlineStr"/>
    </row>
    <row r="740" ht="15" customHeight="1">
      <c r="A740" t="inlineStr">
        <is>
          <t>A 45078-2024</t>
        </is>
      </c>
      <c r="B740" s="1" t="n">
        <v>45575.57104166667</v>
      </c>
      <c r="C740" s="1" t="n">
        <v>46116</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6723-2022</t>
        </is>
      </c>
      <c r="B741" s="1" t="n">
        <v>44602.45162037037</v>
      </c>
      <c r="C741" s="1" t="n">
        <v>46116</v>
      </c>
      <c r="D741" t="inlineStr">
        <is>
          <t>ÖREBRO LÄN</t>
        </is>
      </c>
      <c r="E741" t="inlineStr">
        <is>
          <t>LINDESBERG</t>
        </is>
      </c>
      <c r="G741" t="n">
        <v>4.2</v>
      </c>
      <c r="H741" t="n">
        <v>0</v>
      </c>
      <c r="I741" t="n">
        <v>0</v>
      </c>
      <c r="J741" t="n">
        <v>0</v>
      </c>
      <c r="K741" t="n">
        <v>0</v>
      </c>
      <c r="L741" t="n">
        <v>0</v>
      </c>
      <c r="M741" t="n">
        <v>0</v>
      </c>
      <c r="N741" t="n">
        <v>0</v>
      </c>
      <c r="O741" t="n">
        <v>0</v>
      </c>
      <c r="P741" t="n">
        <v>0</v>
      </c>
      <c r="Q741" t="n">
        <v>0</v>
      </c>
      <c r="R741" s="2" t="inlineStr"/>
    </row>
    <row r="742" ht="15" customHeight="1">
      <c r="A742" t="inlineStr">
        <is>
          <t>A 5928-2026</t>
        </is>
      </c>
      <c r="B742" s="1" t="n">
        <v>46052.46519675926</v>
      </c>
      <c r="C742" s="1" t="n">
        <v>46116</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28470-2023</t>
        </is>
      </c>
      <c r="B743" s="1" t="n">
        <v>45103</v>
      </c>
      <c r="C743" s="1" t="n">
        <v>46116</v>
      </c>
      <c r="D743" t="inlineStr">
        <is>
          <t>ÖREBRO LÄN</t>
        </is>
      </c>
      <c r="E743" t="inlineStr">
        <is>
          <t>LINDESBERG</t>
        </is>
      </c>
      <c r="G743" t="n">
        <v>6.7</v>
      </c>
      <c r="H743" t="n">
        <v>0</v>
      </c>
      <c r="I743" t="n">
        <v>0</v>
      </c>
      <c r="J743" t="n">
        <v>0</v>
      </c>
      <c r="K743" t="n">
        <v>0</v>
      </c>
      <c r="L743" t="n">
        <v>0</v>
      </c>
      <c r="M743" t="n">
        <v>0</v>
      </c>
      <c r="N743" t="n">
        <v>0</v>
      </c>
      <c r="O743" t="n">
        <v>0</v>
      </c>
      <c r="P743" t="n">
        <v>0</v>
      </c>
      <c r="Q743" t="n">
        <v>0</v>
      </c>
      <c r="R743" s="2" t="inlineStr"/>
    </row>
    <row r="744" ht="15" customHeight="1">
      <c r="A744" t="inlineStr">
        <is>
          <t>A 6616-2026</t>
        </is>
      </c>
      <c r="B744" s="1" t="n">
        <v>46056.49075231481</v>
      </c>
      <c r="C744" s="1" t="n">
        <v>46116</v>
      </c>
      <c r="D744" t="inlineStr">
        <is>
          <t>ÖREBRO LÄN</t>
        </is>
      </c>
      <c r="E744" t="inlineStr">
        <is>
          <t>LINDESBERG</t>
        </is>
      </c>
      <c r="G744" t="n">
        <v>9</v>
      </c>
      <c r="H744" t="n">
        <v>0</v>
      </c>
      <c r="I744" t="n">
        <v>0</v>
      </c>
      <c r="J744" t="n">
        <v>0</v>
      </c>
      <c r="K744" t="n">
        <v>0</v>
      </c>
      <c r="L744" t="n">
        <v>0</v>
      </c>
      <c r="M744" t="n">
        <v>0</v>
      </c>
      <c r="N744" t="n">
        <v>0</v>
      </c>
      <c r="O744" t="n">
        <v>0</v>
      </c>
      <c r="P744" t="n">
        <v>0</v>
      </c>
      <c r="Q744" t="n">
        <v>0</v>
      </c>
      <c r="R744" s="2" t="inlineStr"/>
    </row>
    <row r="745" ht="15" customHeight="1">
      <c r="A745" t="inlineStr">
        <is>
          <t>A 32097-2024</t>
        </is>
      </c>
      <c r="B745" s="1" t="n">
        <v>45511.39445601852</v>
      </c>
      <c r="C745" s="1" t="n">
        <v>46116</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26340-2022</t>
        </is>
      </c>
      <c r="B746" s="1" t="n">
        <v>44735.62539351852</v>
      </c>
      <c r="C746" s="1" t="n">
        <v>46116</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30534-2023</t>
        </is>
      </c>
      <c r="B747" s="1" t="n">
        <v>45111</v>
      </c>
      <c r="C747" s="1" t="n">
        <v>46116</v>
      </c>
      <c r="D747" t="inlineStr">
        <is>
          <t>ÖREBRO LÄN</t>
        </is>
      </c>
      <c r="E747" t="inlineStr">
        <is>
          <t>LINDESBERG</t>
        </is>
      </c>
      <c r="G747" t="n">
        <v>0.7</v>
      </c>
      <c r="H747" t="n">
        <v>0</v>
      </c>
      <c r="I747" t="n">
        <v>0</v>
      </c>
      <c r="J747" t="n">
        <v>0</v>
      </c>
      <c r="K747" t="n">
        <v>0</v>
      </c>
      <c r="L747" t="n">
        <v>0</v>
      </c>
      <c r="M747" t="n">
        <v>0</v>
      </c>
      <c r="N747" t="n">
        <v>0</v>
      </c>
      <c r="O747" t="n">
        <v>0</v>
      </c>
      <c r="P747" t="n">
        <v>0</v>
      </c>
      <c r="Q747" t="n">
        <v>0</v>
      </c>
      <c r="R747" s="2" t="inlineStr"/>
    </row>
    <row r="748" ht="15" customHeight="1">
      <c r="A748" t="inlineStr">
        <is>
          <t>A 6989-2026</t>
        </is>
      </c>
      <c r="B748" s="1" t="n">
        <v>46057.60342592592</v>
      </c>
      <c r="C748" s="1" t="n">
        <v>46116</v>
      </c>
      <c r="D748" t="inlineStr">
        <is>
          <t>ÖREBRO LÄN</t>
        </is>
      </c>
      <c r="E748" t="inlineStr">
        <is>
          <t>LINDESBERG</t>
        </is>
      </c>
      <c r="G748" t="n">
        <v>2</v>
      </c>
      <c r="H748" t="n">
        <v>0</v>
      </c>
      <c r="I748" t="n">
        <v>0</v>
      </c>
      <c r="J748" t="n">
        <v>0</v>
      </c>
      <c r="K748" t="n">
        <v>0</v>
      </c>
      <c r="L748" t="n">
        <v>0</v>
      </c>
      <c r="M748" t="n">
        <v>0</v>
      </c>
      <c r="N748" t="n">
        <v>0</v>
      </c>
      <c r="O748" t="n">
        <v>0</v>
      </c>
      <c r="P748" t="n">
        <v>0</v>
      </c>
      <c r="Q748" t="n">
        <v>0</v>
      </c>
      <c r="R748" s="2" t="inlineStr"/>
    </row>
    <row r="749" ht="15" customHeight="1">
      <c r="A749" t="inlineStr">
        <is>
          <t>A 14034-2026</t>
        </is>
      </c>
      <c r="B749" s="1" t="n">
        <v>46098.79559027778</v>
      </c>
      <c r="C749" s="1" t="n">
        <v>46116</v>
      </c>
      <c r="D749" t="inlineStr">
        <is>
          <t>ÖREBRO LÄN</t>
        </is>
      </c>
      <c r="E749" t="inlineStr">
        <is>
          <t>LINDESBERG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3756-2026</t>
        </is>
      </c>
      <c r="B750" s="1" t="n">
        <v>46043</v>
      </c>
      <c r="C750" s="1" t="n">
        <v>46116</v>
      </c>
      <c r="D750" t="inlineStr">
        <is>
          <t>ÖREBRO LÄN</t>
        </is>
      </c>
      <c r="E750" t="inlineStr">
        <is>
          <t>LINDESBERG</t>
        </is>
      </c>
      <c r="G750" t="n">
        <v>6.3</v>
      </c>
      <c r="H750" t="n">
        <v>0</v>
      </c>
      <c r="I750" t="n">
        <v>0</v>
      </c>
      <c r="J750" t="n">
        <v>0</v>
      </c>
      <c r="K750" t="n">
        <v>0</v>
      </c>
      <c r="L750" t="n">
        <v>0</v>
      </c>
      <c r="M750" t="n">
        <v>0</v>
      </c>
      <c r="N750" t="n">
        <v>0</v>
      </c>
      <c r="O750" t="n">
        <v>0</v>
      </c>
      <c r="P750" t="n">
        <v>0</v>
      </c>
      <c r="Q750" t="n">
        <v>0</v>
      </c>
      <c r="R750" s="2" t="inlineStr"/>
    </row>
    <row r="751" ht="15" customHeight="1">
      <c r="A751" t="inlineStr">
        <is>
          <t>A 6520-2026</t>
        </is>
      </c>
      <c r="B751" s="1" t="n">
        <v>46056.40149305556</v>
      </c>
      <c r="C751" s="1" t="n">
        <v>46116</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6524-2026</t>
        </is>
      </c>
      <c r="B752" s="1" t="n">
        <v>46056.40425925926</v>
      </c>
      <c r="C752" s="1" t="n">
        <v>46116</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3994-2023</t>
        </is>
      </c>
      <c r="B753" s="1" t="n">
        <v>44950</v>
      </c>
      <c r="C753" s="1" t="n">
        <v>46116</v>
      </c>
      <c r="D753" t="inlineStr">
        <is>
          <t>ÖREBRO LÄN</t>
        </is>
      </c>
      <c r="E753" t="inlineStr">
        <is>
          <t>LINDESBERG</t>
        </is>
      </c>
      <c r="G753" t="n">
        <v>4.8</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46116</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59631-2023</t>
        </is>
      </c>
      <c r="B755" s="1" t="n">
        <v>45254.68105324074</v>
      </c>
      <c r="C755" s="1" t="n">
        <v>46116</v>
      </c>
      <c r="D755" t="inlineStr">
        <is>
          <t>ÖREBRO LÄN</t>
        </is>
      </c>
      <c r="E755" t="inlineStr">
        <is>
          <t>LINDESBERG</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34539-2024</t>
        </is>
      </c>
      <c r="B756" s="1" t="n">
        <v>45525.7374537037</v>
      </c>
      <c r="C756" s="1" t="n">
        <v>46116</v>
      </c>
      <c r="D756" t="inlineStr">
        <is>
          <t>ÖREBRO LÄN</t>
        </is>
      </c>
      <c r="E756" t="inlineStr">
        <is>
          <t>LINDESBERG</t>
        </is>
      </c>
      <c r="G756" t="n">
        <v>5.4</v>
      </c>
      <c r="H756" t="n">
        <v>0</v>
      </c>
      <c r="I756" t="n">
        <v>0</v>
      </c>
      <c r="J756" t="n">
        <v>0</v>
      </c>
      <c r="K756" t="n">
        <v>0</v>
      </c>
      <c r="L756" t="n">
        <v>0</v>
      </c>
      <c r="M756" t="n">
        <v>0</v>
      </c>
      <c r="N756" t="n">
        <v>0</v>
      </c>
      <c r="O756" t="n">
        <v>0</v>
      </c>
      <c r="P756" t="n">
        <v>0</v>
      </c>
      <c r="Q756" t="n">
        <v>0</v>
      </c>
      <c r="R756" s="2" t="inlineStr"/>
    </row>
    <row r="757" ht="15" customHeight="1">
      <c r="A757" t="inlineStr">
        <is>
          <t>A 41951-2023</t>
        </is>
      </c>
      <c r="B757" s="1" t="n">
        <v>45177.33991898148</v>
      </c>
      <c r="C757" s="1" t="n">
        <v>46116</v>
      </c>
      <c r="D757" t="inlineStr">
        <is>
          <t>ÖREBRO LÄN</t>
        </is>
      </c>
      <c r="E757" t="inlineStr">
        <is>
          <t>LINDESBERG</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58603-2023</t>
        </is>
      </c>
      <c r="B758" s="1" t="n">
        <v>45251</v>
      </c>
      <c r="C758" s="1" t="n">
        <v>46116</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7098-2026</t>
        </is>
      </c>
      <c r="B759" s="1" t="n">
        <v>46058.35196759259</v>
      </c>
      <c r="C759" s="1" t="n">
        <v>46116</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14187-2024</t>
        </is>
      </c>
      <c r="B760" s="1" t="n">
        <v>45393.35787037037</v>
      </c>
      <c r="C760" s="1" t="n">
        <v>46116</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18418-2025</t>
        </is>
      </c>
      <c r="B761" s="1" t="n">
        <v>45762.61817129629</v>
      </c>
      <c r="C761" s="1" t="n">
        <v>46116</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7202-2026</t>
        </is>
      </c>
      <c r="B762" s="1" t="n">
        <v>46058.52864583334</v>
      </c>
      <c r="C762" s="1" t="n">
        <v>46116</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29849-2023</t>
        </is>
      </c>
      <c r="B763" s="1" t="n">
        <v>45107</v>
      </c>
      <c r="C763" s="1" t="n">
        <v>46116</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60105-2022</t>
        </is>
      </c>
      <c r="B764" s="1" t="n">
        <v>44902</v>
      </c>
      <c r="C764" s="1" t="n">
        <v>46116</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7069-2026</t>
        </is>
      </c>
      <c r="B765" s="1" t="n">
        <v>46058.30956018518</v>
      </c>
      <c r="C765" s="1" t="n">
        <v>46116</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15094-2025</t>
        </is>
      </c>
      <c r="B766" s="1" t="n">
        <v>45744.32981481482</v>
      </c>
      <c r="C766" s="1" t="n">
        <v>46116</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33427-2024</t>
        </is>
      </c>
      <c r="B767" s="1" t="n">
        <v>45519.52232638889</v>
      </c>
      <c r="C767" s="1" t="n">
        <v>46116</v>
      </c>
      <c r="D767" t="inlineStr">
        <is>
          <t>ÖREBRO LÄN</t>
        </is>
      </c>
      <c r="E767" t="inlineStr">
        <is>
          <t>LINDESBERG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7121-2026</t>
        </is>
      </c>
      <c r="B768" s="1" t="n">
        <v>46058.38300925926</v>
      </c>
      <c r="C768" s="1" t="n">
        <v>46116</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29894-2023</t>
        </is>
      </c>
      <c r="B769" s="1" t="n">
        <v>45107</v>
      </c>
      <c r="C769" s="1" t="n">
        <v>46116</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14680-2026</t>
        </is>
      </c>
      <c r="B770" s="1" t="n">
        <v>46101.48212962963</v>
      </c>
      <c r="C770" s="1" t="n">
        <v>46116</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40306-2022</t>
        </is>
      </c>
      <c r="B771" s="1" t="n">
        <v>44822</v>
      </c>
      <c r="C771" s="1" t="n">
        <v>46116</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63668-2023</t>
        </is>
      </c>
      <c r="B772" s="1" t="n">
        <v>45274</v>
      </c>
      <c r="C772" s="1" t="n">
        <v>46116</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4539-2025</t>
        </is>
      </c>
      <c r="B773" s="1" t="n">
        <v>45687</v>
      </c>
      <c r="C773" s="1" t="n">
        <v>46116</v>
      </c>
      <c r="D773" t="inlineStr">
        <is>
          <t>ÖREBRO LÄN</t>
        </is>
      </c>
      <c r="E773" t="inlineStr">
        <is>
          <t>LINDESBERG</t>
        </is>
      </c>
      <c r="G773" t="n">
        <v>2.2</v>
      </c>
      <c r="H773" t="n">
        <v>0</v>
      </c>
      <c r="I773" t="n">
        <v>0</v>
      </c>
      <c r="J773" t="n">
        <v>0</v>
      </c>
      <c r="K773" t="n">
        <v>0</v>
      </c>
      <c r="L773" t="n">
        <v>0</v>
      </c>
      <c r="M773" t="n">
        <v>0</v>
      </c>
      <c r="N773" t="n">
        <v>0</v>
      </c>
      <c r="O773" t="n">
        <v>0</v>
      </c>
      <c r="P773" t="n">
        <v>0</v>
      </c>
      <c r="Q773" t="n">
        <v>0</v>
      </c>
      <c r="R773" s="2" t="inlineStr"/>
    </row>
    <row r="774" ht="15" customHeight="1">
      <c r="A774" t="inlineStr">
        <is>
          <t>A 44675-2021</t>
        </is>
      </c>
      <c r="B774" s="1" t="n">
        <v>44438</v>
      </c>
      <c r="C774" s="1" t="n">
        <v>46116</v>
      </c>
      <c r="D774" t="inlineStr">
        <is>
          <t>ÖREBRO LÄN</t>
        </is>
      </c>
      <c r="E774" t="inlineStr">
        <is>
          <t>LINDESBERG</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15050-2026</t>
        </is>
      </c>
      <c r="B775" s="1" t="n">
        <v>46104.67331018519</v>
      </c>
      <c r="C775" s="1" t="n">
        <v>46116</v>
      </c>
      <c r="D775" t="inlineStr">
        <is>
          <t>ÖREBRO LÄN</t>
        </is>
      </c>
      <c r="E775" t="inlineStr">
        <is>
          <t>LINDESBERG</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59633-2023</t>
        </is>
      </c>
      <c r="B776" s="1" t="n">
        <v>45254</v>
      </c>
      <c r="C776" s="1" t="n">
        <v>46116</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13416-2025</t>
        </is>
      </c>
      <c r="B777" s="1" t="n">
        <v>45736.308125</v>
      </c>
      <c r="C777" s="1" t="n">
        <v>46116</v>
      </c>
      <c r="D777" t="inlineStr">
        <is>
          <t>ÖREBRO LÄN</t>
        </is>
      </c>
      <c r="E777" t="inlineStr">
        <is>
          <t>LINDESBERG</t>
        </is>
      </c>
      <c r="G777" t="n">
        <v>2.2</v>
      </c>
      <c r="H777" t="n">
        <v>0</v>
      </c>
      <c r="I777" t="n">
        <v>0</v>
      </c>
      <c r="J777" t="n">
        <v>0</v>
      </c>
      <c r="K777" t="n">
        <v>0</v>
      </c>
      <c r="L777" t="n">
        <v>0</v>
      </c>
      <c r="M777" t="n">
        <v>0</v>
      </c>
      <c r="N777" t="n">
        <v>0</v>
      </c>
      <c r="O777" t="n">
        <v>0</v>
      </c>
      <c r="P777" t="n">
        <v>0</v>
      </c>
      <c r="Q777" t="n">
        <v>0</v>
      </c>
      <c r="R777" s="2" t="inlineStr"/>
    </row>
    <row r="778" ht="15" customHeight="1">
      <c r="A778" t="inlineStr">
        <is>
          <t>A 27051-2023</t>
        </is>
      </c>
      <c r="B778" s="1" t="n">
        <v>45095</v>
      </c>
      <c r="C778" s="1" t="n">
        <v>46116</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43801-2024</t>
        </is>
      </c>
      <c r="B779" s="1" t="n">
        <v>45571.71736111111</v>
      </c>
      <c r="C779" s="1" t="n">
        <v>46116</v>
      </c>
      <c r="D779" t="inlineStr">
        <is>
          <t>ÖREBRO LÄN</t>
        </is>
      </c>
      <c r="E779" t="inlineStr">
        <is>
          <t>LINDESBERG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45072-2024</t>
        </is>
      </c>
      <c r="B780" s="1" t="n">
        <v>45575.56686342593</v>
      </c>
      <c r="C780" s="1" t="n">
        <v>46116</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45075-2024</t>
        </is>
      </c>
      <c r="B781" s="1" t="n">
        <v>45575.56820601852</v>
      </c>
      <c r="C781" s="1" t="n">
        <v>46116</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46116</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40563-2023</t>
        </is>
      </c>
      <c r="B783" s="1" t="n">
        <v>45170.45921296296</v>
      </c>
      <c r="C783" s="1" t="n">
        <v>46116</v>
      </c>
      <c r="D783" t="inlineStr">
        <is>
          <t>ÖREBRO LÄN</t>
        </is>
      </c>
      <c r="E783" t="inlineStr">
        <is>
          <t>LINDESBERG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38613-2024</t>
        </is>
      </c>
      <c r="B784" s="1" t="n">
        <v>45546.68743055555</v>
      </c>
      <c r="C784" s="1" t="n">
        <v>46116</v>
      </c>
      <c r="D784" t="inlineStr">
        <is>
          <t>ÖREBRO LÄN</t>
        </is>
      </c>
      <c r="E784" t="inlineStr">
        <is>
          <t>LINDESBERG</t>
        </is>
      </c>
      <c r="F784" t="inlineStr">
        <is>
          <t>Kyrkan</t>
        </is>
      </c>
      <c r="G784" t="n">
        <v>1.6</v>
      </c>
      <c r="H784" t="n">
        <v>0</v>
      </c>
      <c r="I784" t="n">
        <v>0</v>
      </c>
      <c r="J784" t="n">
        <v>0</v>
      </c>
      <c r="K784" t="n">
        <v>0</v>
      </c>
      <c r="L784" t="n">
        <v>0</v>
      </c>
      <c r="M784" t="n">
        <v>0</v>
      </c>
      <c r="N784" t="n">
        <v>0</v>
      </c>
      <c r="O784" t="n">
        <v>0</v>
      </c>
      <c r="P784" t="n">
        <v>0</v>
      </c>
      <c r="Q784" t="n">
        <v>0</v>
      </c>
      <c r="R784" s="2" t="inlineStr"/>
    </row>
    <row r="785" ht="15" customHeight="1">
      <c r="A785" t="inlineStr">
        <is>
          <t>A 49358-2023</t>
        </is>
      </c>
      <c r="B785" s="1" t="n">
        <v>45211</v>
      </c>
      <c r="C785" s="1" t="n">
        <v>46116</v>
      </c>
      <c r="D785" t="inlineStr">
        <is>
          <t>ÖREBRO LÄN</t>
        </is>
      </c>
      <c r="E785" t="inlineStr">
        <is>
          <t>LINDESBERG</t>
        </is>
      </c>
      <c r="F785" t="inlineStr">
        <is>
          <t>Sveaskog</t>
        </is>
      </c>
      <c r="G785" t="n">
        <v>4.7</v>
      </c>
      <c r="H785" t="n">
        <v>0</v>
      </c>
      <c r="I785" t="n">
        <v>0</v>
      </c>
      <c r="J785" t="n">
        <v>0</v>
      </c>
      <c r="K785" t="n">
        <v>0</v>
      </c>
      <c r="L785" t="n">
        <v>0</v>
      </c>
      <c r="M785" t="n">
        <v>0</v>
      </c>
      <c r="N785" t="n">
        <v>0</v>
      </c>
      <c r="O785" t="n">
        <v>0</v>
      </c>
      <c r="P785" t="n">
        <v>0</v>
      </c>
      <c r="Q785" t="n">
        <v>0</v>
      </c>
      <c r="R785" s="2" t="inlineStr"/>
    </row>
    <row r="786" ht="15" customHeight="1">
      <c r="A786" t="inlineStr">
        <is>
          <t>A 72331-2021</t>
        </is>
      </c>
      <c r="B786" s="1" t="n">
        <v>44544</v>
      </c>
      <c r="C786" s="1" t="n">
        <v>46116</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54663-2021</t>
        </is>
      </c>
      <c r="B787" s="1" t="n">
        <v>44473.6343287037</v>
      </c>
      <c r="C787" s="1" t="n">
        <v>46116</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57795-2021</t>
        </is>
      </c>
      <c r="B788" s="1" t="n">
        <v>44484</v>
      </c>
      <c r="C788" s="1" t="n">
        <v>46116</v>
      </c>
      <c r="D788" t="inlineStr">
        <is>
          <t>ÖREBRO LÄN</t>
        </is>
      </c>
      <c r="E788" t="inlineStr">
        <is>
          <t>LINDESBERG</t>
        </is>
      </c>
      <c r="G788" t="n">
        <v>39.4</v>
      </c>
      <c r="H788" t="n">
        <v>0</v>
      </c>
      <c r="I788" t="n">
        <v>0</v>
      </c>
      <c r="J788" t="n">
        <v>0</v>
      </c>
      <c r="K788" t="n">
        <v>0</v>
      </c>
      <c r="L788" t="n">
        <v>0</v>
      </c>
      <c r="M788" t="n">
        <v>0</v>
      </c>
      <c r="N788" t="n">
        <v>0</v>
      </c>
      <c r="O788" t="n">
        <v>0</v>
      </c>
      <c r="P788" t="n">
        <v>0</v>
      </c>
      <c r="Q788" t="n">
        <v>0</v>
      </c>
      <c r="R788" s="2" t="inlineStr"/>
    </row>
    <row r="789" ht="15" customHeight="1">
      <c r="A789" t="inlineStr">
        <is>
          <t>A 27031-2024</t>
        </is>
      </c>
      <c r="B789" s="1" t="n">
        <v>45471.42659722222</v>
      </c>
      <c r="C789" s="1" t="n">
        <v>46116</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16103-2026</t>
        </is>
      </c>
      <c r="B790" s="1" t="n">
        <v>46108.59048611111</v>
      </c>
      <c r="C790" s="1" t="n">
        <v>46116</v>
      </c>
      <c r="D790" t="inlineStr">
        <is>
          <t>ÖREBRO LÄN</t>
        </is>
      </c>
      <c r="E790" t="inlineStr">
        <is>
          <t>LINDESBERG</t>
        </is>
      </c>
      <c r="G790" t="n">
        <v>5.5</v>
      </c>
      <c r="H790" t="n">
        <v>0</v>
      </c>
      <c r="I790" t="n">
        <v>0</v>
      </c>
      <c r="J790" t="n">
        <v>0</v>
      </c>
      <c r="K790" t="n">
        <v>0</v>
      </c>
      <c r="L790" t="n">
        <v>0</v>
      </c>
      <c r="M790" t="n">
        <v>0</v>
      </c>
      <c r="N790" t="n">
        <v>0</v>
      </c>
      <c r="O790" t="n">
        <v>0</v>
      </c>
      <c r="P790" t="n">
        <v>0</v>
      </c>
      <c r="Q790" t="n">
        <v>0</v>
      </c>
      <c r="R790" s="2" t="inlineStr"/>
    </row>
    <row r="791" ht="15" customHeight="1">
      <c r="A791" t="inlineStr">
        <is>
          <t>A 27130-2024</t>
        </is>
      </c>
      <c r="B791" s="1" t="n">
        <v>45471.52072916667</v>
      </c>
      <c r="C791" s="1" t="n">
        <v>46116</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6161-2025</t>
        </is>
      </c>
      <c r="B792" s="1" t="n">
        <v>45698</v>
      </c>
      <c r="C792" s="1" t="n">
        <v>46116</v>
      </c>
      <c r="D792" t="inlineStr">
        <is>
          <t>ÖREBRO LÄN</t>
        </is>
      </c>
      <c r="E792" t="inlineStr">
        <is>
          <t>LINDESBERG</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6165-2025</t>
        </is>
      </c>
      <c r="B793" s="1" t="n">
        <v>45698</v>
      </c>
      <c r="C793" s="1" t="n">
        <v>46116</v>
      </c>
      <c r="D793" t="inlineStr">
        <is>
          <t>ÖREBRO LÄN</t>
        </is>
      </c>
      <c r="E793" t="inlineStr">
        <is>
          <t>LINDESBERG</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16092-2026</t>
        </is>
      </c>
      <c r="B794" s="1" t="n">
        <v>46108</v>
      </c>
      <c r="C794" s="1" t="n">
        <v>46116</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16094-2026</t>
        </is>
      </c>
      <c r="B795" s="1" t="n">
        <v>46108</v>
      </c>
      <c r="C795" s="1" t="n">
        <v>46116</v>
      </c>
      <c r="D795" t="inlineStr">
        <is>
          <t>ÖREBRO LÄN</t>
        </is>
      </c>
      <c r="E795" t="inlineStr">
        <is>
          <t>LINDESBERG</t>
        </is>
      </c>
      <c r="G795" t="n">
        <v>3.9</v>
      </c>
      <c r="H795" t="n">
        <v>0</v>
      </c>
      <c r="I795" t="n">
        <v>0</v>
      </c>
      <c r="J795" t="n">
        <v>0</v>
      </c>
      <c r="K795" t="n">
        <v>0</v>
      </c>
      <c r="L795" t="n">
        <v>0</v>
      </c>
      <c r="M795" t="n">
        <v>0</v>
      </c>
      <c r="N795" t="n">
        <v>0</v>
      </c>
      <c r="O795" t="n">
        <v>0</v>
      </c>
      <c r="P795" t="n">
        <v>0</v>
      </c>
      <c r="Q795" t="n">
        <v>0</v>
      </c>
      <c r="R795" s="2" t="inlineStr"/>
    </row>
    <row r="796" ht="15" customHeight="1">
      <c r="A796" t="inlineStr">
        <is>
          <t>A 44664-2023</t>
        </is>
      </c>
      <c r="B796" s="1" t="n">
        <v>45189</v>
      </c>
      <c r="C796" s="1" t="n">
        <v>46116</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11366-2024</t>
        </is>
      </c>
      <c r="B797" s="1" t="n">
        <v>45372.40246527778</v>
      </c>
      <c r="C797" s="1" t="n">
        <v>46116</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16090-2026</t>
        </is>
      </c>
      <c r="B798" s="1" t="n">
        <v>46108</v>
      </c>
      <c r="C798" s="1" t="n">
        <v>46116</v>
      </c>
      <c r="D798" t="inlineStr">
        <is>
          <t>ÖREBRO LÄN</t>
        </is>
      </c>
      <c r="E798" t="inlineStr">
        <is>
          <t>LINDESBERG</t>
        </is>
      </c>
      <c r="G798" t="n">
        <v>4</v>
      </c>
      <c r="H798" t="n">
        <v>0</v>
      </c>
      <c r="I798" t="n">
        <v>0</v>
      </c>
      <c r="J798" t="n">
        <v>0</v>
      </c>
      <c r="K798" t="n">
        <v>0</v>
      </c>
      <c r="L798" t="n">
        <v>0</v>
      </c>
      <c r="M798" t="n">
        <v>0</v>
      </c>
      <c r="N798" t="n">
        <v>0</v>
      </c>
      <c r="O798" t="n">
        <v>0</v>
      </c>
      <c r="P798" t="n">
        <v>0</v>
      </c>
      <c r="Q798" t="n">
        <v>0</v>
      </c>
      <c r="R798" s="2" t="inlineStr"/>
    </row>
    <row r="799" ht="15" customHeight="1">
      <c r="A799" t="inlineStr">
        <is>
          <t>A 16812-2026</t>
        </is>
      </c>
      <c r="B799" s="1" t="n">
        <v>46113.49563657407</v>
      </c>
      <c r="C799" s="1" t="n">
        <v>46116</v>
      </c>
      <c r="D799" t="inlineStr">
        <is>
          <t>ÖREBRO LÄN</t>
        </is>
      </c>
      <c r="E799" t="inlineStr">
        <is>
          <t>LINDESBERG</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15126-2026</t>
        </is>
      </c>
      <c r="B800" s="1" t="n">
        <v>46105.37195601852</v>
      </c>
      <c r="C800" s="1" t="n">
        <v>46116</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9432-2026</t>
        </is>
      </c>
      <c r="B801" s="1" t="n">
        <v>46071.45568287037</v>
      </c>
      <c r="C801" s="1" t="n">
        <v>46116</v>
      </c>
      <c r="D801" t="inlineStr">
        <is>
          <t>ÖREBRO LÄN</t>
        </is>
      </c>
      <c r="E801" t="inlineStr">
        <is>
          <t>LINDESBERG</t>
        </is>
      </c>
      <c r="G801" t="n">
        <v>1.6</v>
      </c>
      <c r="H801" t="n">
        <v>0</v>
      </c>
      <c r="I801" t="n">
        <v>0</v>
      </c>
      <c r="J801" t="n">
        <v>0</v>
      </c>
      <c r="K801" t="n">
        <v>0</v>
      </c>
      <c r="L801" t="n">
        <v>0</v>
      </c>
      <c r="M801" t="n">
        <v>0</v>
      </c>
      <c r="N801" t="n">
        <v>0</v>
      </c>
      <c r="O801" t="n">
        <v>0</v>
      </c>
      <c r="P801" t="n">
        <v>0</v>
      </c>
      <c r="Q801" t="n">
        <v>0</v>
      </c>
      <c r="R801" s="2" t="inlineStr"/>
    </row>
    <row r="802" ht="15" customHeight="1">
      <c r="A802" t="inlineStr">
        <is>
          <t>A 16692-2026</t>
        </is>
      </c>
      <c r="B802" s="1" t="n">
        <v>46112.82201388889</v>
      </c>
      <c r="C802" s="1" t="n">
        <v>46116</v>
      </c>
      <c r="D802" t="inlineStr">
        <is>
          <t>ÖREBRO LÄN</t>
        </is>
      </c>
      <c r="E802" t="inlineStr">
        <is>
          <t>LINDESBERG</t>
        </is>
      </c>
      <c r="G802" t="n">
        <v>4.9</v>
      </c>
      <c r="H802" t="n">
        <v>0</v>
      </c>
      <c r="I802" t="n">
        <v>0</v>
      </c>
      <c r="J802" t="n">
        <v>0</v>
      </c>
      <c r="K802" t="n">
        <v>0</v>
      </c>
      <c r="L802" t="n">
        <v>0</v>
      </c>
      <c r="M802" t="n">
        <v>0</v>
      </c>
      <c r="N802" t="n">
        <v>0</v>
      </c>
      <c r="O802" t="n">
        <v>0</v>
      </c>
      <c r="P802" t="n">
        <v>0</v>
      </c>
      <c r="Q802" t="n">
        <v>0</v>
      </c>
      <c r="R802" s="2" t="inlineStr"/>
    </row>
    <row r="803" ht="15" customHeight="1">
      <c r="A803" t="inlineStr">
        <is>
          <t>A 16693-2026</t>
        </is>
      </c>
      <c r="B803" s="1" t="n">
        <v>46112.83422453704</v>
      </c>
      <c r="C803" s="1" t="n">
        <v>46116</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24270-2023</t>
        </is>
      </c>
      <c r="B804" s="1" t="n">
        <v>45079</v>
      </c>
      <c r="C804" s="1" t="n">
        <v>46116</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24271-2023</t>
        </is>
      </c>
      <c r="B805" s="1" t="n">
        <v>45079</v>
      </c>
      <c r="C805" s="1" t="n">
        <v>46116</v>
      </c>
      <c r="D805" t="inlineStr">
        <is>
          <t>ÖREBRO LÄN</t>
        </is>
      </c>
      <c r="E805" t="inlineStr">
        <is>
          <t>LINDESBERG</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25046-2024</t>
        </is>
      </c>
      <c r="B806" s="1" t="n">
        <v>45462</v>
      </c>
      <c r="C806" s="1" t="n">
        <v>46116</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9577-2026</t>
        </is>
      </c>
      <c r="B807" s="1" t="n">
        <v>46071.67334490741</v>
      </c>
      <c r="C807" s="1" t="n">
        <v>46116</v>
      </c>
      <c r="D807" t="inlineStr">
        <is>
          <t>ÖREBRO LÄN</t>
        </is>
      </c>
      <c r="E807" t="inlineStr">
        <is>
          <t>LINDESBERG</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45038-2024</t>
        </is>
      </c>
      <c r="B808" s="1" t="n">
        <v>45575.53331018519</v>
      </c>
      <c r="C808" s="1" t="n">
        <v>46116</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45046-2024</t>
        </is>
      </c>
      <c r="B809" s="1" t="n">
        <v>45575.54489583334</v>
      </c>
      <c r="C809" s="1" t="n">
        <v>46116</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17162-2026</t>
        </is>
      </c>
      <c r="B810" s="1" t="n">
        <v>46115.60453703703</v>
      </c>
      <c r="C810" s="1" t="n">
        <v>46116</v>
      </c>
      <c r="D810" t="inlineStr">
        <is>
          <t>ÖREBRO LÄN</t>
        </is>
      </c>
      <c r="E810" t="inlineStr">
        <is>
          <t>LINDESBERG</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17154-2026</t>
        </is>
      </c>
      <c r="B811" s="1" t="n">
        <v>46115.49298611111</v>
      </c>
      <c r="C811" s="1" t="n">
        <v>46116</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17157-2026</t>
        </is>
      </c>
      <c r="B812" s="1" t="n">
        <v>46115.52068287037</v>
      </c>
      <c r="C812" s="1" t="n">
        <v>46116</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17159-2026</t>
        </is>
      </c>
      <c r="B813" s="1" t="n">
        <v>46115.57298611111</v>
      </c>
      <c r="C813" s="1" t="n">
        <v>46116</v>
      </c>
      <c r="D813" t="inlineStr">
        <is>
          <t>ÖREBRO LÄN</t>
        </is>
      </c>
      <c r="E813" t="inlineStr">
        <is>
          <t>LINDESBERG</t>
        </is>
      </c>
      <c r="G813" t="n">
        <v>1.5</v>
      </c>
      <c r="H813" t="n">
        <v>0</v>
      </c>
      <c r="I813" t="n">
        <v>0</v>
      </c>
      <c r="J813" t="n">
        <v>0</v>
      </c>
      <c r="K813" t="n">
        <v>0</v>
      </c>
      <c r="L813" t="n">
        <v>0</v>
      </c>
      <c r="M813" t="n">
        <v>0</v>
      </c>
      <c r="N813" t="n">
        <v>0</v>
      </c>
      <c r="O813" t="n">
        <v>0</v>
      </c>
      <c r="P813" t="n">
        <v>0</v>
      </c>
      <c r="Q813" t="n">
        <v>0</v>
      </c>
      <c r="R813" s="2" t="inlineStr"/>
    </row>
    <row r="814" ht="15" customHeight="1">
      <c r="A814" t="inlineStr">
        <is>
          <t>A 17010-2026</t>
        </is>
      </c>
      <c r="B814" s="1" t="n">
        <v>46114</v>
      </c>
      <c r="C814" s="1" t="n">
        <v>46116</v>
      </c>
      <c r="D814" t="inlineStr">
        <is>
          <t>ÖREBRO LÄN</t>
        </is>
      </c>
      <c r="E814" t="inlineStr">
        <is>
          <t>LINDESBERG</t>
        </is>
      </c>
      <c r="G814" t="n">
        <v>3.7</v>
      </c>
      <c r="H814" t="n">
        <v>0</v>
      </c>
      <c r="I814" t="n">
        <v>0</v>
      </c>
      <c r="J814" t="n">
        <v>0</v>
      </c>
      <c r="K814" t="n">
        <v>0</v>
      </c>
      <c r="L814" t="n">
        <v>0</v>
      </c>
      <c r="M814" t="n">
        <v>0</v>
      </c>
      <c r="N814" t="n">
        <v>0</v>
      </c>
      <c r="O814" t="n">
        <v>0</v>
      </c>
      <c r="P814" t="n">
        <v>0</v>
      </c>
      <c r="Q814" t="n">
        <v>0</v>
      </c>
      <c r="R814" s="2" t="inlineStr"/>
    </row>
    <row r="815" ht="15" customHeight="1">
      <c r="A815" t="inlineStr">
        <is>
          <t>A 21468-2024</t>
        </is>
      </c>
      <c r="B815" s="1" t="n">
        <v>45441.48670138889</v>
      </c>
      <c r="C815" s="1" t="n">
        <v>46116</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18610-2021</t>
        </is>
      </c>
      <c r="B816" s="1" t="n">
        <v>44306.6371412037</v>
      </c>
      <c r="C816" s="1" t="n">
        <v>46116</v>
      </c>
      <c r="D816" t="inlineStr">
        <is>
          <t>ÖREBRO LÄN</t>
        </is>
      </c>
      <c r="E816" t="inlineStr">
        <is>
          <t>LINDESBERG</t>
        </is>
      </c>
      <c r="G816" t="n">
        <v>3</v>
      </c>
      <c r="H816" t="n">
        <v>0</v>
      </c>
      <c r="I816" t="n">
        <v>0</v>
      </c>
      <c r="J816" t="n">
        <v>0</v>
      </c>
      <c r="K816" t="n">
        <v>0</v>
      </c>
      <c r="L816" t="n">
        <v>0</v>
      </c>
      <c r="M816" t="n">
        <v>0</v>
      </c>
      <c r="N816" t="n">
        <v>0</v>
      </c>
      <c r="O816" t="n">
        <v>0</v>
      </c>
      <c r="P816" t="n">
        <v>0</v>
      </c>
      <c r="Q816" t="n">
        <v>0</v>
      </c>
      <c r="R816" s="2" t="inlineStr"/>
    </row>
    <row r="817" ht="15" customHeight="1">
      <c r="A817" t="inlineStr">
        <is>
          <t>A 17153-2026</t>
        </is>
      </c>
      <c r="B817" s="1" t="n">
        <v>46115.4727199074</v>
      </c>
      <c r="C817" s="1" t="n">
        <v>46116</v>
      </c>
      <c r="D817" t="inlineStr">
        <is>
          <t>ÖREBRO LÄN</t>
        </is>
      </c>
      <c r="E817" t="inlineStr">
        <is>
          <t>LINDESBERG</t>
        </is>
      </c>
      <c r="G817" t="n">
        <v>5.6</v>
      </c>
      <c r="H817" t="n">
        <v>0</v>
      </c>
      <c r="I817" t="n">
        <v>0</v>
      </c>
      <c r="J817" t="n">
        <v>0</v>
      </c>
      <c r="K817" t="n">
        <v>0</v>
      </c>
      <c r="L817" t="n">
        <v>0</v>
      </c>
      <c r="M817" t="n">
        <v>0</v>
      </c>
      <c r="N817" t="n">
        <v>0</v>
      </c>
      <c r="O817" t="n">
        <v>0</v>
      </c>
      <c r="P817" t="n">
        <v>0</v>
      </c>
      <c r="Q817" t="n">
        <v>0</v>
      </c>
      <c r="R817" s="2" t="inlineStr"/>
    </row>
    <row r="818" ht="15" customHeight="1">
      <c r="A818" t="inlineStr">
        <is>
          <t>A 17156-2026</t>
        </is>
      </c>
      <c r="B818" s="1" t="n">
        <v>46115.51194444444</v>
      </c>
      <c r="C818" s="1" t="n">
        <v>46116</v>
      </c>
      <c r="D818" t="inlineStr">
        <is>
          <t>ÖREBRO LÄN</t>
        </is>
      </c>
      <c r="E818" t="inlineStr">
        <is>
          <t>LINDESBERG</t>
        </is>
      </c>
      <c r="G818" t="n">
        <v>2.2</v>
      </c>
      <c r="H818" t="n">
        <v>0</v>
      </c>
      <c r="I818" t="n">
        <v>0</v>
      </c>
      <c r="J818" t="n">
        <v>0</v>
      </c>
      <c r="K818" t="n">
        <v>0</v>
      </c>
      <c r="L818" t="n">
        <v>0</v>
      </c>
      <c r="M818" t="n">
        <v>0</v>
      </c>
      <c r="N818" t="n">
        <v>0</v>
      </c>
      <c r="O818" t="n">
        <v>0</v>
      </c>
      <c r="P818" t="n">
        <v>0</v>
      </c>
      <c r="Q818" t="n">
        <v>0</v>
      </c>
      <c r="R818" s="2" t="inlineStr"/>
    </row>
    <row r="819" ht="15" customHeight="1">
      <c r="A819" t="inlineStr">
        <is>
          <t>A 17161-2026</t>
        </is>
      </c>
      <c r="B819" s="1" t="n">
        <v>46115.59534722222</v>
      </c>
      <c r="C819" s="1" t="n">
        <v>46116</v>
      </c>
      <c r="D819" t="inlineStr">
        <is>
          <t>ÖREBRO LÄN</t>
        </is>
      </c>
      <c r="E819" t="inlineStr">
        <is>
          <t>LINDESBERG</t>
        </is>
      </c>
      <c r="G819" t="n">
        <v>3.3</v>
      </c>
      <c r="H819" t="n">
        <v>0</v>
      </c>
      <c r="I819" t="n">
        <v>0</v>
      </c>
      <c r="J819" t="n">
        <v>0</v>
      </c>
      <c r="K819" t="n">
        <v>0</v>
      </c>
      <c r="L819" t="n">
        <v>0</v>
      </c>
      <c r="M819" t="n">
        <v>0</v>
      </c>
      <c r="N819" t="n">
        <v>0</v>
      </c>
      <c r="O819" t="n">
        <v>0</v>
      </c>
      <c r="P819" t="n">
        <v>0</v>
      </c>
      <c r="Q819" t="n">
        <v>0</v>
      </c>
      <c r="R819" s="2" t="inlineStr"/>
    </row>
    <row r="820" ht="15" customHeight="1">
      <c r="A820" t="inlineStr">
        <is>
          <t>A 17155-2026</t>
        </is>
      </c>
      <c r="B820" s="1" t="n">
        <v>46115.50295138889</v>
      </c>
      <c r="C820" s="1" t="n">
        <v>46116</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17158-2026</t>
        </is>
      </c>
      <c r="B821" s="1" t="n">
        <v>46115.55826388889</v>
      </c>
      <c r="C821" s="1" t="n">
        <v>46116</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40038-2024</t>
        </is>
      </c>
      <c r="B822" s="1" t="n">
        <v>45553</v>
      </c>
      <c r="C822" s="1" t="n">
        <v>46116</v>
      </c>
      <c r="D822" t="inlineStr">
        <is>
          <t>ÖREBRO LÄN</t>
        </is>
      </c>
      <c r="E822" t="inlineStr">
        <is>
          <t>LINDESBERG</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61360-2024</t>
        </is>
      </c>
      <c r="B823" s="1" t="n">
        <v>45646</v>
      </c>
      <c r="C823" s="1" t="n">
        <v>46116</v>
      </c>
      <c r="D823" t="inlineStr">
        <is>
          <t>ÖREBRO LÄN</t>
        </is>
      </c>
      <c r="E823" t="inlineStr">
        <is>
          <t>LINDESBERG</t>
        </is>
      </c>
      <c r="F823" t="inlineStr">
        <is>
          <t>Sveaskog</t>
        </is>
      </c>
      <c r="G823" t="n">
        <v>6.5</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46116</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14028-2023</t>
        </is>
      </c>
      <c r="B825" s="1" t="n">
        <v>45008</v>
      </c>
      <c r="C825" s="1" t="n">
        <v>46116</v>
      </c>
      <c r="D825" t="inlineStr">
        <is>
          <t>ÖREBRO LÄN</t>
        </is>
      </c>
      <c r="E825" t="inlineStr">
        <is>
          <t>LINDESBERG</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31024-2023</t>
        </is>
      </c>
      <c r="B826" s="1" t="n">
        <v>45113</v>
      </c>
      <c r="C826" s="1" t="n">
        <v>46116</v>
      </c>
      <c r="D826" t="inlineStr">
        <is>
          <t>ÖREBRO LÄN</t>
        </is>
      </c>
      <c r="E826" t="inlineStr">
        <is>
          <t>LINDESBERG</t>
        </is>
      </c>
      <c r="G826" t="n">
        <v>5.1</v>
      </c>
      <c r="H826" t="n">
        <v>0</v>
      </c>
      <c r="I826" t="n">
        <v>0</v>
      </c>
      <c r="J826" t="n">
        <v>0</v>
      </c>
      <c r="K826" t="n">
        <v>0</v>
      </c>
      <c r="L826" t="n">
        <v>0</v>
      </c>
      <c r="M826" t="n">
        <v>0</v>
      </c>
      <c r="N826" t="n">
        <v>0</v>
      </c>
      <c r="O826" t="n">
        <v>0</v>
      </c>
      <c r="P826" t="n">
        <v>0</v>
      </c>
      <c r="Q826" t="n">
        <v>0</v>
      </c>
      <c r="R826" s="2" t="inlineStr"/>
    </row>
    <row r="827" ht="15" customHeight="1">
      <c r="A827" t="inlineStr">
        <is>
          <t>A 27052-2023</t>
        </is>
      </c>
      <c r="B827" s="1" t="n">
        <v>45095</v>
      </c>
      <c r="C827" s="1" t="n">
        <v>46116</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12053-2024</t>
        </is>
      </c>
      <c r="B828" s="1" t="n">
        <v>45377.48265046296</v>
      </c>
      <c r="C828" s="1" t="n">
        <v>46116</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25229-2021</t>
        </is>
      </c>
      <c r="B829" s="1" t="n">
        <v>44342.39703703704</v>
      </c>
      <c r="C829" s="1" t="n">
        <v>46116</v>
      </c>
      <c r="D829" t="inlineStr">
        <is>
          <t>ÖREBRO LÄN</t>
        </is>
      </c>
      <c r="E829" t="inlineStr">
        <is>
          <t>LINDESBERG</t>
        </is>
      </c>
      <c r="F829" t="inlineStr">
        <is>
          <t>Kyrkan</t>
        </is>
      </c>
      <c r="G829" t="n">
        <v>1.5</v>
      </c>
      <c r="H829" t="n">
        <v>0</v>
      </c>
      <c r="I829" t="n">
        <v>0</v>
      </c>
      <c r="J829" t="n">
        <v>0</v>
      </c>
      <c r="K829" t="n">
        <v>0</v>
      </c>
      <c r="L829" t="n">
        <v>0</v>
      </c>
      <c r="M829" t="n">
        <v>0</v>
      </c>
      <c r="N829" t="n">
        <v>0</v>
      </c>
      <c r="O829" t="n">
        <v>0</v>
      </c>
      <c r="P829" t="n">
        <v>0</v>
      </c>
      <c r="Q829" t="n">
        <v>0</v>
      </c>
      <c r="R829" s="2" t="inlineStr"/>
    </row>
    <row r="830" ht="15" customHeight="1">
      <c r="A830" t="inlineStr">
        <is>
          <t>A 626-2025</t>
        </is>
      </c>
      <c r="B830" s="1" t="n">
        <v>45664</v>
      </c>
      <c r="C830" s="1" t="n">
        <v>46116</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13573-2025</t>
        </is>
      </c>
      <c r="B831" s="1" t="n">
        <v>45736</v>
      </c>
      <c r="C831" s="1" t="n">
        <v>46116</v>
      </c>
      <c r="D831" t="inlineStr">
        <is>
          <t>ÖREBRO LÄN</t>
        </is>
      </c>
      <c r="E831" t="inlineStr">
        <is>
          <t>LINDESBERG</t>
        </is>
      </c>
      <c r="G831" t="n">
        <v>11.7</v>
      </c>
      <c r="H831" t="n">
        <v>0</v>
      </c>
      <c r="I831" t="n">
        <v>0</v>
      </c>
      <c r="J831" t="n">
        <v>0</v>
      </c>
      <c r="K831" t="n">
        <v>0</v>
      </c>
      <c r="L831" t="n">
        <v>0</v>
      </c>
      <c r="M831" t="n">
        <v>0</v>
      </c>
      <c r="N831" t="n">
        <v>0</v>
      </c>
      <c r="O831" t="n">
        <v>0</v>
      </c>
      <c r="P831" t="n">
        <v>0</v>
      </c>
      <c r="Q831" t="n">
        <v>0</v>
      </c>
      <c r="R831" s="2" t="inlineStr"/>
    </row>
    <row r="832" ht="15" customHeight="1">
      <c r="A832" t="inlineStr">
        <is>
          <t>A 63686-2023</t>
        </is>
      </c>
      <c r="B832" s="1" t="n">
        <v>45274</v>
      </c>
      <c r="C832" s="1" t="n">
        <v>46116</v>
      </c>
      <c r="D832" t="inlineStr">
        <is>
          <t>ÖREBRO LÄN</t>
        </is>
      </c>
      <c r="E832" t="inlineStr">
        <is>
          <t>LINDESBERG</t>
        </is>
      </c>
      <c r="G832" t="n">
        <v>0.9</v>
      </c>
      <c r="H832" t="n">
        <v>0</v>
      </c>
      <c r="I832" t="n">
        <v>0</v>
      </c>
      <c r="J832" t="n">
        <v>0</v>
      </c>
      <c r="K832" t="n">
        <v>0</v>
      </c>
      <c r="L832" t="n">
        <v>0</v>
      </c>
      <c r="M832" t="n">
        <v>0</v>
      </c>
      <c r="N832" t="n">
        <v>0</v>
      </c>
      <c r="O832" t="n">
        <v>0</v>
      </c>
      <c r="P832" t="n">
        <v>0</v>
      </c>
      <c r="Q832" t="n">
        <v>0</v>
      </c>
      <c r="R832" s="2" t="inlineStr"/>
    </row>
    <row r="833" ht="15" customHeight="1">
      <c r="A833" t="inlineStr">
        <is>
          <t>A 64365-2023</t>
        </is>
      </c>
      <c r="B833" s="1" t="n">
        <v>45280</v>
      </c>
      <c r="C833" s="1" t="n">
        <v>46116</v>
      </c>
      <c r="D833" t="inlineStr">
        <is>
          <t>ÖREBRO LÄN</t>
        </is>
      </c>
      <c r="E833" t="inlineStr">
        <is>
          <t>LINDESBERG</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56217-2022</t>
        </is>
      </c>
      <c r="B834" s="1" t="n">
        <v>44890.46174768519</v>
      </c>
      <c r="C834" s="1" t="n">
        <v>46116</v>
      </c>
      <c r="D834" t="inlineStr">
        <is>
          <t>ÖREBRO LÄN</t>
        </is>
      </c>
      <c r="E834" t="inlineStr">
        <is>
          <t>LINDESBERG</t>
        </is>
      </c>
      <c r="G834" t="n">
        <v>6.9</v>
      </c>
      <c r="H834" t="n">
        <v>0</v>
      </c>
      <c r="I834" t="n">
        <v>0</v>
      </c>
      <c r="J834" t="n">
        <v>0</v>
      </c>
      <c r="K834" t="n">
        <v>0</v>
      </c>
      <c r="L834" t="n">
        <v>0</v>
      </c>
      <c r="M834" t="n">
        <v>0</v>
      </c>
      <c r="N834" t="n">
        <v>0</v>
      </c>
      <c r="O834" t="n">
        <v>0</v>
      </c>
      <c r="P834" t="n">
        <v>0</v>
      </c>
      <c r="Q834" t="n">
        <v>0</v>
      </c>
      <c r="R834" s="2" t="inlineStr"/>
    </row>
    <row r="835" ht="15" customHeight="1">
      <c r="A835" t="inlineStr">
        <is>
          <t>A 5550-2024</t>
        </is>
      </c>
      <c r="B835" s="1" t="n">
        <v>45334</v>
      </c>
      <c r="C835" s="1" t="n">
        <v>46116</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32829-2024</t>
        </is>
      </c>
      <c r="B836" s="1" t="n">
        <v>45516.59447916667</v>
      </c>
      <c r="C836" s="1" t="n">
        <v>46116</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29350-2022</t>
        </is>
      </c>
      <c r="B837" s="1" t="n">
        <v>44753</v>
      </c>
      <c r="C837" s="1" t="n">
        <v>46116</v>
      </c>
      <c r="D837" t="inlineStr">
        <is>
          <t>ÖREBRO LÄN</t>
        </is>
      </c>
      <c r="E837" t="inlineStr">
        <is>
          <t>LINDESBERG</t>
        </is>
      </c>
      <c r="G837" t="n">
        <v>7.7</v>
      </c>
      <c r="H837" t="n">
        <v>0</v>
      </c>
      <c r="I837" t="n">
        <v>0</v>
      </c>
      <c r="J837" t="n">
        <v>0</v>
      </c>
      <c r="K837" t="n">
        <v>0</v>
      </c>
      <c r="L837" t="n">
        <v>0</v>
      </c>
      <c r="M837" t="n">
        <v>0</v>
      </c>
      <c r="N837" t="n">
        <v>0</v>
      </c>
      <c r="O837" t="n">
        <v>0</v>
      </c>
      <c r="P837" t="n">
        <v>0</v>
      </c>
      <c r="Q837" t="n">
        <v>0</v>
      </c>
      <c r="R837" s="2" t="inlineStr"/>
    </row>
    <row r="838" ht="15" customHeight="1">
      <c r="A838" t="inlineStr">
        <is>
          <t>A 53510-2024</t>
        </is>
      </c>
      <c r="B838" s="1" t="n">
        <v>45614.5968287037</v>
      </c>
      <c r="C838" s="1" t="n">
        <v>46116</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58710-2023</t>
        </is>
      </c>
      <c r="B839" s="1" t="n">
        <v>45251.696875</v>
      </c>
      <c r="C839" s="1" t="n">
        <v>46116</v>
      </c>
      <c r="D839" t="inlineStr">
        <is>
          <t>ÖREBRO LÄN</t>
        </is>
      </c>
      <c r="E839" t="inlineStr">
        <is>
          <t>LINDESBERG</t>
        </is>
      </c>
      <c r="G839" t="n">
        <v>6.3</v>
      </c>
      <c r="H839" t="n">
        <v>0</v>
      </c>
      <c r="I839" t="n">
        <v>0</v>
      </c>
      <c r="J839" t="n">
        <v>0</v>
      </c>
      <c r="K839" t="n">
        <v>0</v>
      </c>
      <c r="L839" t="n">
        <v>0</v>
      </c>
      <c r="M839" t="n">
        <v>0</v>
      </c>
      <c r="N839" t="n">
        <v>0</v>
      </c>
      <c r="O839" t="n">
        <v>0</v>
      </c>
      <c r="P839" t="n">
        <v>0</v>
      </c>
      <c r="Q839" t="n">
        <v>0</v>
      </c>
      <c r="R839" s="2" t="inlineStr"/>
    </row>
    <row r="840" ht="15" customHeight="1">
      <c r="A840" t="inlineStr">
        <is>
          <t>A 60449-2024</t>
        </is>
      </c>
      <c r="B840" s="1" t="n">
        <v>45643</v>
      </c>
      <c r="C840" s="1" t="n">
        <v>46116</v>
      </c>
      <c r="D840" t="inlineStr">
        <is>
          <t>ÖREBRO LÄN</t>
        </is>
      </c>
      <c r="E840" t="inlineStr">
        <is>
          <t>LINDESBERG</t>
        </is>
      </c>
      <c r="G840" t="n">
        <v>1.2</v>
      </c>
      <c r="H840" t="n">
        <v>0</v>
      </c>
      <c r="I840" t="n">
        <v>0</v>
      </c>
      <c r="J840" t="n">
        <v>0</v>
      </c>
      <c r="K840" t="n">
        <v>0</v>
      </c>
      <c r="L840" t="n">
        <v>0</v>
      </c>
      <c r="M840" t="n">
        <v>0</v>
      </c>
      <c r="N840" t="n">
        <v>0</v>
      </c>
      <c r="O840" t="n">
        <v>0</v>
      </c>
      <c r="P840" t="n">
        <v>0</v>
      </c>
      <c r="Q840" t="n">
        <v>0</v>
      </c>
      <c r="R840" s="2" t="inlineStr"/>
    </row>
    <row r="841" ht="15" customHeight="1">
      <c r="A841" t="inlineStr">
        <is>
          <t>A 15894-2025</t>
        </is>
      </c>
      <c r="B841" s="1" t="n">
        <v>45749</v>
      </c>
      <c r="C841" s="1" t="n">
        <v>46116</v>
      </c>
      <c r="D841" t="inlineStr">
        <is>
          <t>ÖREBRO LÄN</t>
        </is>
      </c>
      <c r="E841" t="inlineStr">
        <is>
          <t>LINDESBERG</t>
        </is>
      </c>
      <c r="G841" t="n">
        <v>1.5</v>
      </c>
      <c r="H841" t="n">
        <v>0</v>
      </c>
      <c r="I841" t="n">
        <v>0</v>
      </c>
      <c r="J841" t="n">
        <v>0</v>
      </c>
      <c r="K841" t="n">
        <v>0</v>
      </c>
      <c r="L841" t="n">
        <v>0</v>
      </c>
      <c r="M841" t="n">
        <v>0</v>
      </c>
      <c r="N841" t="n">
        <v>0</v>
      </c>
      <c r="O841" t="n">
        <v>0</v>
      </c>
      <c r="P841" t="n">
        <v>0</v>
      </c>
      <c r="Q841" t="n">
        <v>0</v>
      </c>
      <c r="R841" s="2" t="inlineStr"/>
    </row>
    <row r="842" ht="15" customHeight="1">
      <c r="A842" t="inlineStr">
        <is>
          <t>A 43529-2024</t>
        </is>
      </c>
      <c r="B842" s="1" t="n">
        <v>45569.35209490741</v>
      </c>
      <c r="C842" s="1" t="n">
        <v>46116</v>
      </c>
      <c r="D842" t="inlineStr">
        <is>
          <t>ÖREBRO LÄN</t>
        </is>
      </c>
      <c r="E842" t="inlineStr">
        <is>
          <t>LINDESBERG</t>
        </is>
      </c>
      <c r="G842" t="n">
        <v>2.8</v>
      </c>
      <c r="H842" t="n">
        <v>0</v>
      </c>
      <c r="I842" t="n">
        <v>0</v>
      </c>
      <c r="J842" t="n">
        <v>0</v>
      </c>
      <c r="K842" t="n">
        <v>0</v>
      </c>
      <c r="L842" t="n">
        <v>0</v>
      </c>
      <c r="M842" t="n">
        <v>0</v>
      </c>
      <c r="N842" t="n">
        <v>0</v>
      </c>
      <c r="O842" t="n">
        <v>0</v>
      </c>
      <c r="P842" t="n">
        <v>0</v>
      </c>
      <c r="Q842" t="n">
        <v>0</v>
      </c>
      <c r="R842" s="2" t="inlineStr"/>
    </row>
    <row r="843" ht="15" customHeight="1">
      <c r="A843" t="inlineStr">
        <is>
          <t>A 54864-2024</t>
        </is>
      </c>
      <c r="B843" s="1" t="n">
        <v>45618.59456018519</v>
      </c>
      <c r="C843" s="1" t="n">
        <v>46116</v>
      </c>
      <c r="D843" t="inlineStr">
        <is>
          <t>ÖREBRO LÄN</t>
        </is>
      </c>
      <c r="E843" t="inlineStr">
        <is>
          <t>LINDESBERG</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32009-2023</t>
        </is>
      </c>
      <c r="B844" s="1" t="n">
        <v>45119</v>
      </c>
      <c r="C844" s="1" t="n">
        <v>46116</v>
      </c>
      <c r="D844" t="inlineStr">
        <is>
          <t>ÖREBRO LÄN</t>
        </is>
      </c>
      <c r="E844" t="inlineStr">
        <is>
          <t>LINDESBERG</t>
        </is>
      </c>
      <c r="F844" t="inlineStr">
        <is>
          <t>Kyrkan</t>
        </is>
      </c>
      <c r="G844" t="n">
        <v>0.8</v>
      </c>
      <c r="H844" t="n">
        <v>0</v>
      </c>
      <c r="I844" t="n">
        <v>0</v>
      </c>
      <c r="J844" t="n">
        <v>0</v>
      </c>
      <c r="K844" t="n">
        <v>0</v>
      </c>
      <c r="L844" t="n">
        <v>0</v>
      </c>
      <c r="M844" t="n">
        <v>0</v>
      </c>
      <c r="N844" t="n">
        <v>0</v>
      </c>
      <c r="O844" t="n">
        <v>0</v>
      </c>
      <c r="P844" t="n">
        <v>0</v>
      </c>
      <c r="Q844" t="n">
        <v>0</v>
      </c>
      <c r="R844" s="2" t="inlineStr"/>
    </row>
    <row r="845" ht="15" customHeight="1">
      <c r="A845" t="inlineStr">
        <is>
          <t>A 3148-2023</t>
        </is>
      </c>
      <c r="B845" s="1" t="n">
        <v>44946.54424768518</v>
      </c>
      <c r="C845" s="1" t="n">
        <v>46116</v>
      </c>
      <c r="D845" t="inlineStr">
        <is>
          <t>ÖREBRO LÄN</t>
        </is>
      </c>
      <c r="E845" t="inlineStr">
        <is>
          <t>LINDESBERG</t>
        </is>
      </c>
      <c r="G845" t="n">
        <v>5.5</v>
      </c>
      <c r="H845" t="n">
        <v>0</v>
      </c>
      <c r="I845" t="n">
        <v>0</v>
      </c>
      <c r="J845" t="n">
        <v>0</v>
      </c>
      <c r="K845" t="n">
        <v>0</v>
      </c>
      <c r="L845" t="n">
        <v>0</v>
      </c>
      <c r="M845" t="n">
        <v>0</v>
      </c>
      <c r="N845" t="n">
        <v>0</v>
      </c>
      <c r="O845" t="n">
        <v>0</v>
      </c>
      <c r="P845" t="n">
        <v>0</v>
      </c>
      <c r="Q845" t="n">
        <v>0</v>
      </c>
      <c r="R845" s="2" t="inlineStr"/>
    </row>
    <row r="846" ht="15" customHeight="1">
      <c r="A846" t="inlineStr">
        <is>
          <t>A 54855-2024</t>
        </is>
      </c>
      <c r="B846" s="1" t="n">
        <v>45618.58622685185</v>
      </c>
      <c r="C846" s="1" t="n">
        <v>46116</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37432-2022</t>
        </is>
      </c>
      <c r="B847" s="1" t="n">
        <v>44809</v>
      </c>
      <c r="C847" s="1" t="n">
        <v>46116</v>
      </c>
      <c r="D847" t="inlineStr">
        <is>
          <t>ÖREBRO LÄN</t>
        </is>
      </c>
      <c r="E847" t="inlineStr">
        <is>
          <t>LINDESBERG</t>
        </is>
      </c>
      <c r="G847" t="n">
        <v>3.6</v>
      </c>
      <c r="H847" t="n">
        <v>0</v>
      </c>
      <c r="I847" t="n">
        <v>0</v>
      </c>
      <c r="J847" t="n">
        <v>0</v>
      </c>
      <c r="K847" t="n">
        <v>0</v>
      </c>
      <c r="L847" t="n">
        <v>0</v>
      </c>
      <c r="M847" t="n">
        <v>0</v>
      </c>
      <c r="N847" t="n">
        <v>0</v>
      </c>
      <c r="O847" t="n">
        <v>0</v>
      </c>
      <c r="P847" t="n">
        <v>0</v>
      </c>
      <c r="Q847" t="n">
        <v>0</v>
      </c>
      <c r="R847" s="2" t="inlineStr"/>
    </row>
    <row r="848" ht="15" customHeight="1">
      <c r="A848" t="inlineStr">
        <is>
          <t>A 61202-2023</t>
        </is>
      </c>
      <c r="B848" s="1" t="n">
        <v>45264.38084490741</v>
      </c>
      <c r="C848" s="1" t="n">
        <v>46116</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7120-2025</t>
        </is>
      </c>
      <c r="B849" s="1" t="n">
        <v>45702</v>
      </c>
      <c r="C849" s="1" t="n">
        <v>46116</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195-2022</t>
        </is>
      </c>
      <c r="B850" s="1" t="n">
        <v>44564</v>
      </c>
      <c r="C850" s="1" t="n">
        <v>46116</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51379-2023</t>
        </is>
      </c>
      <c r="B851" s="1" t="n">
        <v>45219</v>
      </c>
      <c r="C851" s="1" t="n">
        <v>46116</v>
      </c>
      <c r="D851" t="inlineStr">
        <is>
          <t>ÖREBRO LÄN</t>
        </is>
      </c>
      <c r="E851" t="inlineStr">
        <is>
          <t>LINDESBERG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16054-2022</t>
        </is>
      </c>
      <c r="B852" s="1" t="n">
        <v>44665</v>
      </c>
      <c r="C852" s="1" t="n">
        <v>46116</v>
      </c>
      <c r="D852" t="inlineStr">
        <is>
          <t>ÖREBRO LÄN</t>
        </is>
      </c>
      <c r="E852" t="inlineStr">
        <is>
          <t>LINDESBERG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49544-2023</t>
        </is>
      </c>
      <c r="B853" s="1" t="n">
        <v>45211</v>
      </c>
      <c r="C853" s="1" t="n">
        <v>46116</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48756-2024</t>
        </is>
      </c>
      <c r="B854" s="1" t="n">
        <v>45593.59681712963</v>
      </c>
      <c r="C854" s="1" t="n">
        <v>46116</v>
      </c>
      <c r="D854" t="inlineStr">
        <is>
          <t>ÖREBRO LÄN</t>
        </is>
      </c>
      <c r="E854" t="inlineStr">
        <is>
          <t>LINDESBERG</t>
        </is>
      </c>
      <c r="G854" t="n">
        <v>1.6</v>
      </c>
      <c r="H854" t="n">
        <v>0</v>
      </c>
      <c r="I854" t="n">
        <v>0</v>
      </c>
      <c r="J854" t="n">
        <v>0</v>
      </c>
      <c r="K854" t="n">
        <v>0</v>
      </c>
      <c r="L854" t="n">
        <v>0</v>
      </c>
      <c r="M854" t="n">
        <v>0</v>
      </c>
      <c r="N854" t="n">
        <v>0</v>
      </c>
      <c r="O854" t="n">
        <v>0</v>
      </c>
      <c r="P854" t="n">
        <v>0</v>
      </c>
      <c r="Q854" t="n">
        <v>0</v>
      </c>
      <c r="R854" s="2" t="inlineStr"/>
    </row>
    <row r="855" ht="15" customHeight="1">
      <c r="A855" t="inlineStr">
        <is>
          <t>A 15892-2025</t>
        </is>
      </c>
      <c r="B855" s="1" t="n">
        <v>45749</v>
      </c>
      <c r="C855" s="1" t="n">
        <v>46116</v>
      </c>
      <c r="D855" t="inlineStr">
        <is>
          <t>ÖREBRO LÄN</t>
        </is>
      </c>
      <c r="E855" t="inlineStr">
        <is>
          <t>LINDESBERG</t>
        </is>
      </c>
      <c r="G855" t="n">
        <v>0.8</v>
      </c>
      <c r="H855" t="n">
        <v>0</v>
      </c>
      <c r="I855" t="n">
        <v>0</v>
      </c>
      <c r="J855" t="n">
        <v>0</v>
      </c>
      <c r="K855" t="n">
        <v>0</v>
      </c>
      <c r="L855" t="n">
        <v>0</v>
      </c>
      <c r="M855" t="n">
        <v>0</v>
      </c>
      <c r="N855" t="n">
        <v>0</v>
      </c>
      <c r="O855" t="n">
        <v>0</v>
      </c>
      <c r="P855" t="n">
        <v>0</v>
      </c>
      <c r="Q855" t="n">
        <v>0</v>
      </c>
      <c r="R855" s="2" t="inlineStr"/>
    </row>
    <row r="856" ht="15" customHeight="1">
      <c r="A856" t="inlineStr">
        <is>
          <t>A 23260-2024</t>
        </is>
      </c>
      <c r="B856" s="1" t="n">
        <v>45453.36664351852</v>
      </c>
      <c r="C856" s="1" t="n">
        <v>46116</v>
      </c>
      <c r="D856" t="inlineStr">
        <is>
          <t>ÖREBRO LÄN</t>
        </is>
      </c>
      <c r="E856" t="inlineStr">
        <is>
          <t>LINDESBERG</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46607-2021</t>
        </is>
      </c>
      <c r="B857" s="1" t="n">
        <v>44445.55690972223</v>
      </c>
      <c r="C857" s="1" t="n">
        <v>46116</v>
      </c>
      <c r="D857" t="inlineStr">
        <is>
          <t>ÖREBRO LÄN</t>
        </is>
      </c>
      <c r="E857" t="inlineStr">
        <is>
          <t>LINDESBERG</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20930-2025</t>
        </is>
      </c>
      <c r="B858" s="1" t="n">
        <v>45777.42628472222</v>
      </c>
      <c r="C858" s="1" t="n">
        <v>46116</v>
      </c>
      <c r="D858" t="inlineStr">
        <is>
          <t>ÖREBRO LÄN</t>
        </is>
      </c>
      <c r="E858" t="inlineStr">
        <is>
          <t>LINDESBERG</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20923-2025</t>
        </is>
      </c>
      <c r="B859" s="1" t="n">
        <v>45777.41673611111</v>
      </c>
      <c r="C859" s="1" t="n">
        <v>46116</v>
      </c>
      <c r="D859" t="inlineStr">
        <is>
          <t>ÖREBRO LÄN</t>
        </is>
      </c>
      <c r="E859" t="inlineStr">
        <is>
          <t>LINDESBERG</t>
        </is>
      </c>
      <c r="F859" t="inlineStr">
        <is>
          <t>Sveaskog</t>
        </is>
      </c>
      <c r="G859" t="n">
        <v>10.3</v>
      </c>
      <c r="H859" t="n">
        <v>0</v>
      </c>
      <c r="I859" t="n">
        <v>0</v>
      </c>
      <c r="J859" t="n">
        <v>0</v>
      </c>
      <c r="K859" t="n">
        <v>0</v>
      </c>
      <c r="L859" t="n">
        <v>0</v>
      </c>
      <c r="M859" t="n">
        <v>0</v>
      </c>
      <c r="N859" t="n">
        <v>0</v>
      </c>
      <c r="O859" t="n">
        <v>0</v>
      </c>
      <c r="P859" t="n">
        <v>0</v>
      </c>
      <c r="Q859" t="n">
        <v>0</v>
      </c>
      <c r="R859" s="2" t="inlineStr"/>
    </row>
    <row r="860" ht="15" customHeight="1">
      <c r="A860" t="inlineStr">
        <is>
          <t>A 12795-2025</t>
        </is>
      </c>
      <c r="B860" s="1" t="n">
        <v>45733.60959490741</v>
      </c>
      <c r="C860" s="1" t="n">
        <v>46116</v>
      </c>
      <c r="D860" t="inlineStr">
        <is>
          <t>ÖREBRO LÄN</t>
        </is>
      </c>
      <c r="E860" t="inlineStr">
        <is>
          <t>LINDESBERG</t>
        </is>
      </c>
      <c r="G860" t="n">
        <v>10.8</v>
      </c>
      <c r="H860" t="n">
        <v>0</v>
      </c>
      <c r="I860" t="n">
        <v>0</v>
      </c>
      <c r="J860" t="n">
        <v>0</v>
      </c>
      <c r="K860" t="n">
        <v>0</v>
      </c>
      <c r="L860" t="n">
        <v>0</v>
      </c>
      <c r="M860" t="n">
        <v>0</v>
      </c>
      <c r="N860" t="n">
        <v>0</v>
      </c>
      <c r="O860" t="n">
        <v>0</v>
      </c>
      <c r="P860" t="n">
        <v>0</v>
      </c>
      <c r="Q860" t="n">
        <v>0</v>
      </c>
      <c r="R860" s="2" t="inlineStr"/>
    </row>
    <row r="861" ht="15" customHeight="1">
      <c r="A861" t="inlineStr">
        <is>
          <t>A 20944-2025</t>
        </is>
      </c>
      <c r="B861" s="1" t="n">
        <v>45777</v>
      </c>
      <c r="C861" s="1" t="n">
        <v>46116</v>
      </c>
      <c r="D861" t="inlineStr">
        <is>
          <t>ÖREBRO LÄN</t>
        </is>
      </c>
      <c r="E861" t="inlineStr">
        <is>
          <t>LINDESBERG</t>
        </is>
      </c>
      <c r="F861" t="inlineStr">
        <is>
          <t>Sveaskog</t>
        </is>
      </c>
      <c r="G861" t="n">
        <v>2.6</v>
      </c>
      <c r="H861" t="n">
        <v>0</v>
      </c>
      <c r="I861" t="n">
        <v>0</v>
      </c>
      <c r="J861" t="n">
        <v>0</v>
      </c>
      <c r="K861" t="n">
        <v>0</v>
      </c>
      <c r="L861" t="n">
        <v>0</v>
      </c>
      <c r="M861" t="n">
        <v>0</v>
      </c>
      <c r="N861" t="n">
        <v>0</v>
      </c>
      <c r="O861" t="n">
        <v>0</v>
      </c>
      <c r="P861" t="n">
        <v>0</v>
      </c>
      <c r="Q861" t="n">
        <v>0</v>
      </c>
      <c r="R861" s="2" t="inlineStr"/>
    </row>
    <row r="862" ht="15" customHeight="1">
      <c r="A862" t="inlineStr">
        <is>
          <t>A 20950-2025</t>
        </is>
      </c>
      <c r="B862" s="1" t="n">
        <v>45777.43878472222</v>
      </c>
      <c r="C862" s="1" t="n">
        <v>46116</v>
      </c>
      <c r="D862" t="inlineStr">
        <is>
          <t>ÖREBRO LÄN</t>
        </is>
      </c>
      <c r="E862" t="inlineStr">
        <is>
          <t>LINDESBERG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20804-2025</t>
        </is>
      </c>
      <c r="B863" s="1" t="n">
        <v>45776.65518518518</v>
      </c>
      <c r="C863" s="1" t="n">
        <v>46116</v>
      </c>
      <c r="D863" t="inlineStr">
        <is>
          <t>ÖREBRO LÄN</t>
        </is>
      </c>
      <c r="E863" t="inlineStr">
        <is>
          <t>LINDESBERG</t>
        </is>
      </c>
      <c r="G863" t="n">
        <v>3.2</v>
      </c>
      <c r="H863" t="n">
        <v>0</v>
      </c>
      <c r="I863" t="n">
        <v>0</v>
      </c>
      <c r="J863" t="n">
        <v>0</v>
      </c>
      <c r="K863" t="n">
        <v>0</v>
      </c>
      <c r="L863" t="n">
        <v>0</v>
      </c>
      <c r="M863" t="n">
        <v>0</v>
      </c>
      <c r="N863" t="n">
        <v>0</v>
      </c>
      <c r="O863" t="n">
        <v>0</v>
      </c>
      <c r="P863" t="n">
        <v>0</v>
      </c>
      <c r="Q863" t="n">
        <v>0</v>
      </c>
      <c r="R863" s="2" t="inlineStr"/>
    </row>
    <row r="864" ht="15" customHeight="1">
      <c r="A864" t="inlineStr">
        <is>
          <t>A 21812-2025</t>
        </is>
      </c>
      <c r="B864" s="1" t="n">
        <v>45783.71833333333</v>
      </c>
      <c r="C864" s="1" t="n">
        <v>46116</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43195-2024</t>
        </is>
      </c>
      <c r="B865" s="1" t="n">
        <v>45567.68003472222</v>
      </c>
      <c r="C865" s="1" t="n">
        <v>46116</v>
      </c>
      <c r="D865" t="inlineStr">
        <is>
          <t>ÖREBRO LÄN</t>
        </is>
      </c>
      <c r="E865" t="inlineStr">
        <is>
          <t>LINDESBERG</t>
        </is>
      </c>
      <c r="G865" t="n">
        <v>27.8</v>
      </c>
      <c r="H865" t="n">
        <v>0</v>
      </c>
      <c r="I865" t="n">
        <v>0</v>
      </c>
      <c r="J865" t="n">
        <v>0</v>
      </c>
      <c r="K865" t="n">
        <v>0</v>
      </c>
      <c r="L865" t="n">
        <v>0</v>
      </c>
      <c r="M865" t="n">
        <v>0</v>
      </c>
      <c r="N865" t="n">
        <v>0</v>
      </c>
      <c r="O865" t="n">
        <v>0</v>
      </c>
      <c r="P865" t="n">
        <v>0</v>
      </c>
      <c r="Q865" t="n">
        <v>0</v>
      </c>
      <c r="R865" s="2" t="inlineStr"/>
    </row>
    <row r="866" ht="15" customHeight="1">
      <c r="A866" t="inlineStr">
        <is>
          <t>A 31861-2024</t>
        </is>
      </c>
      <c r="B866" s="1" t="n">
        <v>45509.73383101852</v>
      </c>
      <c r="C866" s="1" t="n">
        <v>46116</v>
      </c>
      <c r="D866" t="inlineStr">
        <is>
          <t>ÖREBRO LÄN</t>
        </is>
      </c>
      <c r="E866" t="inlineStr">
        <is>
          <t>LINDESBERG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24583-2024</t>
        </is>
      </c>
      <c r="B867" s="1" t="n">
        <v>45460.46358796296</v>
      </c>
      <c r="C867" s="1" t="n">
        <v>46116</v>
      </c>
      <c r="D867" t="inlineStr">
        <is>
          <t>ÖREBRO LÄN</t>
        </is>
      </c>
      <c r="E867" t="inlineStr">
        <is>
          <t>LINDESBERG</t>
        </is>
      </c>
      <c r="G867" t="n">
        <v>13.7</v>
      </c>
      <c r="H867" t="n">
        <v>0</v>
      </c>
      <c r="I867" t="n">
        <v>0</v>
      </c>
      <c r="J867" t="n">
        <v>0</v>
      </c>
      <c r="K867" t="n">
        <v>0</v>
      </c>
      <c r="L867" t="n">
        <v>0</v>
      </c>
      <c r="M867" t="n">
        <v>0</v>
      </c>
      <c r="N867" t="n">
        <v>0</v>
      </c>
      <c r="O867" t="n">
        <v>0</v>
      </c>
      <c r="P867" t="n">
        <v>0</v>
      </c>
      <c r="Q867" t="n">
        <v>0</v>
      </c>
      <c r="R867" s="2" t="inlineStr"/>
    </row>
    <row r="868" ht="15" customHeight="1">
      <c r="A868" t="inlineStr">
        <is>
          <t>A 43532-2024</t>
        </is>
      </c>
      <c r="B868" s="1" t="n">
        <v>45569.3533912037</v>
      </c>
      <c r="C868" s="1" t="n">
        <v>46116</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59282-2023</t>
        </is>
      </c>
      <c r="B869" s="1" t="n">
        <v>45253</v>
      </c>
      <c r="C869" s="1" t="n">
        <v>46116</v>
      </c>
      <c r="D869" t="inlineStr">
        <is>
          <t>ÖREBRO LÄN</t>
        </is>
      </c>
      <c r="E869" t="inlineStr">
        <is>
          <t>LINDESBERG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47601-2023</t>
        </is>
      </c>
      <c r="B870" s="1" t="n">
        <v>45203.45681712963</v>
      </c>
      <c r="C870" s="1" t="n">
        <v>46116</v>
      </c>
      <c r="D870" t="inlineStr">
        <is>
          <t>ÖREBRO LÄN</t>
        </is>
      </c>
      <c r="E870" t="inlineStr">
        <is>
          <t>LINDESBERG</t>
        </is>
      </c>
      <c r="G870" t="n">
        <v>37.6</v>
      </c>
      <c r="H870" t="n">
        <v>0</v>
      </c>
      <c r="I870" t="n">
        <v>0</v>
      </c>
      <c r="J870" t="n">
        <v>0</v>
      </c>
      <c r="K870" t="n">
        <v>0</v>
      </c>
      <c r="L870" t="n">
        <v>0</v>
      </c>
      <c r="M870" t="n">
        <v>0</v>
      </c>
      <c r="N870" t="n">
        <v>0</v>
      </c>
      <c r="O870" t="n">
        <v>0</v>
      </c>
      <c r="P870" t="n">
        <v>0</v>
      </c>
      <c r="Q870" t="n">
        <v>0</v>
      </c>
      <c r="R870" s="2" t="inlineStr"/>
    </row>
    <row r="871" ht="15" customHeight="1">
      <c r="A871" t="inlineStr">
        <is>
          <t>A 22078-2025</t>
        </is>
      </c>
      <c r="B871" s="1" t="n">
        <v>45785.4253125</v>
      </c>
      <c r="C871" s="1" t="n">
        <v>46116</v>
      </c>
      <c r="D871" t="inlineStr">
        <is>
          <t>ÖREBRO LÄN</t>
        </is>
      </c>
      <c r="E871" t="inlineStr">
        <is>
          <t>LINDESBERG</t>
        </is>
      </c>
      <c r="G871" t="n">
        <v>2.4</v>
      </c>
      <c r="H871" t="n">
        <v>0</v>
      </c>
      <c r="I871" t="n">
        <v>0</v>
      </c>
      <c r="J871" t="n">
        <v>0</v>
      </c>
      <c r="K871" t="n">
        <v>0</v>
      </c>
      <c r="L871" t="n">
        <v>0</v>
      </c>
      <c r="M871" t="n">
        <v>0</v>
      </c>
      <c r="N871" t="n">
        <v>0</v>
      </c>
      <c r="O871" t="n">
        <v>0</v>
      </c>
      <c r="P871" t="n">
        <v>0</v>
      </c>
      <c r="Q871" t="n">
        <v>0</v>
      </c>
      <c r="R871" s="2" t="inlineStr"/>
    </row>
    <row r="872" ht="15" customHeight="1">
      <c r="A872" t="inlineStr">
        <is>
          <t>A 53355-2023</t>
        </is>
      </c>
      <c r="B872" s="1" t="n">
        <v>45229.66430555555</v>
      </c>
      <c r="C872" s="1" t="n">
        <v>46116</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62308-2023</t>
        </is>
      </c>
      <c r="B873" s="1" t="n">
        <v>45267.69052083333</v>
      </c>
      <c r="C873" s="1" t="n">
        <v>46116</v>
      </c>
      <c r="D873" t="inlineStr">
        <is>
          <t>ÖREBRO LÄN</t>
        </is>
      </c>
      <c r="E873" t="inlineStr">
        <is>
          <t>LINDESBERG</t>
        </is>
      </c>
      <c r="F873" t="inlineStr">
        <is>
          <t>Naturvårdsverket</t>
        </is>
      </c>
      <c r="G873" t="n">
        <v>3.1</v>
      </c>
      <c r="H873" t="n">
        <v>0</v>
      </c>
      <c r="I873" t="n">
        <v>0</v>
      </c>
      <c r="J873" t="n">
        <v>0</v>
      </c>
      <c r="K873" t="n">
        <v>0</v>
      </c>
      <c r="L873" t="n">
        <v>0</v>
      </c>
      <c r="M873" t="n">
        <v>0</v>
      </c>
      <c r="N873" t="n">
        <v>0</v>
      </c>
      <c r="O873" t="n">
        <v>0</v>
      </c>
      <c r="P873" t="n">
        <v>0</v>
      </c>
      <c r="Q873" t="n">
        <v>0</v>
      </c>
      <c r="R873" s="2" t="inlineStr"/>
    </row>
    <row r="874" ht="15" customHeight="1">
      <c r="A874" t="inlineStr">
        <is>
          <t>A 36680-2024</t>
        </is>
      </c>
      <c r="B874" s="1" t="n">
        <v>45537.65305555556</v>
      </c>
      <c r="C874" s="1" t="n">
        <v>46116</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22543-2025</t>
        </is>
      </c>
      <c r="B875" s="1" t="n">
        <v>45788.42467592593</v>
      </c>
      <c r="C875" s="1" t="n">
        <v>46116</v>
      </c>
      <c r="D875" t="inlineStr">
        <is>
          <t>ÖREBRO LÄN</t>
        </is>
      </c>
      <c r="E875" t="inlineStr">
        <is>
          <t>LINDESBERG</t>
        </is>
      </c>
      <c r="G875" t="n">
        <v>6.7</v>
      </c>
      <c r="H875" t="n">
        <v>0</v>
      </c>
      <c r="I875" t="n">
        <v>0</v>
      </c>
      <c r="J875" t="n">
        <v>0</v>
      </c>
      <c r="K875" t="n">
        <v>0</v>
      </c>
      <c r="L875" t="n">
        <v>0</v>
      </c>
      <c r="M875" t="n">
        <v>0</v>
      </c>
      <c r="N875" t="n">
        <v>0</v>
      </c>
      <c r="O875" t="n">
        <v>0</v>
      </c>
      <c r="P875" t="n">
        <v>0</v>
      </c>
      <c r="Q875" t="n">
        <v>0</v>
      </c>
      <c r="R875" s="2" t="inlineStr"/>
    </row>
    <row r="876" ht="15" customHeight="1">
      <c r="A876" t="inlineStr">
        <is>
          <t>A 36686-2024</t>
        </is>
      </c>
      <c r="B876" s="1" t="n">
        <v>45537.665</v>
      </c>
      <c r="C876" s="1" t="n">
        <v>46116</v>
      </c>
      <c r="D876" t="inlineStr">
        <is>
          <t>ÖREBRO LÄN</t>
        </is>
      </c>
      <c r="E876" t="inlineStr">
        <is>
          <t>LINDESBERG</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28776-2023</t>
        </is>
      </c>
      <c r="B877" s="1" t="n">
        <v>45104.34107638889</v>
      </c>
      <c r="C877" s="1" t="n">
        <v>46116</v>
      </c>
      <c r="D877" t="inlineStr">
        <is>
          <t>ÖREBRO LÄN</t>
        </is>
      </c>
      <c r="E877" t="inlineStr">
        <is>
          <t>LINDESBERG</t>
        </is>
      </c>
      <c r="F877" t="inlineStr">
        <is>
          <t>Sveaskog</t>
        </is>
      </c>
      <c r="G877" t="n">
        <v>4.1</v>
      </c>
      <c r="H877" t="n">
        <v>0</v>
      </c>
      <c r="I877" t="n">
        <v>0</v>
      </c>
      <c r="J877" t="n">
        <v>0</v>
      </c>
      <c r="K877" t="n">
        <v>0</v>
      </c>
      <c r="L877" t="n">
        <v>0</v>
      </c>
      <c r="M877" t="n">
        <v>0</v>
      </c>
      <c r="N877" t="n">
        <v>0</v>
      </c>
      <c r="O877" t="n">
        <v>0</v>
      </c>
      <c r="P877" t="n">
        <v>0</v>
      </c>
      <c r="Q877" t="n">
        <v>0</v>
      </c>
      <c r="R877" s="2" t="inlineStr"/>
    </row>
    <row r="878" ht="15" customHeight="1">
      <c r="A878" t="inlineStr">
        <is>
          <t>A 22438-2025</t>
        </is>
      </c>
      <c r="B878" s="1" t="n">
        <v>45786</v>
      </c>
      <c r="C878" s="1" t="n">
        <v>46116</v>
      </c>
      <c r="D878" t="inlineStr">
        <is>
          <t>ÖREBRO LÄN</t>
        </is>
      </c>
      <c r="E878" t="inlineStr">
        <is>
          <t>LINDESBERG</t>
        </is>
      </c>
      <c r="F878" t="inlineStr">
        <is>
          <t>Sveaskog</t>
        </is>
      </c>
      <c r="G878" t="n">
        <v>6.1</v>
      </c>
      <c r="H878" t="n">
        <v>0</v>
      </c>
      <c r="I878" t="n">
        <v>0</v>
      </c>
      <c r="J878" t="n">
        <v>0</v>
      </c>
      <c r="K878" t="n">
        <v>0</v>
      </c>
      <c r="L878" t="n">
        <v>0</v>
      </c>
      <c r="M878" t="n">
        <v>0</v>
      </c>
      <c r="N878" t="n">
        <v>0</v>
      </c>
      <c r="O878" t="n">
        <v>0</v>
      </c>
      <c r="P878" t="n">
        <v>0</v>
      </c>
      <c r="Q878" t="n">
        <v>0</v>
      </c>
      <c r="R878" s="2" t="inlineStr"/>
    </row>
    <row r="879" ht="15" customHeight="1">
      <c r="A879" t="inlineStr">
        <is>
          <t>A 59641-2024</t>
        </is>
      </c>
      <c r="B879" s="1" t="n">
        <v>45639.30934027778</v>
      </c>
      <c r="C879" s="1" t="n">
        <v>46116</v>
      </c>
      <c r="D879" t="inlineStr">
        <is>
          <t>ÖREBRO LÄN</t>
        </is>
      </c>
      <c r="E879" t="inlineStr">
        <is>
          <t>LINDESBERG</t>
        </is>
      </c>
      <c r="G879" t="n">
        <v>2.1</v>
      </c>
      <c r="H879" t="n">
        <v>0</v>
      </c>
      <c r="I879" t="n">
        <v>0</v>
      </c>
      <c r="J879" t="n">
        <v>0</v>
      </c>
      <c r="K879" t="n">
        <v>0</v>
      </c>
      <c r="L879" t="n">
        <v>0</v>
      </c>
      <c r="M879" t="n">
        <v>0</v>
      </c>
      <c r="N879" t="n">
        <v>0</v>
      </c>
      <c r="O879" t="n">
        <v>0</v>
      </c>
      <c r="P879" t="n">
        <v>0</v>
      </c>
      <c r="Q879" t="n">
        <v>0</v>
      </c>
      <c r="R879" s="2" t="inlineStr"/>
    </row>
    <row r="880" ht="15" customHeight="1">
      <c r="A880" t="inlineStr">
        <is>
          <t>A 23245-2025</t>
        </is>
      </c>
      <c r="B880" s="1" t="n">
        <v>45791.50862268519</v>
      </c>
      <c r="C880" s="1" t="n">
        <v>46116</v>
      </c>
      <c r="D880" t="inlineStr">
        <is>
          <t>ÖREBRO LÄN</t>
        </is>
      </c>
      <c r="E880" t="inlineStr">
        <is>
          <t>LINDESBERG</t>
        </is>
      </c>
      <c r="G880" t="n">
        <v>6.8</v>
      </c>
      <c r="H880" t="n">
        <v>0</v>
      </c>
      <c r="I880" t="n">
        <v>0</v>
      </c>
      <c r="J880" t="n">
        <v>0</v>
      </c>
      <c r="K880" t="n">
        <v>0</v>
      </c>
      <c r="L880" t="n">
        <v>0</v>
      </c>
      <c r="M880" t="n">
        <v>0</v>
      </c>
      <c r="N880" t="n">
        <v>0</v>
      </c>
      <c r="O880" t="n">
        <v>0</v>
      </c>
      <c r="P880" t="n">
        <v>0</v>
      </c>
      <c r="Q880" t="n">
        <v>0</v>
      </c>
      <c r="R880" s="2" t="inlineStr"/>
    </row>
    <row r="881" ht="15" customHeight="1">
      <c r="A881" t="inlineStr">
        <is>
          <t>A 42707-2023</t>
        </is>
      </c>
      <c r="B881" s="1" t="n">
        <v>45181</v>
      </c>
      <c r="C881" s="1" t="n">
        <v>46116</v>
      </c>
      <c r="D881" t="inlineStr">
        <is>
          <t>ÖREBRO LÄN</t>
        </is>
      </c>
      <c r="E881" t="inlineStr">
        <is>
          <t>LINDESBERG</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17779-2024</t>
        </is>
      </c>
      <c r="B882" s="1" t="n">
        <v>45418.66800925926</v>
      </c>
      <c r="C882" s="1" t="n">
        <v>46116</v>
      </c>
      <c r="D882" t="inlineStr">
        <is>
          <t>ÖREBRO LÄN</t>
        </is>
      </c>
      <c r="E882" t="inlineStr">
        <is>
          <t>LINDESBERG</t>
        </is>
      </c>
      <c r="G882" t="n">
        <v>3.7</v>
      </c>
      <c r="H882" t="n">
        <v>0</v>
      </c>
      <c r="I882" t="n">
        <v>0</v>
      </c>
      <c r="J882" t="n">
        <v>0</v>
      </c>
      <c r="K882" t="n">
        <v>0</v>
      </c>
      <c r="L882" t="n">
        <v>0</v>
      </c>
      <c r="M882" t="n">
        <v>0</v>
      </c>
      <c r="N882" t="n">
        <v>0</v>
      </c>
      <c r="O882" t="n">
        <v>0</v>
      </c>
      <c r="P882" t="n">
        <v>0</v>
      </c>
      <c r="Q882" t="n">
        <v>0</v>
      </c>
      <c r="R882" s="2" t="inlineStr"/>
    </row>
    <row r="883" ht="15" customHeight="1">
      <c r="A883" t="inlineStr">
        <is>
          <t>A 54793-2024</t>
        </is>
      </c>
      <c r="B883" s="1" t="n">
        <v>45618</v>
      </c>
      <c r="C883" s="1" t="n">
        <v>46116</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1400-2025</t>
        </is>
      </c>
      <c r="B884" s="1" t="n">
        <v>45667</v>
      </c>
      <c r="C884" s="1" t="n">
        <v>46116</v>
      </c>
      <c r="D884" t="inlineStr">
        <is>
          <t>ÖREBRO LÄN</t>
        </is>
      </c>
      <c r="E884" t="inlineStr">
        <is>
          <t>LINDESBERG</t>
        </is>
      </c>
      <c r="F884" t="inlineStr">
        <is>
          <t>Allmännings- och besparingsskogar</t>
        </is>
      </c>
      <c r="G884" t="n">
        <v>11.3</v>
      </c>
      <c r="H884" t="n">
        <v>0</v>
      </c>
      <c r="I884" t="n">
        <v>0</v>
      </c>
      <c r="J884" t="n">
        <v>0</v>
      </c>
      <c r="K884" t="n">
        <v>0</v>
      </c>
      <c r="L884" t="n">
        <v>0</v>
      </c>
      <c r="M884" t="n">
        <v>0</v>
      </c>
      <c r="N884" t="n">
        <v>0</v>
      </c>
      <c r="O884" t="n">
        <v>0</v>
      </c>
      <c r="P884" t="n">
        <v>0</v>
      </c>
      <c r="Q884" t="n">
        <v>0</v>
      </c>
      <c r="R884" s="2" t="inlineStr"/>
    </row>
    <row r="885" ht="15" customHeight="1">
      <c r="A885" t="inlineStr">
        <is>
          <t>A 21202-2024</t>
        </is>
      </c>
      <c r="B885" s="1" t="n">
        <v>45440.5433912037</v>
      </c>
      <c r="C885" s="1" t="n">
        <v>46116</v>
      </c>
      <c r="D885" t="inlineStr">
        <is>
          <t>ÖREBRO LÄN</t>
        </is>
      </c>
      <c r="E885" t="inlineStr">
        <is>
          <t>LINDESBERG</t>
        </is>
      </c>
      <c r="G885" t="n">
        <v>4</v>
      </c>
      <c r="H885" t="n">
        <v>0</v>
      </c>
      <c r="I885" t="n">
        <v>0</v>
      </c>
      <c r="J885" t="n">
        <v>0</v>
      </c>
      <c r="K885" t="n">
        <v>0</v>
      </c>
      <c r="L885" t="n">
        <v>0</v>
      </c>
      <c r="M885" t="n">
        <v>0</v>
      </c>
      <c r="N885" t="n">
        <v>0</v>
      </c>
      <c r="O885" t="n">
        <v>0</v>
      </c>
      <c r="P885" t="n">
        <v>0</v>
      </c>
      <c r="Q885" t="n">
        <v>0</v>
      </c>
      <c r="R885" s="2" t="inlineStr"/>
    </row>
    <row r="886" ht="15" customHeight="1">
      <c r="A886" t="inlineStr">
        <is>
          <t>A 23835-2025</t>
        </is>
      </c>
      <c r="B886" s="1" t="n">
        <v>45793.61047453704</v>
      </c>
      <c r="C886" s="1" t="n">
        <v>46116</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23844-2025</t>
        </is>
      </c>
      <c r="B887" s="1" t="n">
        <v>45793.62422453704</v>
      </c>
      <c r="C887" s="1" t="n">
        <v>46116</v>
      </c>
      <c r="D887" t="inlineStr">
        <is>
          <t>ÖREBRO LÄN</t>
        </is>
      </c>
      <c r="E887" t="inlineStr">
        <is>
          <t>LINDESBERG</t>
        </is>
      </c>
      <c r="F887" t="inlineStr">
        <is>
          <t>Sveaskog</t>
        </is>
      </c>
      <c r="G887" t="n">
        <v>0.4</v>
      </c>
      <c r="H887" t="n">
        <v>0</v>
      </c>
      <c r="I887" t="n">
        <v>0</v>
      </c>
      <c r="J887" t="n">
        <v>0</v>
      </c>
      <c r="K887" t="n">
        <v>0</v>
      </c>
      <c r="L887" t="n">
        <v>0</v>
      </c>
      <c r="M887" t="n">
        <v>0</v>
      </c>
      <c r="N887" t="n">
        <v>0</v>
      </c>
      <c r="O887" t="n">
        <v>0</v>
      </c>
      <c r="P887" t="n">
        <v>0</v>
      </c>
      <c r="Q887" t="n">
        <v>0</v>
      </c>
      <c r="R887" s="2" t="inlineStr"/>
    </row>
    <row r="888" ht="15" customHeight="1">
      <c r="A888" t="inlineStr">
        <is>
          <t>A 24186-2024</t>
        </is>
      </c>
      <c r="B888" s="1" t="n">
        <v>45456.90869212963</v>
      </c>
      <c r="C888" s="1" t="n">
        <v>46116</v>
      </c>
      <c r="D888" t="inlineStr">
        <is>
          <t>ÖREBRO LÄN</t>
        </is>
      </c>
      <c r="E888" t="inlineStr">
        <is>
          <t>LINDESBERG</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23933-2025</t>
        </is>
      </c>
      <c r="B889" s="1" t="n">
        <v>45795.71300925926</v>
      </c>
      <c r="C889" s="1" t="n">
        <v>46116</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23932-2025</t>
        </is>
      </c>
      <c r="B890" s="1" t="n">
        <v>45795.70912037037</v>
      </c>
      <c r="C890" s="1" t="n">
        <v>46116</v>
      </c>
      <c r="D890" t="inlineStr">
        <is>
          <t>ÖREBRO LÄN</t>
        </is>
      </c>
      <c r="E890" t="inlineStr">
        <is>
          <t>LINDESBERG</t>
        </is>
      </c>
      <c r="G890" t="n">
        <v>2</v>
      </c>
      <c r="H890" t="n">
        <v>0</v>
      </c>
      <c r="I890" t="n">
        <v>0</v>
      </c>
      <c r="J890" t="n">
        <v>0</v>
      </c>
      <c r="K890" t="n">
        <v>0</v>
      </c>
      <c r="L890" t="n">
        <v>0</v>
      </c>
      <c r="M890" t="n">
        <v>0</v>
      </c>
      <c r="N890" t="n">
        <v>0</v>
      </c>
      <c r="O890" t="n">
        <v>0</v>
      </c>
      <c r="P890" t="n">
        <v>0</v>
      </c>
      <c r="Q890" t="n">
        <v>0</v>
      </c>
      <c r="R890" s="2" t="inlineStr"/>
    </row>
    <row r="891" ht="15" customHeight="1">
      <c r="A891" t="inlineStr">
        <is>
          <t>A 37125-2023</t>
        </is>
      </c>
      <c r="B891" s="1" t="n">
        <v>45155.5653125</v>
      </c>
      <c r="C891" s="1" t="n">
        <v>46116</v>
      </c>
      <c r="D891" t="inlineStr">
        <is>
          <t>ÖREBRO LÄN</t>
        </is>
      </c>
      <c r="E891" t="inlineStr">
        <is>
          <t>LINDESBERG</t>
        </is>
      </c>
      <c r="G891" t="n">
        <v>2</v>
      </c>
      <c r="H891" t="n">
        <v>0</v>
      </c>
      <c r="I891" t="n">
        <v>0</v>
      </c>
      <c r="J891" t="n">
        <v>0</v>
      </c>
      <c r="K891" t="n">
        <v>0</v>
      </c>
      <c r="L891" t="n">
        <v>0</v>
      </c>
      <c r="M891" t="n">
        <v>0</v>
      </c>
      <c r="N891" t="n">
        <v>0</v>
      </c>
      <c r="O891" t="n">
        <v>0</v>
      </c>
      <c r="P891" t="n">
        <v>0</v>
      </c>
      <c r="Q891" t="n">
        <v>0</v>
      </c>
      <c r="R891" s="2" t="inlineStr"/>
    </row>
    <row r="892" ht="15" customHeight="1">
      <c r="A892" t="inlineStr">
        <is>
          <t>A 57944-2023</t>
        </is>
      </c>
      <c r="B892" s="1" t="n">
        <v>45244</v>
      </c>
      <c r="C892" s="1" t="n">
        <v>46116</v>
      </c>
      <c r="D892" t="inlineStr">
        <is>
          <t>ÖREBRO LÄN</t>
        </is>
      </c>
      <c r="E892" t="inlineStr">
        <is>
          <t>LINDESBERG</t>
        </is>
      </c>
      <c r="G892" t="n">
        <v>2.4</v>
      </c>
      <c r="H892" t="n">
        <v>0</v>
      </c>
      <c r="I892" t="n">
        <v>0</v>
      </c>
      <c r="J892" t="n">
        <v>0</v>
      </c>
      <c r="K892" t="n">
        <v>0</v>
      </c>
      <c r="L892" t="n">
        <v>0</v>
      </c>
      <c r="M892" t="n">
        <v>0</v>
      </c>
      <c r="N892" t="n">
        <v>0</v>
      </c>
      <c r="O892" t="n">
        <v>0</v>
      </c>
      <c r="P892" t="n">
        <v>0</v>
      </c>
      <c r="Q892" t="n">
        <v>0</v>
      </c>
      <c r="R892" s="2" t="inlineStr"/>
    </row>
    <row r="893" ht="15" customHeight="1">
      <c r="A893" t="inlineStr">
        <is>
          <t>A 24017-2025</t>
        </is>
      </c>
      <c r="B893" s="1" t="n">
        <v>45796.44885416667</v>
      </c>
      <c r="C893" s="1" t="n">
        <v>46116</v>
      </c>
      <c r="D893" t="inlineStr">
        <is>
          <t>ÖREBRO LÄN</t>
        </is>
      </c>
      <c r="E893" t="inlineStr">
        <is>
          <t>LINDESBERG</t>
        </is>
      </c>
      <c r="F893" t="inlineStr">
        <is>
          <t>Sveaskog</t>
        </is>
      </c>
      <c r="G893" t="n">
        <v>3.1</v>
      </c>
      <c r="H893" t="n">
        <v>0</v>
      </c>
      <c r="I893" t="n">
        <v>0</v>
      </c>
      <c r="J893" t="n">
        <v>0</v>
      </c>
      <c r="K893" t="n">
        <v>0</v>
      </c>
      <c r="L893" t="n">
        <v>0</v>
      </c>
      <c r="M893" t="n">
        <v>0</v>
      </c>
      <c r="N893" t="n">
        <v>0</v>
      </c>
      <c r="O893" t="n">
        <v>0</v>
      </c>
      <c r="P893" t="n">
        <v>0</v>
      </c>
      <c r="Q893" t="n">
        <v>0</v>
      </c>
      <c r="R893" s="2" t="inlineStr"/>
    </row>
    <row r="894" ht="15" customHeight="1">
      <c r="A894" t="inlineStr">
        <is>
          <t>A 23897-2025</t>
        </is>
      </c>
      <c r="B894" s="1" t="n">
        <v>45794.33498842592</v>
      </c>
      <c r="C894" s="1" t="n">
        <v>46116</v>
      </c>
      <c r="D894" t="inlineStr">
        <is>
          <t>ÖREBRO LÄN</t>
        </is>
      </c>
      <c r="E894" t="inlineStr">
        <is>
          <t>LINDESBERG</t>
        </is>
      </c>
      <c r="G894" t="n">
        <v>5.6</v>
      </c>
      <c r="H894" t="n">
        <v>0</v>
      </c>
      <c r="I894" t="n">
        <v>0</v>
      </c>
      <c r="J894" t="n">
        <v>0</v>
      </c>
      <c r="K894" t="n">
        <v>0</v>
      </c>
      <c r="L894" t="n">
        <v>0</v>
      </c>
      <c r="M894" t="n">
        <v>0</v>
      </c>
      <c r="N894" t="n">
        <v>0</v>
      </c>
      <c r="O894" t="n">
        <v>0</v>
      </c>
      <c r="P894" t="n">
        <v>0</v>
      </c>
      <c r="Q894" t="n">
        <v>0</v>
      </c>
      <c r="R894" s="2" t="inlineStr"/>
    </row>
    <row r="895" ht="15" customHeight="1">
      <c r="A895" t="inlineStr">
        <is>
          <t>A 24107-2025</t>
        </is>
      </c>
      <c r="B895" s="1" t="n">
        <v>45796</v>
      </c>
      <c r="C895" s="1" t="n">
        <v>46116</v>
      </c>
      <c r="D895" t="inlineStr">
        <is>
          <t>ÖREBRO LÄN</t>
        </is>
      </c>
      <c r="E895" t="inlineStr">
        <is>
          <t>LINDESBERG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23898-2025</t>
        </is>
      </c>
      <c r="B896" s="1" t="n">
        <v>45794.3419212963</v>
      </c>
      <c r="C896" s="1" t="n">
        <v>46116</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24011-2025</t>
        </is>
      </c>
      <c r="B897" s="1" t="n">
        <v>45796</v>
      </c>
      <c r="C897" s="1" t="n">
        <v>46116</v>
      </c>
      <c r="D897" t="inlineStr">
        <is>
          <t>ÖREBRO LÄN</t>
        </is>
      </c>
      <c r="E897" t="inlineStr">
        <is>
          <t>LINDESBERG</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24020-2025</t>
        </is>
      </c>
      <c r="B898" s="1" t="n">
        <v>45796.45054398148</v>
      </c>
      <c r="C898" s="1" t="n">
        <v>46116</v>
      </c>
      <c r="D898" t="inlineStr">
        <is>
          <t>ÖREBRO LÄN</t>
        </is>
      </c>
      <c r="E898" t="inlineStr">
        <is>
          <t>LINDESBERG</t>
        </is>
      </c>
      <c r="F898" t="inlineStr">
        <is>
          <t>Sveaskog</t>
        </is>
      </c>
      <c r="G898" t="n">
        <v>3.1</v>
      </c>
      <c r="H898" t="n">
        <v>0</v>
      </c>
      <c r="I898" t="n">
        <v>0</v>
      </c>
      <c r="J898" t="n">
        <v>0</v>
      </c>
      <c r="K898" t="n">
        <v>0</v>
      </c>
      <c r="L898" t="n">
        <v>0</v>
      </c>
      <c r="M898" t="n">
        <v>0</v>
      </c>
      <c r="N898" t="n">
        <v>0</v>
      </c>
      <c r="O898" t="n">
        <v>0</v>
      </c>
      <c r="P898" t="n">
        <v>0</v>
      </c>
      <c r="Q898" t="n">
        <v>0</v>
      </c>
      <c r="R898" s="2" t="inlineStr"/>
    </row>
    <row r="899" ht="15" customHeight="1">
      <c r="A899" t="inlineStr">
        <is>
          <t>A 23934-2025</t>
        </is>
      </c>
      <c r="B899" s="1" t="n">
        <v>45795.71547453704</v>
      </c>
      <c r="C899" s="1" t="n">
        <v>46116</v>
      </c>
      <c r="D899" t="inlineStr">
        <is>
          <t>ÖREBRO LÄN</t>
        </is>
      </c>
      <c r="E899" t="inlineStr">
        <is>
          <t>LINDESBERG</t>
        </is>
      </c>
      <c r="G899" t="n">
        <v>1.9</v>
      </c>
      <c r="H899" t="n">
        <v>0</v>
      </c>
      <c r="I899" t="n">
        <v>0</v>
      </c>
      <c r="J899" t="n">
        <v>0</v>
      </c>
      <c r="K899" t="n">
        <v>0</v>
      </c>
      <c r="L899" t="n">
        <v>0</v>
      </c>
      <c r="M899" t="n">
        <v>0</v>
      </c>
      <c r="N899" t="n">
        <v>0</v>
      </c>
      <c r="O899" t="n">
        <v>0</v>
      </c>
      <c r="P899" t="n">
        <v>0</v>
      </c>
      <c r="Q899" t="n">
        <v>0</v>
      </c>
      <c r="R899" s="2" t="inlineStr"/>
    </row>
    <row r="900" ht="15" customHeight="1">
      <c r="A900" t="inlineStr">
        <is>
          <t>A 24043-2024</t>
        </is>
      </c>
      <c r="B900" s="1" t="n">
        <v>45456.48927083334</v>
      </c>
      <c r="C900" s="1" t="n">
        <v>46116</v>
      </c>
      <c r="D900" t="inlineStr">
        <is>
          <t>ÖREBRO LÄN</t>
        </is>
      </c>
      <c r="E900" t="inlineStr">
        <is>
          <t>LINDESBERG</t>
        </is>
      </c>
      <c r="G900" t="n">
        <v>6.2</v>
      </c>
      <c r="H900" t="n">
        <v>0</v>
      </c>
      <c r="I900" t="n">
        <v>0</v>
      </c>
      <c r="J900" t="n">
        <v>0</v>
      </c>
      <c r="K900" t="n">
        <v>0</v>
      </c>
      <c r="L900" t="n">
        <v>0</v>
      </c>
      <c r="M900" t="n">
        <v>0</v>
      </c>
      <c r="N900" t="n">
        <v>0</v>
      </c>
      <c r="O900" t="n">
        <v>0</v>
      </c>
      <c r="P900" t="n">
        <v>0</v>
      </c>
      <c r="Q900" t="n">
        <v>0</v>
      </c>
      <c r="R900" s="2" t="inlineStr"/>
    </row>
    <row r="901" ht="15" customHeight="1">
      <c r="A901" t="inlineStr">
        <is>
          <t>A 12250-2025</t>
        </is>
      </c>
      <c r="B901" s="1" t="n">
        <v>45729.60775462963</v>
      </c>
      <c r="C901" s="1" t="n">
        <v>46116</v>
      </c>
      <c r="D901" t="inlineStr">
        <is>
          <t>ÖREBRO LÄN</t>
        </is>
      </c>
      <c r="E901" t="inlineStr">
        <is>
          <t>LINDESBERG</t>
        </is>
      </c>
      <c r="G901" t="n">
        <v>3.4</v>
      </c>
      <c r="H901" t="n">
        <v>0</v>
      </c>
      <c r="I901" t="n">
        <v>0</v>
      </c>
      <c r="J901" t="n">
        <v>0</v>
      </c>
      <c r="K901" t="n">
        <v>0</v>
      </c>
      <c r="L901" t="n">
        <v>0</v>
      </c>
      <c r="M901" t="n">
        <v>0</v>
      </c>
      <c r="N901" t="n">
        <v>0</v>
      </c>
      <c r="O901" t="n">
        <v>0</v>
      </c>
      <c r="P901" t="n">
        <v>0</v>
      </c>
      <c r="Q901" t="n">
        <v>0</v>
      </c>
      <c r="R901" s="2" t="inlineStr"/>
    </row>
    <row r="902" ht="15" customHeight="1">
      <c r="A902" t="inlineStr">
        <is>
          <t>A 48231-2024</t>
        </is>
      </c>
      <c r="B902" s="1" t="n">
        <v>45590.37590277778</v>
      </c>
      <c r="C902" s="1" t="n">
        <v>46116</v>
      </c>
      <c r="D902" t="inlineStr">
        <is>
          <t>ÖREBRO LÄN</t>
        </is>
      </c>
      <c r="E902" t="inlineStr">
        <is>
          <t>LINDESBERG</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25643-2025</t>
        </is>
      </c>
      <c r="B903" s="1" t="n">
        <v>45803</v>
      </c>
      <c r="C903" s="1" t="n">
        <v>46116</v>
      </c>
      <c r="D903" t="inlineStr">
        <is>
          <t>ÖREBRO LÄN</t>
        </is>
      </c>
      <c r="E903" t="inlineStr">
        <is>
          <t>LINDESBERG</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25842-2025</t>
        </is>
      </c>
      <c r="B904" s="1" t="n">
        <v>45804.45474537037</v>
      </c>
      <c r="C904" s="1" t="n">
        <v>46116</v>
      </c>
      <c r="D904" t="inlineStr">
        <is>
          <t>ÖREBRO LÄN</t>
        </is>
      </c>
      <c r="E904" t="inlineStr">
        <is>
          <t>LINDESBERG</t>
        </is>
      </c>
      <c r="G904" t="n">
        <v>1.7</v>
      </c>
      <c r="H904" t="n">
        <v>0</v>
      </c>
      <c r="I904" t="n">
        <v>0</v>
      </c>
      <c r="J904" t="n">
        <v>0</v>
      </c>
      <c r="K904" t="n">
        <v>0</v>
      </c>
      <c r="L904" t="n">
        <v>0</v>
      </c>
      <c r="M904" t="n">
        <v>0</v>
      </c>
      <c r="N904" t="n">
        <v>0</v>
      </c>
      <c r="O904" t="n">
        <v>0</v>
      </c>
      <c r="P904" t="n">
        <v>0</v>
      </c>
      <c r="Q904" t="n">
        <v>0</v>
      </c>
      <c r="R904" s="2" t="inlineStr"/>
    </row>
    <row r="905" ht="15" customHeight="1">
      <c r="A905" t="inlineStr">
        <is>
          <t>A 26016-2025</t>
        </is>
      </c>
      <c r="B905" s="1" t="n">
        <v>45804.67795138889</v>
      </c>
      <c r="C905" s="1" t="n">
        <v>46116</v>
      </c>
      <c r="D905" t="inlineStr">
        <is>
          <t>ÖREBRO LÄN</t>
        </is>
      </c>
      <c r="E905" t="inlineStr">
        <is>
          <t>LINDESBERG</t>
        </is>
      </c>
      <c r="G905" t="n">
        <v>10</v>
      </c>
      <c r="H905" t="n">
        <v>0</v>
      </c>
      <c r="I905" t="n">
        <v>0</v>
      </c>
      <c r="J905" t="n">
        <v>0</v>
      </c>
      <c r="K905" t="n">
        <v>0</v>
      </c>
      <c r="L905" t="n">
        <v>0</v>
      </c>
      <c r="M905" t="n">
        <v>0</v>
      </c>
      <c r="N905" t="n">
        <v>0</v>
      </c>
      <c r="O905" t="n">
        <v>0</v>
      </c>
      <c r="P905" t="n">
        <v>0</v>
      </c>
      <c r="Q905" t="n">
        <v>0</v>
      </c>
      <c r="R905" s="2" t="inlineStr"/>
    </row>
    <row r="906" ht="15" customHeight="1">
      <c r="A906" t="inlineStr">
        <is>
          <t>A 25843-2025</t>
        </is>
      </c>
      <c r="B906" s="1" t="n">
        <v>45804.45584490741</v>
      </c>
      <c r="C906" s="1" t="n">
        <v>46116</v>
      </c>
      <c r="D906" t="inlineStr">
        <is>
          <t>ÖREBRO LÄN</t>
        </is>
      </c>
      <c r="E906" t="inlineStr">
        <is>
          <t>LINDESBERG</t>
        </is>
      </c>
      <c r="G906" t="n">
        <v>4.6</v>
      </c>
      <c r="H906" t="n">
        <v>0</v>
      </c>
      <c r="I906" t="n">
        <v>0</v>
      </c>
      <c r="J906" t="n">
        <v>0</v>
      </c>
      <c r="K906" t="n">
        <v>0</v>
      </c>
      <c r="L906" t="n">
        <v>0</v>
      </c>
      <c r="M906" t="n">
        <v>0</v>
      </c>
      <c r="N906" t="n">
        <v>0</v>
      </c>
      <c r="O906" t="n">
        <v>0</v>
      </c>
      <c r="P906" t="n">
        <v>0</v>
      </c>
      <c r="Q906" t="n">
        <v>0</v>
      </c>
      <c r="R906" s="2" t="inlineStr"/>
    </row>
    <row r="907" ht="15" customHeight="1">
      <c r="A907" t="inlineStr">
        <is>
          <t>A 27296-2025</t>
        </is>
      </c>
      <c r="B907" s="1" t="n">
        <v>45812.56952546296</v>
      </c>
      <c r="C907" s="1" t="n">
        <v>46116</v>
      </c>
      <c r="D907" t="inlineStr">
        <is>
          <t>ÖREBRO LÄN</t>
        </is>
      </c>
      <c r="E907" t="inlineStr">
        <is>
          <t>LINDESBERG</t>
        </is>
      </c>
      <c r="F907" t="inlineStr">
        <is>
          <t>Sveaskog</t>
        </is>
      </c>
      <c r="G907" t="n">
        <v>4.5</v>
      </c>
      <c r="H907" t="n">
        <v>0</v>
      </c>
      <c r="I907" t="n">
        <v>0</v>
      </c>
      <c r="J907" t="n">
        <v>0</v>
      </c>
      <c r="K907" t="n">
        <v>0</v>
      </c>
      <c r="L907" t="n">
        <v>0</v>
      </c>
      <c r="M907" t="n">
        <v>0</v>
      </c>
      <c r="N907" t="n">
        <v>0</v>
      </c>
      <c r="O907" t="n">
        <v>0</v>
      </c>
      <c r="P907" t="n">
        <v>0</v>
      </c>
      <c r="Q907" t="n">
        <v>0</v>
      </c>
      <c r="R907" s="2" t="inlineStr"/>
    </row>
    <row r="908" ht="15" customHeight="1">
      <c r="A908" t="inlineStr">
        <is>
          <t>A 27300-2025</t>
        </is>
      </c>
      <c r="B908" s="1" t="n">
        <v>45812.57143518519</v>
      </c>
      <c r="C908" s="1" t="n">
        <v>46116</v>
      </c>
      <c r="D908" t="inlineStr">
        <is>
          <t>ÖREBRO LÄN</t>
        </is>
      </c>
      <c r="E908" t="inlineStr">
        <is>
          <t>LINDESBERG</t>
        </is>
      </c>
      <c r="F908" t="inlineStr">
        <is>
          <t>Sveaskog</t>
        </is>
      </c>
      <c r="G908" t="n">
        <v>19.7</v>
      </c>
      <c r="H908" t="n">
        <v>0</v>
      </c>
      <c r="I908" t="n">
        <v>0</v>
      </c>
      <c r="J908" t="n">
        <v>0</v>
      </c>
      <c r="K908" t="n">
        <v>0</v>
      </c>
      <c r="L908" t="n">
        <v>0</v>
      </c>
      <c r="M908" t="n">
        <v>0</v>
      </c>
      <c r="N908" t="n">
        <v>0</v>
      </c>
      <c r="O908" t="n">
        <v>0</v>
      </c>
      <c r="P908" t="n">
        <v>0</v>
      </c>
      <c r="Q908" t="n">
        <v>0</v>
      </c>
      <c r="R908" s="2" t="inlineStr"/>
    </row>
    <row r="909" ht="15" customHeight="1">
      <c r="A909" t="inlineStr">
        <is>
          <t>A 27309-2025</t>
        </is>
      </c>
      <c r="B909" s="1" t="n">
        <v>45812.57452546297</v>
      </c>
      <c r="C909" s="1" t="n">
        <v>46116</v>
      </c>
      <c r="D909" t="inlineStr">
        <is>
          <t>ÖREBRO LÄN</t>
        </is>
      </c>
      <c r="E909" t="inlineStr">
        <is>
          <t>LINDESBERG</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27311-2025</t>
        </is>
      </c>
      <c r="B910" s="1" t="n">
        <v>45812.57604166667</v>
      </c>
      <c r="C910" s="1" t="n">
        <v>46116</v>
      </c>
      <c r="D910" t="inlineStr">
        <is>
          <t>ÖREBRO LÄN</t>
        </is>
      </c>
      <c r="E910" t="inlineStr">
        <is>
          <t>LINDESBERG</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28040-2025</t>
        </is>
      </c>
      <c r="B911" s="1" t="n">
        <v>45817.6455324074</v>
      </c>
      <c r="C911" s="1" t="n">
        <v>46116</v>
      </c>
      <c r="D911" t="inlineStr">
        <is>
          <t>ÖREBRO LÄN</t>
        </is>
      </c>
      <c r="E911" t="inlineStr">
        <is>
          <t>LINDESBERG</t>
        </is>
      </c>
      <c r="G911" t="n">
        <v>1.4</v>
      </c>
      <c r="H911" t="n">
        <v>0</v>
      </c>
      <c r="I911" t="n">
        <v>0</v>
      </c>
      <c r="J911" t="n">
        <v>0</v>
      </c>
      <c r="K911" t="n">
        <v>0</v>
      </c>
      <c r="L911" t="n">
        <v>0</v>
      </c>
      <c r="M911" t="n">
        <v>0</v>
      </c>
      <c r="N911" t="n">
        <v>0</v>
      </c>
      <c r="O911" t="n">
        <v>0</v>
      </c>
      <c r="P911" t="n">
        <v>0</v>
      </c>
      <c r="Q911" t="n">
        <v>0</v>
      </c>
      <c r="R911" s="2" t="inlineStr"/>
    </row>
    <row r="912" ht="15" customHeight="1">
      <c r="A912" t="inlineStr">
        <is>
          <t>A 28877-2025</t>
        </is>
      </c>
      <c r="B912" s="1" t="n">
        <v>45820.61684027778</v>
      </c>
      <c r="C912" s="1" t="n">
        <v>46116</v>
      </c>
      <c r="D912" t="inlineStr">
        <is>
          <t>ÖREBRO LÄN</t>
        </is>
      </c>
      <c r="E912" t="inlineStr">
        <is>
          <t>LINDESBERG</t>
        </is>
      </c>
      <c r="G912" t="n">
        <v>4.4</v>
      </c>
      <c r="H912" t="n">
        <v>0</v>
      </c>
      <c r="I912" t="n">
        <v>0</v>
      </c>
      <c r="J912" t="n">
        <v>0</v>
      </c>
      <c r="K912" t="n">
        <v>0</v>
      </c>
      <c r="L912" t="n">
        <v>0</v>
      </c>
      <c r="M912" t="n">
        <v>0</v>
      </c>
      <c r="N912" t="n">
        <v>0</v>
      </c>
      <c r="O912" t="n">
        <v>0</v>
      </c>
      <c r="P912" t="n">
        <v>0</v>
      </c>
      <c r="Q912" t="n">
        <v>0</v>
      </c>
      <c r="R912" s="2" t="inlineStr"/>
    </row>
    <row r="913" ht="15" customHeight="1">
      <c r="A913" t="inlineStr">
        <is>
          <t>A 28991-2025</t>
        </is>
      </c>
      <c r="B913" s="1" t="n">
        <v>45821.37199074074</v>
      </c>
      <c r="C913" s="1" t="n">
        <v>46116</v>
      </c>
      <c r="D913" t="inlineStr">
        <is>
          <t>ÖREBRO LÄN</t>
        </is>
      </c>
      <c r="E913" t="inlineStr">
        <is>
          <t>LINDESBERG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29049-2025</t>
        </is>
      </c>
      <c r="B914" s="1" t="n">
        <v>45821.46135416667</v>
      </c>
      <c r="C914" s="1" t="n">
        <v>46116</v>
      </c>
      <c r="D914" t="inlineStr">
        <is>
          <t>ÖREBRO LÄN</t>
        </is>
      </c>
      <c r="E914" t="inlineStr">
        <is>
          <t>LINDESBERG</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29051-2025</t>
        </is>
      </c>
      <c r="B915" s="1" t="n">
        <v>45821.46486111111</v>
      </c>
      <c r="C915" s="1" t="n">
        <v>46116</v>
      </c>
      <c r="D915" t="inlineStr">
        <is>
          <t>ÖREBRO LÄN</t>
        </is>
      </c>
      <c r="E915" t="inlineStr">
        <is>
          <t>LINDESBERG</t>
        </is>
      </c>
      <c r="F915" t="inlineStr">
        <is>
          <t>Sveaskog</t>
        </is>
      </c>
      <c r="G915" t="n">
        <v>5</v>
      </c>
      <c r="H915" t="n">
        <v>0</v>
      </c>
      <c r="I915" t="n">
        <v>0</v>
      </c>
      <c r="J915" t="n">
        <v>0</v>
      </c>
      <c r="K915" t="n">
        <v>0</v>
      </c>
      <c r="L915" t="n">
        <v>0</v>
      </c>
      <c r="M915" t="n">
        <v>0</v>
      </c>
      <c r="N915" t="n">
        <v>0</v>
      </c>
      <c r="O915" t="n">
        <v>0</v>
      </c>
      <c r="P915" t="n">
        <v>0</v>
      </c>
      <c r="Q915" t="n">
        <v>0</v>
      </c>
      <c r="R915" s="2" t="inlineStr"/>
    </row>
    <row r="916" ht="15" customHeight="1">
      <c r="A916" t="inlineStr">
        <is>
          <t>A 29037-2025</t>
        </is>
      </c>
      <c r="B916" s="1" t="n">
        <v>45821.44521990741</v>
      </c>
      <c r="C916" s="1" t="n">
        <v>46116</v>
      </c>
      <c r="D916" t="inlineStr">
        <is>
          <t>ÖREBRO LÄN</t>
        </is>
      </c>
      <c r="E916" t="inlineStr">
        <is>
          <t>LINDESBERG</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30341-2025</t>
        </is>
      </c>
      <c r="B917" s="1" t="n">
        <v>45827.51862268519</v>
      </c>
      <c r="C917" s="1" t="n">
        <v>46116</v>
      </c>
      <c r="D917" t="inlineStr">
        <is>
          <t>ÖREBRO LÄN</t>
        </is>
      </c>
      <c r="E917" t="inlineStr">
        <is>
          <t>LINDESBERG</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30000-2025</t>
        </is>
      </c>
      <c r="B918" s="1" t="n">
        <v>45826.52024305556</v>
      </c>
      <c r="C918" s="1" t="n">
        <v>46116</v>
      </c>
      <c r="D918" t="inlineStr">
        <is>
          <t>ÖREBRO LÄN</t>
        </is>
      </c>
      <c r="E918" t="inlineStr">
        <is>
          <t>LINDESBERG</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30381-2025</t>
        </is>
      </c>
      <c r="B919" s="1" t="n">
        <v>45827.56939814815</v>
      </c>
      <c r="C919" s="1" t="n">
        <v>46116</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30340-2025</t>
        </is>
      </c>
      <c r="B920" s="1" t="n">
        <v>45827.51753472222</v>
      </c>
      <c r="C920" s="1" t="n">
        <v>46116</v>
      </c>
      <c r="D920" t="inlineStr">
        <is>
          <t>ÖREBRO LÄN</t>
        </is>
      </c>
      <c r="E920" t="inlineStr">
        <is>
          <t>LINDESBERG</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30342-2025</t>
        </is>
      </c>
      <c r="B921" s="1" t="n">
        <v>45827.51956018519</v>
      </c>
      <c r="C921" s="1" t="n">
        <v>46116</v>
      </c>
      <c r="D921" t="inlineStr">
        <is>
          <t>ÖREBRO LÄN</t>
        </is>
      </c>
      <c r="E921" t="inlineStr">
        <is>
          <t>LINDESBERG</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30339-2025</t>
        </is>
      </c>
      <c r="B922" s="1" t="n">
        <v>45827.51628472222</v>
      </c>
      <c r="C922" s="1" t="n">
        <v>46116</v>
      </c>
      <c r="D922" t="inlineStr">
        <is>
          <t>ÖREBRO LÄN</t>
        </is>
      </c>
      <c r="E922" t="inlineStr">
        <is>
          <t>LINDESBERG</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34029-2024</t>
        </is>
      </c>
      <c r="B923" s="1" t="n">
        <v>45523</v>
      </c>
      <c r="C923" s="1" t="n">
        <v>46116</v>
      </c>
      <c r="D923" t="inlineStr">
        <is>
          <t>ÖREBRO LÄN</t>
        </is>
      </c>
      <c r="E923" t="inlineStr">
        <is>
          <t>LINDESBERG</t>
        </is>
      </c>
      <c r="G923" t="n">
        <v>1.9</v>
      </c>
      <c r="H923" t="n">
        <v>0</v>
      </c>
      <c r="I923" t="n">
        <v>0</v>
      </c>
      <c r="J923" t="n">
        <v>0</v>
      </c>
      <c r="K923" t="n">
        <v>0</v>
      </c>
      <c r="L923" t="n">
        <v>0</v>
      </c>
      <c r="M923" t="n">
        <v>0</v>
      </c>
      <c r="N923" t="n">
        <v>0</v>
      </c>
      <c r="O923" t="n">
        <v>0</v>
      </c>
      <c r="P923" t="n">
        <v>0</v>
      </c>
      <c r="Q923" t="n">
        <v>0</v>
      </c>
      <c r="R923" s="2" t="inlineStr"/>
    </row>
    <row r="924" ht="15" customHeight="1">
      <c r="A924" t="inlineStr">
        <is>
          <t>A 31220-2025</t>
        </is>
      </c>
      <c r="B924" s="1" t="n">
        <v>45832.76100694444</v>
      </c>
      <c r="C924" s="1" t="n">
        <v>46116</v>
      </c>
      <c r="D924" t="inlineStr">
        <is>
          <t>ÖREBRO LÄN</t>
        </is>
      </c>
      <c r="E924" t="inlineStr">
        <is>
          <t>LINDESBERG</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31221-2025</t>
        </is>
      </c>
      <c r="B925" s="1" t="n">
        <v>45832.76491898148</v>
      </c>
      <c r="C925" s="1" t="n">
        <v>46116</v>
      </c>
      <c r="D925" t="inlineStr">
        <is>
          <t>ÖREBRO LÄN</t>
        </is>
      </c>
      <c r="E925" t="inlineStr">
        <is>
          <t>LINDESBERG</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31000-2025</t>
        </is>
      </c>
      <c r="B926" s="1" t="n">
        <v>45832.49325231482</v>
      </c>
      <c r="C926" s="1" t="n">
        <v>46116</v>
      </c>
      <c r="D926" t="inlineStr">
        <is>
          <t>ÖREBRO LÄN</t>
        </is>
      </c>
      <c r="E926" t="inlineStr">
        <is>
          <t>LINDESBERG</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31018-2025</t>
        </is>
      </c>
      <c r="B927" s="1" t="n">
        <v>45832.51255787037</v>
      </c>
      <c r="C927" s="1" t="n">
        <v>46116</v>
      </c>
      <c r="D927" t="inlineStr">
        <is>
          <t>ÖREBRO LÄN</t>
        </is>
      </c>
      <c r="E927" t="inlineStr">
        <is>
          <t>LINDESBERG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31049-2025</t>
        </is>
      </c>
      <c r="B928" s="1" t="n">
        <v>45832.55810185185</v>
      </c>
      <c r="C928" s="1" t="n">
        <v>46116</v>
      </c>
      <c r="D928" t="inlineStr">
        <is>
          <t>ÖREBRO LÄN</t>
        </is>
      </c>
      <c r="E928" t="inlineStr">
        <is>
          <t>LINDESBERG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31213-2025</t>
        </is>
      </c>
      <c r="B929" s="1" t="n">
        <v>45832.72778935185</v>
      </c>
      <c r="C929" s="1" t="n">
        <v>46116</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31085-2025</t>
        </is>
      </c>
      <c r="B930" s="1" t="n">
        <v>45832.5902662037</v>
      </c>
      <c r="C930" s="1" t="n">
        <v>46116</v>
      </c>
      <c r="D930" t="inlineStr">
        <is>
          <t>ÖREBRO LÄN</t>
        </is>
      </c>
      <c r="E930" t="inlineStr">
        <is>
          <t>LINDESBERG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31215-2025</t>
        </is>
      </c>
      <c r="B931" s="1" t="n">
        <v>45832.74418981482</v>
      </c>
      <c r="C931" s="1" t="n">
        <v>46116</v>
      </c>
      <c r="D931" t="inlineStr">
        <is>
          <t>ÖREBRO LÄN</t>
        </is>
      </c>
      <c r="E931" t="inlineStr">
        <is>
          <t>LINDESBERG</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31003-2025</t>
        </is>
      </c>
      <c r="B932" s="1" t="n">
        <v>45832.49579861111</v>
      </c>
      <c r="C932" s="1" t="n">
        <v>46116</v>
      </c>
      <c r="D932" t="inlineStr">
        <is>
          <t>ÖREBRO LÄN</t>
        </is>
      </c>
      <c r="E932" t="inlineStr">
        <is>
          <t>LINDESBERG</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31014-2025</t>
        </is>
      </c>
      <c r="B933" s="1" t="n">
        <v>45832.51028935185</v>
      </c>
      <c r="C933" s="1" t="n">
        <v>46116</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32284-2025</t>
        </is>
      </c>
      <c r="B934" s="1" t="n">
        <v>45835.68443287037</v>
      </c>
      <c r="C934" s="1" t="n">
        <v>46116</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32504-2025</t>
        </is>
      </c>
      <c r="B935" s="1" t="n">
        <v>45838.46456018519</v>
      </c>
      <c r="C935" s="1" t="n">
        <v>46116</v>
      </c>
      <c r="D935" t="inlineStr">
        <is>
          <t>ÖREBRO LÄN</t>
        </is>
      </c>
      <c r="E935" t="inlineStr">
        <is>
          <t>LINDESBERG</t>
        </is>
      </c>
      <c r="F935" t="inlineStr">
        <is>
          <t>Sveaskog</t>
        </is>
      </c>
      <c r="G935" t="n">
        <v>16.9</v>
      </c>
      <c r="H935" t="n">
        <v>0</v>
      </c>
      <c r="I935" t="n">
        <v>0</v>
      </c>
      <c r="J935" t="n">
        <v>0</v>
      </c>
      <c r="K935" t="n">
        <v>0</v>
      </c>
      <c r="L935" t="n">
        <v>0</v>
      </c>
      <c r="M935" t="n">
        <v>0</v>
      </c>
      <c r="N935" t="n">
        <v>0</v>
      </c>
      <c r="O935" t="n">
        <v>0</v>
      </c>
      <c r="P935" t="n">
        <v>0</v>
      </c>
      <c r="Q935" t="n">
        <v>0</v>
      </c>
      <c r="R935" s="2" t="inlineStr"/>
    </row>
    <row r="936" ht="15" customHeight="1">
      <c r="A936" t="inlineStr">
        <is>
          <t>A 32502-2025</t>
        </is>
      </c>
      <c r="B936" s="1" t="n">
        <v>45838.46408564815</v>
      </c>
      <c r="C936" s="1" t="n">
        <v>46116</v>
      </c>
      <c r="D936" t="inlineStr">
        <is>
          <t>ÖREBRO LÄN</t>
        </is>
      </c>
      <c r="E936" t="inlineStr">
        <is>
          <t>LINDESBERG</t>
        </is>
      </c>
      <c r="F936" t="inlineStr">
        <is>
          <t>Sveaskog</t>
        </is>
      </c>
      <c r="G936" t="n">
        <v>17.7</v>
      </c>
      <c r="H936" t="n">
        <v>0</v>
      </c>
      <c r="I936" t="n">
        <v>0</v>
      </c>
      <c r="J936" t="n">
        <v>0</v>
      </c>
      <c r="K936" t="n">
        <v>0</v>
      </c>
      <c r="L936" t="n">
        <v>0</v>
      </c>
      <c r="M936" t="n">
        <v>0</v>
      </c>
      <c r="N936" t="n">
        <v>0</v>
      </c>
      <c r="O936" t="n">
        <v>0</v>
      </c>
      <c r="P936" t="n">
        <v>0</v>
      </c>
      <c r="Q936" t="n">
        <v>0</v>
      </c>
      <c r="R936" s="2" t="inlineStr"/>
    </row>
    <row r="937" ht="15" customHeight="1">
      <c r="A937" t="inlineStr">
        <is>
          <t>A 32727-2024</t>
        </is>
      </c>
      <c r="B937" s="1" t="n">
        <v>45516.4221412037</v>
      </c>
      <c r="C937" s="1" t="n">
        <v>46116</v>
      </c>
      <c r="D937" t="inlineStr">
        <is>
          <t>ÖREBRO LÄN</t>
        </is>
      </c>
      <c r="E937" t="inlineStr">
        <is>
          <t>LINDESBERG</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33046-2025</t>
        </is>
      </c>
      <c r="B938" s="1" t="n">
        <v>45840</v>
      </c>
      <c r="C938" s="1" t="n">
        <v>46116</v>
      </c>
      <c r="D938" t="inlineStr">
        <is>
          <t>ÖREBRO LÄN</t>
        </is>
      </c>
      <c r="E938" t="inlineStr">
        <is>
          <t>LINDESBERG</t>
        </is>
      </c>
      <c r="G938" t="n">
        <v>6.1</v>
      </c>
      <c r="H938" t="n">
        <v>0</v>
      </c>
      <c r="I938" t="n">
        <v>0</v>
      </c>
      <c r="J938" t="n">
        <v>0</v>
      </c>
      <c r="K938" t="n">
        <v>0</v>
      </c>
      <c r="L938" t="n">
        <v>0</v>
      </c>
      <c r="M938" t="n">
        <v>0</v>
      </c>
      <c r="N938" t="n">
        <v>0</v>
      </c>
      <c r="O938" t="n">
        <v>0</v>
      </c>
      <c r="P938" t="n">
        <v>0</v>
      </c>
      <c r="Q938" t="n">
        <v>0</v>
      </c>
      <c r="R938" s="2" t="inlineStr"/>
    </row>
    <row r="939" ht="15" customHeight="1">
      <c r="A939" t="inlineStr">
        <is>
          <t>A 34004-2025</t>
        </is>
      </c>
      <c r="B939" s="1" t="n">
        <v>45844.5775</v>
      </c>
      <c r="C939" s="1" t="n">
        <v>46116</v>
      </c>
      <c r="D939" t="inlineStr">
        <is>
          <t>ÖREBRO LÄN</t>
        </is>
      </c>
      <c r="E939" t="inlineStr">
        <is>
          <t>LINDESBERG</t>
        </is>
      </c>
      <c r="F939" t="inlineStr">
        <is>
          <t>Sveaskog</t>
        </is>
      </c>
      <c r="G939" t="n">
        <v>3.4</v>
      </c>
      <c r="H939" t="n">
        <v>0</v>
      </c>
      <c r="I939" t="n">
        <v>0</v>
      </c>
      <c r="J939" t="n">
        <v>0</v>
      </c>
      <c r="K939" t="n">
        <v>0</v>
      </c>
      <c r="L939" t="n">
        <v>0</v>
      </c>
      <c r="M939" t="n">
        <v>0</v>
      </c>
      <c r="N939" t="n">
        <v>0</v>
      </c>
      <c r="O939" t="n">
        <v>0</v>
      </c>
      <c r="P939" t="n">
        <v>0</v>
      </c>
      <c r="Q939" t="n">
        <v>0</v>
      </c>
      <c r="R939" s="2" t="inlineStr"/>
    </row>
    <row r="940" ht="15" customHeight="1">
      <c r="A940" t="inlineStr">
        <is>
          <t>A 34104-2025</t>
        </is>
      </c>
      <c r="B940" s="1" t="n">
        <v>45845.49216435185</v>
      </c>
      <c r="C940" s="1" t="n">
        <v>46116</v>
      </c>
      <c r="D940" t="inlineStr">
        <is>
          <t>ÖREBRO LÄN</t>
        </is>
      </c>
      <c r="E940" t="inlineStr">
        <is>
          <t>LINDESBERG</t>
        </is>
      </c>
      <c r="G940" t="n">
        <v>1</v>
      </c>
      <c r="H940" t="n">
        <v>0</v>
      </c>
      <c r="I940" t="n">
        <v>0</v>
      </c>
      <c r="J940" t="n">
        <v>0</v>
      </c>
      <c r="K940" t="n">
        <v>0</v>
      </c>
      <c r="L940" t="n">
        <v>0</v>
      </c>
      <c r="M940" t="n">
        <v>0</v>
      </c>
      <c r="N940" t="n">
        <v>0</v>
      </c>
      <c r="O940" t="n">
        <v>0</v>
      </c>
      <c r="P940" t="n">
        <v>0</v>
      </c>
      <c r="Q940" t="n">
        <v>0</v>
      </c>
      <c r="R940" s="2" t="inlineStr"/>
    </row>
    <row r="941" ht="15" customHeight="1">
      <c r="A941" t="inlineStr">
        <is>
          <t>A 33574-2024</t>
        </is>
      </c>
      <c r="B941" s="1" t="n">
        <v>45520.32887731482</v>
      </c>
      <c r="C941" s="1" t="n">
        <v>46116</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34002-2025</t>
        </is>
      </c>
      <c r="B942" s="1" t="n">
        <v>45844.57328703703</v>
      </c>
      <c r="C942" s="1" t="n">
        <v>46116</v>
      </c>
      <c r="D942" t="inlineStr">
        <is>
          <t>ÖREBRO LÄN</t>
        </is>
      </c>
      <c r="E942" t="inlineStr">
        <is>
          <t>LINDESBERG</t>
        </is>
      </c>
      <c r="F942" t="inlineStr">
        <is>
          <t>Sveaskog</t>
        </is>
      </c>
      <c r="G942" t="n">
        <v>4.6</v>
      </c>
      <c r="H942" t="n">
        <v>0</v>
      </c>
      <c r="I942" t="n">
        <v>0</v>
      </c>
      <c r="J942" t="n">
        <v>0</v>
      </c>
      <c r="K942" t="n">
        <v>0</v>
      </c>
      <c r="L942" t="n">
        <v>0</v>
      </c>
      <c r="M942" t="n">
        <v>0</v>
      </c>
      <c r="N942" t="n">
        <v>0</v>
      </c>
      <c r="O942" t="n">
        <v>0</v>
      </c>
      <c r="P942" t="n">
        <v>0</v>
      </c>
      <c r="Q942" t="n">
        <v>0</v>
      </c>
      <c r="R942" s="2" t="inlineStr"/>
    </row>
    <row r="943" ht="15" customHeight="1">
      <c r="A943" t="inlineStr">
        <is>
          <t>A 34003-2025</t>
        </is>
      </c>
      <c r="B943" s="1" t="n">
        <v>45844.57527777777</v>
      </c>
      <c r="C943" s="1" t="n">
        <v>46116</v>
      </c>
      <c r="D943" t="inlineStr">
        <is>
          <t>ÖREBRO LÄN</t>
        </is>
      </c>
      <c r="E943" t="inlineStr">
        <is>
          <t>LINDESBERG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34097-2025</t>
        </is>
      </c>
      <c r="B944" s="1" t="n">
        <v>45845.4855787037</v>
      </c>
      <c r="C944" s="1" t="n">
        <v>46116</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34267-2025</t>
        </is>
      </c>
      <c r="B945" s="1" t="n">
        <v>45845.76005787037</v>
      </c>
      <c r="C945" s="1" t="n">
        <v>46116</v>
      </c>
      <c r="D945" t="inlineStr">
        <is>
          <t>ÖREBRO LÄN</t>
        </is>
      </c>
      <c r="E945" t="inlineStr">
        <is>
          <t>LINDESBERG</t>
        </is>
      </c>
      <c r="G945" t="n">
        <v>4.6</v>
      </c>
      <c r="H945" t="n">
        <v>0</v>
      </c>
      <c r="I945" t="n">
        <v>0</v>
      </c>
      <c r="J945" t="n">
        <v>0</v>
      </c>
      <c r="K945" t="n">
        <v>0</v>
      </c>
      <c r="L945" t="n">
        <v>0</v>
      </c>
      <c r="M945" t="n">
        <v>0</v>
      </c>
      <c r="N945" t="n">
        <v>0</v>
      </c>
      <c r="O945" t="n">
        <v>0</v>
      </c>
      <c r="P945" t="n">
        <v>0</v>
      </c>
      <c r="Q945" t="n">
        <v>0</v>
      </c>
      <c r="R945" s="2" t="inlineStr"/>
    </row>
    <row r="946">
      <c r="A946" t="inlineStr">
        <is>
          <t>A 34264-2025</t>
        </is>
      </c>
      <c r="B946" s="1" t="n">
        <v>45845.75200231482</v>
      </c>
      <c r="C946" s="1" t="n">
        <v>46116</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2026-04-04T10:47:26Z</dcterms:created>
  <dcterms:modified xmlns:dcterms="http://purl.org/dc/terms/" xmlns:xsi="http://www.w3.org/2001/XMLSchema-instance" xsi:type="dcterms:W3CDTF">2026-04-04T10:47:27Z</dcterms:modified>
</cp:coreProperties>
</file>