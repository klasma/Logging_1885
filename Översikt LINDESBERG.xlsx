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45584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45584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45584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45584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45584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45584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45584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45584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45584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45584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45584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45584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45584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45584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45584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45584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45584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45584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45584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45584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45584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45584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45584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45584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45584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45584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45584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45584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45584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45584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45584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45584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45584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45584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45584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45584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45584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45584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45584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45584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45584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45584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45584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45584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45584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45584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45584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45584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45584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45584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45584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45584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45584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45584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45584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44794-2024</t>
        </is>
      </c>
      <c r="B78" s="1" t="n">
        <v>45574</v>
      </c>
      <c r="C78" s="1" t="n">
        <v>45584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HYPERLINK("https://klasma.github.io/Logging_1885/artfynd/A 44794-2024 artfynd.xlsx", "A 44794-2024")</f>
        <v/>
      </c>
      <c r="T78">
        <f>HYPERLINK("https://klasma.github.io/Logging_1885/kartor/A 44794-2024 karta.png", "A 44794-2024")</f>
        <v/>
      </c>
      <c r="V78">
        <f>HYPERLINK("https://klasma.github.io/Logging_1885/klagomål/A 44794-2024 FSC-klagomål.docx", "A 44794-2024")</f>
        <v/>
      </c>
      <c r="W78">
        <f>HYPERLINK("https://klasma.github.io/Logging_1885/klagomålsmail/A 44794-2024 FSC-klagomål mail.docx", "A 44794-2024")</f>
        <v/>
      </c>
      <c r="X78">
        <f>HYPERLINK("https://klasma.github.io/Logging_1885/tillsyn/A 44794-2024 tillsynsbegäran.docx", "A 44794-2024")</f>
        <v/>
      </c>
      <c r="Y78">
        <f>HYPERLINK("https://klasma.github.io/Logging_1885/tillsynsmail/A 44794-2024 tillsynsbegäran mail.docx", "A 44794-2024")</f>
        <v/>
      </c>
    </row>
    <row r="79" ht="15" customHeight="1">
      <c r="A79" t="inlineStr">
        <is>
          <t>A 44792-2024</t>
        </is>
      </c>
      <c r="B79" s="1" t="n">
        <v>45574</v>
      </c>
      <c r="C79" s="1" t="n">
        <v>45584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44792-2024 artfynd.xlsx", "A 44792-2024")</f>
        <v/>
      </c>
      <c r="T79">
        <f>HYPERLINK("https://klasma.github.io/Logging_1885/kartor/A 44792-2024 karta.png", "A 44792-2024")</f>
        <v/>
      </c>
      <c r="V79">
        <f>HYPERLINK("https://klasma.github.io/Logging_1885/klagomål/A 44792-2024 FSC-klagomål.docx", "A 44792-2024")</f>
        <v/>
      </c>
      <c r="W79">
        <f>HYPERLINK("https://klasma.github.io/Logging_1885/klagomålsmail/A 44792-2024 FSC-klagomål mail.docx", "A 44792-2024")</f>
        <v/>
      </c>
      <c r="X79">
        <f>HYPERLINK("https://klasma.github.io/Logging_1885/tillsyn/A 44792-2024 tillsynsbegäran.docx", "A 44792-2024")</f>
        <v/>
      </c>
      <c r="Y79">
        <f>HYPERLINK("https://klasma.github.io/Logging_1885/tillsynsmail/A 44792-2024 tillsynsbegäran mail.docx", "A 44792-2024")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45584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45584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45584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45584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45584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45584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45584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45584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45584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45584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45584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45584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45584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45584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45584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45584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45584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45584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45584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45584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45584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45584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45584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45584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45584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45584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45584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45584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45584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45584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45584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45584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45584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45584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45584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45584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45584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45584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45584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45584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45584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45584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45584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45584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45584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45584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45584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45584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45584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45584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45584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45584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45584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45584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45584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45584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45584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45584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45584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45584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45584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45584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45584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45584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45584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45584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45584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45584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45584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45584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45584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45584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45584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45584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45584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45584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45584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45584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45584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45584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45584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45584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45584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45584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45584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45584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45584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45584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45584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45584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45584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45584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45584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45584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45584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45584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45584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45584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45584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45584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45584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45584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45584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45584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45584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45584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45584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45584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45584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45584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45584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45584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45584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45584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45584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45584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45584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45584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45584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45584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45584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45584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45584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45584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45584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45584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45584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45584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45584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45584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45584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45584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45584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45584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45584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45584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45584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45584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45584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45584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45584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45584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45584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45584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45584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45584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45584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45584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45584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45584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45584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45584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45584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45584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45584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45584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45584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45584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45584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45584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45584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45584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45584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45584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45584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45584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45584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45584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45584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45584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45584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45584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45584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45584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45584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45584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45584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45584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45584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45584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45584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45584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45584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45584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45584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45584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45584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45584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45584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45584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45584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45584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45584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45584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45584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45584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45584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45584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45584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45584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45584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45584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45584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45584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45584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45584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45584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45584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45584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45584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45584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45584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45584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45584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45584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45584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45584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45584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45584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45584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45584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45584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45584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45584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45584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45584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45584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45584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45584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45584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45584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45584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45584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45584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45584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45584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45584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45584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45584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45584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45584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45584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45584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45584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45584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45584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45584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45584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45584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45584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45584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45584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45584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45584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45584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45584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45584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45584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45584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45584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45584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45584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45584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45584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45584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45584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45584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45584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45584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45584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45584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45584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45584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45584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45584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45584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45584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45584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45584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45584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45584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45584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45584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45584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45584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45584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45584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45584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45584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45584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45584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45584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45584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45584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45584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45584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45584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45584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45584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45584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45584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45584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45584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45584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45584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45584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45584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45584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45584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45584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45584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45584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45584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45584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45584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45584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45584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45584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45584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45584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45584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45584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45584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45584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45584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45584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45584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45584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45584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45584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45584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45584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45584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45584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45584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45584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45584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45584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45584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45584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45584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45584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45584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45584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45584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45584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45584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45584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45584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45584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45584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45584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45584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45584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45584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45584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45584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45584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45584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45584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45584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45584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45584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45584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45584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45584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45584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45584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45584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45584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45584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45584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45584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45584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45584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45584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45584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45584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45584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45584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45584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45584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45584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45584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45584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45584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45584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45584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45584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45584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45584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45584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45584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45584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45584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45584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45584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45584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45584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45584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45584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45584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45584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45584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45584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45584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45584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45584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45584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45584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45584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45584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45584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45584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45584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45584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45584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45584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45584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45584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45584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45584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45584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45584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45584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45584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45584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45584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45584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45584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45584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45584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45584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45584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45584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45584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45584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45584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45584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45584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45584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45584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45584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45584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45584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45584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45584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45584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45584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45584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45584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45584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45584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45584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45584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45584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45584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45584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45584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45584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45584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45584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45584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45584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45584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45584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45584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45584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45584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45584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45584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45584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45584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45584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45584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45584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45584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45584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45584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45584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45584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45584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45584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45584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45584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45584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45584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45584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45584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45584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45584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45584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45584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45584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45584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45584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45584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45584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45584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45584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45584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45584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45584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45584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45584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45584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45584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45584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45584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45584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45584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45584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45584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45584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45584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45584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45584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45584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45584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45584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45584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45584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45584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45584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45584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45584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45584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45584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45584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45584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45584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45584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45584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45584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45584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45584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45584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45584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45584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45584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45584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45584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45584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45584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45584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45584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45584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45584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45584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45584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45584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45584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45584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45584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45584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45584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45584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45584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45584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45584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45584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45584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45584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45584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45584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45584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45584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45584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45584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45584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45584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45584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45584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45584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45584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45584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45584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45584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45584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45584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45584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45584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45584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45584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45584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45584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45584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45584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45584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45584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45584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45584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45584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45584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45584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45584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45584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45584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45584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45584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45584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45584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45584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45584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45584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45584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45584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45584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45584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45584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45584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45584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45584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45584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45584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45584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45584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45584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45584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45584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45584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45584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45584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45584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45584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45584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45584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45584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45584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45584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45584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45584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45584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45584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45584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45584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45584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45584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45584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45584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45584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45584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45584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45584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45584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45584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45584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45584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45584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45584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45584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45584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45584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45584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45584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45584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45584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45584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45584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45584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45584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45584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45584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45584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45584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45584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45584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45584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45584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45584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45584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45584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45584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45584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45584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45584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45584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45584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45584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45584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45584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45584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45584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45584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45584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45584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45584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45584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45584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45584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45584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45584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45584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45584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45584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45584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45584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45584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45584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45584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45584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45584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45584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45584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45584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45584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45584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45584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45584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45584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45584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45584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45584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45584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45584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45584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45584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45584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45584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45584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45584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45584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45584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45584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45584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45584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45584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45584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45584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45584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45584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45584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45584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45584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45584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45584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45584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45584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45584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45584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45584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45584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45584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45584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45584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45584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45584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45584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45584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45584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45584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45584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45584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45584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45584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45584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45584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45584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45584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45584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45584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45584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45584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45584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45584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45584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45584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45584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45584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45584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45584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45584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45584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45584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45584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45584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45584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45584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45584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45584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45584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45584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45584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45584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45584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45584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45584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45584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45584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45584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45584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45584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45584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45584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45584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45584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45584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45584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45584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45584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45584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45584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45584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45584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45584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45584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45584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45584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45584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45584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45584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45584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45584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45584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45584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45584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45584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45584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45584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45584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45584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45584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45584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45584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45584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45584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45584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45584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45584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45584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45584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45584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45584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45584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45584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45584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45584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45584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45584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45584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45584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45584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45584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45584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45584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45584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45584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45584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45584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45584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45584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45584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45584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45584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45584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45584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45584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45584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45584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45584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45584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45584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45584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45584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45584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45584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45584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45584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45584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45584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45584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45584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45584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45584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45584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45584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45584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45584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45584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45584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45584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45584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45584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45584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45584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45584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45584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45584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45584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45584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45584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45584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45584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45584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45584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45584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45584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45584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45584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45584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45584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45584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45584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45584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45584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45584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45584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45584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45584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45584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45584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45584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45584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45584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45584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45584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45584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45584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45584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45584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45584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45584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45584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45584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45584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45584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45584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45584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45584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45584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45584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45584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45584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45584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45584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45584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45584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45584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45584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45584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45584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45584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45584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45584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45584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45584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45584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45584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45584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45584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45584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45584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45584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45584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45584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45584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45584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45584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45584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45584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45584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45584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45584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45584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45584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45584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45584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45584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45584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45584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45584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45584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45584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45584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45584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45584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45584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45584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45584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45584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45584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45584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45584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45584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45584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45584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45584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45584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45584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45584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45584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45584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45584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45584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45584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45584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45584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45584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45584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45584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45584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45584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45584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45584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45584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45584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45584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45584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45584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45584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45584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45584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45584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45584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45584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45584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45584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45584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45584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45584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45584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45584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45584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45584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45584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45584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45584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45584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45584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45584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45584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45584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45584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45584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45584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45584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45584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45584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45584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45584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45584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45584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45584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45584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45584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45584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45584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45584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45584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45584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45584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45584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45584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45584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45584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45584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45584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45584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45584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45584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45584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45584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45584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45584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45584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45584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45584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45584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45584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45584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45584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45584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45584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45584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45584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45584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45584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45584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45584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45584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45584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45584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45584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45584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45584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45584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45584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45584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45584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45584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45584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45584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45584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45584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45584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45584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45584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45584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45584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45584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45584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45584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45584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45584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45584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45584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45584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45584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45584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45584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45584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45584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45584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45584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45584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45584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45584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45584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45584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45584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45584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45584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45584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45584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45584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45584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45584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45584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45584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45584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45584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45584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45584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45584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45584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45584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45584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45584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45584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45584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45584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45584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45584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45584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45584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45584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45584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45584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45584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45584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45584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45584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45584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45584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45584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45584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45584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45584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45584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45584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45584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45584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45584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45584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45584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45584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45584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45584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45584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45584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45584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45584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45584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45584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45584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45584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45584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45584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45584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45584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45584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45584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45584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45584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45584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45584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45584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45584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45584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45584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45584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45584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45584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45584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45584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45584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45584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45584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45584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45584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45584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45584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45584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45584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45584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45584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45584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45584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45584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45584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45584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45584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45584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45584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45584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45584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45584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45584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45584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45584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45584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45584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45584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45584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45584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45584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45584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45584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45584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45584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45584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45584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45584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45584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45584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45584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45584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45584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45584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45584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45584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45584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45584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45584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45584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45584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45584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45584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45584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45584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45584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45584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45584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45584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45584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45584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45584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45584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45584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45584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45584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45584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45584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45584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45584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45584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45584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45584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45584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45584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45584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45584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45584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45584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45584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45584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45584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45584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45584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45584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45584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45584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45584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45584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45584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45584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45584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45584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45584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45584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45584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45584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45584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45584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45584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45584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45584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45584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45584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45584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45584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45584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45584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45584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45584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45584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45584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45584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45584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45584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45584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45584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45584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45584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45584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45584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45584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45584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45584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45584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45584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45584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45584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45584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45584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45584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45584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45584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45584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45584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45584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45584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45584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45584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45584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45584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45584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45584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45584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45584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45584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45584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45584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45584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45584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45584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45584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45584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45584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45584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45584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45584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45584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45584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45584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45584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45584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45584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45584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45584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45584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45584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45584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45584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40039-2024</t>
        </is>
      </c>
      <c r="B1444" s="1" t="n">
        <v>45553</v>
      </c>
      <c r="C1444" s="1" t="n">
        <v>45584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40038-2024</t>
        </is>
      </c>
      <c r="B1445" s="1" t="n">
        <v>45553</v>
      </c>
      <c r="C1445" s="1" t="n">
        <v>45584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40304-2024</t>
        </is>
      </c>
      <c r="B1446" s="1" t="n">
        <v>45554</v>
      </c>
      <c r="C1446" s="1" t="n">
        <v>45584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40306-2024</t>
        </is>
      </c>
      <c r="B1447" s="1" t="n">
        <v>45554</v>
      </c>
      <c r="C1447" s="1" t="n">
        <v>45584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45584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40159-2024</t>
        </is>
      </c>
      <c r="B1449" s="1" t="n">
        <v>45554</v>
      </c>
      <c r="C1449" s="1" t="n">
        <v>45584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40163-2024</t>
        </is>
      </c>
      <c r="B1450" s="1" t="n">
        <v>45554</v>
      </c>
      <c r="C1450" s="1" t="n">
        <v>45584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40303-2024</t>
        </is>
      </c>
      <c r="B1451" s="1" t="n">
        <v>45554</v>
      </c>
      <c r="C1451" s="1" t="n">
        <v>45584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45584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45584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45584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40634-2024</t>
        </is>
      </c>
      <c r="B1455" s="1" t="n">
        <v>45557</v>
      </c>
      <c r="C1455" s="1" t="n">
        <v>45584</v>
      </c>
      <c r="D1455" t="inlineStr">
        <is>
          <t>ÖREBRO LÄN</t>
        </is>
      </c>
      <c r="E1455" t="inlineStr">
        <is>
          <t>LINDESBERG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40633-2024</t>
        </is>
      </c>
      <c r="B1456" s="1" t="n">
        <v>45557</v>
      </c>
      <c r="C1456" s="1" t="n">
        <v>45584</v>
      </c>
      <c r="D1456" t="inlineStr">
        <is>
          <t>ÖREBRO LÄN</t>
        </is>
      </c>
      <c r="E1456" t="inlineStr">
        <is>
          <t>LINDESBERG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45584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45584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45584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42410-2024</t>
        </is>
      </c>
      <c r="B1460" s="1" t="n">
        <v>45565</v>
      </c>
      <c r="C1460" s="1" t="n">
        <v>45584</v>
      </c>
      <c r="D1460" t="inlineStr">
        <is>
          <t>ÖREBRO LÄN</t>
        </is>
      </c>
      <c r="E1460" t="inlineStr">
        <is>
          <t>LINDESBERG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45584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43186-2024</t>
        </is>
      </c>
      <c r="B1462" s="1" t="n">
        <v>45567</v>
      </c>
      <c r="C1462" s="1" t="n">
        <v>45584</v>
      </c>
      <c r="D1462" t="inlineStr">
        <is>
          <t>ÖREBRO LÄN</t>
        </is>
      </c>
      <c r="E1462" t="inlineStr">
        <is>
          <t>LINDESBERG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43195-2024</t>
        </is>
      </c>
      <c r="B1463" s="1" t="n">
        <v>45567</v>
      </c>
      <c r="C1463" s="1" t="n">
        <v>45584</v>
      </c>
      <c r="D1463" t="inlineStr">
        <is>
          <t>ÖREBRO LÄN</t>
        </is>
      </c>
      <c r="E1463" t="inlineStr">
        <is>
          <t>LINDESBERG</t>
        </is>
      </c>
      <c r="G1463" t="n">
        <v>27.8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43433-2024</t>
        </is>
      </c>
      <c r="B1464" s="1" t="n">
        <v>45568</v>
      </c>
      <c r="C1464" s="1" t="n">
        <v>45584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43418-2024</t>
        </is>
      </c>
      <c r="B1465" s="1" t="n">
        <v>45568</v>
      </c>
      <c r="C1465" s="1" t="n">
        <v>45584</v>
      </c>
      <c r="D1465" t="inlineStr">
        <is>
          <t>ÖREBRO LÄN</t>
        </is>
      </c>
      <c r="E1465" t="inlineStr">
        <is>
          <t>LINDESBERG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43416-2024</t>
        </is>
      </c>
      <c r="B1466" s="1" t="n">
        <v>45568</v>
      </c>
      <c r="C1466" s="1" t="n">
        <v>45584</v>
      </c>
      <c r="D1466" t="inlineStr">
        <is>
          <t>ÖREBRO LÄN</t>
        </is>
      </c>
      <c r="E1466" t="inlineStr">
        <is>
          <t>LINDESBERG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43423-2024</t>
        </is>
      </c>
      <c r="B1467" s="1" t="n">
        <v>45568</v>
      </c>
      <c r="C1467" s="1" t="n">
        <v>45584</v>
      </c>
      <c r="D1467" t="inlineStr">
        <is>
          <t>ÖREBRO LÄN</t>
        </is>
      </c>
      <c r="E1467" t="inlineStr">
        <is>
          <t>LINDESBERG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43532-2024</t>
        </is>
      </c>
      <c r="B1468" s="1" t="n">
        <v>45569</v>
      </c>
      <c r="C1468" s="1" t="n">
        <v>45584</v>
      </c>
      <c r="D1468" t="inlineStr">
        <is>
          <t>ÖREBRO LÄN</t>
        </is>
      </c>
      <c r="E1468" t="inlineStr">
        <is>
          <t>LINDESBERG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45584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43801-2024</t>
        </is>
      </c>
      <c r="B1470" s="1" t="n">
        <v>45571</v>
      </c>
      <c r="C1470" s="1" t="n">
        <v>45584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43803-2024</t>
        </is>
      </c>
      <c r="B1471" s="1" t="n">
        <v>45571</v>
      </c>
      <c r="C1471" s="1" t="n">
        <v>45584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43802-2024</t>
        </is>
      </c>
      <c r="B1472" s="1" t="n">
        <v>45571</v>
      </c>
      <c r="C1472" s="1" t="n">
        <v>45584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45584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44785-2024</t>
        </is>
      </c>
      <c r="B1474" s="1" t="n">
        <v>45574</v>
      </c>
      <c r="C1474" s="1" t="n">
        <v>45584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44789-2024</t>
        </is>
      </c>
      <c r="B1475" s="1" t="n">
        <v>45574</v>
      </c>
      <c r="C1475" s="1" t="n">
        <v>45584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44801-2024</t>
        </is>
      </c>
      <c r="B1476" s="1" t="n">
        <v>45574</v>
      </c>
      <c r="C1476" s="1" t="n">
        <v>45584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44804-2024</t>
        </is>
      </c>
      <c r="B1477" s="1" t="n">
        <v>45574</v>
      </c>
      <c r="C1477" s="1" t="n">
        <v>45584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44783-2024</t>
        </is>
      </c>
      <c r="B1478" s="1" t="n">
        <v>45574</v>
      </c>
      <c r="C1478" s="1" t="n">
        <v>45584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44787-2024</t>
        </is>
      </c>
      <c r="B1479" s="1" t="n">
        <v>45574</v>
      </c>
      <c r="C1479" s="1" t="n">
        <v>45584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44803-2024</t>
        </is>
      </c>
      <c r="B1480" s="1" t="n">
        <v>45574</v>
      </c>
      <c r="C1480" s="1" t="n">
        <v>45584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45035-2024</t>
        </is>
      </c>
      <c r="B1481" s="1" t="n">
        <v>45575</v>
      </c>
      <c r="C1481" s="1" t="n">
        <v>45584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45056-2024</t>
        </is>
      </c>
      <c r="B1482" s="1" t="n">
        <v>45575</v>
      </c>
      <c r="C1482" s="1" t="n">
        <v>45584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45060-2024</t>
        </is>
      </c>
      <c r="B1483" s="1" t="n">
        <v>45575</v>
      </c>
      <c r="C1483" s="1" t="n">
        <v>45584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45068-2024</t>
        </is>
      </c>
      <c r="B1484" s="1" t="n">
        <v>45575</v>
      </c>
      <c r="C1484" s="1" t="n">
        <v>45584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16.5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45072-2024</t>
        </is>
      </c>
      <c r="B1485" s="1" t="n">
        <v>45575</v>
      </c>
      <c r="C1485" s="1" t="n">
        <v>45584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44912-2024</t>
        </is>
      </c>
      <c r="B1486" s="1" t="n">
        <v>45575</v>
      </c>
      <c r="C1486" s="1" t="n">
        <v>45584</v>
      </c>
      <c r="D1486" t="inlineStr">
        <is>
          <t>ÖREBRO LÄN</t>
        </is>
      </c>
      <c r="E1486" t="inlineStr">
        <is>
          <t>LINDESBERG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45173-2024</t>
        </is>
      </c>
      <c r="B1487" s="1" t="n">
        <v>45575</v>
      </c>
      <c r="C1487" s="1" t="n">
        <v>45584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45038-2024</t>
        </is>
      </c>
      <c r="B1488" s="1" t="n">
        <v>45575</v>
      </c>
      <c r="C1488" s="1" t="n">
        <v>45584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45051-2024</t>
        </is>
      </c>
      <c r="B1489" s="1" t="n">
        <v>45575</v>
      </c>
      <c r="C1489" s="1" t="n">
        <v>45584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45063-2024</t>
        </is>
      </c>
      <c r="B1490" s="1" t="n">
        <v>45575</v>
      </c>
      <c r="C1490" s="1" t="n">
        <v>45584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45584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45041-2024</t>
        </is>
      </c>
      <c r="B1492" s="1" t="n">
        <v>45575</v>
      </c>
      <c r="C1492" s="1" t="n">
        <v>45584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45046-2024</t>
        </is>
      </c>
      <c r="B1493" s="1" t="n">
        <v>45575</v>
      </c>
      <c r="C1493" s="1" t="n">
        <v>45584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45058-2024</t>
        </is>
      </c>
      <c r="B1494" s="1" t="n">
        <v>45575</v>
      </c>
      <c r="C1494" s="1" t="n">
        <v>45584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45074-2024</t>
        </is>
      </c>
      <c r="B1495" s="1" t="n">
        <v>45575</v>
      </c>
      <c r="C1495" s="1" t="n">
        <v>45584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45078-2024</t>
        </is>
      </c>
      <c r="B1496" s="1" t="n">
        <v>45575</v>
      </c>
      <c r="C1496" s="1" t="n">
        <v>45584</v>
      </c>
      <c r="D1496" t="inlineStr">
        <is>
          <t>ÖREBRO LÄN</t>
        </is>
      </c>
      <c r="E1496" t="inlineStr">
        <is>
          <t>LINDESBERG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45825-2024</t>
        </is>
      </c>
      <c r="B1497" s="1" t="n">
        <v>45579</v>
      </c>
      <c r="C1497" s="1" t="n">
        <v>45584</v>
      </c>
      <c r="D1497" t="inlineStr">
        <is>
          <t>ÖREBRO LÄN</t>
        </is>
      </c>
      <c r="E1497" t="inlineStr">
        <is>
          <t>LINDESBERG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45994-2024</t>
        </is>
      </c>
      <c r="B1498" s="1" t="n">
        <v>45580</v>
      </c>
      <c r="C1498" s="1" t="n">
        <v>45584</v>
      </c>
      <c r="D1498" t="inlineStr">
        <is>
          <t>ÖREBRO LÄN</t>
        </is>
      </c>
      <c r="E1498" t="inlineStr">
        <is>
          <t>LINDESBERG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46039-2024</t>
        </is>
      </c>
      <c r="B1499" s="1" t="n">
        <v>45580</v>
      </c>
      <c r="C1499" s="1" t="n">
        <v>45584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46040-2024</t>
        </is>
      </c>
      <c r="B1500" s="1" t="n">
        <v>45580</v>
      </c>
      <c r="C1500" s="1" t="n">
        <v>45584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46484-2024</t>
        </is>
      </c>
      <c r="B1501" s="1" t="n">
        <v>45582</v>
      </c>
      <c r="C1501" s="1" t="n">
        <v>45584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46542-2024</t>
        </is>
      </c>
      <c r="B1502" s="1" t="n">
        <v>45582</v>
      </c>
      <c r="C1502" s="1" t="n">
        <v>45584</v>
      </c>
      <c r="D1502" t="inlineStr">
        <is>
          <t>ÖREBRO LÄN</t>
        </is>
      </c>
      <c r="E1502" t="inlineStr">
        <is>
          <t>LINDESBERG</t>
        </is>
      </c>
      <c r="G1502" t="n">
        <v>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46647-2024</t>
        </is>
      </c>
      <c r="B1503" s="1" t="n">
        <v>45583</v>
      </c>
      <c r="C1503" s="1" t="n">
        <v>45584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2024-10-19T12:24:44Z</dcterms:created>
  <dcterms:modified xmlns:dcterms="http://purl.org/dc/terms/" xmlns:xsi="http://www.w3.org/2001/XMLSchema-instance" xsi:type="dcterms:W3CDTF">2024-10-19T12:24:45Z</dcterms:modified>
</cp:coreProperties>
</file>