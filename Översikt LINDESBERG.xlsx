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46190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46190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46190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46190</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46190</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46190</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46190</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46190</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46190</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46190</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46190</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43429-2024</t>
        </is>
      </c>
      <c r="B14" s="1" t="n">
        <v>45568.63905092593</v>
      </c>
      <c r="C14" s="1" t="n">
        <v>46190</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42633-2025</t>
        </is>
      </c>
      <c r="B15" s="1" t="n">
        <v>45905.89554398148</v>
      </c>
      <c r="C15" s="1" t="n">
        <v>46190</v>
      </c>
      <c r="D15" t="inlineStr">
        <is>
          <t>ÖREBRO LÄN</t>
        </is>
      </c>
      <c r="E15" t="inlineStr">
        <is>
          <t>LINDESBERG</t>
        </is>
      </c>
      <c r="F15" t="inlineStr">
        <is>
          <t>Sveaskog</t>
        </is>
      </c>
      <c r="G15" t="n">
        <v>1.4</v>
      </c>
      <c r="H15" t="n">
        <v>1</v>
      </c>
      <c r="I15" t="n">
        <v>1</v>
      </c>
      <c r="J15" t="n">
        <v>4</v>
      </c>
      <c r="K15" t="n">
        <v>0</v>
      </c>
      <c r="L15" t="n">
        <v>1</v>
      </c>
      <c r="M15" t="n">
        <v>0</v>
      </c>
      <c r="N15" t="n">
        <v>0</v>
      </c>
      <c r="O15" t="n">
        <v>5</v>
      </c>
      <c r="P15" t="n">
        <v>1</v>
      </c>
      <c r="Q15" t="n">
        <v>6</v>
      </c>
      <c r="R15" s="2" t="inlineStr">
        <is>
          <t>Brun glada
Kandelabersvamp
Motaggsvamp
Svartvit taggsvamp
Veckticka
Blomkålssvamp</t>
        </is>
      </c>
      <c r="S15">
        <f>HYPERLINK("https://klasma.github.io/Logging_1885/artfynd/A 42633-2025 artfynd.xlsx", "A 42633-2025")</f>
        <v/>
      </c>
      <c r="T15">
        <f>HYPERLINK("https://klasma.github.io/Logging_1885/kartor/A 42633-2025 karta.png", "A 42633-2025")</f>
        <v/>
      </c>
      <c r="V15">
        <f>HYPERLINK("https://klasma.github.io/Logging_1885/klagomål/A 42633-2025 FSC-klagomål.docx", "A 42633-2025")</f>
        <v/>
      </c>
      <c r="W15">
        <f>HYPERLINK("https://klasma.github.io/Logging_1885/klagomålsmail/A 42633-2025 FSC-klagomål mail.docx", "A 42633-2025")</f>
        <v/>
      </c>
      <c r="X15">
        <f>HYPERLINK("https://klasma.github.io/Logging_1885/tillsyn/A 42633-2025 tillsynsbegäran.docx", "A 42633-2025")</f>
        <v/>
      </c>
      <c r="Y15">
        <f>HYPERLINK("https://klasma.github.io/Logging_1885/tillsynsmail/A 42633-2025 tillsynsbegäran mail.docx", "A 42633-2025")</f>
        <v/>
      </c>
      <c r="Z15">
        <f>HYPERLINK("https://klasma.github.io/Logging_1885/fåglar/A 42633-2025 prioriterade fågelarter.docx", "A 42633-2025")</f>
        <v/>
      </c>
    </row>
    <row r="16" ht="15" customHeight="1">
      <c r="A16" t="inlineStr">
        <is>
          <t>A 8195-2026</t>
        </is>
      </c>
      <c r="B16" s="1" t="n">
        <v>46064.43017361111</v>
      </c>
      <c r="C16" s="1" t="n">
        <v>46190</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46190</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54241-2025</t>
        </is>
      </c>
      <c r="B18" s="1" t="n">
        <v>45964.63199074074</v>
      </c>
      <c r="C18" s="1" t="n">
        <v>46190</v>
      </c>
      <c r="D18" t="inlineStr">
        <is>
          <t>ÖREBRO LÄN</t>
        </is>
      </c>
      <c r="E18" t="inlineStr">
        <is>
          <t>LINDESBERG</t>
        </is>
      </c>
      <c r="G18" t="n">
        <v>4</v>
      </c>
      <c r="H18" t="n">
        <v>4</v>
      </c>
      <c r="I18" t="n">
        <v>1</v>
      </c>
      <c r="J18" t="n">
        <v>3</v>
      </c>
      <c r="K18" t="n">
        <v>1</v>
      </c>
      <c r="L18" t="n">
        <v>0</v>
      </c>
      <c r="M18" t="n">
        <v>0</v>
      </c>
      <c r="N18" t="n">
        <v>0</v>
      </c>
      <c r="O18" t="n">
        <v>4</v>
      </c>
      <c r="P18" t="n">
        <v>1</v>
      </c>
      <c r="Q18" t="n">
        <v>6</v>
      </c>
      <c r="R18" s="2" t="inlineStr">
        <is>
          <t>Knärot
Spillkråka
Talltita
Ullticka
Grönpyrola
Kungsfågel</t>
        </is>
      </c>
      <c r="S18">
        <f>HYPERLINK("https://klasma.github.io/Logging_1885/artfynd/A 54241-2025 artfynd.xlsx", "A 54241-2025")</f>
        <v/>
      </c>
      <c r="T18">
        <f>HYPERLINK("https://klasma.github.io/Logging_1885/kartor/A 54241-2025 karta.png", "A 54241-2025")</f>
        <v/>
      </c>
      <c r="U18">
        <f>HYPERLINK("https://klasma.github.io/Logging_1885/knärot/A 54241-2025 karta knärot.png", "A 54241-2025")</f>
        <v/>
      </c>
      <c r="V18">
        <f>HYPERLINK("https://klasma.github.io/Logging_1885/klagomål/A 54241-2025 FSC-klagomål.docx", "A 54241-2025")</f>
        <v/>
      </c>
      <c r="W18">
        <f>HYPERLINK("https://klasma.github.io/Logging_1885/klagomålsmail/A 54241-2025 FSC-klagomål mail.docx", "A 54241-2025")</f>
        <v/>
      </c>
      <c r="X18">
        <f>HYPERLINK("https://klasma.github.io/Logging_1885/tillsyn/A 54241-2025 tillsynsbegäran.docx", "A 54241-2025")</f>
        <v/>
      </c>
      <c r="Y18">
        <f>HYPERLINK("https://klasma.github.io/Logging_1885/tillsynsmail/A 54241-2025 tillsynsbegäran mail.docx", "A 54241-2025")</f>
        <v/>
      </c>
      <c r="Z18">
        <f>HYPERLINK("https://klasma.github.io/Logging_1885/fåglar/A 54241-2025 prioriterade fågelarter.docx", "A 54241-2025")</f>
        <v/>
      </c>
    </row>
    <row r="19" ht="15" customHeight="1">
      <c r="A19" t="inlineStr">
        <is>
          <t>A 8189-2026</t>
        </is>
      </c>
      <c r="B19" s="1" t="n">
        <v>46064.42460648148</v>
      </c>
      <c r="C19" s="1" t="n">
        <v>46190</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46190</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19260-2026</t>
        </is>
      </c>
      <c r="B21" s="1" t="n">
        <v>46132.70711805556</v>
      </c>
      <c r="C21" s="1" t="n">
        <v>46190</v>
      </c>
      <c r="D21" t="inlineStr">
        <is>
          <t>ÖREBRO LÄN</t>
        </is>
      </c>
      <c r="E21" t="inlineStr">
        <is>
          <t>LINDESBERG</t>
        </is>
      </c>
      <c r="G21" t="n">
        <v>1.4</v>
      </c>
      <c r="H21" t="n">
        <v>3</v>
      </c>
      <c r="I21" t="n">
        <v>1</v>
      </c>
      <c r="J21" t="n">
        <v>1</v>
      </c>
      <c r="K21" t="n">
        <v>0</v>
      </c>
      <c r="L21" t="n">
        <v>0</v>
      </c>
      <c r="M21" t="n">
        <v>0</v>
      </c>
      <c r="N21" t="n">
        <v>0</v>
      </c>
      <c r="O21" t="n">
        <v>1</v>
      </c>
      <c r="P21" t="n">
        <v>0</v>
      </c>
      <c r="Q21" t="n">
        <v>4</v>
      </c>
      <c r="R21" s="2" t="inlineStr">
        <is>
          <t>Spillkråka
Bronshjon
Grönsiska
Fläcknycklar</t>
        </is>
      </c>
      <c r="S21">
        <f>HYPERLINK("https://klasma.github.io/Logging_1885/artfynd/A 19260-2026 artfynd.xlsx", "A 19260-2026")</f>
        <v/>
      </c>
      <c r="T21">
        <f>HYPERLINK("https://klasma.github.io/Logging_1885/kartor/A 19260-2026 karta.png", "A 19260-2026")</f>
        <v/>
      </c>
      <c r="V21">
        <f>HYPERLINK("https://klasma.github.io/Logging_1885/klagomål/A 19260-2026 FSC-klagomål.docx", "A 19260-2026")</f>
        <v/>
      </c>
      <c r="W21">
        <f>HYPERLINK("https://klasma.github.io/Logging_1885/klagomålsmail/A 19260-2026 FSC-klagomål mail.docx", "A 19260-2026")</f>
        <v/>
      </c>
      <c r="X21">
        <f>HYPERLINK("https://klasma.github.io/Logging_1885/tillsyn/A 19260-2026 tillsynsbegäran.docx", "A 19260-2026")</f>
        <v/>
      </c>
      <c r="Y21">
        <f>HYPERLINK("https://klasma.github.io/Logging_1885/tillsynsmail/A 19260-2026 tillsynsbegäran mail.docx", "A 19260-2026")</f>
        <v/>
      </c>
      <c r="Z21">
        <f>HYPERLINK("https://klasma.github.io/Logging_1885/fåglar/A 19260-2026 prioriterade fågelarter.docx", "A 19260-2026")</f>
        <v/>
      </c>
    </row>
    <row r="22" ht="15" customHeight="1">
      <c r="A22" t="inlineStr">
        <is>
          <t>A 21467-2026</t>
        </is>
      </c>
      <c r="B22" s="1" t="n">
        <v>46148</v>
      </c>
      <c r="C22" s="1" t="n">
        <v>46190</v>
      </c>
      <c r="D22" t="inlineStr">
        <is>
          <t>ÖREBRO LÄN</t>
        </is>
      </c>
      <c r="E22" t="inlineStr">
        <is>
          <t>LINDESBERG</t>
        </is>
      </c>
      <c r="G22" t="n">
        <v>1.5</v>
      </c>
      <c r="H22" t="n">
        <v>2</v>
      </c>
      <c r="I22" t="n">
        <v>1</v>
      </c>
      <c r="J22" t="n">
        <v>2</v>
      </c>
      <c r="K22" t="n">
        <v>0</v>
      </c>
      <c r="L22" t="n">
        <v>0</v>
      </c>
      <c r="M22" t="n">
        <v>0</v>
      </c>
      <c r="N22" t="n">
        <v>0</v>
      </c>
      <c r="O22" t="n">
        <v>2</v>
      </c>
      <c r="P22" t="n">
        <v>0</v>
      </c>
      <c r="Q22" t="n">
        <v>4</v>
      </c>
      <c r="R22" s="2" t="inlineStr">
        <is>
          <t>Spillkråka
Ullticka
Bronshjon
Fläcknycklar</t>
        </is>
      </c>
      <c r="S22">
        <f>HYPERLINK("https://klasma.github.io/Logging_1885/artfynd/A 21467-2026 artfynd.xlsx", "A 21467-2026")</f>
        <v/>
      </c>
      <c r="T22">
        <f>HYPERLINK("https://klasma.github.io/Logging_1885/kartor/A 21467-2026 karta.png", "A 21467-2026")</f>
        <v/>
      </c>
      <c r="U22">
        <f>HYPERLINK("https://klasma.github.io/Logging_1885/knärot/A 21467-2026 karta knärot.png", "A 21467-2026")</f>
        <v/>
      </c>
      <c r="V22">
        <f>HYPERLINK("https://klasma.github.io/Logging_1885/klagomål/A 21467-2026 FSC-klagomål.docx", "A 21467-2026")</f>
        <v/>
      </c>
      <c r="W22">
        <f>HYPERLINK("https://klasma.github.io/Logging_1885/klagomålsmail/A 21467-2026 FSC-klagomål mail.docx", "A 21467-2026")</f>
        <v/>
      </c>
      <c r="X22">
        <f>HYPERLINK("https://klasma.github.io/Logging_1885/tillsyn/A 21467-2026 tillsynsbegäran.docx", "A 21467-2026")</f>
        <v/>
      </c>
      <c r="Y22">
        <f>HYPERLINK("https://klasma.github.io/Logging_1885/tillsynsmail/A 21467-2026 tillsynsbegäran mail.docx", "A 21467-2026")</f>
        <v/>
      </c>
      <c r="Z22">
        <f>HYPERLINK("https://klasma.github.io/Logging_1885/fåglar/A 21467-2026 prioriterade fågelarter.docx", "A 21467-2026")</f>
        <v/>
      </c>
    </row>
    <row r="23" ht="15" customHeight="1">
      <c r="A23" t="inlineStr">
        <is>
          <t>A 57803-2021</t>
        </is>
      </c>
      <c r="B23" s="1" t="n">
        <v>44484</v>
      </c>
      <c r="C23" s="1" t="n">
        <v>46190</v>
      </c>
      <c r="D23" t="inlineStr">
        <is>
          <t>ÖREBRO LÄN</t>
        </is>
      </c>
      <c r="E23" t="inlineStr">
        <is>
          <t>LINDESBERG</t>
        </is>
      </c>
      <c r="G23" t="n">
        <v>9.4</v>
      </c>
      <c r="H23" t="n">
        <v>2</v>
      </c>
      <c r="I23" t="n">
        <v>0</v>
      </c>
      <c r="J23" t="n">
        <v>2</v>
      </c>
      <c r="K23" t="n">
        <v>0</v>
      </c>
      <c r="L23" t="n">
        <v>0</v>
      </c>
      <c r="M23" t="n">
        <v>0</v>
      </c>
      <c r="N23" t="n">
        <v>0</v>
      </c>
      <c r="O23" t="n">
        <v>2</v>
      </c>
      <c r="P23" t="n">
        <v>0</v>
      </c>
      <c r="Q23" t="n">
        <v>3</v>
      </c>
      <c r="R23" s="2" t="inlineStr">
        <is>
          <t>Motaggsvamp
Talltita
Tjäder</t>
        </is>
      </c>
      <c r="S23">
        <f>HYPERLINK("https://klasma.github.io/Logging_1885/artfynd/A 57803-2021 artfynd.xlsx", "A 57803-2021")</f>
        <v/>
      </c>
      <c r="T23">
        <f>HYPERLINK("https://klasma.github.io/Logging_1885/kartor/A 57803-2021 karta.png", "A 57803-2021")</f>
        <v/>
      </c>
      <c r="V23">
        <f>HYPERLINK("https://klasma.github.io/Logging_1885/klagomål/A 57803-2021 FSC-klagomål.docx", "A 57803-2021")</f>
        <v/>
      </c>
      <c r="W23">
        <f>HYPERLINK("https://klasma.github.io/Logging_1885/klagomålsmail/A 57803-2021 FSC-klagomål mail.docx", "A 57803-2021")</f>
        <v/>
      </c>
      <c r="X23">
        <f>HYPERLINK("https://klasma.github.io/Logging_1885/tillsyn/A 57803-2021 tillsynsbegäran.docx", "A 57803-2021")</f>
        <v/>
      </c>
      <c r="Y23">
        <f>HYPERLINK("https://klasma.github.io/Logging_1885/tillsynsmail/A 57803-2021 tillsynsbegäran mail.docx", "A 57803-2021")</f>
        <v/>
      </c>
      <c r="Z23">
        <f>HYPERLINK("https://klasma.github.io/Logging_1885/fåglar/A 57803-2021 prioriterade fågelarter.docx", "A 57803-2021")</f>
        <v/>
      </c>
    </row>
    <row r="24" ht="15" customHeight="1">
      <c r="A24" t="inlineStr">
        <is>
          <t>A 50989-2023</t>
        </is>
      </c>
      <c r="B24" s="1" t="n">
        <v>45218</v>
      </c>
      <c r="C24" s="1" t="n">
        <v>46190</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46190</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42636-2025</t>
        </is>
      </c>
      <c r="B26" s="1" t="n">
        <v>45905.90789351852</v>
      </c>
      <c r="C26" s="1" t="n">
        <v>46190</v>
      </c>
      <c r="D26" t="inlineStr">
        <is>
          <t>ÖREBRO LÄN</t>
        </is>
      </c>
      <c r="E26" t="inlineStr">
        <is>
          <t>LINDESBERG</t>
        </is>
      </c>
      <c r="F26" t="inlineStr">
        <is>
          <t>Sveaskog</t>
        </is>
      </c>
      <c r="G26" t="n">
        <v>1.9</v>
      </c>
      <c r="H26" t="n">
        <v>1</v>
      </c>
      <c r="I26" t="n">
        <v>0</v>
      </c>
      <c r="J26" t="n">
        <v>2</v>
      </c>
      <c r="K26" t="n">
        <v>0</v>
      </c>
      <c r="L26" t="n">
        <v>0</v>
      </c>
      <c r="M26" t="n">
        <v>0</v>
      </c>
      <c r="N26" t="n">
        <v>0</v>
      </c>
      <c r="O26" t="n">
        <v>2</v>
      </c>
      <c r="P26" t="n">
        <v>0</v>
      </c>
      <c r="Q26" t="n">
        <v>3</v>
      </c>
      <c r="R26" s="2" t="inlineStr">
        <is>
          <t>Motaggsvamp
Ullticka
Revlummer</t>
        </is>
      </c>
      <c r="S26">
        <f>HYPERLINK("https://klasma.github.io/Logging_1885/artfynd/A 42636-2025 artfynd.xlsx", "A 42636-2025")</f>
        <v/>
      </c>
      <c r="T26">
        <f>HYPERLINK("https://klasma.github.io/Logging_1885/kartor/A 42636-2025 karta.png", "A 42636-2025")</f>
        <v/>
      </c>
      <c r="U26">
        <f>HYPERLINK("https://klasma.github.io/Logging_1885/knärot/A 42636-2025 karta knärot.png", "A 42636-2025")</f>
        <v/>
      </c>
      <c r="V26">
        <f>HYPERLINK("https://klasma.github.io/Logging_1885/klagomål/A 42636-2025 FSC-klagomål.docx", "A 42636-2025")</f>
        <v/>
      </c>
      <c r="W26">
        <f>HYPERLINK("https://klasma.github.io/Logging_1885/klagomålsmail/A 42636-2025 FSC-klagomål mail.docx", "A 42636-2025")</f>
        <v/>
      </c>
      <c r="X26">
        <f>HYPERLINK("https://klasma.github.io/Logging_1885/tillsyn/A 42636-2025 tillsynsbegäran.docx", "A 42636-2025")</f>
        <v/>
      </c>
      <c r="Y26">
        <f>HYPERLINK("https://klasma.github.io/Logging_1885/tillsynsmail/A 42636-2025 tillsynsbegäran mail.docx", "A 42636-2025")</f>
        <v/>
      </c>
    </row>
    <row r="27" ht="15" customHeight="1">
      <c r="A27" t="inlineStr">
        <is>
          <t>A 42628-2025</t>
        </is>
      </c>
      <c r="B27" s="1" t="n">
        <v>45905.83755787037</v>
      </c>
      <c r="C27" s="1" t="n">
        <v>46190</v>
      </c>
      <c r="D27" t="inlineStr">
        <is>
          <t>ÖREBRO LÄN</t>
        </is>
      </c>
      <c r="E27" t="inlineStr">
        <is>
          <t>LINDESBERG</t>
        </is>
      </c>
      <c r="F27" t="inlineStr">
        <is>
          <t>Sveaskog</t>
        </is>
      </c>
      <c r="G27" t="n">
        <v>3.7</v>
      </c>
      <c r="H27" t="n">
        <v>0</v>
      </c>
      <c r="I27" t="n">
        <v>0</v>
      </c>
      <c r="J27" t="n">
        <v>2</v>
      </c>
      <c r="K27" t="n">
        <v>1</v>
      </c>
      <c r="L27" t="n">
        <v>0</v>
      </c>
      <c r="M27" t="n">
        <v>0</v>
      </c>
      <c r="N27" t="n">
        <v>0</v>
      </c>
      <c r="O27" t="n">
        <v>3</v>
      </c>
      <c r="P27" t="n">
        <v>1</v>
      </c>
      <c r="Q27" t="n">
        <v>3</v>
      </c>
      <c r="R27" s="2" t="inlineStr">
        <is>
          <t>Jättemusseron
Backtimjan
Tallticka</t>
        </is>
      </c>
      <c r="S27">
        <f>HYPERLINK("https://klasma.github.io/Logging_1885/artfynd/A 42628-2025 artfynd.xlsx", "A 42628-2025")</f>
        <v/>
      </c>
      <c r="T27">
        <f>HYPERLINK("https://klasma.github.io/Logging_1885/kartor/A 42628-2025 karta.png", "A 42628-2025")</f>
        <v/>
      </c>
      <c r="V27">
        <f>HYPERLINK("https://klasma.github.io/Logging_1885/klagomål/A 42628-2025 FSC-klagomål.docx", "A 42628-2025")</f>
        <v/>
      </c>
      <c r="W27">
        <f>HYPERLINK("https://klasma.github.io/Logging_1885/klagomålsmail/A 42628-2025 FSC-klagomål mail.docx", "A 42628-2025")</f>
        <v/>
      </c>
      <c r="X27">
        <f>HYPERLINK("https://klasma.github.io/Logging_1885/tillsyn/A 42628-2025 tillsynsbegäran.docx", "A 42628-2025")</f>
        <v/>
      </c>
      <c r="Y27">
        <f>HYPERLINK("https://klasma.github.io/Logging_1885/tillsynsmail/A 42628-2025 tillsynsbegäran mail.docx", "A 42628-2025")</f>
        <v/>
      </c>
    </row>
    <row r="28" ht="15" customHeight="1">
      <c r="A28" t="inlineStr">
        <is>
          <t>A 49945-2025</t>
        </is>
      </c>
      <c r="B28" s="1" t="n">
        <v>45940.69754629629</v>
      </c>
      <c r="C28" s="1" t="n">
        <v>46190</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54020-2024</t>
        </is>
      </c>
      <c r="B29" s="1" t="n">
        <v>45616.38605324074</v>
      </c>
      <c r="C29" s="1" t="n">
        <v>46190</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20364-2026</t>
        </is>
      </c>
      <c r="B30" s="1" t="n">
        <v>46139.67759259259</v>
      </c>
      <c r="C30" s="1" t="n">
        <v>46190</v>
      </c>
      <c r="D30" t="inlineStr">
        <is>
          <t>ÖREBRO LÄN</t>
        </is>
      </c>
      <c r="E30" t="inlineStr">
        <is>
          <t>LINDESBERG</t>
        </is>
      </c>
      <c r="G30" t="n">
        <v>8.199999999999999</v>
      </c>
      <c r="H30" t="n">
        <v>2</v>
      </c>
      <c r="I30" t="n">
        <v>1</v>
      </c>
      <c r="J30" t="n">
        <v>2</v>
      </c>
      <c r="K30" t="n">
        <v>0</v>
      </c>
      <c r="L30" t="n">
        <v>0</v>
      </c>
      <c r="M30" t="n">
        <v>0</v>
      </c>
      <c r="N30" t="n">
        <v>0</v>
      </c>
      <c r="O30" t="n">
        <v>2</v>
      </c>
      <c r="P30" t="n">
        <v>0</v>
      </c>
      <c r="Q30" t="n">
        <v>3</v>
      </c>
      <c r="R30" s="2" t="inlineStr">
        <is>
          <t>Spillkråka
Tretåig hackspett
Bronshjon</t>
        </is>
      </c>
      <c r="S30">
        <f>HYPERLINK("https://klasma.github.io/Logging_1885/artfynd/A 20364-2026 artfynd.xlsx", "A 20364-2026")</f>
        <v/>
      </c>
      <c r="T30">
        <f>HYPERLINK("https://klasma.github.io/Logging_1885/kartor/A 20364-2026 karta.png", "A 20364-2026")</f>
        <v/>
      </c>
      <c r="V30">
        <f>HYPERLINK("https://klasma.github.io/Logging_1885/klagomål/A 20364-2026 FSC-klagomål.docx", "A 20364-2026")</f>
        <v/>
      </c>
      <c r="W30">
        <f>HYPERLINK("https://klasma.github.io/Logging_1885/klagomålsmail/A 20364-2026 FSC-klagomål mail.docx", "A 20364-2026")</f>
        <v/>
      </c>
      <c r="X30">
        <f>HYPERLINK("https://klasma.github.io/Logging_1885/tillsyn/A 20364-2026 tillsynsbegäran.docx", "A 20364-2026")</f>
        <v/>
      </c>
      <c r="Y30">
        <f>HYPERLINK("https://klasma.github.io/Logging_1885/tillsynsmail/A 20364-2026 tillsynsbegäran mail.docx", "A 20364-2026")</f>
        <v/>
      </c>
      <c r="Z30">
        <f>HYPERLINK("https://klasma.github.io/Logging_1885/fåglar/A 20364-2026 prioriterade fågelarter.docx", "A 20364-2026")</f>
        <v/>
      </c>
    </row>
    <row r="31" ht="15" customHeight="1">
      <c r="A31" t="inlineStr">
        <is>
          <t>A 20744-2026</t>
        </is>
      </c>
      <c r="B31" s="1" t="n">
        <v>46141.58104166666</v>
      </c>
      <c r="C31" s="1" t="n">
        <v>46190</v>
      </c>
      <c r="D31" t="inlineStr">
        <is>
          <t>ÖREBRO LÄN</t>
        </is>
      </c>
      <c r="E31" t="inlineStr">
        <is>
          <t>LINDESBERG</t>
        </is>
      </c>
      <c r="G31" t="n">
        <v>3</v>
      </c>
      <c r="H31" t="n">
        <v>3</v>
      </c>
      <c r="I31" t="n">
        <v>0</v>
      </c>
      <c r="J31" t="n">
        <v>1</v>
      </c>
      <c r="K31" t="n">
        <v>0</v>
      </c>
      <c r="L31" t="n">
        <v>1</v>
      </c>
      <c r="M31" t="n">
        <v>0</v>
      </c>
      <c r="N31" t="n">
        <v>0</v>
      </c>
      <c r="O31" t="n">
        <v>2</v>
      </c>
      <c r="P31" t="n">
        <v>1</v>
      </c>
      <c r="Q31" t="n">
        <v>3</v>
      </c>
      <c r="R31" s="2" t="inlineStr">
        <is>
          <t>Asknätfjäril
Spillkråka
Grönsiska</t>
        </is>
      </c>
      <c r="S31">
        <f>HYPERLINK("https://klasma.github.io/Logging_1885/artfynd/A 20744-2026 artfynd.xlsx", "A 20744-2026")</f>
        <v/>
      </c>
      <c r="T31">
        <f>HYPERLINK("https://klasma.github.io/Logging_1885/kartor/A 20744-2026 karta.png", "A 20744-2026")</f>
        <v/>
      </c>
      <c r="V31">
        <f>HYPERLINK("https://klasma.github.io/Logging_1885/klagomål/A 20744-2026 FSC-klagomål.docx", "A 20744-2026")</f>
        <v/>
      </c>
      <c r="W31">
        <f>HYPERLINK("https://klasma.github.io/Logging_1885/klagomålsmail/A 20744-2026 FSC-klagomål mail.docx", "A 20744-2026")</f>
        <v/>
      </c>
      <c r="X31">
        <f>HYPERLINK("https://klasma.github.io/Logging_1885/tillsyn/A 20744-2026 tillsynsbegäran.docx", "A 20744-2026")</f>
        <v/>
      </c>
      <c r="Y31">
        <f>HYPERLINK("https://klasma.github.io/Logging_1885/tillsynsmail/A 20744-2026 tillsynsbegäran mail.docx", "A 20744-2026")</f>
        <v/>
      </c>
      <c r="Z31">
        <f>HYPERLINK("https://klasma.github.io/Logging_1885/fåglar/A 20744-2026 prioriterade fågelarter.docx", "A 20744-2026")</f>
        <v/>
      </c>
    </row>
    <row r="32" ht="15" customHeight="1">
      <c r="A32" t="inlineStr">
        <is>
          <t>A 54332-2021</t>
        </is>
      </c>
      <c r="B32" s="1" t="n">
        <v>44472</v>
      </c>
      <c r="C32" s="1" t="n">
        <v>46190</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46190</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38380-2024</t>
        </is>
      </c>
      <c r="B34" s="1" t="n">
        <v>45546.28121527778</v>
      </c>
      <c r="C34" s="1" t="n">
        <v>46190</v>
      </c>
      <c r="D34" t="inlineStr">
        <is>
          <t>ÖREBRO LÄN</t>
        </is>
      </c>
      <c r="E34" t="inlineStr">
        <is>
          <t>LINDESBERG</t>
        </is>
      </c>
      <c r="G34" t="n">
        <v>6.8</v>
      </c>
      <c r="H34" t="n">
        <v>2</v>
      </c>
      <c r="I34" t="n">
        <v>0</v>
      </c>
      <c r="J34" t="n">
        <v>0</v>
      </c>
      <c r="K34" t="n">
        <v>0</v>
      </c>
      <c r="L34" t="n">
        <v>0</v>
      </c>
      <c r="M34" t="n">
        <v>0</v>
      </c>
      <c r="N34" t="n">
        <v>0</v>
      </c>
      <c r="O34" t="n">
        <v>0</v>
      </c>
      <c r="P34" t="n">
        <v>0</v>
      </c>
      <c r="Q34" t="n">
        <v>2</v>
      </c>
      <c r="R34" s="2" t="inlineStr">
        <is>
          <t>Blåsippa
Gullviva</t>
        </is>
      </c>
      <c r="S34">
        <f>HYPERLINK("https://klasma.github.io/Logging_1885/artfynd/A 38380-2024 artfynd.xlsx", "A 38380-2024")</f>
        <v/>
      </c>
      <c r="T34">
        <f>HYPERLINK("https://klasma.github.io/Logging_1885/kartor/A 38380-2024 karta.png", "A 38380-2024")</f>
        <v/>
      </c>
      <c r="V34">
        <f>HYPERLINK("https://klasma.github.io/Logging_1885/klagomål/A 38380-2024 FSC-klagomål.docx", "A 38380-2024")</f>
        <v/>
      </c>
      <c r="W34">
        <f>HYPERLINK("https://klasma.github.io/Logging_1885/klagomålsmail/A 38380-2024 FSC-klagomål mail.docx", "A 38380-2024")</f>
        <v/>
      </c>
      <c r="X34">
        <f>HYPERLINK("https://klasma.github.io/Logging_1885/tillsyn/A 38380-2024 tillsynsbegäran.docx", "A 38380-2024")</f>
        <v/>
      </c>
      <c r="Y34">
        <f>HYPERLINK("https://klasma.github.io/Logging_1885/tillsynsmail/A 38380-2024 tillsynsbegäran mail.docx", "A 38380-2024")</f>
        <v/>
      </c>
    </row>
    <row r="35" ht="15" customHeight="1">
      <c r="A35" t="inlineStr">
        <is>
          <t>A 1475-2025</t>
        </is>
      </c>
      <c r="B35" s="1" t="n">
        <v>45670</v>
      </c>
      <c r="C35" s="1" t="n">
        <v>46190</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42629-2025</t>
        </is>
      </c>
      <c r="B36" s="1" t="n">
        <v>45905.88938657408</v>
      </c>
      <c r="C36" s="1" t="n">
        <v>46190</v>
      </c>
      <c r="D36" t="inlineStr">
        <is>
          <t>ÖREBRO LÄN</t>
        </is>
      </c>
      <c r="E36" t="inlineStr">
        <is>
          <t>LINDESBERG</t>
        </is>
      </c>
      <c r="F36" t="inlineStr">
        <is>
          <t>Sveaskog</t>
        </is>
      </c>
      <c r="G36" t="n">
        <v>4.7</v>
      </c>
      <c r="H36" t="n">
        <v>2</v>
      </c>
      <c r="I36" t="n">
        <v>0</v>
      </c>
      <c r="J36" t="n">
        <v>0</v>
      </c>
      <c r="K36" t="n">
        <v>0</v>
      </c>
      <c r="L36" t="n">
        <v>0</v>
      </c>
      <c r="M36" t="n">
        <v>0</v>
      </c>
      <c r="N36" t="n">
        <v>0</v>
      </c>
      <c r="O36" t="n">
        <v>0</v>
      </c>
      <c r="P36" t="n">
        <v>0</v>
      </c>
      <c r="Q36" t="n">
        <v>2</v>
      </c>
      <c r="R36" s="2" t="inlineStr">
        <is>
          <t>Orre
Tjäder</t>
        </is>
      </c>
      <c r="S36">
        <f>HYPERLINK("https://klasma.github.io/Logging_1885/artfynd/A 42629-2025 artfynd.xlsx", "A 42629-2025")</f>
        <v/>
      </c>
      <c r="T36">
        <f>HYPERLINK("https://klasma.github.io/Logging_1885/kartor/A 42629-2025 karta.png", "A 42629-2025")</f>
        <v/>
      </c>
      <c r="V36">
        <f>HYPERLINK("https://klasma.github.io/Logging_1885/klagomål/A 42629-2025 FSC-klagomål.docx", "A 42629-2025")</f>
        <v/>
      </c>
      <c r="W36">
        <f>HYPERLINK("https://klasma.github.io/Logging_1885/klagomålsmail/A 42629-2025 FSC-klagomål mail.docx", "A 42629-2025")</f>
        <v/>
      </c>
      <c r="X36">
        <f>HYPERLINK("https://klasma.github.io/Logging_1885/tillsyn/A 42629-2025 tillsynsbegäran.docx", "A 42629-2025")</f>
        <v/>
      </c>
      <c r="Y36">
        <f>HYPERLINK("https://klasma.github.io/Logging_1885/tillsynsmail/A 42629-2025 tillsynsbegäran mail.docx", "A 42629-2025")</f>
        <v/>
      </c>
      <c r="Z36">
        <f>HYPERLINK("https://klasma.github.io/Logging_1885/fåglar/A 42629-2025 prioriterade fågelarter.docx", "A 42629-2025")</f>
        <v/>
      </c>
    </row>
    <row r="37" ht="15" customHeight="1">
      <c r="A37" t="inlineStr">
        <is>
          <t>A 15687-2023</t>
        </is>
      </c>
      <c r="B37" s="1" t="n">
        <v>45021</v>
      </c>
      <c r="C37" s="1" t="n">
        <v>46190</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46190</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57319-2025</t>
        </is>
      </c>
      <c r="B39" s="1" t="n">
        <v>45980.01497685185</v>
      </c>
      <c r="C39" s="1" t="n">
        <v>46190</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16103-2026</t>
        </is>
      </c>
      <c r="B40" s="1" t="n">
        <v>46108.59048611111</v>
      </c>
      <c r="C40" s="1" t="n">
        <v>46190</v>
      </c>
      <c r="D40" t="inlineStr">
        <is>
          <t>ÖREBRO LÄN</t>
        </is>
      </c>
      <c r="E40" t="inlineStr">
        <is>
          <t>LINDESBERG</t>
        </is>
      </c>
      <c r="G40" t="n">
        <v>5.5</v>
      </c>
      <c r="H40" t="n">
        <v>1</v>
      </c>
      <c r="I40" t="n">
        <v>0</v>
      </c>
      <c r="J40" t="n">
        <v>2</v>
      </c>
      <c r="K40" t="n">
        <v>0</v>
      </c>
      <c r="L40" t="n">
        <v>0</v>
      </c>
      <c r="M40" t="n">
        <v>0</v>
      </c>
      <c r="N40" t="n">
        <v>0</v>
      </c>
      <c r="O40" t="n">
        <v>2</v>
      </c>
      <c r="P40" t="n">
        <v>0</v>
      </c>
      <c r="Q40" t="n">
        <v>2</v>
      </c>
      <c r="R40" s="2" t="inlineStr">
        <is>
          <t>Garnlav
Spillkråka</t>
        </is>
      </c>
      <c r="S40">
        <f>HYPERLINK("https://klasma.github.io/Logging_1885/artfynd/A 16103-2026 artfynd.xlsx", "A 16103-2026")</f>
        <v/>
      </c>
      <c r="T40">
        <f>HYPERLINK("https://klasma.github.io/Logging_1885/kartor/A 16103-2026 karta.png", "A 16103-2026")</f>
        <v/>
      </c>
      <c r="V40">
        <f>HYPERLINK("https://klasma.github.io/Logging_1885/klagomål/A 16103-2026 FSC-klagomål.docx", "A 16103-2026")</f>
        <v/>
      </c>
      <c r="W40">
        <f>HYPERLINK("https://klasma.github.io/Logging_1885/klagomålsmail/A 16103-2026 FSC-klagomål mail.docx", "A 16103-2026")</f>
        <v/>
      </c>
      <c r="X40">
        <f>HYPERLINK("https://klasma.github.io/Logging_1885/tillsyn/A 16103-2026 tillsynsbegäran.docx", "A 16103-2026")</f>
        <v/>
      </c>
      <c r="Y40">
        <f>HYPERLINK("https://klasma.github.io/Logging_1885/tillsynsmail/A 16103-2026 tillsynsbegäran mail.docx", "A 16103-2026")</f>
        <v/>
      </c>
      <c r="Z40">
        <f>HYPERLINK("https://klasma.github.io/Logging_1885/fåglar/A 16103-2026 prioriterade fågelarter.docx", "A 16103-2026")</f>
        <v/>
      </c>
    </row>
    <row r="41" ht="15" customHeight="1">
      <c r="A41" t="inlineStr">
        <is>
          <t>A 25097-2026</t>
        </is>
      </c>
      <c r="B41" s="1" t="n">
        <v>46175.34005787037</v>
      </c>
      <c r="C41" s="1" t="n">
        <v>46190</v>
      </c>
      <c r="D41" t="inlineStr">
        <is>
          <t>ÖREBRO LÄN</t>
        </is>
      </c>
      <c r="E41" t="inlineStr">
        <is>
          <t>LINDESBERG</t>
        </is>
      </c>
      <c r="F41" t="inlineStr">
        <is>
          <t>Sveaskog</t>
        </is>
      </c>
      <c r="G41" t="n">
        <v>23</v>
      </c>
      <c r="H41" t="n">
        <v>1</v>
      </c>
      <c r="I41" t="n">
        <v>1</v>
      </c>
      <c r="J41" t="n">
        <v>0</v>
      </c>
      <c r="K41" t="n">
        <v>0</v>
      </c>
      <c r="L41" t="n">
        <v>0</v>
      </c>
      <c r="M41" t="n">
        <v>0</v>
      </c>
      <c r="N41" t="n">
        <v>0</v>
      </c>
      <c r="O41" t="n">
        <v>0</v>
      </c>
      <c r="P41" t="n">
        <v>0</v>
      </c>
      <c r="Q41" t="n">
        <v>2</v>
      </c>
      <c r="R41" s="2" t="inlineStr">
        <is>
          <t>Korallblylav
Fläcknycklar</t>
        </is>
      </c>
      <c r="S41">
        <f>HYPERLINK("https://klasma.github.io/Logging_1885/artfynd/A 25097-2026 artfynd.xlsx", "A 25097-2026")</f>
        <v/>
      </c>
      <c r="T41">
        <f>HYPERLINK("https://klasma.github.io/Logging_1885/kartor/A 25097-2026 karta.png", "A 25097-2026")</f>
        <v/>
      </c>
      <c r="V41">
        <f>HYPERLINK("https://klasma.github.io/Logging_1885/klagomål/A 25097-2026 FSC-klagomål.docx", "A 25097-2026")</f>
        <v/>
      </c>
      <c r="W41">
        <f>HYPERLINK("https://klasma.github.io/Logging_1885/klagomålsmail/A 25097-2026 FSC-klagomål mail.docx", "A 25097-2026")</f>
        <v/>
      </c>
      <c r="X41">
        <f>HYPERLINK("https://klasma.github.io/Logging_1885/tillsyn/A 25097-2026 tillsynsbegäran.docx", "A 25097-2026")</f>
        <v/>
      </c>
      <c r="Y41">
        <f>HYPERLINK("https://klasma.github.io/Logging_1885/tillsynsmail/A 25097-2026 tillsynsbegäran mail.docx", "A 25097-2026")</f>
        <v/>
      </c>
    </row>
    <row r="42" ht="15" customHeight="1">
      <c r="A42" t="inlineStr">
        <is>
          <t>A 25096-2026</t>
        </is>
      </c>
      <c r="B42" s="1" t="n">
        <v>46175.33916666666</v>
      </c>
      <c r="C42" s="1" t="n">
        <v>46190</v>
      </c>
      <c r="D42" t="inlineStr">
        <is>
          <t>ÖREBRO LÄN</t>
        </is>
      </c>
      <c r="E42" t="inlineStr">
        <is>
          <t>LINDESBERG</t>
        </is>
      </c>
      <c r="F42" t="inlineStr">
        <is>
          <t>Sveaskog</t>
        </is>
      </c>
      <c r="G42" t="n">
        <v>6.7</v>
      </c>
      <c r="H42" t="n">
        <v>1</v>
      </c>
      <c r="I42" t="n">
        <v>0</v>
      </c>
      <c r="J42" t="n">
        <v>1</v>
      </c>
      <c r="K42" t="n">
        <v>0</v>
      </c>
      <c r="L42" t="n">
        <v>0</v>
      </c>
      <c r="M42" t="n">
        <v>0</v>
      </c>
      <c r="N42" t="n">
        <v>0</v>
      </c>
      <c r="O42" t="n">
        <v>1</v>
      </c>
      <c r="P42" t="n">
        <v>0</v>
      </c>
      <c r="Q42" t="n">
        <v>2</v>
      </c>
      <c r="R42" s="2" t="inlineStr">
        <is>
          <t>Lunglav
Revlummer</t>
        </is>
      </c>
      <c r="S42">
        <f>HYPERLINK("https://klasma.github.io/Logging_1885/artfynd/A 25096-2026 artfynd.xlsx", "A 25096-2026")</f>
        <v/>
      </c>
      <c r="T42">
        <f>HYPERLINK("https://klasma.github.io/Logging_1885/kartor/A 25096-2026 karta.png", "A 25096-2026")</f>
        <v/>
      </c>
      <c r="V42">
        <f>HYPERLINK("https://klasma.github.io/Logging_1885/klagomål/A 25096-2026 FSC-klagomål.docx", "A 25096-2026")</f>
        <v/>
      </c>
      <c r="W42">
        <f>HYPERLINK("https://klasma.github.io/Logging_1885/klagomålsmail/A 25096-2026 FSC-klagomål mail.docx", "A 25096-2026")</f>
        <v/>
      </c>
      <c r="X42">
        <f>HYPERLINK("https://klasma.github.io/Logging_1885/tillsyn/A 25096-2026 tillsynsbegäran.docx", "A 25096-2026")</f>
        <v/>
      </c>
      <c r="Y42">
        <f>HYPERLINK("https://klasma.github.io/Logging_1885/tillsynsmail/A 25096-2026 tillsynsbegäran mail.docx", "A 25096-2026")</f>
        <v/>
      </c>
    </row>
    <row r="43" ht="15" customHeight="1">
      <c r="A43" t="inlineStr">
        <is>
          <t>A 51851-2025</t>
        </is>
      </c>
      <c r="B43" s="1" t="n">
        <v>45952.35611111111</v>
      </c>
      <c r="C43" s="1" t="n">
        <v>46190</v>
      </c>
      <c r="D43" t="inlineStr">
        <is>
          <t>ÖREBRO LÄN</t>
        </is>
      </c>
      <c r="E43" t="inlineStr">
        <is>
          <t>LINDESBERG</t>
        </is>
      </c>
      <c r="G43" t="n">
        <v>6.9</v>
      </c>
      <c r="H43" t="n">
        <v>0</v>
      </c>
      <c r="I43" t="n">
        <v>0</v>
      </c>
      <c r="J43" t="n">
        <v>2</v>
      </c>
      <c r="K43" t="n">
        <v>0</v>
      </c>
      <c r="L43" t="n">
        <v>0</v>
      </c>
      <c r="M43" t="n">
        <v>0</v>
      </c>
      <c r="N43" t="n">
        <v>0</v>
      </c>
      <c r="O43" t="n">
        <v>2</v>
      </c>
      <c r="P43" t="n">
        <v>0</v>
      </c>
      <c r="Q43" t="n">
        <v>2</v>
      </c>
      <c r="R43" s="2" t="inlineStr">
        <is>
          <t>Garnlav
Motaggsvamp</t>
        </is>
      </c>
      <c r="S43">
        <f>HYPERLINK("https://klasma.github.io/Logging_1885/artfynd/A 51851-2025 artfynd.xlsx", "A 51851-2025")</f>
        <v/>
      </c>
      <c r="T43">
        <f>HYPERLINK("https://klasma.github.io/Logging_1885/kartor/A 51851-2025 karta.png", "A 51851-2025")</f>
        <v/>
      </c>
      <c r="V43">
        <f>HYPERLINK("https://klasma.github.io/Logging_1885/klagomål/A 51851-2025 FSC-klagomål.docx", "A 51851-2025")</f>
        <v/>
      </c>
      <c r="W43">
        <f>HYPERLINK("https://klasma.github.io/Logging_1885/klagomålsmail/A 51851-2025 FSC-klagomål mail.docx", "A 51851-2025")</f>
        <v/>
      </c>
      <c r="X43">
        <f>HYPERLINK("https://klasma.github.io/Logging_1885/tillsyn/A 51851-2025 tillsynsbegäran.docx", "A 51851-2025")</f>
        <v/>
      </c>
      <c r="Y43">
        <f>HYPERLINK("https://klasma.github.io/Logging_1885/tillsynsmail/A 51851-2025 tillsynsbegäran mail.docx", "A 51851-2025")</f>
        <v/>
      </c>
    </row>
    <row r="44" ht="15" customHeight="1">
      <c r="A44" t="inlineStr">
        <is>
          <t>A 32713-2021</t>
        </is>
      </c>
      <c r="B44" s="1" t="n">
        <v>44375</v>
      </c>
      <c r="C44" s="1" t="n">
        <v>46190</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46190</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17563-2022</t>
        </is>
      </c>
      <c r="B46" s="1" t="n">
        <v>44679</v>
      </c>
      <c r="C46" s="1" t="n">
        <v>46190</v>
      </c>
      <c r="D46" t="inlineStr">
        <is>
          <t>ÖREBRO LÄN</t>
        </is>
      </c>
      <c r="E46" t="inlineStr">
        <is>
          <t>LINDESBERG</t>
        </is>
      </c>
      <c r="G46" t="n">
        <v>1.4</v>
      </c>
      <c r="H46" t="n">
        <v>1</v>
      </c>
      <c r="I46" t="n">
        <v>0</v>
      </c>
      <c r="J46" t="n">
        <v>1</v>
      </c>
      <c r="K46" t="n">
        <v>0</v>
      </c>
      <c r="L46" t="n">
        <v>0</v>
      </c>
      <c r="M46" t="n">
        <v>0</v>
      </c>
      <c r="N46" t="n">
        <v>0</v>
      </c>
      <c r="O46" t="n">
        <v>1</v>
      </c>
      <c r="P46" t="n">
        <v>0</v>
      </c>
      <c r="Q46" t="n">
        <v>1</v>
      </c>
      <c r="R46" s="2" t="inlineStr">
        <is>
          <t>Fjällvråk</t>
        </is>
      </c>
      <c r="S46">
        <f>HYPERLINK("https://klasma.github.io/Logging_1885/artfynd/A 17563-2022 artfynd.xlsx", "A 17563-2022")</f>
        <v/>
      </c>
      <c r="T46">
        <f>HYPERLINK("https://klasma.github.io/Logging_1885/kartor/A 17563-2022 karta.png", "A 17563-2022")</f>
        <v/>
      </c>
      <c r="V46">
        <f>HYPERLINK("https://klasma.github.io/Logging_1885/klagomål/A 17563-2022 FSC-klagomål.docx", "A 17563-2022")</f>
        <v/>
      </c>
      <c r="W46">
        <f>HYPERLINK("https://klasma.github.io/Logging_1885/klagomålsmail/A 17563-2022 FSC-klagomål mail.docx", "A 17563-2022")</f>
        <v/>
      </c>
      <c r="X46">
        <f>HYPERLINK("https://klasma.github.io/Logging_1885/tillsyn/A 17563-2022 tillsynsbegäran.docx", "A 17563-2022")</f>
        <v/>
      </c>
      <c r="Y46">
        <f>HYPERLINK("https://klasma.github.io/Logging_1885/tillsynsmail/A 17563-2022 tillsynsbegäran mail.docx", "A 17563-2022")</f>
        <v/>
      </c>
      <c r="Z46">
        <f>HYPERLINK("https://klasma.github.io/Logging_1885/fåglar/A 17563-2022 prioriterade fågelarter.docx", "A 17563-2022")</f>
        <v/>
      </c>
    </row>
    <row r="47" ht="15" customHeight="1">
      <c r="A47" t="inlineStr">
        <is>
          <t>A 64513-2023</t>
        </is>
      </c>
      <c r="B47" s="1" t="n">
        <v>45281</v>
      </c>
      <c r="C47" s="1" t="n">
        <v>46190</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61132-2024</t>
        </is>
      </c>
      <c r="B48" s="1" t="n">
        <v>45645</v>
      </c>
      <c r="C48" s="1" t="n">
        <v>46190</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21440-2025</t>
        </is>
      </c>
      <c r="B49" s="1" t="n">
        <v>45782.5300462963</v>
      </c>
      <c r="C49" s="1" t="n">
        <v>46190</v>
      </c>
      <c r="D49" t="inlineStr">
        <is>
          <t>ÖREBRO LÄN</t>
        </is>
      </c>
      <c r="E49" t="inlineStr">
        <is>
          <t>LINDESBERG</t>
        </is>
      </c>
      <c r="F49" t="inlineStr">
        <is>
          <t>Sveaskog</t>
        </is>
      </c>
      <c r="G49" t="n">
        <v>1.3</v>
      </c>
      <c r="H49" t="n">
        <v>0</v>
      </c>
      <c r="I49" t="n">
        <v>0</v>
      </c>
      <c r="J49" t="n">
        <v>1</v>
      </c>
      <c r="K49" t="n">
        <v>0</v>
      </c>
      <c r="L49" t="n">
        <v>0</v>
      </c>
      <c r="M49" t="n">
        <v>0</v>
      </c>
      <c r="N49" t="n">
        <v>0</v>
      </c>
      <c r="O49" t="n">
        <v>1</v>
      </c>
      <c r="P49" t="n">
        <v>0</v>
      </c>
      <c r="Q49" t="n">
        <v>1</v>
      </c>
      <c r="R49" s="2" t="inlineStr">
        <is>
          <t>Motaggsvamp</t>
        </is>
      </c>
      <c r="S49">
        <f>HYPERLINK("https://klasma.github.io/Logging_1885/artfynd/A 21440-2025 artfynd.xlsx", "A 21440-2025")</f>
        <v/>
      </c>
      <c r="T49">
        <f>HYPERLINK("https://klasma.github.io/Logging_1885/kartor/A 21440-2025 karta.png", "A 21440-2025")</f>
        <v/>
      </c>
      <c r="V49">
        <f>HYPERLINK("https://klasma.github.io/Logging_1885/klagomål/A 21440-2025 FSC-klagomål.docx", "A 21440-2025")</f>
        <v/>
      </c>
      <c r="W49">
        <f>HYPERLINK("https://klasma.github.io/Logging_1885/klagomålsmail/A 21440-2025 FSC-klagomål mail.docx", "A 21440-2025")</f>
        <v/>
      </c>
      <c r="X49">
        <f>HYPERLINK("https://klasma.github.io/Logging_1885/tillsyn/A 21440-2025 tillsynsbegäran.docx", "A 21440-2025")</f>
        <v/>
      </c>
      <c r="Y49">
        <f>HYPERLINK("https://klasma.github.io/Logging_1885/tillsynsmail/A 21440-2025 tillsynsbegäran mail.docx", "A 21440-2025")</f>
        <v/>
      </c>
    </row>
    <row r="50" ht="15" customHeight="1">
      <c r="A50" t="inlineStr">
        <is>
          <t>A 67013-2021</t>
        </is>
      </c>
      <c r="B50" s="1" t="n">
        <v>44522</v>
      </c>
      <c r="C50" s="1" t="n">
        <v>46190</v>
      </c>
      <c r="D50" t="inlineStr">
        <is>
          <t>ÖREBRO LÄN</t>
        </is>
      </c>
      <c r="E50" t="inlineStr">
        <is>
          <t>LINDESBERG</t>
        </is>
      </c>
      <c r="G50" t="n">
        <v>0.5</v>
      </c>
      <c r="H50" t="n">
        <v>0</v>
      </c>
      <c r="I50" t="n">
        <v>0</v>
      </c>
      <c r="J50" t="n">
        <v>1</v>
      </c>
      <c r="K50" t="n">
        <v>0</v>
      </c>
      <c r="L50" t="n">
        <v>0</v>
      </c>
      <c r="M50" t="n">
        <v>0</v>
      </c>
      <c r="N50" t="n">
        <v>0</v>
      </c>
      <c r="O50" t="n">
        <v>1</v>
      </c>
      <c r="P50" t="n">
        <v>0</v>
      </c>
      <c r="Q50" t="n">
        <v>1</v>
      </c>
      <c r="R50" s="2" t="inlineStr">
        <is>
          <t>Skogsklocka</t>
        </is>
      </c>
      <c r="S50">
        <f>HYPERLINK("https://klasma.github.io/Logging_1885/artfynd/A 67013-2021 artfynd.xlsx", "A 67013-2021")</f>
        <v/>
      </c>
      <c r="T50">
        <f>HYPERLINK("https://klasma.github.io/Logging_1885/kartor/A 67013-2021 karta.png", "A 67013-2021")</f>
        <v/>
      </c>
      <c r="V50">
        <f>HYPERLINK("https://klasma.github.io/Logging_1885/klagomål/A 67013-2021 FSC-klagomål.docx", "A 67013-2021")</f>
        <v/>
      </c>
      <c r="W50">
        <f>HYPERLINK("https://klasma.github.io/Logging_1885/klagomålsmail/A 67013-2021 FSC-klagomål mail.docx", "A 67013-2021")</f>
        <v/>
      </c>
      <c r="X50">
        <f>HYPERLINK("https://klasma.github.io/Logging_1885/tillsyn/A 67013-2021 tillsynsbegäran.docx", "A 67013-2021")</f>
        <v/>
      </c>
      <c r="Y50">
        <f>HYPERLINK("https://klasma.github.io/Logging_1885/tillsynsmail/A 67013-2021 tillsynsbegäran mail.docx", "A 67013-2021")</f>
        <v/>
      </c>
    </row>
    <row r="51" ht="15" customHeight="1">
      <c r="A51" t="inlineStr">
        <is>
          <t>A 61129-2024</t>
        </is>
      </c>
      <c r="B51" s="1" t="n">
        <v>45645</v>
      </c>
      <c r="C51" s="1" t="n">
        <v>46190</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31052-2025</t>
        </is>
      </c>
      <c r="B52" s="1" t="n">
        <v>45832.56153935185</v>
      </c>
      <c r="C52" s="1" t="n">
        <v>46190</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6192-2025</t>
        </is>
      </c>
      <c r="B53" s="1" t="n">
        <v>45698.46697916667</v>
      </c>
      <c r="C53" s="1" t="n">
        <v>46190</v>
      </c>
      <c r="D53" t="inlineStr">
        <is>
          <t>ÖREBRO LÄN</t>
        </is>
      </c>
      <c r="E53" t="inlineStr">
        <is>
          <t>LINDESBERG</t>
        </is>
      </c>
      <c r="F53" t="inlineStr">
        <is>
          <t>BillerudKorsnäs AB</t>
        </is>
      </c>
      <c r="G53" t="n">
        <v>1.8</v>
      </c>
      <c r="H53" t="n">
        <v>1</v>
      </c>
      <c r="I53" t="n">
        <v>0</v>
      </c>
      <c r="J53" t="n">
        <v>0</v>
      </c>
      <c r="K53" t="n">
        <v>0</v>
      </c>
      <c r="L53" t="n">
        <v>0</v>
      </c>
      <c r="M53" t="n">
        <v>0</v>
      </c>
      <c r="N53" t="n">
        <v>0</v>
      </c>
      <c r="O53" t="n">
        <v>0</v>
      </c>
      <c r="P53" t="n">
        <v>0</v>
      </c>
      <c r="Q53" t="n">
        <v>1</v>
      </c>
      <c r="R53" s="2" t="inlineStr">
        <is>
          <t>Blåsippa</t>
        </is>
      </c>
      <c r="S53">
        <f>HYPERLINK("https://klasma.github.io/Logging_1885/artfynd/A 6192-2025 artfynd.xlsx", "A 6192-2025")</f>
        <v/>
      </c>
      <c r="T53">
        <f>HYPERLINK("https://klasma.github.io/Logging_1885/kartor/A 6192-2025 karta.png", "A 6192-2025")</f>
        <v/>
      </c>
      <c r="V53">
        <f>HYPERLINK("https://klasma.github.io/Logging_1885/klagomål/A 6192-2025 FSC-klagomål.docx", "A 6192-2025")</f>
        <v/>
      </c>
      <c r="W53">
        <f>HYPERLINK("https://klasma.github.io/Logging_1885/klagomålsmail/A 6192-2025 FSC-klagomål mail.docx", "A 6192-2025")</f>
        <v/>
      </c>
      <c r="X53">
        <f>HYPERLINK("https://klasma.github.io/Logging_1885/tillsyn/A 6192-2025 tillsynsbegäran.docx", "A 6192-2025")</f>
        <v/>
      </c>
      <c r="Y53">
        <f>HYPERLINK("https://klasma.github.io/Logging_1885/tillsynsmail/A 6192-2025 tillsynsbegäran mail.docx", "A 6192-2025")</f>
        <v/>
      </c>
    </row>
    <row r="54" ht="15" customHeight="1">
      <c r="A54" t="inlineStr">
        <is>
          <t>A 3729-2023</t>
        </is>
      </c>
      <c r="B54" s="1" t="n">
        <v>44949</v>
      </c>
      <c r="C54" s="1" t="n">
        <v>46190</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36669-2024</t>
        </is>
      </c>
      <c r="B55" s="1" t="n">
        <v>45537.64484953704</v>
      </c>
      <c r="C55" s="1" t="n">
        <v>46190</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HYPERLINK("https://klasma.github.io/Logging_1885/artfynd/A 36669-2024 artfynd.xlsx", "A 36669-2024")</f>
        <v/>
      </c>
      <c r="T55">
        <f>HYPERLINK("https://klasma.github.io/Logging_1885/kartor/A 36669-2024 karta.png", "A 36669-2024")</f>
        <v/>
      </c>
      <c r="V55">
        <f>HYPERLINK("https://klasma.github.io/Logging_1885/klagomål/A 36669-2024 FSC-klagomål.docx", "A 36669-2024")</f>
        <v/>
      </c>
      <c r="W55">
        <f>HYPERLINK("https://klasma.github.io/Logging_1885/klagomålsmail/A 36669-2024 FSC-klagomål mail.docx", "A 36669-2024")</f>
        <v/>
      </c>
      <c r="X55">
        <f>HYPERLINK("https://klasma.github.io/Logging_1885/tillsyn/A 36669-2024 tillsynsbegäran.docx", "A 36669-2024")</f>
        <v/>
      </c>
      <c r="Y55">
        <f>HYPERLINK("https://klasma.github.io/Logging_1885/tillsynsmail/A 36669-2024 tillsynsbegäran mail.docx", "A 36669-2024")</f>
        <v/>
      </c>
    </row>
    <row r="56" ht="15" customHeight="1">
      <c r="A56" t="inlineStr">
        <is>
          <t>A 37834-2025</t>
        </is>
      </c>
      <c r="B56" s="1" t="n">
        <v>45881.42446759259</v>
      </c>
      <c r="C56" s="1" t="n">
        <v>46190</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 agg.</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57362-2025</t>
        </is>
      </c>
      <c r="B57" s="1" t="n">
        <v>45980.37108796297</v>
      </c>
      <c r="C57" s="1" t="n">
        <v>46190</v>
      </c>
      <c r="D57" t="inlineStr">
        <is>
          <t>ÖREBRO LÄN</t>
        </is>
      </c>
      <c r="E57" t="inlineStr">
        <is>
          <t>LINDESBERG</t>
        </is>
      </c>
      <c r="F57" t="inlineStr">
        <is>
          <t>Sveaskog</t>
        </is>
      </c>
      <c r="G57" t="n">
        <v>1.2</v>
      </c>
      <c r="H57" t="n">
        <v>0</v>
      </c>
      <c r="I57" t="n">
        <v>1</v>
      </c>
      <c r="J57" t="n">
        <v>0</v>
      </c>
      <c r="K57" t="n">
        <v>0</v>
      </c>
      <c r="L57" t="n">
        <v>0</v>
      </c>
      <c r="M57" t="n">
        <v>0</v>
      </c>
      <c r="N57" t="n">
        <v>0</v>
      </c>
      <c r="O57" t="n">
        <v>0</v>
      </c>
      <c r="P57" t="n">
        <v>0</v>
      </c>
      <c r="Q57" t="n">
        <v>1</v>
      </c>
      <c r="R57" s="2" t="inlineStr">
        <is>
          <t>Svart trolldruva</t>
        </is>
      </c>
      <c r="S57">
        <f>HYPERLINK("https://klasma.github.io/Logging_1885/artfynd/A 57362-2025 artfynd.xlsx", "A 57362-2025")</f>
        <v/>
      </c>
      <c r="T57">
        <f>HYPERLINK("https://klasma.github.io/Logging_1885/kartor/A 57362-2025 karta.png", "A 57362-2025")</f>
        <v/>
      </c>
      <c r="V57">
        <f>HYPERLINK("https://klasma.github.io/Logging_1885/klagomål/A 57362-2025 FSC-klagomål.docx", "A 57362-2025")</f>
        <v/>
      </c>
      <c r="W57">
        <f>HYPERLINK("https://klasma.github.io/Logging_1885/klagomålsmail/A 57362-2025 FSC-klagomål mail.docx", "A 57362-2025")</f>
        <v/>
      </c>
      <c r="X57">
        <f>HYPERLINK("https://klasma.github.io/Logging_1885/tillsyn/A 57362-2025 tillsynsbegäran.docx", "A 57362-2025")</f>
        <v/>
      </c>
      <c r="Y57">
        <f>HYPERLINK("https://klasma.github.io/Logging_1885/tillsynsmail/A 57362-2025 tillsynsbegäran mail.docx", "A 57362-2025")</f>
        <v/>
      </c>
    </row>
    <row r="58" ht="15" customHeight="1">
      <c r="A58" t="inlineStr">
        <is>
          <t>A 28569-2024</t>
        </is>
      </c>
      <c r="B58" s="1" t="n">
        <v>45478.39592592593</v>
      </c>
      <c r="C58" s="1" t="n">
        <v>46190</v>
      </c>
      <c r="D58" t="inlineStr">
        <is>
          <t>ÖREBRO LÄN</t>
        </is>
      </c>
      <c r="E58" t="inlineStr">
        <is>
          <t>LINDESBERG</t>
        </is>
      </c>
      <c r="F58" t="inlineStr">
        <is>
          <t>Sveaskog</t>
        </is>
      </c>
      <c r="G58" t="n">
        <v>2.6</v>
      </c>
      <c r="H58" t="n">
        <v>0</v>
      </c>
      <c r="I58" t="n">
        <v>0</v>
      </c>
      <c r="J58" t="n">
        <v>1</v>
      </c>
      <c r="K58" t="n">
        <v>0</v>
      </c>
      <c r="L58" t="n">
        <v>0</v>
      </c>
      <c r="M58" t="n">
        <v>0</v>
      </c>
      <c r="N58" t="n">
        <v>0</v>
      </c>
      <c r="O58" t="n">
        <v>1</v>
      </c>
      <c r="P58" t="n">
        <v>0</v>
      </c>
      <c r="Q58" t="n">
        <v>1</v>
      </c>
      <c r="R58" s="2" t="inlineStr">
        <is>
          <t>Granticka</t>
        </is>
      </c>
      <c r="S58">
        <f>HYPERLINK("https://klasma.github.io/Logging_1885/artfynd/A 28569-2024 artfynd.xlsx", "A 28569-2024")</f>
        <v/>
      </c>
      <c r="T58">
        <f>HYPERLINK("https://klasma.github.io/Logging_1885/kartor/A 28569-2024 karta.png", "A 28569-2024")</f>
        <v/>
      </c>
      <c r="V58">
        <f>HYPERLINK("https://klasma.github.io/Logging_1885/klagomål/A 28569-2024 FSC-klagomål.docx", "A 28569-2024")</f>
        <v/>
      </c>
      <c r="W58">
        <f>HYPERLINK("https://klasma.github.io/Logging_1885/klagomålsmail/A 28569-2024 FSC-klagomål mail.docx", "A 28569-2024")</f>
        <v/>
      </c>
      <c r="X58">
        <f>HYPERLINK("https://klasma.github.io/Logging_1885/tillsyn/A 28569-2024 tillsynsbegäran.docx", "A 28569-2024")</f>
        <v/>
      </c>
      <c r="Y58">
        <f>HYPERLINK("https://klasma.github.io/Logging_1885/tillsynsmail/A 28569-2024 tillsynsbegäran mail.docx", "A 28569-2024")</f>
        <v/>
      </c>
    </row>
    <row r="59" ht="15" customHeight="1">
      <c r="A59" t="inlineStr">
        <is>
          <t>A 45467-2025</t>
        </is>
      </c>
      <c r="B59" s="1" t="n">
        <v>45922.49990740741</v>
      </c>
      <c r="C59" s="1" t="n">
        <v>46190</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Svartvit taggsvamp</t>
        </is>
      </c>
      <c r="S59">
        <f>HYPERLINK("https://klasma.github.io/Logging_1885/artfynd/A 45467-2025 artfynd.xlsx", "A 45467-2025")</f>
        <v/>
      </c>
      <c r="T59">
        <f>HYPERLINK("https://klasma.github.io/Logging_1885/kartor/A 45467-2025 karta.png", "A 45467-2025")</f>
        <v/>
      </c>
      <c r="V59">
        <f>HYPERLINK("https://klasma.github.io/Logging_1885/klagomål/A 45467-2025 FSC-klagomål.docx", "A 45467-2025")</f>
        <v/>
      </c>
      <c r="W59">
        <f>HYPERLINK("https://klasma.github.io/Logging_1885/klagomålsmail/A 45467-2025 FSC-klagomål mail.docx", "A 45467-2025")</f>
        <v/>
      </c>
      <c r="X59">
        <f>HYPERLINK("https://klasma.github.io/Logging_1885/tillsyn/A 45467-2025 tillsynsbegäran.docx", "A 45467-2025")</f>
        <v/>
      </c>
      <c r="Y59">
        <f>HYPERLINK("https://klasma.github.io/Logging_1885/tillsynsmail/A 45467-2025 tillsynsbegäran mail.docx", "A 45467-2025")</f>
        <v/>
      </c>
    </row>
    <row r="60" ht="15" customHeight="1">
      <c r="A60" t="inlineStr">
        <is>
          <t>A 48956-2025</t>
        </is>
      </c>
      <c r="B60" s="1" t="n">
        <v>45937.54982638889</v>
      </c>
      <c r="C60" s="1" t="n">
        <v>46190</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16791-2024</t>
        </is>
      </c>
      <c r="B61" s="1" t="n">
        <v>45411.42858796296</v>
      </c>
      <c r="C61" s="1" t="n">
        <v>46190</v>
      </c>
      <c r="D61" t="inlineStr">
        <is>
          <t>ÖREBRO LÄN</t>
        </is>
      </c>
      <c r="E61" t="inlineStr">
        <is>
          <t>LINDESBERG</t>
        </is>
      </c>
      <c r="G61" t="n">
        <v>16.1</v>
      </c>
      <c r="H61" t="n">
        <v>1</v>
      </c>
      <c r="I61" t="n">
        <v>0</v>
      </c>
      <c r="J61" t="n">
        <v>1</v>
      </c>
      <c r="K61" t="n">
        <v>0</v>
      </c>
      <c r="L61" t="n">
        <v>0</v>
      </c>
      <c r="M61" t="n">
        <v>0</v>
      </c>
      <c r="N61" t="n">
        <v>0</v>
      </c>
      <c r="O61" t="n">
        <v>1</v>
      </c>
      <c r="P61" t="n">
        <v>0</v>
      </c>
      <c r="Q61" t="n">
        <v>1</v>
      </c>
      <c r="R61" s="2" t="inlineStr">
        <is>
          <t>Spillkråka</t>
        </is>
      </c>
      <c r="S61">
        <f>HYPERLINK("https://klasma.github.io/Logging_1885/artfynd/A 16791-2024 artfynd.xlsx", "A 16791-2024")</f>
        <v/>
      </c>
      <c r="T61">
        <f>HYPERLINK("https://klasma.github.io/Logging_1885/kartor/A 16791-2024 karta.png", "A 16791-2024")</f>
        <v/>
      </c>
      <c r="V61">
        <f>HYPERLINK("https://klasma.github.io/Logging_1885/klagomål/A 16791-2024 FSC-klagomål.docx", "A 16791-2024")</f>
        <v/>
      </c>
      <c r="W61">
        <f>HYPERLINK("https://klasma.github.io/Logging_1885/klagomålsmail/A 16791-2024 FSC-klagomål mail.docx", "A 16791-2024")</f>
        <v/>
      </c>
      <c r="X61">
        <f>HYPERLINK("https://klasma.github.io/Logging_1885/tillsyn/A 16791-2024 tillsynsbegäran.docx", "A 16791-2024")</f>
        <v/>
      </c>
      <c r="Y61">
        <f>HYPERLINK("https://klasma.github.io/Logging_1885/tillsynsmail/A 16791-2024 tillsynsbegäran mail.docx", "A 16791-2024")</f>
        <v/>
      </c>
      <c r="Z61">
        <f>HYPERLINK("https://klasma.github.io/Logging_1885/fåglar/A 16791-2024 prioriterade fågelarter.docx", "A 16791-2024")</f>
        <v/>
      </c>
    </row>
    <row r="62" ht="15" customHeight="1">
      <c r="A62" t="inlineStr">
        <is>
          <t>A 53600-2024</t>
        </is>
      </c>
      <c r="B62" s="1" t="n">
        <v>45614.68596064814</v>
      </c>
      <c r="C62" s="1" t="n">
        <v>46190</v>
      </c>
      <c r="D62" t="inlineStr">
        <is>
          <t>ÖREBRO LÄN</t>
        </is>
      </c>
      <c r="E62" t="inlineStr">
        <is>
          <t>LINDESBERG</t>
        </is>
      </c>
      <c r="G62" t="n">
        <v>2.2</v>
      </c>
      <c r="H62" t="n">
        <v>1</v>
      </c>
      <c r="I62" t="n">
        <v>0</v>
      </c>
      <c r="J62" t="n">
        <v>0</v>
      </c>
      <c r="K62" t="n">
        <v>0</v>
      </c>
      <c r="L62" t="n">
        <v>1</v>
      </c>
      <c r="M62" t="n">
        <v>0</v>
      </c>
      <c r="N62" t="n">
        <v>0</v>
      </c>
      <c r="O62" t="n">
        <v>1</v>
      </c>
      <c r="P62" t="n">
        <v>1</v>
      </c>
      <c r="Q62" t="n">
        <v>1</v>
      </c>
      <c r="R62" s="2" t="inlineStr">
        <is>
          <t>Asknätfjäril</t>
        </is>
      </c>
      <c r="S62">
        <f>HYPERLINK("https://klasma.github.io/Logging_1885/artfynd/A 53600-2024 artfynd.xlsx", "A 53600-2024")</f>
        <v/>
      </c>
      <c r="T62">
        <f>HYPERLINK("https://klasma.github.io/Logging_1885/kartor/A 53600-2024 karta.png", "A 53600-2024")</f>
        <v/>
      </c>
      <c r="V62">
        <f>HYPERLINK("https://klasma.github.io/Logging_1885/klagomål/A 53600-2024 FSC-klagomål.docx", "A 53600-2024")</f>
        <v/>
      </c>
      <c r="W62">
        <f>HYPERLINK("https://klasma.github.io/Logging_1885/klagomålsmail/A 53600-2024 FSC-klagomål mail.docx", "A 53600-2024")</f>
        <v/>
      </c>
      <c r="X62">
        <f>HYPERLINK("https://klasma.github.io/Logging_1885/tillsyn/A 53600-2024 tillsynsbegäran.docx", "A 53600-2024")</f>
        <v/>
      </c>
      <c r="Y62">
        <f>HYPERLINK("https://klasma.github.io/Logging_1885/tillsynsmail/A 53600-2024 tillsynsbegäran mail.docx", "A 53600-2024")</f>
        <v/>
      </c>
    </row>
    <row r="63" ht="15" customHeight="1">
      <c r="A63" t="inlineStr">
        <is>
          <t>A 50777-2025</t>
        </is>
      </c>
      <c r="B63" s="1" t="n">
        <v>45946.45171296296</v>
      </c>
      <c r="C63" s="1" t="n">
        <v>46190</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50766-2025</t>
        </is>
      </c>
      <c r="B64" s="1" t="n">
        <v>45946.44423611111</v>
      </c>
      <c r="C64" s="1" t="n">
        <v>46190</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50768-2025</t>
        </is>
      </c>
      <c r="B65" s="1" t="n">
        <v>45946.44790509259</v>
      </c>
      <c r="C65" s="1" t="n">
        <v>46190</v>
      </c>
      <c r="D65" t="inlineStr">
        <is>
          <t>ÖREBRO LÄN</t>
        </is>
      </c>
      <c r="E65" t="inlineStr">
        <is>
          <t>LINDESBERG</t>
        </is>
      </c>
      <c r="F65" t="inlineStr">
        <is>
          <t>Sveaskog</t>
        </is>
      </c>
      <c r="G65" t="n">
        <v>3.1</v>
      </c>
      <c r="H65" t="n">
        <v>1</v>
      </c>
      <c r="I65" t="n">
        <v>1</v>
      </c>
      <c r="J65" t="n">
        <v>0</v>
      </c>
      <c r="K65" t="n">
        <v>0</v>
      </c>
      <c r="L65" t="n">
        <v>0</v>
      </c>
      <c r="M65" t="n">
        <v>0</v>
      </c>
      <c r="N65" t="n">
        <v>0</v>
      </c>
      <c r="O65" t="n">
        <v>0</v>
      </c>
      <c r="P65" t="n">
        <v>0</v>
      </c>
      <c r="Q65" t="n">
        <v>1</v>
      </c>
      <c r="R65" s="2" t="inlineStr">
        <is>
          <t>Plattlummer</t>
        </is>
      </c>
      <c r="S65">
        <f>HYPERLINK("https://klasma.github.io/Logging_1885/artfynd/A 50768-2025 artfynd.xlsx", "A 50768-2025")</f>
        <v/>
      </c>
      <c r="T65">
        <f>HYPERLINK("https://klasma.github.io/Logging_1885/kartor/A 50768-2025 karta.png", "A 50768-2025")</f>
        <v/>
      </c>
      <c r="V65">
        <f>HYPERLINK("https://klasma.github.io/Logging_1885/klagomål/A 50768-2025 FSC-klagomål.docx", "A 50768-2025")</f>
        <v/>
      </c>
      <c r="W65">
        <f>HYPERLINK("https://klasma.github.io/Logging_1885/klagomålsmail/A 50768-2025 FSC-klagomål mail.docx", "A 50768-2025")</f>
        <v/>
      </c>
      <c r="X65">
        <f>HYPERLINK("https://klasma.github.io/Logging_1885/tillsyn/A 50768-2025 tillsynsbegäran.docx", "A 50768-2025")</f>
        <v/>
      </c>
      <c r="Y65">
        <f>HYPERLINK("https://klasma.github.io/Logging_1885/tillsynsmail/A 50768-2025 tillsynsbegäran mail.docx", "A 50768-2025")</f>
        <v/>
      </c>
    </row>
    <row r="66" ht="15" customHeight="1">
      <c r="A66" t="inlineStr">
        <is>
          <t>A 70466-2021</t>
        </is>
      </c>
      <c r="B66" s="1" t="n">
        <v>44536</v>
      </c>
      <c r="C66" s="1" t="n">
        <v>46190</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52337-2025</t>
        </is>
      </c>
      <c r="B67" s="1" t="n">
        <v>45953.69287037037</v>
      </c>
      <c r="C67" s="1" t="n">
        <v>46190</v>
      </c>
      <c r="D67" t="inlineStr">
        <is>
          <t>ÖREBRO LÄN</t>
        </is>
      </c>
      <c r="E67" t="inlineStr">
        <is>
          <t>LINDESBERG</t>
        </is>
      </c>
      <c r="F67" t="inlineStr">
        <is>
          <t>Sveaskog</t>
        </is>
      </c>
      <c r="G67" t="n">
        <v>3.3</v>
      </c>
      <c r="H67" t="n">
        <v>1</v>
      </c>
      <c r="I67" t="n">
        <v>0</v>
      </c>
      <c r="J67" t="n">
        <v>0</v>
      </c>
      <c r="K67" t="n">
        <v>0</v>
      </c>
      <c r="L67" t="n">
        <v>0</v>
      </c>
      <c r="M67" t="n">
        <v>0</v>
      </c>
      <c r="N67" t="n">
        <v>0</v>
      </c>
      <c r="O67" t="n">
        <v>0</v>
      </c>
      <c r="P67" t="n">
        <v>0</v>
      </c>
      <c r="Q67" t="n">
        <v>1</v>
      </c>
      <c r="R67" s="2" t="inlineStr">
        <is>
          <t>Fläcknycklar</t>
        </is>
      </c>
      <c r="S67">
        <f>HYPERLINK("https://klasma.github.io/Logging_1885/artfynd/A 52337-2025 artfynd.xlsx", "A 52337-2025")</f>
        <v/>
      </c>
      <c r="T67">
        <f>HYPERLINK("https://klasma.github.io/Logging_1885/kartor/A 52337-2025 karta.png", "A 52337-2025")</f>
        <v/>
      </c>
      <c r="V67">
        <f>HYPERLINK("https://klasma.github.io/Logging_1885/klagomål/A 52337-2025 FSC-klagomål.docx", "A 52337-2025")</f>
        <v/>
      </c>
      <c r="W67">
        <f>HYPERLINK("https://klasma.github.io/Logging_1885/klagomålsmail/A 52337-2025 FSC-klagomål mail.docx", "A 52337-2025")</f>
        <v/>
      </c>
      <c r="X67">
        <f>HYPERLINK("https://klasma.github.io/Logging_1885/tillsyn/A 52337-2025 tillsynsbegäran.docx", "A 52337-2025")</f>
        <v/>
      </c>
      <c r="Y67">
        <f>HYPERLINK("https://klasma.github.io/Logging_1885/tillsynsmail/A 52337-2025 tillsynsbegäran mail.docx", "A 52337-2025")</f>
        <v/>
      </c>
    </row>
    <row r="68" ht="15" customHeight="1">
      <c r="A68" t="inlineStr">
        <is>
          <t>A 8172-2026</t>
        </is>
      </c>
      <c r="B68" s="1" t="n">
        <v>46064</v>
      </c>
      <c r="C68" s="1" t="n">
        <v>46190</v>
      </c>
      <c r="D68" t="inlineStr">
        <is>
          <t>ÖREBRO LÄN</t>
        </is>
      </c>
      <c r="E68" t="inlineStr">
        <is>
          <t>LINDESBERG</t>
        </is>
      </c>
      <c r="G68" t="n">
        <v>2.9</v>
      </c>
      <c r="H68" t="n">
        <v>0</v>
      </c>
      <c r="I68" t="n">
        <v>0</v>
      </c>
      <c r="J68" t="n">
        <v>0</v>
      </c>
      <c r="K68" t="n">
        <v>0</v>
      </c>
      <c r="L68" t="n">
        <v>1</v>
      </c>
      <c r="M68" t="n">
        <v>0</v>
      </c>
      <c r="N68" t="n">
        <v>0</v>
      </c>
      <c r="O68" t="n">
        <v>1</v>
      </c>
      <c r="P68" t="n">
        <v>1</v>
      </c>
      <c r="Q68" t="n">
        <v>1</v>
      </c>
      <c r="R68" s="2" t="inlineStr">
        <is>
          <t>Bågtuss</t>
        </is>
      </c>
      <c r="S68">
        <f>HYPERLINK("https://klasma.github.io/Logging_1885/artfynd/A 8172-2026 artfynd.xlsx", "A 8172-2026")</f>
        <v/>
      </c>
      <c r="T68">
        <f>HYPERLINK("https://klasma.github.io/Logging_1885/kartor/A 8172-2026 karta.png", "A 8172-2026")</f>
        <v/>
      </c>
      <c r="U68">
        <f>HYPERLINK("https://klasma.github.io/Logging_1885/knärot/A 8172-2026 karta knärot.png", "A 8172-2026")</f>
        <v/>
      </c>
      <c r="V68">
        <f>HYPERLINK("https://klasma.github.io/Logging_1885/klagomål/A 8172-2026 FSC-klagomål.docx", "A 8172-2026")</f>
        <v/>
      </c>
      <c r="W68">
        <f>HYPERLINK("https://klasma.github.io/Logging_1885/klagomålsmail/A 8172-2026 FSC-klagomål mail.docx", "A 8172-2026")</f>
        <v/>
      </c>
      <c r="X68">
        <f>HYPERLINK("https://klasma.github.io/Logging_1885/tillsyn/A 8172-2026 tillsynsbegäran.docx", "A 8172-2026")</f>
        <v/>
      </c>
      <c r="Y68">
        <f>HYPERLINK("https://klasma.github.io/Logging_1885/tillsynsmail/A 8172-2026 tillsynsbegäran mail.docx", "A 8172-2026")</f>
        <v/>
      </c>
    </row>
    <row r="69" ht="15" customHeight="1">
      <c r="A69" t="inlineStr">
        <is>
          <t>A 58206-2023</t>
        </is>
      </c>
      <c r="B69" s="1" t="n">
        <v>45250</v>
      </c>
      <c r="C69" s="1" t="n">
        <v>46190</v>
      </c>
      <c r="D69" t="inlineStr">
        <is>
          <t>ÖREBRO LÄN</t>
        </is>
      </c>
      <c r="E69" t="inlineStr">
        <is>
          <t>LINDESBERG</t>
        </is>
      </c>
      <c r="F69" t="inlineStr">
        <is>
          <t>Sveaskog</t>
        </is>
      </c>
      <c r="G69" t="n">
        <v>1.4</v>
      </c>
      <c r="H69" t="n">
        <v>1</v>
      </c>
      <c r="I69" t="n">
        <v>0</v>
      </c>
      <c r="J69" t="n">
        <v>0</v>
      </c>
      <c r="K69" t="n">
        <v>0</v>
      </c>
      <c r="L69" t="n">
        <v>0</v>
      </c>
      <c r="M69" t="n">
        <v>0</v>
      </c>
      <c r="N69" t="n">
        <v>0</v>
      </c>
      <c r="O69" t="n">
        <v>0</v>
      </c>
      <c r="P69" t="n">
        <v>0</v>
      </c>
      <c r="Q69" t="n">
        <v>1</v>
      </c>
      <c r="R69" s="2" t="inlineStr">
        <is>
          <t>Fläcknycklar</t>
        </is>
      </c>
      <c r="S69">
        <f>HYPERLINK("https://klasma.github.io/Logging_1885/artfynd/A 58206-2023 artfynd.xlsx", "A 58206-2023")</f>
        <v/>
      </c>
      <c r="T69">
        <f>HYPERLINK("https://klasma.github.io/Logging_1885/kartor/A 58206-2023 karta.png", "A 58206-2023")</f>
        <v/>
      </c>
      <c r="V69">
        <f>HYPERLINK("https://klasma.github.io/Logging_1885/klagomål/A 58206-2023 FSC-klagomål.docx", "A 58206-2023")</f>
        <v/>
      </c>
      <c r="W69">
        <f>HYPERLINK("https://klasma.github.io/Logging_1885/klagomålsmail/A 58206-2023 FSC-klagomål mail.docx", "A 58206-2023")</f>
        <v/>
      </c>
      <c r="X69">
        <f>HYPERLINK("https://klasma.github.io/Logging_1885/tillsyn/A 58206-2023 tillsynsbegäran.docx", "A 58206-2023")</f>
        <v/>
      </c>
      <c r="Y69">
        <f>HYPERLINK("https://klasma.github.io/Logging_1885/tillsynsmail/A 58206-2023 tillsynsbegäran mail.docx", "A 58206-2023")</f>
        <v/>
      </c>
    </row>
    <row r="70" ht="15" customHeight="1">
      <c r="A70" t="inlineStr">
        <is>
          <t>A 28787-2023</t>
        </is>
      </c>
      <c r="B70" s="1" t="n">
        <v>45104.3483912037</v>
      </c>
      <c r="C70" s="1" t="n">
        <v>46190</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8175-2026</t>
        </is>
      </c>
      <c r="B71" s="1" t="n">
        <v>46064</v>
      </c>
      <c r="C71" s="1" t="n">
        <v>46190</v>
      </c>
      <c r="D71" t="inlineStr">
        <is>
          <t>ÖREBRO LÄN</t>
        </is>
      </c>
      <c r="E71" t="inlineStr">
        <is>
          <t>LINDESBERG</t>
        </is>
      </c>
      <c r="G71" t="n">
        <v>2.4</v>
      </c>
      <c r="H71" t="n">
        <v>0</v>
      </c>
      <c r="I71" t="n">
        <v>1</v>
      </c>
      <c r="J71" t="n">
        <v>0</v>
      </c>
      <c r="K71" t="n">
        <v>0</v>
      </c>
      <c r="L71" t="n">
        <v>0</v>
      </c>
      <c r="M71" t="n">
        <v>0</v>
      </c>
      <c r="N71" t="n">
        <v>0</v>
      </c>
      <c r="O71" t="n">
        <v>0</v>
      </c>
      <c r="P71" t="n">
        <v>0</v>
      </c>
      <c r="Q71" t="n">
        <v>1</v>
      </c>
      <c r="R71" s="2" t="inlineStr">
        <is>
          <t>Svart trolldruva</t>
        </is>
      </c>
      <c r="S71">
        <f>HYPERLINK("https://klasma.github.io/Logging_1885/artfynd/A 8175-2026 artfynd.xlsx", "A 8175-2026")</f>
        <v/>
      </c>
      <c r="T71">
        <f>HYPERLINK("https://klasma.github.io/Logging_1885/kartor/A 8175-2026 karta.png", "A 8175-2026")</f>
        <v/>
      </c>
      <c r="V71">
        <f>HYPERLINK("https://klasma.github.io/Logging_1885/klagomål/A 8175-2026 FSC-klagomål.docx", "A 8175-2026")</f>
        <v/>
      </c>
      <c r="W71">
        <f>HYPERLINK("https://klasma.github.io/Logging_1885/klagomålsmail/A 8175-2026 FSC-klagomål mail.docx", "A 8175-2026")</f>
        <v/>
      </c>
      <c r="X71">
        <f>HYPERLINK("https://klasma.github.io/Logging_1885/tillsyn/A 8175-2026 tillsynsbegäran.docx", "A 8175-2026")</f>
        <v/>
      </c>
      <c r="Y71">
        <f>HYPERLINK("https://klasma.github.io/Logging_1885/tillsynsmail/A 8175-2026 tillsynsbegäran mail.docx", "A 8175-2026")</f>
        <v/>
      </c>
    </row>
    <row r="72" ht="15" customHeight="1">
      <c r="A72" t="inlineStr">
        <is>
          <t>A 16692-2026</t>
        </is>
      </c>
      <c r="B72" s="1" t="n">
        <v>46112.82201388889</v>
      </c>
      <c r="C72" s="1" t="n">
        <v>46190</v>
      </c>
      <c r="D72" t="inlineStr">
        <is>
          <t>ÖREBRO LÄN</t>
        </is>
      </c>
      <c r="E72" t="inlineStr">
        <is>
          <t>LINDESBERG</t>
        </is>
      </c>
      <c r="G72" t="n">
        <v>4.9</v>
      </c>
      <c r="H72" t="n">
        <v>1</v>
      </c>
      <c r="I72" t="n">
        <v>0</v>
      </c>
      <c r="J72" t="n">
        <v>1</v>
      </c>
      <c r="K72" t="n">
        <v>0</v>
      </c>
      <c r="L72" t="n">
        <v>0</v>
      </c>
      <c r="M72" t="n">
        <v>0</v>
      </c>
      <c r="N72" t="n">
        <v>0</v>
      </c>
      <c r="O72" t="n">
        <v>1</v>
      </c>
      <c r="P72" t="n">
        <v>0</v>
      </c>
      <c r="Q72" t="n">
        <v>1</v>
      </c>
      <c r="R72" s="2" t="inlineStr">
        <is>
          <t>Spillkråka</t>
        </is>
      </c>
      <c r="S72">
        <f>HYPERLINK("https://klasma.github.io/Logging_1885/artfynd/A 16692-2026 artfynd.xlsx", "A 16692-2026")</f>
        <v/>
      </c>
      <c r="T72">
        <f>HYPERLINK("https://klasma.github.io/Logging_1885/kartor/A 16692-2026 karta.png", "A 16692-2026")</f>
        <v/>
      </c>
      <c r="V72">
        <f>HYPERLINK("https://klasma.github.io/Logging_1885/klagomål/A 16692-2026 FSC-klagomål.docx", "A 16692-2026")</f>
        <v/>
      </c>
      <c r="W72">
        <f>HYPERLINK("https://klasma.github.io/Logging_1885/klagomålsmail/A 16692-2026 FSC-klagomål mail.docx", "A 16692-2026")</f>
        <v/>
      </c>
      <c r="X72">
        <f>HYPERLINK("https://klasma.github.io/Logging_1885/tillsyn/A 16692-2026 tillsynsbegäran.docx", "A 16692-2026")</f>
        <v/>
      </c>
      <c r="Y72">
        <f>HYPERLINK("https://klasma.github.io/Logging_1885/tillsynsmail/A 16692-2026 tillsynsbegäran mail.docx", "A 16692-2026")</f>
        <v/>
      </c>
      <c r="Z72">
        <f>HYPERLINK("https://klasma.github.io/Logging_1885/fåglar/A 16692-2026 prioriterade fågelarter.docx", "A 16692-2026")</f>
        <v/>
      </c>
    </row>
    <row r="73" ht="15" customHeight="1">
      <c r="A73" t="inlineStr">
        <is>
          <t>A 16693-2026</t>
        </is>
      </c>
      <c r="B73" s="1" t="n">
        <v>46112.83422453704</v>
      </c>
      <c r="C73" s="1" t="n">
        <v>46190</v>
      </c>
      <c r="D73" t="inlineStr">
        <is>
          <t>ÖREBRO LÄN</t>
        </is>
      </c>
      <c r="E73" t="inlineStr">
        <is>
          <t>LINDESBERG</t>
        </is>
      </c>
      <c r="G73" t="n">
        <v>2.1</v>
      </c>
      <c r="H73" t="n">
        <v>1</v>
      </c>
      <c r="I73" t="n">
        <v>0</v>
      </c>
      <c r="J73" t="n">
        <v>0</v>
      </c>
      <c r="K73" t="n">
        <v>0</v>
      </c>
      <c r="L73" t="n">
        <v>0</v>
      </c>
      <c r="M73" t="n">
        <v>0</v>
      </c>
      <c r="N73" t="n">
        <v>0</v>
      </c>
      <c r="O73" t="n">
        <v>0</v>
      </c>
      <c r="P73" t="n">
        <v>0</v>
      </c>
      <c r="Q73" t="n">
        <v>1</v>
      </c>
      <c r="R73" s="2" t="inlineStr">
        <is>
          <t>Tjäder</t>
        </is>
      </c>
      <c r="S73">
        <f>HYPERLINK("https://klasma.github.io/Logging_1885/artfynd/A 16693-2026 artfynd.xlsx", "A 16693-2026")</f>
        <v/>
      </c>
      <c r="T73">
        <f>HYPERLINK("https://klasma.github.io/Logging_1885/kartor/A 16693-2026 karta.png", "A 16693-2026")</f>
        <v/>
      </c>
      <c r="V73">
        <f>HYPERLINK("https://klasma.github.io/Logging_1885/klagomål/A 16693-2026 FSC-klagomål.docx", "A 16693-2026")</f>
        <v/>
      </c>
      <c r="W73">
        <f>HYPERLINK("https://klasma.github.io/Logging_1885/klagomålsmail/A 16693-2026 FSC-klagomål mail.docx", "A 16693-2026")</f>
        <v/>
      </c>
      <c r="X73">
        <f>HYPERLINK("https://klasma.github.io/Logging_1885/tillsyn/A 16693-2026 tillsynsbegäran.docx", "A 16693-2026")</f>
        <v/>
      </c>
      <c r="Y73">
        <f>HYPERLINK("https://klasma.github.io/Logging_1885/tillsynsmail/A 16693-2026 tillsynsbegäran mail.docx", "A 16693-2026")</f>
        <v/>
      </c>
      <c r="Z73">
        <f>HYPERLINK("https://klasma.github.io/Logging_1885/fåglar/A 16693-2026 prioriterade fågelarter.docx", "A 16693-2026")</f>
        <v/>
      </c>
    </row>
    <row r="74" ht="15" customHeight="1">
      <c r="A74" t="inlineStr">
        <is>
          <t>A 23337-2026</t>
        </is>
      </c>
      <c r="B74" s="1" t="n">
        <v>46162.56237268518</v>
      </c>
      <c r="C74" s="1" t="n">
        <v>46190</v>
      </c>
      <c r="D74" t="inlineStr">
        <is>
          <t>ÖREBRO LÄN</t>
        </is>
      </c>
      <c r="E74" t="inlineStr">
        <is>
          <t>LINDESBERG</t>
        </is>
      </c>
      <c r="F74" t="inlineStr">
        <is>
          <t>Naturvårdsverket</t>
        </is>
      </c>
      <c r="G74" t="n">
        <v>1.4</v>
      </c>
      <c r="H74" t="n">
        <v>1</v>
      </c>
      <c r="I74" t="n">
        <v>0</v>
      </c>
      <c r="J74" t="n">
        <v>1</v>
      </c>
      <c r="K74" t="n">
        <v>0</v>
      </c>
      <c r="L74" t="n">
        <v>0</v>
      </c>
      <c r="M74" t="n">
        <v>0</v>
      </c>
      <c r="N74" t="n">
        <v>0</v>
      </c>
      <c r="O74" t="n">
        <v>1</v>
      </c>
      <c r="P74" t="n">
        <v>0</v>
      </c>
      <c r="Q74" t="n">
        <v>1</v>
      </c>
      <c r="R74" s="2" t="inlineStr">
        <is>
          <t>Spillkråka</t>
        </is>
      </c>
      <c r="S74">
        <f>HYPERLINK("https://klasma.github.io/Logging_1885/artfynd/A 23337-2026 artfynd.xlsx", "A 23337-2026")</f>
        <v/>
      </c>
      <c r="T74">
        <f>HYPERLINK("https://klasma.github.io/Logging_1885/kartor/A 23337-2026 karta.png", "A 23337-2026")</f>
        <v/>
      </c>
      <c r="V74">
        <f>HYPERLINK("https://klasma.github.io/Logging_1885/klagomål/A 23337-2026 FSC-klagomål.docx", "A 23337-2026")</f>
        <v/>
      </c>
      <c r="W74">
        <f>HYPERLINK("https://klasma.github.io/Logging_1885/klagomålsmail/A 23337-2026 FSC-klagomål mail.docx", "A 23337-2026")</f>
        <v/>
      </c>
      <c r="X74">
        <f>HYPERLINK("https://klasma.github.io/Logging_1885/tillsyn/A 23337-2026 tillsynsbegäran.docx", "A 23337-2026")</f>
        <v/>
      </c>
      <c r="Y74">
        <f>HYPERLINK("https://klasma.github.io/Logging_1885/tillsynsmail/A 23337-2026 tillsynsbegäran mail.docx", "A 23337-2026")</f>
        <v/>
      </c>
      <c r="Z74">
        <f>HYPERLINK("https://klasma.github.io/Logging_1885/fåglar/A 23337-2026 prioriterade fågelarter.docx", "A 23337-2026")</f>
        <v/>
      </c>
    </row>
    <row r="75" ht="15" customHeight="1">
      <c r="A75" t="inlineStr">
        <is>
          <t>A 18180-2026</t>
        </is>
      </c>
      <c r="B75" s="1" t="n">
        <v>46125.67597222222</v>
      </c>
      <c r="C75" s="1" t="n">
        <v>46190</v>
      </c>
      <c r="D75" t="inlineStr">
        <is>
          <t>ÖREBRO LÄN</t>
        </is>
      </c>
      <c r="E75" t="inlineStr">
        <is>
          <t>LINDESBERG</t>
        </is>
      </c>
      <c r="F75" t="inlineStr">
        <is>
          <t>Sveaskog</t>
        </is>
      </c>
      <c r="G75" t="n">
        <v>2.1</v>
      </c>
      <c r="H75" t="n">
        <v>0</v>
      </c>
      <c r="I75" t="n">
        <v>1</v>
      </c>
      <c r="J75" t="n">
        <v>0</v>
      </c>
      <c r="K75" t="n">
        <v>0</v>
      </c>
      <c r="L75" t="n">
        <v>0</v>
      </c>
      <c r="M75" t="n">
        <v>0</v>
      </c>
      <c r="N75" t="n">
        <v>0</v>
      </c>
      <c r="O75" t="n">
        <v>0</v>
      </c>
      <c r="P75" t="n">
        <v>0</v>
      </c>
      <c r="Q75" t="n">
        <v>1</v>
      </c>
      <c r="R75" s="2" t="inlineStr">
        <is>
          <t>Dropptaggsvamp</t>
        </is>
      </c>
      <c r="S75">
        <f>HYPERLINK("https://klasma.github.io/Logging_1885/artfynd/A 18180-2026 artfynd.xlsx", "A 18180-2026")</f>
        <v/>
      </c>
      <c r="T75">
        <f>HYPERLINK("https://klasma.github.io/Logging_1885/kartor/A 18180-2026 karta.png", "A 18180-2026")</f>
        <v/>
      </c>
      <c r="V75">
        <f>HYPERLINK("https://klasma.github.io/Logging_1885/klagomål/A 18180-2026 FSC-klagomål.docx", "A 18180-2026")</f>
        <v/>
      </c>
      <c r="W75">
        <f>HYPERLINK("https://klasma.github.io/Logging_1885/klagomålsmail/A 18180-2026 FSC-klagomål mail.docx", "A 18180-2026")</f>
        <v/>
      </c>
      <c r="X75">
        <f>HYPERLINK("https://klasma.github.io/Logging_1885/tillsyn/A 18180-2026 tillsynsbegäran.docx", "A 18180-2026")</f>
        <v/>
      </c>
      <c r="Y75">
        <f>HYPERLINK("https://klasma.github.io/Logging_1885/tillsynsmail/A 18180-2026 tillsynsbegäran mail.docx", "A 18180-2026")</f>
        <v/>
      </c>
    </row>
    <row r="76" ht="15" customHeight="1">
      <c r="A76" t="inlineStr">
        <is>
          <t>A 18178-2026</t>
        </is>
      </c>
      <c r="B76" s="1" t="n">
        <v>46125.67452546296</v>
      </c>
      <c r="C76" s="1" t="n">
        <v>46190</v>
      </c>
      <c r="D76" t="inlineStr">
        <is>
          <t>ÖREBRO LÄN</t>
        </is>
      </c>
      <c r="E76" t="inlineStr">
        <is>
          <t>LINDESBERG</t>
        </is>
      </c>
      <c r="F76" t="inlineStr">
        <is>
          <t>Sveaskog</t>
        </is>
      </c>
      <c r="G76" t="n">
        <v>4.4</v>
      </c>
      <c r="H76" t="n">
        <v>0</v>
      </c>
      <c r="I76" t="n">
        <v>0</v>
      </c>
      <c r="J76" t="n">
        <v>1</v>
      </c>
      <c r="K76" t="n">
        <v>0</v>
      </c>
      <c r="L76" t="n">
        <v>0</v>
      </c>
      <c r="M76" t="n">
        <v>0</v>
      </c>
      <c r="N76" t="n">
        <v>0</v>
      </c>
      <c r="O76" t="n">
        <v>1</v>
      </c>
      <c r="P76" t="n">
        <v>0</v>
      </c>
      <c r="Q76" t="n">
        <v>1</v>
      </c>
      <c r="R76" s="2" t="inlineStr">
        <is>
          <t>Svartvit taggsvamp</t>
        </is>
      </c>
      <c r="S76">
        <f>HYPERLINK("https://klasma.github.io/Logging_1885/artfynd/A 18178-2026 artfynd.xlsx", "A 18178-2026")</f>
        <v/>
      </c>
      <c r="T76">
        <f>HYPERLINK("https://klasma.github.io/Logging_1885/kartor/A 18178-2026 karta.png", "A 18178-2026")</f>
        <v/>
      </c>
      <c r="V76">
        <f>HYPERLINK("https://klasma.github.io/Logging_1885/klagomål/A 18178-2026 FSC-klagomål.docx", "A 18178-2026")</f>
        <v/>
      </c>
      <c r="W76">
        <f>HYPERLINK("https://klasma.github.io/Logging_1885/klagomålsmail/A 18178-2026 FSC-klagomål mail.docx", "A 18178-2026")</f>
        <v/>
      </c>
      <c r="X76">
        <f>HYPERLINK("https://klasma.github.io/Logging_1885/tillsyn/A 18178-2026 tillsynsbegäran.docx", "A 18178-2026")</f>
        <v/>
      </c>
      <c r="Y76">
        <f>HYPERLINK("https://klasma.github.io/Logging_1885/tillsynsmail/A 18178-2026 tillsynsbegäran mail.docx", "A 18178-2026")</f>
        <v/>
      </c>
    </row>
    <row r="77" ht="15" customHeight="1">
      <c r="A77" t="inlineStr">
        <is>
          <t>A 18639-2026</t>
        </is>
      </c>
      <c r="B77" s="1" t="n">
        <v>46128.32203703704</v>
      </c>
      <c r="C77" s="1" t="n">
        <v>46190</v>
      </c>
      <c r="D77" t="inlineStr">
        <is>
          <t>ÖREBRO LÄN</t>
        </is>
      </c>
      <c r="E77" t="inlineStr">
        <is>
          <t>LINDESBERG</t>
        </is>
      </c>
      <c r="F77" t="inlineStr">
        <is>
          <t>Sveaskog</t>
        </is>
      </c>
      <c r="G77" t="n">
        <v>6</v>
      </c>
      <c r="H77" t="n">
        <v>1</v>
      </c>
      <c r="I77" t="n">
        <v>1</v>
      </c>
      <c r="J77" t="n">
        <v>0</v>
      </c>
      <c r="K77" t="n">
        <v>0</v>
      </c>
      <c r="L77" t="n">
        <v>0</v>
      </c>
      <c r="M77" t="n">
        <v>0</v>
      </c>
      <c r="N77" t="n">
        <v>0</v>
      </c>
      <c r="O77" t="n">
        <v>0</v>
      </c>
      <c r="P77" t="n">
        <v>0</v>
      </c>
      <c r="Q77" t="n">
        <v>1</v>
      </c>
      <c r="R77" s="2" t="inlineStr">
        <is>
          <t>Plattlummer</t>
        </is>
      </c>
      <c r="S77">
        <f>HYPERLINK("https://klasma.github.io/Logging_1885/artfynd/A 18639-2026 artfynd.xlsx", "A 18639-2026")</f>
        <v/>
      </c>
      <c r="T77">
        <f>HYPERLINK("https://klasma.github.io/Logging_1885/kartor/A 18639-2026 karta.png", "A 18639-2026")</f>
        <v/>
      </c>
      <c r="V77">
        <f>HYPERLINK("https://klasma.github.io/Logging_1885/klagomål/A 18639-2026 FSC-klagomål.docx", "A 18639-2026")</f>
        <v/>
      </c>
      <c r="W77">
        <f>HYPERLINK("https://klasma.github.io/Logging_1885/klagomålsmail/A 18639-2026 FSC-klagomål mail.docx", "A 18639-2026")</f>
        <v/>
      </c>
      <c r="X77">
        <f>HYPERLINK("https://klasma.github.io/Logging_1885/tillsyn/A 18639-2026 tillsynsbegäran.docx", "A 18639-2026")</f>
        <v/>
      </c>
      <c r="Y77">
        <f>HYPERLINK("https://klasma.github.io/Logging_1885/tillsynsmail/A 18639-2026 tillsynsbegäran mail.docx", "A 18639-2026")</f>
        <v/>
      </c>
    </row>
    <row r="78" ht="15" customHeight="1">
      <c r="A78" t="inlineStr">
        <is>
          <t>A 56049-2022</t>
        </is>
      </c>
      <c r="B78" s="1" t="n">
        <v>44889.5746875</v>
      </c>
      <c r="C78" s="1" t="n">
        <v>46190</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43154-2021</t>
        </is>
      </c>
      <c r="B79" s="1" t="n">
        <v>44431.69783564815</v>
      </c>
      <c r="C79" s="1" t="n">
        <v>46190</v>
      </c>
      <c r="D79" t="inlineStr">
        <is>
          <t>ÖREBRO LÄN</t>
        </is>
      </c>
      <c r="E79" t="inlineStr">
        <is>
          <t>LINDESBERG</t>
        </is>
      </c>
      <c r="F79" t="inlineStr">
        <is>
          <t>Sveaskog</t>
        </is>
      </c>
      <c r="G79" t="n">
        <v>0.7</v>
      </c>
      <c r="H79" t="n">
        <v>0</v>
      </c>
      <c r="I79" t="n">
        <v>0</v>
      </c>
      <c r="J79" t="n">
        <v>0</v>
      </c>
      <c r="K79" t="n">
        <v>0</v>
      </c>
      <c r="L79" t="n">
        <v>0</v>
      </c>
      <c r="M79" t="n">
        <v>0</v>
      </c>
      <c r="N79" t="n">
        <v>0</v>
      </c>
      <c r="O79" t="n">
        <v>0</v>
      </c>
      <c r="P79" t="n">
        <v>0</v>
      </c>
      <c r="Q79" t="n">
        <v>0</v>
      </c>
      <c r="R79" s="2" t="inlineStr"/>
    </row>
    <row r="80" ht="15" customHeight="1">
      <c r="A80" t="inlineStr">
        <is>
          <t>A 47457-2022</t>
        </is>
      </c>
      <c r="B80" s="1" t="n">
        <v>44853.61925925926</v>
      </c>
      <c r="C80" s="1" t="n">
        <v>46190</v>
      </c>
      <c r="D80" t="inlineStr">
        <is>
          <t>ÖREBRO LÄN</t>
        </is>
      </c>
      <c r="E80" t="inlineStr">
        <is>
          <t>LINDESBERG</t>
        </is>
      </c>
      <c r="G80" t="n">
        <v>3.7</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46190</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47336-2021</t>
        </is>
      </c>
      <c r="B82" s="1" t="n">
        <v>44447.51184027778</v>
      </c>
      <c r="C82" s="1" t="n">
        <v>46190</v>
      </c>
      <c r="D82" t="inlineStr">
        <is>
          <t>ÖREBRO LÄN</t>
        </is>
      </c>
      <c r="E82" t="inlineStr">
        <is>
          <t>LINDESBERG</t>
        </is>
      </c>
      <c r="F82" t="inlineStr">
        <is>
          <t>Kommuner</t>
        </is>
      </c>
      <c r="G82" t="n">
        <v>3.6</v>
      </c>
      <c r="H82" t="n">
        <v>0</v>
      </c>
      <c r="I82" t="n">
        <v>0</v>
      </c>
      <c r="J82" t="n">
        <v>0</v>
      </c>
      <c r="K82" t="n">
        <v>0</v>
      </c>
      <c r="L82" t="n">
        <v>0</v>
      </c>
      <c r="M82" t="n">
        <v>0</v>
      </c>
      <c r="N82" t="n">
        <v>0</v>
      </c>
      <c r="O82" t="n">
        <v>0</v>
      </c>
      <c r="P82" t="n">
        <v>0</v>
      </c>
      <c r="Q82" t="n">
        <v>0</v>
      </c>
      <c r="R82" s="2" t="inlineStr"/>
    </row>
    <row r="83" ht="15" customHeight="1">
      <c r="A83" t="inlineStr">
        <is>
          <t>A 48986-2021</t>
        </is>
      </c>
      <c r="B83" s="1" t="n">
        <v>44453</v>
      </c>
      <c r="C83" s="1" t="n">
        <v>46190</v>
      </c>
      <c r="D83" t="inlineStr">
        <is>
          <t>ÖREBRO LÄN</t>
        </is>
      </c>
      <c r="E83" t="inlineStr">
        <is>
          <t>LINDESBERG</t>
        </is>
      </c>
      <c r="G83" t="n">
        <v>1.5</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46190</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46190</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46190</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46190</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46190</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46190</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46190</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42511-2021</t>
        </is>
      </c>
      <c r="B91" s="1" t="n">
        <v>44427.75243055556</v>
      </c>
      <c r="C91" s="1" t="n">
        <v>46190</v>
      </c>
      <c r="D91" t="inlineStr">
        <is>
          <t>ÖREBRO LÄN</t>
        </is>
      </c>
      <c r="E91" t="inlineStr">
        <is>
          <t>LINDESBERG</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46190</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46190</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23583-2022</t>
        </is>
      </c>
      <c r="B94" s="1" t="n">
        <v>44721.53951388889</v>
      </c>
      <c r="C94" s="1" t="n">
        <v>46190</v>
      </c>
      <c r="D94" t="inlineStr">
        <is>
          <t>ÖREBRO LÄN</t>
        </is>
      </c>
      <c r="E94" t="inlineStr">
        <is>
          <t>LINDESBERG</t>
        </is>
      </c>
      <c r="G94" t="n">
        <v>3.7</v>
      </c>
      <c r="H94" t="n">
        <v>0</v>
      </c>
      <c r="I94" t="n">
        <v>0</v>
      </c>
      <c r="J94" t="n">
        <v>0</v>
      </c>
      <c r="K94" t="n">
        <v>0</v>
      </c>
      <c r="L94" t="n">
        <v>0</v>
      </c>
      <c r="M94" t="n">
        <v>0</v>
      </c>
      <c r="N94" t="n">
        <v>0</v>
      </c>
      <c r="O94" t="n">
        <v>0</v>
      </c>
      <c r="P94" t="n">
        <v>0</v>
      </c>
      <c r="Q94" t="n">
        <v>0</v>
      </c>
      <c r="R94" s="2" t="inlineStr"/>
    </row>
    <row r="95" ht="15" customHeight="1">
      <c r="A95" t="inlineStr">
        <is>
          <t>A 23971-2022</t>
        </is>
      </c>
      <c r="B95" s="1" t="n">
        <v>44722.78552083333</v>
      </c>
      <c r="C95" s="1" t="n">
        <v>46190</v>
      </c>
      <c r="D95" t="inlineStr">
        <is>
          <t>ÖREBRO LÄN</t>
        </is>
      </c>
      <c r="E95" t="inlineStr">
        <is>
          <t>LINDESBERG</t>
        </is>
      </c>
      <c r="G95" t="n">
        <v>6.1</v>
      </c>
      <c r="H95" t="n">
        <v>0</v>
      </c>
      <c r="I95" t="n">
        <v>0</v>
      </c>
      <c r="J95" t="n">
        <v>0</v>
      </c>
      <c r="K95" t="n">
        <v>0</v>
      </c>
      <c r="L95" t="n">
        <v>0</v>
      </c>
      <c r="M95" t="n">
        <v>0</v>
      </c>
      <c r="N95" t="n">
        <v>0</v>
      </c>
      <c r="O95" t="n">
        <v>0</v>
      </c>
      <c r="P95" t="n">
        <v>0</v>
      </c>
      <c r="Q95" t="n">
        <v>0</v>
      </c>
      <c r="R95" s="2" t="inlineStr"/>
    </row>
    <row r="96" ht="15" customHeight="1">
      <c r="A96" t="inlineStr">
        <is>
          <t>A 2106-2022</t>
        </is>
      </c>
      <c r="B96" s="1" t="n">
        <v>44577.82805555555</v>
      </c>
      <c r="C96" s="1" t="n">
        <v>46190</v>
      </c>
      <c r="D96" t="inlineStr">
        <is>
          <t>ÖREBRO LÄN</t>
        </is>
      </c>
      <c r="E96" t="inlineStr">
        <is>
          <t>LINDESBERG</t>
        </is>
      </c>
      <c r="G96" t="n">
        <v>0.5</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46190</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51122-2021</t>
        </is>
      </c>
      <c r="B98" s="1" t="n">
        <v>44460</v>
      </c>
      <c r="C98" s="1" t="n">
        <v>46190</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56695-2021</t>
        </is>
      </c>
      <c r="B99" s="1" t="n">
        <v>44481</v>
      </c>
      <c r="C99" s="1" t="n">
        <v>46190</v>
      </c>
      <c r="D99" t="inlineStr">
        <is>
          <t>ÖREBRO LÄN</t>
        </is>
      </c>
      <c r="E99" t="inlineStr">
        <is>
          <t>LINDESBERG</t>
        </is>
      </c>
      <c r="G99" t="n">
        <v>1.9</v>
      </c>
      <c r="H99" t="n">
        <v>0</v>
      </c>
      <c r="I99" t="n">
        <v>0</v>
      </c>
      <c r="J99" t="n">
        <v>0</v>
      </c>
      <c r="K99" t="n">
        <v>0</v>
      </c>
      <c r="L99" t="n">
        <v>0</v>
      </c>
      <c r="M99" t="n">
        <v>0</v>
      </c>
      <c r="N99" t="n">
        <v>0</v>
      </c>
      <c r="O99" t="n">
        <v>0</v>
      </c>
      <c r="P99" t="n">
        <v>0</v>
      </c>
      <c r="Q99" t="n">
        <v>0</v>
      </c>
      <c r="R99" s="2" t="inlineStr"/>
    </row>
    <row r="100" ht="15" customHeight="1">
      <c r="A100" t="inlineStr">
        <is>
          <t>A 12522-2022</t>
        </is>
      </c>
      <c r="B100" s="1" t="n">
        <v>44638</v>
      </c>
      <c r="C100" s="1" t="n">
        <v>46190</v>
      </c>
      <c r="D100" t="inlineStr">
        <is>
          <t>ÖREBRO LÄN</t>
        </is>
      </c>
      <c r="E100" t="inlineStr">
        <is>
          <t>LINDESBERG</t>
        </is>
      </c>
      <c r="G100" t="n">
        <v>6.2</v>
      </c>
      <c r="H100" t="n">
        <v>0</v>
      </c>
      <c r="I100" t="n">
        <v>0</v>
      </c>
      <c r="J100" t="n">
        <v>0</v>
      </c>
      <c r="K100" t="n">
        <v>0</v>
      </c>
      <c r="L100" t="n">
        <v>0</v>
      </c>
      <c r="M100" t="n">
        <v>0</v>
      </c>
      <c r="N100" t="n">
        <v>0</v>
      </c>
      <c r="O100" t="n">
        <v>0</v>
      </c>
      <c r="P100" t="n">
        <v>0</v>
      </c>
      <c r="Q100" t="n">
        <v>0</v>
      </c>
      <c r="R100" s="2" t="inlineStr"/>
    </row>
    <row r="101" ht="15" customHeight="1">
      <c r="A101" t="inlineStr">
        <is>
          <t>A 29623-2022</t>
        </is>
      </c>
      <c r="B101" s="1" t="n">
        <v>44754</v>
      </c>
      <c r="C101" s="1" t="n">
        <v>46190</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33760-2022</t>
        </is>
      </c>
      <c r="B102" s="1" t="n">
        <v>44790</v>
      </c>
      <c r="C102" s="1" t="n">
        <v>46190</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46190</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46190</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10821-2022</t>
        </is>
      </c>
      <c r="B105" s="1" t="n">
        <v>44627</v>
      </c>
      <c r="C105" s="1" t="n">
        <v>46190</v>
      </c>
      <c r="D105" t="inlineStr">
        <is>
          <t>ÖREBRO LÄN</t>
        </is>
      </c>
      <c r="E105" t="inlineStr">
        <is>
          <t>LINDESBERG</t>
        </is>
      </c>
      <c r="G105" t="n">
        <v>0.4</v>
      </c>
      <c r="H105" t="n">
        <v>0</v>
      </c>
      <c r="I105" t="n">
        <v>0</v>
      </c>
      <c r="J105" t="n">
        <v>0</v>
      </c>
      <c r="K105" t="n">
        <v>0</v>
      </c>
      <c r="L105" t="n">
        <v>0</v>
      </c>
      <c r="M105" t="n">
        <v>0</v>
      </c>
      <c r="N105" t="n">
        <v>0</v>
      </c>
      <c r="O105" t="n">
        <v>0</v>
      </c>
      <c r="P105" t="n">
        <v>0</v>
      </c>
      <c r="Q105" t="n">
        <v>0</v>
      </c>
      <c r="R105" s="2" t="inlineStr"/>
    </row>
    <row r="106" ht="15" customHeight="1">
      <c r="A106" t="inlineStr">
        <is>
          <t>A 33309-2021</t>
        </is>
      </c>
      <c r="B106" s="1" t="n">
        <v>44377</v>
      </c>
      <c r="C106" s="1" t="n">
        <v>46190</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33322-2021</t>
        </is>
      </c>
      <c r="B107" s="1" t="n">
        <v>44377.44943287037</v>
      </c>
      <c r="C107" s="1" t="n">
        <v>46190</v>
      </c>
      <c r="D107" t="inlineStr">
        <is>
          <t>ÖREBRO LÄN</t>
        </is>
      </c>
      <c r="E107" t="inlineStr">
        <is>
          <t>LINDESBERG</t>
        </is>
      </c>
      <c r="G107" t="n">
        <v>2.2</v>
      </c>
      <c r="H107" t="n">
        <v>0</v>
      </c>
      <c r="I107" t="n">
        <v>0</v>
      </c>
      <c r="J107" t="n">
        <v>0</v>
      </c>
      <c r="K107" t="n">
        <v>0</v>
      </c>
      <c r="L107" t="n">
        <v>0</v>
      </c>
      <c r="M107" t="n">
        <v>0</v>
      </c>
      <c r="N107" t="n">
        <v>0</v>
      </c>
      <c r="O107" t="n">
        <v>0</v>
      </c>
      <c r="P107" t="n">
        <v>0</v>
      </c>
      <c r="Q107" t="n">
        <v>0</v>
      </c>
      <c r="R107" s="2" t="inlineStr"/>
    </row>
    <row r="108" ht="15" customHeight="1">
      <c r="A108" t="inlineStr">
        <is>
          <t>A 11361-2022</t>
        </is>
      </c>
      <c r="B108" s="1" t="n">
        <v>44630</v>
      </c>
      <c r="C108" s="1" t="n">
        <v>46190</v>
      </c>
      <c r="D108" t="inlineStr">
        <is>
          <t>ÖREBRO LÄN</t>
        </is>
      </c>
      <c r="E108" t="inlineStr">
        <is>
          <t>LINDESBERG</t>
        </is>
      </c>
      <c r="G108" t="n">
        <v>2.9</v>
      </c>
      <c r="H108" t="n">
        <v>0</v>
      </c>
      <c r="I108" t="n">
        <v>0</v>
      </c>
      <c r="J108" t="n">
        <v>0</v>
      </c>
      <c r="K108" t="n">
        <v>0</v>
      </c>
      <c r="L108" t="n">
        <v>0</v>
      </c>
      <c r="M108" t="n">
        <v>0</v>
      </c>
      <c r="N108" t="n">
        <v>0</v>
      </c>
      <c r="O108" t="n">
        <v>0</v>
      </c>
      <c r="P108" t="n">
        <v>0</v>
      </c>
      <c r="Q108" t="n">
        <v>0</v>
      </c>
      <c r="R108" s="2" t="inlineStr"/>
    </row>
    <row r="109" ht="15" customHeight="1">
      <c r="A109" t="inlineStr">
        <is>
          <t>A 49745-2022</t>
        </is>
      </c>
      <c r="B109" s="1" t="n">
        <v>44862</v>
      </c>
      <c r="C109" s="1" t="n">
        <v>46190</v>
      </c>
      <c r="D109" t="inlineStr">
        <is>
          <t>ÖREBRO LÄN</t>
        </is>
      </c>
      <c r="E109" t="inlineStr">
        <is>
          <t>LINDESBERG</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6958-2022</t>
        </is>
      </c>
      <c r="B110" s="1" t="n">
        <v>44603</v>
      </c>
      <c r="C110" s="1" t="n">
        <v>46190</v>
      </c>
      <c r="D110" t="inlineStr">
        <is>
          <t>ÖREBRO LÄN</t>
        </is>
      </c>
      <c r="E110" t="inlineStr">
        <is>
          <t>LINDESBERG</t>
        </is>
      </c>
      <c r="G110" t="n">
        <v>1.4</v>
      </c>
      <c r="H110" t="n">
        <v>0</v>
      </c>
      <c r="I110" t="n">
        <v>0</v>
      </c>
      <c r="J110" t="n">
        <v>0</v>
      </c>
      <c r="K110" t="n">
        <v>0</v>
      </c>
      <c r="L110" t="n">
        <v>0</v>
      </c>
      <c r="M110" t="n">
        <v>0</v>
      </c>
      <c r="N110" t="n">
        <v>0</v>
      </c>
      <c r="O110" t="n">
        <v>0</v>
      </c>
      <c r="P110" t="n">
        <v>0</v>
      </c>
      <c r="Q110" t="n">
        <v>0</v>
      </c>
      <c r="R110" s="2" t="inlineStr"/>
    </row>
    <row r="111" ht="15" customHeight="1">
      <c r="A111" t="inlineStr">
        <is>
          <t>A 11164-2022</t>
        </is>
      </c>
      <c r="B111" s="1" t="n">
        <v>44629</v>
      </c>
      <c r="C111" s="1" t="n">
        <v>46190</v>
      </c>
      <c r="D111" t="inlineStr">
        <is>
          <t>ÖREBRO LÄN</t>
        </is>
      </c>
      <c r="E111" t="inlineStr">
        <is>
          <t>LINDESBERG</t>
        </is>
      </c>
      <c r="G111" t="n">
        <v>6.7</v>
      </c>
      <c r="H111" t="n">
        <v>0</v>
      </c>
      <c r="I111" t="n">
        <v>0</v>
      </c>
      <c r="J111" t="n">
        <v>0</v>
      </c>
      <c r="K111" t="n">
        <v>0</v>
      </c>
      <c r="L111" t="n">
        <v>0</v>
      </c>
      <c r="M111" t="n">
        <v>0</v>
      </c>
      <c r="N111" t="n">
        <v>0</v>
      </c>
      <c r="O111" t="n">
        <v>0</v>
      </c>
      <c r="P111" t="n">
        <v>0</v>
      </c>
      <c r="Q111" t="n">
        <v>0</v>
      </c>
      <c r="R111" s="2" t="inlineStr"/>
    </row>
    <row r="112" ht="15" customHeight="1">
      <c r="A112" t="inlineStr">
        <is>
          <t>A 22481-2022</t>
        </is>
      </c>
      <c r="B112" s="1" t="n">
        <v>44713.61145833333</v>
      </c>
      <c r="C112" s="1" t="n">
        <v>46190</v>
      </c>
      <c r="D112" t="inlineStr">
        <is>
          <t>ÖREBRO LÄN</t>
        </is>
      </c>
      <c r="E112" t="inlineStr">
        <is>
          <t>LINDESBERG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46190</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32615-2021</t>
        </is>
      </c>
      <c r="B114" s="1" t="n">
        <v>44375</v>
      </c>
      <c r="C114" s="1" t="n">
        <v>46190</v>
      </c>
      <c r="D114" t="inlineStr">
        <is>
          <t>ÖREBRO LÄN</t>
        </is>
      </c>
      <c r="E114" t="inlineStr">
        <is>
          <t>LINDESBERG</t>
        </is>
      </c>
      <c r="G114" t="n">
        <v>5</v>
      </c>
      <c r="H114" t="n">
        <v>0</v>
      </c>
      <c r="I114" t="n">
        <v>0</v>
      </c>
      <c r="J114" t="n">
        <v>0</v>
      </c>
      <c r="K114" t="n">
        <v>0</v>
      </c>
      <c r="L114" t="n">
        <v>0</v>
      </c>
      <c r="M114" t="n">
        <v>0</v>
      </c>
      <c r="N114" t="n">
        <v>0</v>
      </c>
      <c r="O114" t="n">
        <v>0</v>
      </c>
      <c r="P114" t="n">
        <v>0</v>
      </c>
      <c r="Q114" t="n">
        <v>0</v>
      </c>
      <c r="R114" s="2" t="inlineStr"/>
    </row>
    <row r="115" ht="15" customHeight="1">
      <c r="A115" t="inlineStr">
        <is>
          <t>A 21606-2022</t>
        </is>
      </c>
      <c r="B115" s="1" t="n">
        <v>44706.65927083333</v>
      </c>
      <c r="C115" s="1" t="n">
        <v>46190</v>
      </c>
      <c r="D115" t="inlineStr">
        <is>
          <t>ÖREBRO LÄN</t>
        </is>
      </c>
      <c r="E115" t="inlineStr">
        <is>
          <t>LINDESBERG</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53153-2021</t>
        </is>
      </c>
      <c r="B116" s="1" t="n">
        <v>44468.34099537037</v>
      </c>
      <c r="C116" s="1" t="n">
        <v>46190</v>
      </c>
      <c r="D116" t="inlineStr">
        <is>
          <t>ÖREBRO LÄN</t>
        </is>
      </c>
      <c r="E116" t="inlineStr">
        <is>
          <t>LINDESBERG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40099-2021</t>
        </is>
      </c>
      <c r="B117" s="1" t="n">
        <v>44418.58454861111</v>
      </c>
      <c r="C117" s="1" t="n">
        <v>46190</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2110-2022</t>
        </is>
      </c>
      <c r="B118" s="1" t="n">
        <v>44577.84596064815</v>
      </c>
      <c r="C118" s="1" t="n">
        <v>46190</v>
      </c>
      <c r="D118" t="inlineStr">
        <is>
          <t>ÖREBRO LÄN</t>
        </is>
      </c>
      <c r="E118" t="inlineStr">
        <is>
          <t>LINDESBERG</t>
        </is>
      </c>
      <c r="G118" t="n">
        <v>4.4</v>
      </c>
      <c r="H118" t="n">
        <v>0</v>
      </c>
      <c r="I118" t="n">
        <v>0</v>
      </c>
      <c r="J118" t="n">
        <v>0</v>
      </c>
      <c r="K118" t="n">
        <v>0</v>
      </c>
      <c r="L118" t="n">
        <v>0</v>
      </c>
      <c r="M118" t="n">
        <v>0</v>
      </c>
      <c r="N118" t="n">
        <v>0</v>
      </c>
      <c r="O118" t="n">
        <v>0</v>
      </c>
      <c r="P118" t="n">
        <v>0</v>
      </c>
      <c r="Q118" t="n">
        <v>0</v>
      </c>
      <c r="R118" s="2" t="inlineStr"/>
    </row>
    <row r="119" ht="15" customHeight="1">
      <c r="A119" t="inlineStr">
        <is>
          <t>A 16424-2022</t>
        </is>
      </c>
      <c r="B119" s="1" t="n">
        <v>44671</v>
      </c>
      <c r="C119" s="1" t="n">
        <v>46190</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62981-2021</t>
        </is>
      </c>
      <c r="B120" s="1" t="n">
        <v>44505.36354166667</v>
      </c>
      <c r="C120" s="1" t="n">
        <v>46190</v>
      </c>
      <c r="D120" t="inlineStr">
        <is>
          <t>ÖREBRO LÄN</t>
        </is>
      </c>
      <c r="E120" t="inlineStr">
        <is>
          <t>LINDESBERG</t>
        </is>
      </c>
      <c r="G120" t="n">
        <v>2.3</v>
      </c>
      <c r="H120" t="n">
        <v>0</v>
      </c>
      <c r="I120" t="n">
        <v>0</v>
      </c>
      <c r="J120" t="n">
        <v>0</v>
      </c>
      <c r="K120" t="n">
        <v>0</v>
      </c>
      <c r="L120" t="n">
        <v>0</v>
      </c>
      <c r="M120" t="n">
        <v>0</v>
      </c>
      <c r="N120" t="n">
        <v>0</v>
      </c>
      <c r="O120" t="n">
        <v>0</v>
      </c>
      <c r="P120" t="n">
        <v>0</v>
      </c>
      <c r="Q120" t="n">
        <v>0</v>
      </c>
      <c r="R120" s="2" t="inlineStr"/>
    </row>
    <row r="121" ht="15" customHeight="1">
      <c r="A121" t="inlineStr">
        <is>
          <t>A 72713-2021</t>
        </is>
      </c>
      <c r="B121" s="1" t="n">
        <v>44546.67978009259</v>
      </c>
      <c r="C121" s="1" t="n">
        <v>46190</v>
      </c>
      <c r="D121" t="inlineStr">
        <is>
          <t>ÖREBRO LÄN</t>
        </is>
      </c>
      <c r="E121" t="inlineStr">
        <is>
          <t>LINDESBERG</t>
        </is>
      </c>
      <c r="G121" t="n">
        <v>0.3</v>
      </c>
      <c r="H121" t="n">
        <v>0</v>
      </c>
      <c r="I121" t="n">
        <v>0</v>
      </c>
      <c r="J121" t="n">
        <v>0</v>
      </c>
      <c r="K121" t="n">
        <v>0</v>
      </c>
      <c r="L121" t="n">
        <v>0</v>
      </c>
      <c r="M121" t="n">
        <v>0</v>
      </c>
      <c r="N121" t="n">
        <v>0</v>
      </c>
      <c r="O121" t="n">
        <v>0</v>
      </c>
      <c r="P121" t="n">
        <v>0</v>
      </c>
      <c r="Q121" t="n">
        <v>0</v>
      </c>
      <c r="R121" s="2" t="inlineStr"/>
    </row>
    <row r="122" ht="15" customHeight="1">
      <c r="A122" t="inlineStr">
        <is>
          <t>A 33058-2021</t>
        </is>
      </c>
      <c r="B122" s="1" t="n">
        <v>44375</v>
      </c>
      <c r="C122" s="1" t="n">
        <v>46190</v>
      </c>
      <c r="D122" t="inlineStr">
        <is>
          <t>ÖREBRO LÄN</t>
        </is>
      </c>
      <c r="E122" t="inlineStr">
        <is>
          <t>LINDESBERG</t>
        </is>
      </c>
      <c r="G122" t="n">
        <v>1.8</v>
      </c>
      <c r="H122" t="n">
        <v>0</v>
      </c>
      <c r="I122" t="n">
        <v>0</v>
      </c>
      <c r="J122" t="n">
        <v>0</v>
      </c>
      <c r="K122" t="n">
        <v>0</v>
      </c>
      <c r="L122" t="n">
        <v>0</v>
      </c>
      <c r="M122" t="n">
        <v>0</v>
      </c>
      <c r="N122" t="n">
        <v>0</v>
      </c>
      <c r="O122" t="n">
        <v>0</v>
      </c>
      <c r="P122" t="n">
        <v>0</v>
      </c>
      <c r="Q122" t="n">
        <v>0</v>
      </c>
      <c r="R122" s="2" t="inlineStr"/>
    </row>
    <row r="123" ht="15" customHeight="1">
      <c r="A123" t="inlineStr">
        <is>
          <t>A 40351-2022</t>
        </is>
      </c>
      <c r="B123" s="1" t="n">
        <v>44823.37396990741</v>
      </c>
      <c r="C123" s="1" t="n">
        <v>46190</v>
      </c>
      <c r="D123" t="inlineStr">
        <is>
          <t>ÖREBRO LÄN</t>
        </is>
      </c>
      <c r="E123" t="inlineStr">
        <is>
          <t>LINDESBERG</t>
        </is>
      </c>
      <c r="G123" t="n">
        <v>0.3</v>
      </c>
      <c r="H123" t="n">
        <v>0</v>
      </c>
      <c r="I123" t="n">
        <v>0</v>
      </c>
      <c r="J123" t="n">
        <v>0</v>
      </c>
      <c r="K123" t="n">
        <v>0</v>
      </c>
      <c r="L123" t="n">
        <v>0</v>
      </c>
      <c r="M123" t="n">
        <v>0</v>
      </c>
      <c r="N123" t="n">
        <v>0</v>
      </c>
      <c r="O123" t="n">
        <v>0</v>
      </c>
      <c r="P123" t="n">
        <v>0</v>
      </c>
      <c r="Q123" t="n">
        <v>0</v>
      </c>
      <c r="R123" s="2" t="inlineStr"/>
    </row>
    <row r="124" ht="15" customHeight="1">
      <c r="A124" t="inlineStr">
        <is>
          <t>A 33785-2021</t>
        </is>
      </c>
      <c r="B124" s="1" t="n">
        <v>44378.55319444444</v>
      </c>
      <c r="C124" s="1" t="n">
        <v>46190</v>
      </c>
      <c r="D124" t="inlineStr">
        <is>
          <t>ÖREBRO LÄN</t>
        </is>
      </c>
      <c r="E124" t="inlineStr">
        <is>
          <t>LINDESBERG</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67060-2021</t>
        </is>
      </c>
      <c r="B125" s="1" t="n">
        <v>44522.87423611111</v>
      </c>
      <c r="C125" s="1" t="n">
        <v>46190</v>
      </c>
      <c r="D125" t="inlineStr">
        <is>
          <t>ÖREBRO LÄN</t>
        </is>
      </c>
      <c r="E125" t="inlineStr">
        <is>
          <t>LINDESBERG</t>
        </is>
      </c>
      <c r="G125" t="n">
        <v>6.3</v>
      </c>
      <c r="H125" t="n">
        <v>0</v>
      </c>
      <c r="I125" t="n">
        <v>0</v>
      </c>
      <c r="J125" t="n">
        <v>0</v>
      </c>
      <c r="K125" t="n">
        <v>0</v>
      </c>
      <c r="L125" t="n">
        <v>0</v>
      </c>
      <c r="M125" t="n">
        <v>0</v>
      </c>
      <c r="N125" t="n">
        <v>0</v>
      </c>
      <c r="O125" t="n">
        <v>0</v>
      </c>
      <c r="P125" t="n">
        <v>0</v>
      </c>
      <c r="Q125" t="n">
        <v>0</v>
      </c>
      <c r="R125" s="2" t="inlineStr"/>
    </row>
    <row r="126" ht="15" customHeight="1">
      <c r="A126" t="inlineStr">
        <is>
          <t>A 11926-2022</t>
        </is>
      </c>
      <c r="B126" s="1" t="n">
        <v>44635.51386574074</v>
      </c>
      <c r="C126" s="1" t="n">
        <v>46190</v>
      </c>
      <c r="D126" t="inlineStr">
        <is>
          <t>ÖREBRO LÄN</t>
        </is>
      </c>
      <c r="E126" t="inlineStr">
        <is>
          <t>LINDESBERG</t>
        </is>
      </c>
      <c r="G126" t="n">
        <v>2.7</v>
      </c>
      <c r="H126" t="n">
        <v>0</v>
      </c>
      <c r="I126" t="n">
        <v>0</v>
      </c>
      <c r="J126" t="n">
        <v>0</v>
      </c>
      <c r="K126" t="n">
        <v>0</v>
      </c>
      <c r="L126" t="n">
        <v>0</v>
      </c>
      <c r="M126" t="n">
        <v>0</v>
      </c>
      <c r="N126" t="n">
        <v>0</v>
      </c>
      <c r="O126" t="n">
        <v>0</v>
      </c>
      <c r="P126" t="n">
        <v>0</v>
      </c>
      <c r="Q126" t="n">
        <v>0</v>
      </c>
      <c r="R126" s="2" t="inlineStr"/>
    </row>
    <row r="127" ht="15" customHeight="1">
      <c r="A127" t="inlineStr">
        <is>
          <t>A 44197-2021</t>
        </is>
      </c>
      <c r="B127" s="1" t="n">
        <v>44434.74203703704</v>
      </c>
      <c r="C127" s="1" t="n">
        <v>46190</v>
      </c>
      <c r="D127" t="inlineStr">
        <is>
          <t>ÖREBRO LÄN</t>
        </is>
      </c>
      <c r="E127" t="inlineStr">
        <is>
          <t>LINDESBERG</t>
        </is>
      </c>
      <c r="G127" t="n">
        <v>1.1</v>
      </c>
      <c r="H127" t="n">
        <v>0</v>
      </c>
      <c r="I127" t="n">
        <v>0</v>
      </c>
      <c r="J127" t="n">
        <v>0</v>
      </c>
      <c r="K127" t="n">
        <v>0</v>
      </c>
      <c r="L127" t="n">
        <v>0</v>
      </c>
      <c r="M127" t="n">
        <v>0</v>
      </c>
      <c r="N127" t="n">
        <v>0</v>
      </c>
      <c r="O127" t="n">
        <v>0</v>
      </c>
      <c r="P127" t="n">
        <v>0</v>
      </c>
      <c r="Q127" t="n">
        <v>0</v>
      </c>
      <c r="R127" s="2" t="inlineStr"/>
    </row>
    <row r="128" ht="15" customHeight="1">
      <c r="A128" t="inlineStr">
        <is>
          <t>A 19562-2022</t>
        </is>
      </c>
      <c r="B128" s="1" t="n">
        <v>44693.66775462963</v>
      </c>
      <c r="C128" s="1" t="n">
        <v>46190</v>
      </c>
      <c r="D128" t="inlineStr">
        <is>
          <t>ÖREBRO LÄN</t>
        </is>
      </c>
      <c r="E128" t="inlineStr">
        <is>
          <t>LINDESBERG</t>
        </is>
      </c>
      <c r="F128" t="inlineStr">
        <is>
          <t>Kyrkan</t>
        </is>
      </c>
      <c r="G128" t="n">
        <v>4.2</v>
      </c>
      <c r="H128" t="n">
        <v>0</v>
      </c>
      <c r="I128" t="n">
        <v>0</v>
      </c>
      <c r="J128" t="n">
        <v>0</v>
      </c>
      <c r="K128" t="n">
        <v>0</v>
      </c>
      <c r="L128" t="n">
        <v>0</v>
      </c>
      <c r="M128" t="n">
        <v>0</v>
      </c>
      <c r="N128" t="n">
        <v>0</v>
      </c>
      <c r="O128" t="n">
        <v>0</v>
      </c>
      <c r="P128" t="n">
        <v>0</v>
      </c>
      <c r="Q128" t="n">
        <v>0</v>
      </c>
      <c r="R128" s="2" t="inlineStr"/>
    </row>
    <row r="129" ht="15" customHeight="1">
      <c r="A129" t="inlineStr">
        <is>
          <t>A 57765-2021</t>
        </is>
      </c>
      <c r="B129" s="1" t="n">
        <v>44484.56523148148</v>
      </c>
      <c r="C129" s="1" t="n">
        <v>46190</v>
      </c>
      <c r="D129" t="inlineStr">
        <is>
          <t>ÖREBRO LÄN</t>
        </is>
      </c>
      <c r="E129" t="inlineStr">
        <is>
          <t>LINDESBERG</t>
        </is>
      </c>
      <c r="G129" t="n">
        <v>3.4</v>
      </c>
      <c r="H129" t="n">
        <v>0</v>
      </c>
      <c r="I129" t="n">
        <v>0</v>
      </c>
      <c r="J129" t="n">
        <v>0</v>
      </c>
      <c r="K129" t="n">
        <v>0</v>
      </c>
      <c r="L129" t="n">
        <v>0</v>
      </c>
      <c r="M129" t="n">
        <v>0</v>
      </c>
      <c r="N129" t="n">
        <v>0</v>
      </c>
      <c r="O129" t="n">
        <v>0</v>
      </c>
      <c r="P129" t="n">
        <v>0</v>
      </c>
      <c r="Q129" t="n">
        <v>0</v>
      </c>
      <c r="R129" s="2" t="inlineStr"/>
    </row>
    <row r="130" ht="15" customHeight="1">
      <c r="A130" t="inlineStr">
        <is>
          <t>A 19057-2022</t>
        </is>
      </c>
      <c r="B130" s="1" t="n">
        <v>44691</v>
      </c>
      <c r="C130" s="1" t="n">
        <v>46190</v>
      </c>
      <c r="D130" t="inlineStr">
        <is>
          <t>ÖREBRO LÄN</t>
        </is>
      </c>
      <c r="E130" t="inlineStr">
        <is>
          <t>LINDESBERG</t>
        </is>
      </c>
      <c r="G130" t="n">
        <v>2.1</v>
      </c>
      <c r="H130" t="n">
        <v>0</v>
      </c>
      <c r="I130" t="n">
        <v>0</v>
      </c>
      <c r="J130" t="n">
        <v>0</v>
      </c>
      <c r="K130" t="n">
        <v>0</v>
      </c>
      <c r="L130" t="n">
        <v>0</v>
      </c>
      <c r="M130" t="n">
        <v>0</v>
      </c>
      <c r="N130" t="n">
        <v>0</v>
      </c>
      <c r="O130" t="n">
        <v>0</v>
      </c>
      <c r="P130" t="n">
        <v>0</v>
      </c>
      <c r="Q130" t="n">
        <v>0</v>
      </c>
      <c r="R130" s="2" t="inlineStr"/>
    </row>
    <row r="131" ht="15" customHeight="1">
      <c r="A131" t="inlineStr">
        <is>
          <t>A 19612-2022</t>
        </is>
      </c>
      <c r="B131" s="1" t="n">
        <v>44694.29309027778</v>
      </c>
      <c r="C131" s="1" t="n">
        <v>46190</v>
      </c>
      <c r="D131" t="inlineStr">
        <is>
          <t>ÖREBRO LÄN</t>
        </is>
      </c>
      <c r="E131" t="inlineStr">
        <is>
          <t>LINDESBERG</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63071-2021</t>
        </is>
      </c>
      <c r="B132" s="1" t="n">
        <v>44505</v>
      </c>
      <c r="C132" s="1" t="n">
        <v>46190</v>
      </c>
      <c r="D132" t="inlineStr">
        <is>
          <t>ÖREBRO LÄN</t>
        </is>
      </c>
      <c r="E132" t="inlineStr">
        <is>
          <t>LINDESBERG</t>
        </is>
      </c>
      <c r="G132" t="n">
        <v>0.9</v>
      </c>
      <c r="H132" t="n">
        <v>0</v>
      </c>
      <c r="I132" t="n">
        <v>0</v>
      </c>
      <c r="J132" t="n">
        <v>0</v>
      </c>
      <c r="K132" t="n">
        <v>0</v>
      </c>
      <c r="L132" t="n">
        <v>0</v>
      </c>
      <c r="M132" t="n">
        <v>0</v>
      </c>
      <c r="N132" t="n">
        <v>0</v>
      </c>
      <c r="O132" t="n">
        <v>0</v>
      </c>
      <c r="P132" t="n">
        <v>0</v>
      </c>
      <c r="Q132" t="n">
        <v>0</v>
      </c>
      <c r="R132" s="2" t="inlineStr"/>
    </row>
    <row r="133" ht="15" customHeight="1">
      <c r="A133" t="inlineStr">
        <is>
          <t>A 59182-2021</t>
        </is>
      </c>
      <c r="B133" s="1" t="n">
        <v>44490</v>
      </c>
      <c r="C133" s="1" t="n">
        <v>46190</v>
      </c>
      <c r="D133" t="inlineStr">
        <is>
          <t>ÖREBRO LÄN</t>
        </is>
      </c>
      <c r="E133" t="inlineStr">
        <is>
          <t>LINDESBERG</t>
        </is>
      </c>
      <c r="G133" t="n">
        <v>1.4</v>
      </c>
      <c r="H133" t="n">
        <v>0</v>
      </c>
      <c r="I133" t="n">
        <v>0</v>
      </c>
      <c r="J133" t="n">
        <v>0</v>
      </c>
      <c r="K133" t="n">
        <v>0</v>
      </c>
      <c r="L133" t="n">
        <v>0</v>
      </c>
      <c r="M133" t="n">
        <v>0</v>
      </c>
      <c r="N133" t="n">
        <v>0</v>
      </c>
      <c r="O133" t="n">
        <v>0</v>
      </c>
      <c r="P133" t="n">
        <v>0</v>
      </c>
      <c r="Q133" t="n">
        <v>0</v>
      </c>
      <c r="R133" s="2" t="inlineStr"/>
    </row>
    <row r="134" ht="15" customHeight="1">
      <c r="A134" t="inlineStr">
        <is>
          <t>A 11271-2022</t>
        </is>
      </c>
      <c r="B134" s="1" t="n">
        <v>44629</v>
      </c>
      <c r="C134" s="1" t="n">
        <v>46190</v>
      </c>
      <c r="D134" t="inlineStr">
        <is>
          <t>ÖREBRO LÄN</t>
        </is>
      </c>
      <c r="E134" t="inlineStr">
        <is>
          <t>LINDESBERG</t>
        </is>
      </c>
      <c r="G134" t="n">
        <v>7.8</v>
      </c>
      <c r="H134" t="n">
        <v>0</v>
      </c>
      <c r="I134" t="n">
        <v>0</v>
      </c>
      <c r="J134" t="n">
        <v>0</v>
      </c>
      <c r="K134" t="n">
        <v>0</v>
      </c>
      <c r="L134" t="n">
        <v>0</v>
      </c>
      <c r="M134" t="n">
        <v>0</v>
      </c>
      <c r="N134" t="n">
        <v>0</v>
      </c>
      <c r="O134" t="n">
        <v>0</v>
      </c>
      <c r="P134" t="n">
        <v>0</v>
      </c>
      <c r="Q134" t="n">
        <v>0</v>
      </c>
      <c r="R134" s="2" t="inlineStr"/>
    </row>
    <row r="135" ht="15" customHeight="1">
      <c r="A135" t="inlineStr">
        <is>
          <t>A 41580-2021</t>
        </is>
      </c>
      <c r="B135" s="1" t="n">
        <v>44425.40128472223</v>
      </c>
      <c r="C135" s="1" t="n">
        <v>46190</v>
      </c>
      <c r="D135" t="inlineStr">
        <is>
          <t>ÖREBRO LÄN</t>
        </is>
      </c>
      <c r="E135" t="inlineStr">
        <is>
          <t>LINDESBERG</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16123-2022</t>
        </is>
      </c>
      <c r="B136" s="1" t="n">
        <v>44665</v>
      </c>
      <c r="C136" s="1" t="n">
        <v>46190</v>
      </c>
      <c r="D136" t="inlineStr">
        <is>
          <t>ÖREBRO LÄN</t>
        </is>
      </c>
      <c r="E136" t="inlineStr">
        <is>
          <t>LINDESBERG</t>
        </is>
      </c>
      <c r="G136" t="n">
        <v>10.6</v>
      </c>
      <c r="H136" t="n">
        <v>0</v>
      </c>
      <c r="I136" t="n">
        <v>0</v>
      </c>
      <c r="J136" t="n">
        <v>0</v>
      </c>
      <c r="K136" t="n">
        <v>0</v>
      </c>
      <c r="L136" t="n">
        <v>0</v>
      </c>
      <c r="M136" t="n">
        <v>0</v>
      </c>
      <c r="N136" t="n">
        <v>0</v>
      </c>
      <c r="O136" t="n">
        <v>0</v>
      </c>
      <c r="P136" t="n">
        <v>0</v>
      </c>
      <c r="Q136" t="n">
        <v>0</v>
      </c>
      <c r="R136" s="2" t="inlineStr"/>
    </row>
    <row r="137" ht="15" customHeight="1">
      <c r="A137" t="inlineStr">
        <is>
          <t>A 47425-2021</t>
        </is>
      </c>
      <c r="B137" s="1" t="n">
        <v>44447</v>
      </c>
      <c r="C137" s="1" t="n">
        <v>46190</v>
      </c>
      <c r="D137" t="inlineStr">
        <is>
          <t>ÖREBRO LÄN</t>
        </is>
      </c>
      <c r="E137" t="inlineStr">
        <is>
          <t>LINDESBERG</t>
        </is>
      </c>
      <c r="G137" t="n">
        <v>0.4</v>
      </c>
      <c r="H137" t="n">
        <v>0</v>
      </c>
      <c r="I137" t="n">
        <v>0</v>
      </c>
      <c r="J137" t="n">
        <v>0</v>
      </c>
      <c r="K137" t="n">
        <v>0</v>
      </c>
      <c r="L137" t="n">
        <v>0</v>
      </c>
      <c r="M137" t="n">
        <v>0</v>
      </c>
      <c r="N137" t="n">
        <v>0</v>
      </c>
      <c r="O137" t="n">
        <v>0</v>
      </c>
      <c r="P137" t="n">
        <v>0</v>
      </c>
      <c r="Q137" t="n">
        <v>0</v>
      </c>
      <c r="R137" s="2" t="inlineStr"/>
    </row>
    <row r="138" ht="15" customHeight="1">
      <c r="A138" t="inlineStr">
        <is>
          <t>A 50498-2021</t>
        </is>
      </c>
      <c r="B138" s="1" t="n">
        <v>44459.57613425926</v>
      </c>
      <c r="C138" s="1" t="n">
        <v>46190</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5338-2022</t>
        </is>
      </c>
      <c r="B139" s="1" t="n">
        <v>44594</v>
      </c>
      <c r="C139" s="1" t="n">
        <v>46190</v>
      </c>
      <c r="D139" t="inlineStr">
        <is>
          <t>ÖREBRO LÄN</t>
        </is>
      </c>
      <c r="E139" t="inlineStr">
        <is>
          <t>LINDESBERG</t>
        </is>
      </c>
      <c r="G139" t="n">
        <v>1.3</v>
      </c>
      <c r="H139" t="n">
        <v>0</v>
      </c>
      <c r="I139" t="n">
        <v>0</v>
      </c>
      <c r="J139" t="n">
        <v>0</v>
      </c>
      <c r="K139" t="n">
        <v>0</v>
      </c>
      <c r="L139" t="n">
        <v>0</v>
      </c>
      <c r="M139" t="n">
        <v>0</v>
      </c>
      <c r="N139" t="n">
        <v>0</v>
      </c>
      <c r="O139" t="n">
        <v>0</v>
      </c>
      <c r="P139" t="n">
        <v>0</v>
      </c>
      <c r="Q139" t="n">
        <v>0</v>
      </c>
      <c r="R139" s="2" t="inlineStr"/>
    </row>
    <row r="140" ht="15" customHeight="1">
      <c r="A140" t="inlineStr">
        <is>
          <t>A 43453-2021</t>
        </is>
      </c>
      <c r="B140" s="1" t="n">
        <v>44432.68241898148</v>
      </c>
      <c r="C140" s="1" t="n">
        <v>46190</v>
      </c>
      <c r="D140" t="inlineStr">
        <is>
          <t>ÖREBRO LÄN</t>
        </is>
      </c>
      <c r="E140" t="inlineStr">
        <is>
          <t>LINDESBERG</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43452-2021</t>
        </is>
      </c>
      <c r="B141" s="1" t="n">
        <v>44432</v>
      </c>
      <c r="C141" s="1" t="n">
        <v>46190</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c r="U141">
        <f>HYPERLINK("https://klasma.github.io/Logging_1885/knärot/A 43452-2021 karta knärot.png", "A 43452-2021")</f>
        <v/>
      </c>
      <c r="V141">
        <f>HYPERLINK("https://klasma.github.io/Logging_1885/klagomål/A 43452-2021 FSC-klagomål.docx", "A 43452-2021")</f>
        <v/>
      </c>
      <c r="W141">
        <f>HYPERLINK("https://klasma.github.io/Logging_1885/klagomålsmail/A 43452-2021 FSC-klagomål mail.docx", "A 43452-2021")</f>
        <v/>
      </c>
      <c r="X141">
        <f>HYPERLINK("https://klasma.github.io/Logging_1885/tillsyn/A 43452-2021 tillsynsbegäran.docx", "A 43452-2021")</f>
        <v/>
      </c>
      <c r="Y141">
        <f>HYPERLINK("https://klasma.github.io/Logging_1885/tillsynsmail/A 43452-2021 tillsynsbegäran mail.docx", "A 43452-2021")</f>
        <v/>
      </c>
    </row>
    <row r="142" ht="15" customHeight="1">
      <c r="A142" t="inlineStr">
        <is>
          <t>A 58103-2021</t>
        </is>
      </c>
      <c r="B142" s="1" t="n">
        <v>44487.51556712963</v>
      </c>
      <c r="C142" s="1" t="n">
        <v>46190</v>
      </c>
      <c r="D142" t="inlineStr">
        <is>
          <t>ÖREBRO LÄN</t>
        </is>
      </c>
      <c r="E142" t="inlineStr">
        <is>
          <t>LINDESBERG</t>
        </is>
      </c>
      <c r="G142" t="n">
        <v>0.6</v>
      </c>
      <c r="H142" t="n">
        <v>0</v>
      </c>
      <c r="I142" t="n">
        <v>0</v>
      </c>
      <c r="J142" t="n">
        <v>0</v>
      </c>
      <c r="K142" t="n">
        <v>0</v>
      </c>
      <c r="L142" t="n">
        <v>0</v>
      </c>
      <c r="M142" t="n">
        <v>0</v>
      </c>
      <c r="N142" t="n">
        <v>0</v>
      </c>
      <c r="O142" t="n">
        <v>0</v>
      </c>
      <c r="P142" t="n">
        <v>0</v>
      </c>
      <c r="Q142" t="n">
        <v>0</v>
      </c>
      <c r="R142" s="2" t="inlineStr"/>
    </row>
    <row r="143" ht="15" customHeight="1">
      <c r="A143" t="inlineStr">
        <is>
          <t>A 60900-2021</t>
        </is>
      </c>
      <c r="B143" s="1" t="n">
        <v>44497</v>
      </c>
      <c r="C143" s="1" t="n">
        <v>46190</v>
      </c>
      <c r="D143" t="inlineStr">
        <is>
          <t>ÖREBRO LÄN</t>
        </is>
      </c>
      <c r="E143" t="inlineStr">
        <is>
          <t>LINDESBERG</t>
        </is>
      </c>
      <c r="G143" t="n">
        <v>7.3</v>
      </c>
      <c r="H143" t="n">
        <v>0</v>
      </c>
      <c r="I143" t="n">
        <v>0</v>
      </c>
      <c r="J143" t="n">
        <v>0</v>
      </c>
      <c r="K143" t="n">
        <v>0</v>
      </c>
      <c r="L143" t="n">
        <v>0</v>
      </c>
      <c r="M143" t="n">
        <v>0</v>
      </c>
      <c r="N143" t="n">
        <v>0</v>
      </c>
      <c r="O143" t="n">
        <v>0</v>
      </c>
      <c r="P143" t="n">
        <v>0</v>
      </c>
      <c r="Q143" t="n">
        <v>0</v>
      </c>
      <c r="R143" s="2" t="inlineStr"/>
    </row>
    <row r="144" ht="15" customHeight="1">
      <c r="A144" t="inlineStr">
        <is>
          <t>A 52187-2021</t>
        </is>
      </c>
      <c r="B144" s="1" t="n">
        <v>44463</v>
      </c>
      <c r="C144" s="1" t="n">
        <v>46190</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39773-2022</t>
        </is>
      </c>
      <c r="B145" s="1" t="n">
        <v>44819</v>
      </c>
      <c r="C145" s="1" t="n">
        <v>46190</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50069-2021</t>
        </is>
      </c>
      <c r="B146" s="1" t="n">
        <v>44456</v>
      </c>
      <c r="C146" s="1" t="n">
        <v>46190</v>
      </c>
      <c r="D146" t="inlineStr">
        <is>
          <t>ÖREBRO LÄN</t>
        </is>
      </c>
      <c r="E146" t="inlineStr">
        <is>
          <t>LINDESBERG</t>
        </is>
      </c>
      <c r="G146" t="n">
        <v>14.5</v>
      </c>
      <c r="H146" t="n">
        <v>0</v>
      </c>
      <c r="I146" t="n">
        <v>0</v>
      </c>
      <c r="J146" t="n">
        <v>0</v>
      </c>
      <c r="K146" t="n">
        <v>0</v>
      </c>
      <c r="L146" t="n">
        <v>0</v>
      </c>
      <c r="M146" t="n">
        <v>0</v>
      </c>
      <c r="N146" t="n">
        <v>0</v>
      </c>
      <c r="O146" t="n">
        <v>0</v>
      </c>
      <c r="P146" t="n">
        <v>0</v>
      </c>
      <c r="Q146" t="n">
        <v>0</v>
      </c>
      <c r="R146" s="2" t="inlineStr"/>
    </row>
    <row r="147" ht="15" customHeight="1">
      <c r="A147" t="inlineStr">
        <is>
          <t>A 25885-2022</t>
        </is>
      </c>
      <c r="B147" s="1" t="n">
        <v>44733.71126157408</v>
      </c>
      <c r="C147" s="1" t="n">
        <v>46190</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16600-2022</t>
        </is>
      </c>
      <c r="B148" s="1" t="n">
        <v>44672</v>
      </c>
      <c r="C148" s="1" t="n">
        <v>46190</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41207-2022</t>
        </is>
      </c>
      <c r="B149" s="1" t="n">
        <v>44825.99293981482</v>
      </c>
      <c r="C149" s="1" t="n">
        <v>46190</v>
      </c>
      <c r="D149" t="inlineStr">
        <is>
          <t>ÖREBRO LÄN</t>
        </is>
      </c>
      <c r="E149" t="inlineStr">
        <is>
          <t>LINDESBERG</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44677-2021</t>
        </is>
      </c>
      <c r="B150" s="1" t="n">
        <v>44438.30614583333</v>
      </c>
      <c r="C150" s="1" t="n">
        <v>46190</v>
      </c>
      <c r="D150" t="inlineStr">
        <is>
          <t>ÖREBRO LÄN</t>
        </is>
      </c>
      <c r="E150" t="inlineStr">
        <is>
          <t>LINDESBERG</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48154-2021</t>
        </is>
      </c>
      <c r="B151" s="1" t="n">
        <v>44449</v>
      </c>
      <c r="C151" s="1" t="n">
        <v>46190</v>
      </c>
      <c r="D151" t="inlineStr">
        <is>
          <t>ÖREBRO LÄN</t>
        </is>
      </c>
      <c r="E151" t="inlineStr">
        <is>
          <t>LINDESBERG</t>
        </is>
      </c>
      <c r="G151" t="n">
        <v>0.4</v>
      </c>
      <c r="H151" t="n">
        <v>0</v>
      </c>
      <c r="I151" t="n">
        <v>0</v>
      </c>
      <c r="J151" t="n">
        <v>0</v>
      </c>
      <c r="K151" t="n">
        <v>0</v>
      </c>
      <c r="L151" t="n">
        <v>0</v>
      </c>
      <c r="M151" t="n">
        <v>0</v>
      </c>
      <c r="N151" t="n">
        <v>0</v>
      </c>
      <c r="O151" t="n">
        <v>0</v>
      </c>
      <c r="P151" t="n">
        <v>0</v>
      </c>
      <c r="Q151" t="n">
        <v>0</v>
      </c>
      <c r="R151" s="2" t="inlineStr"/>
    </row>
    <row r="152" ht="15" customHeight="1">
      <c r="A152" t="inlineStr">
        <is>
          <t>A 10277-2022</t>
        </is>
      </c>
      <c r="B152" s="1" t="n">
        <v>44622.69101851852</v>
      </c>
      <c r="C152" s="1" t="n">
        <v>46190</v>
      </c>
      <c r="D152" t="inlineStr">
        <is>
          <t>ÖREBRO LÄN</t>
        </is>
      </c>
      <c r="E152" t="inlineStr">
        <is>
          <t>LINDESBERG</t>
        </is>
      </c>
      <c r="G152" t="n">
        <v>4.2</v>
      </c>
      <c r="H152" t="n">
        <v>0</v>
      </c>
      <c r="I152" t="n">
        <v>0</v>
      </c>
      <c r="J152" t="n">
        <v>0</v>
      </c>
      <c r="K152" t="n">
        <v>0</v>
      </c>
      <c r="L152" t="n">
        <v>0</v>
      </c>
      <c r="M152" t="n">
        <v>0</v>
      </c>
      <c r="N152" t="n">
        <v>0</v>
      </c>
      <c r="O152" t="n">
        <v>0</v>
      </c>
      <c r="P152" t="n">
        <v>0</v>
      </c>
      <c r="Q152" t="n">
        <v>0</v>
      </c>
      <c r="R152" s="2" t="inlineStr"/>
    </row>
    <row r="153" ht="15" customHeight="1">
      <c r="A153" t="inlineStr">
        <is>
          <t>A 52851-2022</t>
        </is>
      </c>
      <c r="B153" s="1" t="n">
        <v>44875.47543981481</v>
      </c>
      <c r="C153" s="1" t="n">
        <v>46190</v>
      </c>
      <c r="D153" t="inlineStr">
        <is>
          <t>ÖREBRO LÄN</t>
        </is>
      </c>
      <c r="E153" t="inlineStr">
        <is>
          <t>LINDESBERG</t>
        </is>
      </c>
      <c r="G153" t="n">
        <v>2.9</v>
      </c>
      <c r="H153" t="n">
        <v>0</v>
      </c>
      <c r="I153" t="n">
        <v>0</v>
      </c>
      <c r="J153" t="n">
        <v>0</v>
      </c>
      <c r="K153" t="n">
        <v>0</v>
      </c>
      <c r="L153" t="n">
        <v>0</v>
      </c>
      <c r="M153" t="n">
        <v>0</v>
      </c>
      <c r="N153" t="n">
        <v>0</v>
      </c>
      <c r="O153" t="n">
        <v>0</v>
      </c>
      <c r="P153" t="n">
        <v>0</v>
      </c>
      <c r="Q153" t="n">
        <v>0</v>
      </c>
      <c r="R153" s="2" t="inlineStr"/>
    </row>
    <row r="154" ht="15" customHeight="1">
      <c r="A154" t="inlineStr">
        <is>
          <t>A 59655-2021</t>
        </is>
      </c>
      <c r="B154" s="1" t="n">
        <v>44491</v>
      </c>
      <c r="C154" s="1" t="n">
        <v>46190</v>
      </c>
      <c r="D154" t="inlineStr">
        <is>
          <t>ÖREBRO LÄN</t>
        </is>
      </c>
      <c r="E154" t="inlineStr">
        <is>
          <t>LINDESBERG</t>
        </is>
      </c>
      <c r="G154" t="n">
        <v>7</v>
      </c>
      <c r="H154" t="n">
        <v>0</v>
      </c>
      <c r="I154" t="n">
        <v>0</v>
      </c>
      <c r="J154" t="n">
        <v>0</v>
      </c>
      <c r="K154" t="n">
        <v>0</v>
      </c>
      <c r="L154" t="n">
        <v>0</v>
      </c>
      <c r="M154" t="n">
        <v>0</v>
      </c>
      <c r="N154" t="n">
        <v>0</v>
      </c>
      <c r="O154" t="n">
        <v>0</v>
      </c>
      <c r="P154" t="n">
        <v>0</v>
      </c>
      <c r="Q154" t="n">
        <v>0</v>
      </c>
      <c r="R154" s="2" t="inlineStr"/>
    </row>
    <row r="155" ht="15" customHeight="1">
      <c r="A155" t="inlineStr">
        <is>
          <t>A 36221-2021</t>
        </is>
      </c>
      <c r="B155" s="1" t="n">
        <v>44389</v>
      </c>
      <c r="C155" s="1" t="n">
        <v>46190</v>
      </c>
      <c r="D155" t="inlineStr">
        <is>
          <t>ÖREBRO LÄN</t>
        </is>
      </c>
      <c r="E155" t="inlineStr">
        <is>
          <t>LINDESBERG</t>
        </is>
      </c>
      <c r="G155" t="n">
        <v>5.9</v>
      </c>
      <c r="H155" t="n">
        <v>0</v>
      </c>
      <c r="I155" t="n">
        <v>0</v>
      </c>
      <c r="J155" t="n">
        <v>0</v>
      </c>
      <c r="K155" t="n">
        <v>0</v>
      </c>
      <c r="L155" t="n">
        <v>0</v>
      </c>
      <c r="M155" t="n">
        <v>0</v>
      </c>
      <c r="N155" t="n">
        <v>0</v>
      </c>
      <c r="O155" t="n">
        <v>0</v>
      </c>
      <c r="P155" t="n">
        <v>0</v>
      </c>
      <c r="Q155" t="n">
        <v>0</v>
      </c>
      <c r="R155" s="2" t="inlineStr"/>
    </row>
    <row r="156" ht="15" customHeight="1">
      <c r="A156" t="inlineStr">
        <is>
          <t>A 47044-2021</t>
        </is>
      </c>
      <c r="B156" s="1" t="n">
        <v>44446</v>
      </c>
      <c r="C156" s="1" t="n">
        <v>46190</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68491-2021</t>
        </is>
      </c>
      <c r="B157" s="1" t="n">
        <v>44526</v>
      </c>
      <c r="C157" s="1" t="n">
        <v>46190</v>
      </c>
      <c r="D157" t="inlineStr">
        <is>
          <t>ÖREBRO LÄN</t>
        </is>
      </c>
      <c r="E157" t="inlineStr">
        <is>
          <t>LINDESBERG</t>
        </is>
      </c>
      <c r="G157" t="n">
        <v>1</v>
      </c>
      <c r="H157" t="n">
        <v>0</v>
      </c>
      <c r="I157" t="n">
        <v>0</v>
      </c>
      <c r="J157" t="n">
        <v>0</v>
      </c>
      <c r="K157" t="n">
        <v>0</v>
      </c>
      <c r="L157" t="n">
        <v>0</v>
      </c>
      <c r="M157" t="n">
        <v>0</v>
      </c>
      <c r="N157" t="n">
        <v>0</v>
      </c>
      <c r="O157" t="n">
        <v>0</v>
      </c>
      <c r="P157" t="n">
        <v>0</v>
      </c>
      <c r="Q157" t="n">
        <v>0</v>
      </c>
      <c r="R157" s="2" t="inlineStr"/>
    </row>
    <row r="158" ht="15" customHeight="1">
      <c r="A158" t="inlineStr">
        <is>
          <t>A 56123-2022</t>
        </is>
      </c>
      <c r="B158" s="1" t="n">
        <v>44889.68100694445</v>
      </c>
      <c r="C158" s="1" t="n">
        <v>46190</v>
      </c>
      <c r="D158" t="inlineStr">
        <is>
          <t>ÖREBRO LÄN</t>
        </is>
      </c>
      <c r="E158" t="inlineStr">
        <is>
          <t>LINDESBERG</t>
        </is>
      </c>
      <c r="G158" t="n">
        <v>2.2</v>
      </c>
      <c r="H158" t="n">
        <v>0</v>
      </c>
      <c r="I158" t="n">
        <v>0</v>
      </c>
      <c r="J158" t="n">
        <v>0</v>
      </c>
      <c r="K158" t="n">
        <v>0</v>
      </c>
      <c r="L158" t="n">
        <v>0</v>
      </c>
      <c r="M158" t="n">
        <v>0</v>
      </c>
      <c r="N158" t="n">
        <v>0</v>
      </c>
      <c r="O158" t="n">
        <v>0</v>
      </c>
      <c r="P158" t="n">
        <v>0</v>
      </c>
      <c r="Q158" t="n">
        <v>0</v>
      </c>
      <c r="R158" s="2" t="inlineStr"/>
    </row>
    <row r="159" ht="15" customHeight="1">
      <c r="A159" t="inlineStr">
        <is>
          <t>A 6726-2022</t>
        </is>
      </c>
      <c r="B159" s="1" t="n">
        <v>44602</v>
      </c>
      <c r="C159" s="1" t="n">
        <v>46190</v>
      </c>
      <c r="D159" t="inlineStr">
        <is>
          <t>ÖREBRO LÄN</t>
        </is>
      </c>
      <c r="E159" t="inlineStr">
        <is>
          <t>LINDESBERG</t>
        </is>
      </c>
      <c r="G159" t="n">
        <v>1.5</v>
      </c>
      <c r="H159" t="n">
        <v>0</v>
      </c>
      <c r="I159" t="n">
        <v>0</v>
      </c>
      <c r="J159" t="n">
        <v>0</v>
      </c>
      <c r="K159" t="n">
        <v>0</v>
      </c>
      <c r="L159" t="n">
        <v>0</v>
      </c>
      <c r="M159" t="n">
        <v>0</v>
      </c>
      <c r="N159" t="n">
        <v>0</v>
      </c>
      <c r="O159" t="n">
        <v>0</v>
      </c>
      <c r="P159" t="n">
        <v>0</v>
      </c>
      <c r="Q159" t="n">
        <v>0</v>
      </c>
      <c r="R159" s="2" t="inlineStr"/>
    </row>
    <row r="160" ht="15" customHeight="1">
      <c r="A160" t="inlineStr">
        <is>
          <t>A 36220-2021</t>
        </is>
      </c>
      <c r="B160" s="1" t="n">
        <v>44389</v>
      </c>
      <c r="C160" s="1" t="n">
        <v>46190</v>
      </c>
      <c r="D160" t="inlineStr">
        <is>
          <t>ÖREBRO LÄN</t>
        </is>
      </c>
      <c r="E160" t="inlineStr">
        <is>
          <t>LINDESBERG</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31950-2022</t>
        </is>
      </c>
      <c r="B161" s="1" t="n">
        <v>44777</v>
      </c>
      <c r="C161" s="1" t="n">
        <v>46190</v>
      </c>
      <c r="D161" t="inlineStr">
        <is>
          <t>ÖREBRO LÄN</t>
        </is>
      </c>
      <c r="E161" t="inlineStr">
        <is>
          <t>LINDESBERG</t>
        </is>
      </c>
      <c r="G161" t="n">
        <v>1.2</v>
      </c>
      <c r="H161" t="n">
        <v>0</v>
      </c>
      <c r="I161" t="n">
        <v>0</v>
      </c>
      <c r="J161" t="n">
        <v>0</v>
      </c>
      <c r="K161" t="n">
        <v>0</v>
      </c>
      <c r="L161" t="n">
        <v>0</v>
      </c>
      <c r="M161" t="n">
        <v>0</v>
      </c>
      <c r="N161" t="n">
        <v>0</v>
      </c>
      <c r="O161" t="n">
        <v>0</v>
      </c>
      <c r="P161" t="n">
        <v>0</v>
      </c>
      <c r="Q161" t="n">
        <v>0</v>
      </c>
      <c r="R161" s="2" t="inlineStr"/>
    </row>
    <row r="162" ht="15" customHeight="1">
      <c r="A162" t="inlineStr">
        <is>
          <t>A 48365-2021</t>
        </is>
      </c>
      <c r="B162" s="1" t="n">
        <v>44451.78710648148</v>
      </c>
      <c r="C162" s="1" t="n">
        <v>46190</v>
      </c>
      <c r="D162" t="inlineStr">
        <is>
          <t>ÖREBRO LÄN</t>
        </is>
      </c>
      <c r="E162" t="inlineStr">
        <is>
          <t>LINDESBERG</t>
        </is>
      </c>
      <c r="G162" t="n">
        <v>0.7</v>
      </c>
      <c r="H162" t="n">
        <v>0</v>
      </c>
      <c r="I162" t="n">
        <v>0</v>
      </c>
      <c r="J162" t="n">
        <v>0</v>
      </c>
      <c r="K162" t="n">
        <v>0</v>
      </c>
      <c r="L162" t="n">
        <v>0</v>
      </c>
      <c r="M162" t="n">
        <v>0</v>
      </c>
      <c r="N162" t="n">
        <v>0</v>
      </c>
      <c r="O162" t="n">
        <v>0</v>
      </c>
      <c r="P162" t="n">
        <v>0</v>
      </c>
      <c r="Q162" t="n">
        <v>0</v>
      </c>
      <c r="R162" s="2" t="inlineStr"/>
    </row>
    <row r="163" ht="15" customHeight="1">
      <c r="A163" t="inlineStr">
        <is>
          <t>A 16130-2022</t>
        </is>
      </c>
      <c r="B163" s="1" t="n">
        <v>44665</v>
      </c>
      <c r="C163" s="1" t="n">
        <v>46190</v>
      </c>
      <c r="D163" t="inlineStr">
        <is>
          <t>ÖREBRO LÄN</t>
        </is>
      </c>
      <c r="E163" t="inlineStr">
        <is>
          <t>LINDESBERG</t>
        </is>
      </c>
      <c r="G163" t="n">
        <v>3.5</v>
      </c>
      <c r="H163" t="n">
        <v>0</v>
      </c>
      <c r="I163" t="n">
        <v>0</v>
      </c>
      <c r="J163" t="n">
        <v>0</v>
      </c>
      <c r="K163" t="n">
        <v>0</v>
      </c>
      <c r="L163" t="n">
        <v>0</v>
      </c>
      <c r="M163" t="n">
        <v>0</v>
      </c>
      <c r="N163" t="n">
        <v>0</v>
      </c>
      <c r="O163" t="n">
        <v>0</v>
      </c>
      <c r="P163" t="n">
        <v>0</v>
      </c>
      <c r="Q163" t="n">
        <v>0</v>
      </c>
      <c r="R163" s="2" t="inlineStr"/>
    </row>
    <row r="164" ht="15" customHeight="1">
      <c r="A164" t="inlineStr">
        <is>
          <t>A 62010-2021</t>
        </is>
      </c>
      <c r="B164" s="1" t="n">
        <v>44502.49809027778</v>
      </c>
      <c r="C164" s="1" t="n">
        <v>46190</v>
      </c>
      <c r="D164" t="inlineStr">
        <is>
          <t>ÖREBRO LÄN</t>
        </is>
      </c>
      <c r="E164" t="inlineStr">
        <is>
          <t>LINDESBERG</t>
        </is>
      </c>
      <c r="G164" t="n">
        <v>3.2</v>
      </c>
      <c r="H164" t="n">
        <v>0</v>
      </c>
      <c r="I164" t="n">
        <v>0</v>
      </c>
      <c r="J164" t="n">
        <v>0</v>
      </c>
      <c r="K164" t="n">
        <v>0</v>
      </c>
      <c r="L164" t="n">
        <v>0</v>
      </c>
      <c r="M164" t="n">
        <v>0</v>
      </c>
      <c r="N164" t="n">
        <v>0</v>
      </c>
      <c r="O164" t="n">
        <v>0</v>
      </c>
      <c r="P164" t="n">
        <v>0</v>
      </c>
      <c r="Q164" t="n">
        <v>0</v>
      </c>
      <c r="R164" s="2" t="inlineStr"/>
    </row>
    <row r="165" ht="15" customHeight="1">
      <c r="A165" t="inlineStr">
        <is>
          <t>A 62014-2021</t>
        </is>
      </c>
      <c r="B165" s="1" t="n">
        <v>44502</v>
      </c>
      <c r="C165" s="1" t="n">
        <v>46190</v>
      </c>
      <c r="D165" t="inlineStr">
        <is>
          <t>ÖREBRO LÄN</t>
        </is>
      </c>
      <c r="E165" t="inlineStr">
        <is>
          <t>LINDESBERG</t>
        </is>
      </c>
      <c r="G165" t="n">
        <v>0.7</v>
      </c>
      <c r="H165" t="n">
        <v>0</v>
      </c>
      <c r="I165" t="n">
        <v>0</v>
      </c>
      <c r="J165" t="n">
        <v>0</v>
      </c>
      <c r="K165" t="n">
        <v>0</v>
      </c>
      <c r="L165" t="n">
        <v>0</v>
      </c>
      <c r="M165" t="n">
        <v>0</v>
      </c>
      <c r="N165" t="n">
        <v>0</v>
      </c>
      <c r="O165" t="n">
        <v>0</v>
      </c>
      <c r="P165" t="n">
        <v>0</v>
      </c>
      <c r="Q165" t="n">
        <v>0</v>
      </c>
      <c r="R165" s="2" t="inlineStr"/>
    </row>
    <row r="166" ht="15" customHeight="1">
      <c r="A166" t="inlineStr">
        <is>
          <t>A 56681-2021</t>
        </is>
      </c>
      <c r="B166" s="1" t="n">
        <v>44481.34877314815</v>
      </c>
      <c r="C166" s="1" t="n">
        <v>46190</v>
      </c>
      <c r="D166" t="inlineStr">
        <is>
          <t>ÖREBRO LÄN</t>
        </is>
      </c>
      <c r="E166" t="inlineStr">
        <is>
          <t>LINDESBERG</t>
        </is>
      </c>
      <c r="G166" t="n">
        <v>2.6</v>
      </c>
      <c r="H166" t="n">
        <v>0</v>
      </c>
      <c r="I166" t="n">
        <v>0</v>
      </c>
      <c r="J166" t="n">
        <v>0</v>
      </c>
      <c r="K166" t="n">
        <v>0</v>
      </c>
      <c r="L166" t="n">
        <v>0</v>
      </c>
      <c r="M166" t="n">
        <v>0</v>
      </c>
      <c r="N166" t="n">
        <v>0</v>
      </c>
      <c r="O166" t="n">
        <v>0</v>
      </c>
      <c r="P166" t="n">
        <v>0</v>
      </c>
      <c r="Q166" t="n">
        <v>0</v>
      </c>
      <c r="R166" s="2" t="inlineStr"/>
    </row>
    <row r="167" ht="15" customHeight="1">
      <c r="A167" t="inlineStr">
        <is>
          <t>A 59671-2021</t>
        </is>
      </c>
      <c r="B167" s="1" t="n">
        <v>44491</v>
      </c>
      <c r="C167" s="1" t="n">
        <v>46190</v>
      </c>
      <c r="D167" t="inlineStr">
        <is>
          <t>ÖREBRO LÄN</t>
        </is>
      </c>
      <c r="E167" t="inlineStr">
        <is>
          <t>LINDESBERG</t>
        </is>
      </c>
      <c r="G167" t="n">
        <v>7</v>
      </c>
      <c r="H167" t="n">
        <v>0</v>
      </c>
      <c r="I167" t="n">
        <v>0</v>
      </c>
      <c r="J167" t="n">
        <v>0</v>
      </c>
      <c r="K167" t="n">
        <v>0</v>
      </c>
      <c r="L167" t="n">
        <v>0</v>
      </c>
      <c r="M167" t="n">
        <v>0</v>
      </c>
      <c r="N167" t="n">
        <v>0</v>
      </c>
      <c r="O167" t="n">
        <v>0</v>
      </c>
      <c r="P167" t="n">
        <v>0</v>
      </c>
      <c r="Q167" t="n">
        <v>0</v>
      </c>
      <c r="R167" s="2" t="inlineStr"/>
    </row>
    <row r="168" ht="15" customHeight="1">
      <c r="A168" t="inlineStr">
        <is>
          <t>A 9751-2022</t>
        </is>
      </c>
      <c r="B168" s="1" t="n">
        <v>44618</v>
      </c>
      <c r="C168" s="1" t="n">
        <v>46190</v>
      </c>
      <c r="D168" t="inlineStr">
        <is>
          <t>ÖREBRO LÄN</t>
        </is>
      </c>
      <c r="E168" t="inlineStr">
        <is>
          <t>LINDESBERG</t>
        </is>
      </c>
      <c r="G168" t="n">
        <v>13.9</v>
      </c>
      <c r="H168" t="n">
        <v>0</v>
      </c>
      <c r="I168" t="n">
        <v>0</v>
      </c>
      <c r="J168" t="n">
        <v>0</v>
      </c>
      <c r="K168" t="n">
        <v>0</v>
      </c>
      <c r="L168" t="n">
        <v>0</v>
      </c>
      <c r="M168" t="n">
        <v>0</v>
      </c>
      <c r="N168" t="n">
        <v>0</v>
      </c>
      <c r="O168" t="n">
        <v>0</v>
      </c>
      <c r="P168" t="n">
        <v>0</v>
      </c>
      <c r="Q168" t="n">
        <v>0</v>
      </c>
      <c r="R168" s="2" t="inlineStr"/>
    </row>
    <row r="169" ht="15" customHeight="1">
      <c r="A169" t="inlineStr">
        <is>
          <t>A 12073-2022</t>
        </is>
      </c>
      <c r="B169" s="1" t="n">
        <v>44636.46935185185</v>
      </c>
      <c r="C169" s="1" t="n">
        <v>46190</v>
      </c>
      <c r="D169" t="inlineStr">
        <is>
          <t>ÖREBRO LÄN</t>
        </is>
      </c>
      <c r="E169" t="inlineStr">
        <is>
          <t>LINDESBERG</t>
        </is>
      </c>
      <c r="G169" t="n">
        <v>2.3</v>
      </c>
      <c r="H169" t="n">
        <v>0</v>
      </c>
      <c r="I169" t="n">
        <v>0</v>
      </c>
      <c r="J169" t="n">
        <v>0</v>
      </c>
      <c r="K169" t="n">
        <v>0</v>
      </c>
      <c r="L169" t="n">
        <v>0</v>
      </c>
      <c r="M169" t="n">
        <v>0</v>
      </c>
      <c r="N169" t="n">
        <v>0</v>
      </c>
      <c r="O169" t="n">
        <v>0</v>
      </c>
      <c r="P169" t="n">
        <v>0</v>
      </c>
      <c r="Q169" t="n">
        <v>0</v>
      </c>
      <c r="R169" s="2" t="inlineStr"/>
    </row>
    <row r="170" ht="15" customHeight="1">
      <c r="A170" t="inlineStr">
        <is>
          <t>A 50986-2023</t>
        </is>
      </c>
      <c r="B170" s="1" t="n">
        <v>45218</v>
      </c>
      <c r="C170" s="1" t="n">
        <v>46190</v>
      </c>
      <c r="D170" t="inlineStr">
        <is>
          <t>ÖREBRO LÄN</t>
        </is>
      </c>
      <c r="E170" t="inlineStr">
        <is>
          <t>LINDESBERG</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61969-2023</t>
        </is>
      </c>
      <c r="B171" s="1" t="n">
        <v>45266.58394675926</v>
      </c>
      <c r="C171" s="1" t="n">
        <v>46190</v>
      </c>
      <c r="D171" t="inlineStr">
        <is>
          <t>ÖREBRO LÄN</t>
        </is>
      </c>
      <c r="E171" t="inlineStr">
        <is>
          <t>LINDESBERG</t>
        </is>
      </c>
      <c r="G171" t="n">
        <v>10.5</v>
      </c>
      <c r="H171" t="n">
        <v>0</v>
      </c>
      <c r="I171" t="n">
        <v>0</v>
      </c>
      <c r="J171" t="n">
        <v>0</v>
      </c>
      <c r="K171" t="n">
        <v>0</v>
      </c>
      <c r="L171" t="n">
        <v>0</v>
      </c>
      <c r="M171" t="n">
        <v>0</v>
      </c>
      <c r="N171" t="n">
        <v>0</v>
      </c>
      <c r="O171" t="n">
        <v>0</v>
      </c>
      <c r="P171" t="n">
        <v>0</v>
      </c>
      <c r="Q171" t="n">
        <v>0</v>
      </c>
      <c r="R171" s="2" t="inlineStr"/>
    </row>
    <row r="172" ht="15" customHeight="1">
      <c r="A172" t="inlineStr">
        <is>
          <t>A 58710-2023</t>
        </is>
      </c>
      <c r="B172" s="1" t="n">
        <v>45251.696875</v>
      </c>
      <c r="C172" s="1" t="n">
        <v>46190</v>
      </c>
      <c r="D172" t="inlineStr">
        <is>
          <t>ÖREBRO LÄN</t>
        </is>
      </c>
      <c r="E172" t="inlineStr">
        <is>
          <t>LINDESBERG</t>
        </is>
      </c>
      <c r="G172" t="n">
        <v>6.3</v>
      </c>
      <c r="H172" t="n">
        <v>0</v>
      </c>
      <c r="I172" t="n">
        <v>0</v>
      </c>
      <c r="J172" t="n">
        <v>0</v>
      </c>
      <c r="K172" t="n">
        <v>0</v>
      </c>
      <c r="L172" t="n">
        <v>0</v>
      </c>
      <c r="M172" t="n">
        <v>0</v>
      </c>
      <c r="N172" t="n">
        <v>0</v>
      </c>
      <c r="O172" t="n">
        <v>0</v>
      </c>
      <c r="P172" t="n">
        <v>0</v>
      </c>
      <c r="Q172" t="n">
        <v>0</v>
      </c>
      <c r="R172" s="2" t="inlineStr"/>
    </row>
    <row r="173" ht="15" customHeight="1">
      <c r="A173" t="inlineStr">
        <is>
          <t>A 32907-2022</t>
        </is>
      </c>
      <c r="B173" s="1" t="n">
        <v>44784</v>
      </c>
      <c r="C173" s="1" t="n">
        <v>46190</v>
      </c>
      <c r="D173" t="inlineStr">
        <is>
          <t>ÖREBRO LÄN</t>
        </is>
      </c>
      <c r="E173" t="inlineStr">
        <is>
          <t>LINDESBERG</t>
        </is>
      </c>
      <c r="G173" t="n">
        <v>0.5</v>
      </c>
      <c r="H173" t="n">
        <v>0</v>
      </c>
      <c r="I173" t="n">
        <v>0</v>
      </c>
      <c r="J173" t="n">
        <v>0</v>
      </c>
      <c r="K173" t="n">
        <v>0</v>
      </c>
      <c r="L173" t="n">
        <v>0</v>
      </c>
      <c r="M173" t="n">
        <v>0</v>
      </c>
      <c r="N173" t="n">
        <v>0</v>
      </c>
      <c r="O173" t="n">
        <v>0</v>
      </c>
      <c r="P173" t="n">
        <v>0</v>
      </c>
      <c r="Q173" t="n">
        <v>0</v>
      </c>
      <c r="R173" s="2" t="inlineStr"/>
    </row>
    <row r="174" ht="15" customHeight="1">
      <c r="A174" t="inlineStr">
        <is>
          <t>A 40450-2023</t>
        </is>
      </c>
      <c r="B174" s="1" t="n">
        <v>45170</v>
      </c>
      <c r="C174" s="1" t="n">
        <v>46190</v>
      </c>
      <c r="D174" t="inlineStr">
        <is>
          <t>ÖREBRO LÄN</t>
        </is>
      </c>
      <c r="E174" t="inlineStr">
        <is>
          <t>LINDESBERG</t>
        </is>
      </c>
      <c r="F174" t="inlineStr">
        <is>
          <t>Kyrkan</t>
        </is>
      </c>
      <c r="G174" t="n">
        <v>4.3</v>
      </c>
      <c r="H174" t="n">
        <v>0</v>
      </c>
      <c r="I174" t="n">
        <v>0</v>
      </c>
      <c r="J174" t="n">
        <v>0</v>
      </c>
      <c r="K174" t="n">
        <v>0</v>
      </c>
      <c r="L174" t="n">
        <v>0</v>
      </c>
      <c r="M174" t="n">
        <v>0</v>
      </c>
      <c r="N174" t="n">
        <v>0</v>
      </c>
      <c r="O174" t="n">
        <v>0</v>
      </c>
      <c r="P174" t="n">
        <v>0</v>
      </c>
      <c r="Q174" t="n">
        <v>0</v>
      </c>
      <c r="R174" s="2" t="inlineStr"/>
    </row>
    <row r="175" ht="15" customHeight="1">
      <c r="A175" t="inlineStr">
        <is>
          <t>A 53062-2023</t>
        </is>
      </c>
      <c r="B175" s="1" t="n">
        <v>45227.31859953704</v>
      </c>
      <c r="C175" s="1" t="n">
        <v>46190</v>
      </c>
      <c r="D175" t="inlineStr">
        <is>
          <t>ÖREBRO LÄN</t>
        </is>
      </c>
      <c r="E175" t="inlineStr">
        <is>
          <t>LINDESBERG</t>
        </is>
      </c>
      <c r="G175" t="n">
        <v>3.1</v>
      </c>
      <c r="H175" t="n">
        <v>0</v>
      </c>
      <c r="I175" t="n">
        <v>0</v>
      </c>
      <c r="J175" t="n">
        <v>0</v>
      </c>
      <c r="K175" t="n">
        <v>0</v>
      </c>
      <c r="L175" t="n">
        <v>0</v>
      </c>
      <c r="M175" t="n">
        <v>0</v>
      </c>
      <c r="N175" t="n">
        <v>0</v>
      </c>
      <c r="O175" t="n">
        <v>0</v>
      </c>
      <c r="P175" t="n">
        <v>0</v>
      </c>
      <c r="Q175" t="n">
        <v>0</v>
      </c>
      <c r="R175" s="2" t="inlineStr"/>
    </row>
    <row r="176" ht="15" customHeight="1">
      <c r="A176" t="inlineStr">
        <is>
          <t>A 60449-2024</t>
        </is>
      </c>
      <c r="B176" s="1" t="n">
        <v>45643</v>
      </c>
      <c r="C176" s="1" t="n">
        <v>46190</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35222-2021</t>
        </is>
      </c>
      <c r="B177" s="1" t="n">
        <v>44384.56912037037</v>
      </c>
      <c r="C177" s="1" t="n">
        <v>46190</v>
      </c>
      <c r="D177" t="inlineStr">
        <is>
          <t>ÖREBRO LÄN</t>
        </is>
      </c>
      <c r="E177" t="inlineStr">
        <is>
          <t>LINDESBERG</t>
        </is>
      </c>
      <c r="G177" t="n">
        <v>10.5</v>
      </c>
      <c r="H177" t="n">
        <v>0</v>
      </c>
      <c r="I177" t="n">
        <v>0</v>
      </c>
      <c r="J177" t="n">
        <v>0</v>
      </c>
      <c r="K177" t="n">
        <v>0</v>
      </c>
      <c r="L177" t="n">
        <v>0</v>
      </c>
      <c r="M177" t="n">
        <v>0</v>
      </c>
      <c r="N177" t="n">
        <v>0</v>
      </c>
      <c r="O177" t="n">
        <v>0</v>
      </c>
      <c r="P177" t="n">
        <v>0</v>
      </c>
      <c r="Q177" t="n">
        <v>0</v>
      </c>
      <c r="R177" s="2" t="inlineStr"/>
    </row>
    <row r="178" ht="15" customHeight="1">
      <c r="A178" t="inlineStr">
        <is>
          <t>A 48939-2021</t>
        </is>
      </c>
      <c r="B178" s="1" t="n">
        <v>44453</v>
      </c>
      <c r="C178" s="1" t="n">
        <v>46190</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70500-2021</t>
        </is>
      </c>
      <c r="B179" s="1" t="n">
        <v>44536</v>
      </c>
      <c r="C179" s="1" t="n">
        <v>46190</v>
      </c>
      <c r="D179" t="inlineStr">
        <is>
          <t>ÖREBRO LÄN</t>
        </is>
      </c>
      <c r="E179" t="inlineStr">
        <is>
          <t>LINDESBERG</t>
        </is>
      </c>
      <c r="G179" t="n">
        <v>1.8</v>
      </c>
      <c r="H179" t="n">
        <v>0</v>
      </c>
      <c r="I179" t="n">
        <v>0</v>
      </c>
      <c r="J179" t="n">
        <v>0</v>
      </c>
      <c r="K179" t="n">
        <v>0</v>
      </c>
      <c r="L179" t="n">
        <v>0</v>
      </c>
      <c r="M179" t="n">
        <v>0</v>
      </c>
      <c r="N179" t="n">
        <v>0</v>
      </c>
      <c r="O179" t="n">
        <v>0</v>
      </c>
      <c r="P179" t="n">
        <v>0</v>
      </c>
      <c r="Q179" t="n">
        <v>0</v>
      </c>
      <c r="R179" s="2" t="inlineStr"/>
    </row>
    <row r="180" ht="15" customHeight="1">
      <c r="A180" t="inlineStr">
        <is>
          <t>A 40692-2021</t>
        </is>
      </c>
      <c r="B180" s="1" t="n">
        <v>44420.60616898148</v>
      </c>
      <c r="C180" s="1" t="n">
        <v>46190</v>
      </c>
      <c r="D180" t="inlineStr">
        <is>
          <t>ÖREBRO LÄN</t>
        </is>
      </c>
      <c r="E180" t="inlineStr">
        <is>
          <t>LINDESBERG</t>
        </is>
      </c>
      <c r="G180" t="n">
        <v>0.6</v>
      </c>
      <c r="H180" t="n">
        <v>0</v>
      </c>
      <c r="I180" t="n">
        <v>0</v>
      </c>
      <c r="J180" t="n">
        <v>0</v>
      </c>
      <c r="K180" t="n">
        <v>0</v>
      </c>
      <c r="L180" t="n">
        <v>0</v>
      </c>
      <c r="M180" t="n">
        <v>0</v>
      </c>
      <c r="N180" t="n">
        <v>0</v>
      </c>
      <c r="O180" t="n">
        <v>0</v>
      </c>
      <c r="P180" t="n">
        <v>0</v>
      </c>
      <c r="Q180" t="n">
        <v>0</v>
      </c>
      <c r="R180" s="2" t="inlineStr"/>
    </row>
    <row r="181" ht="15" customHeight="1">
      <c r="A181" t="inlineStr">
        <is>
          <t>A 12739-2024</t>
        </is>
      </c>
      <c r="B181" s="1" t="n">
        <v>45384</v>
      </c>
      <c r="C181" s="1" t="n">
        <v>46190</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49055-2022</t>
        </is>
      </c>
      <c r="B182" s="1" t="n">
        <v>44860</v>
      </c>
      <c r="C182" s="1" t="n">
        <v>46190</v>
      </c>
      <c r="D182" t="inlineStr">
        <is>
          <t>ÖREBRO LÄN</t>
        </is>
      </c>
      <c r="E182" t="inlineStr">
        <is>
          <t>LINDESBERG</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43529-2024</t>
        </is>
      </c>
      <c r="B183" s="1" t="n">
        <v>45569.35209490741</v>
      </c>
      <c r="C183" s="1" t="n">
        <v>46190</v>
      </c>
      <c r="D183" t="inlineStr">
        <is>
          <t>ÖREBRO LÄN</t>
        </is>
      </c>
      <c r="E183" t="inlineStr">
        <is>
          <t>LINDESBERG</t>
        </is>
      </c>
      <c r="G183" t="n">
        <v>2.8</v>
      </c>
      <c r="H183" t="n">
        <v>0</v>
      </c>
      <c r="I183" t="n">
        <v>0</v>
      </c>
      <c r="J183" t="n">
        <v>0</v>
      </c>
      <c r="K183" t="n">
        <v>0</v>
      </c>
      <c r="L183" t="n">
        <v>0</v>
      </c>
      <c r="M183" t="n">
        <v>0</v>
      </c>
      <c r="N183" t="n">
        <v>0</v>
      </c>
      <c r="O183" t="n">
        <v>0</v>
      </c>
      <c r="P183" t="n">
        <v>0</v>
      </c>
      <c r="Q183" t="n">
        <v>0</v>
      </c>
      <c r="R183" s="2" t="inlineStr"/>
    </row>
    <row r="184" ht="15" customHeight="1">
      <c r="A184" t="inlineStr">
        <is>
          <t>A 48363-2021</t>
        </is>
      </c>
      <c r="B184" s="1" t="n">
        <v>44451</v>
      </c>
      <c r="C184" s="1" t="n">
        <v>46190</v>
      </c>
      <c r="D184" t="inlineStr">
        <is>
          <t>ÖREBRO LÄN</t>
        </is>
      </c>
      <c r="E184" t="inlineStr">
        <is>
          <t>LINDESBERG</t>
        </is>
      </c>
      <c r="G184" t="n">
        <v>2.7</v>
      </c>
      <c r="H184" t="n">
        <v>0</v>
      </c>
      <c r="I184" t="n">
        <v>0</v>
      </c>
      <c r="J184" t="n">
        <v>0</v>
      </c>
      <c r="K184" t="n">
        <v>0</v>
      </c>
      <c r="L184" t="n">
        <v>0</v>
      </c>
      <c r="M184" t="n">
        <v>0</v>
      </c>
      <c r="N184" t="n">
        <v>0</v>
      </c>
      <c r="O184" t="n">
        <v>0</v>
      </c>
      <c r="P184" t="n">
        <v>0</v>
      </c>
      <c r="Q184" t="n">
        <v>0</v>
      </c>
      <c r="R184" s="2" t="inlineStr"/>
    </row>
    <row r="185" ht="15" customHeight="1">
      <c r="A185" t="inlineStr">
        <is>
          <t>A 52153-2022</t>
        </is>
      </c>
      <c r="B185" s="1" t="n">
        <v>44873.47148148148</v>
      </c>
      <c r="C185" s="1" t="n">
        <v>46190</v>
      </c>
      <c r="D185" t="inlineStr">
        <is>
          <t>ÖREBRO LÄN</t>
        </is>
      </c>
      <c r="E185" t="inlineStr">
        <is>
          <t>LINDESBERG</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46190</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70475-2021</t>
        </is>
      </c>
      <c r="B187" s="1" t="n">
        <v>44536</v>
      </c>
      <c r="C187" s="1" t="n">
        <v>46190</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33084-2021</t>
        </is>
      </c>
      <c r="B188" s="1" t="n">
        <v>44376</v>
      </c>
      <c r="C188" s="1" t="n">
        <v>46190</v>
      </c>
      <c r="D188" t="inlineStr">
        <is>
          <t>ÖREBRO LÄN</t>
        </is>
      </c>
      <c r="E188" t="inlineStr">
        <is>
          <t>LINDESBERG</t>
        </is>
      </c>
      <c r="G188" t="n">
        <v>3.1</v>
      </c>
      <c r="H188" t="n">
        <v>0</v>
      </c>
      <c r="I188" t="n">
        <v>0</v>
      </c>
      <c r="J188" t="n">
        <v>0</v>
      </c>
      <c r="K188" t="n">
        <v>0</v>
      </c>
      <c r="L188" t="n">
        <v>0</v>
      </c>
      <c r="M188" t="n">
        <v>0</v>
      </c>
      <c r="N188" t="n">
        <v>0</v>
      </c>
      <c r="O188" t="n">
        <v>0</v>
      </c>
      <c r="P188" t="n">
        <v>0</v>
      </c>
      <c r="Q188" t="n">
        <v>0</v>
      </c>
      <c r="R188" s="2" t="inlineStr"/>
    </row>
    <row r="189" ht="15" customHeight="1">
      <c r="A189" t="inlineStr">
        <is>
          <t>A 26093-2023</t>
        </is>
      </c>
      <c r="B189" s="1" t="n">
        <v>45091.39362268519</v>
      </c>
      <c r="C189" s="1" t="n">
        <v>46190</v>
      </c>
      <c r="D189" t="inlineStr">
        <is>
          <t>ÖREBRO LÄN</t>
        </is>
      </c>
      <c r="E189" t="inlineStr">
        <is>
          <t>LINDESBERG</t>
        </is>
      </c>
      <c r="G189" t="n">
        <v>0.4</v>
      </c>
      <c r="H189" t="n">
        <v>0</v>
      </c>
      <c r="I189" t="n">
        <v>0</v>
      </c>
      <c r="J189" t="n">
        <v>0</v>
      </c>
      <c r="K189" t="n">
        <v>0</v>
      </c>
      <c r="L189" t="n">
        <v>0</v>
      </c>
      <c r="M189" t="n">
        <v>0</v>
      </c>
      <c r="N189" t="n">
        <v>0</v>
      </c>
      <c r="O189" t="n">
        <v>0</v>
      </c>
      <c r="P189" t="n">
        <v>0</v>
      </c>
      <c r="Q189" t="n">
        <v>0</v>
      </c>
      <c r="R189" s="2" t="inlineStr"/>
    </row>
    <row r="190" ht="15" customHeight="1">
      <c r="A190" t="inlineStr">
        <is>
          <t>A 47066-2023</t>
        </is>
      </c>
      <c r="B190" s="1" t="n">
        <v>45201</v>
      </c>
      <c r="C190" s="1" t="n">
        <v>46190</v>
      </c>
      <c r="D190" t="inlineStr">
        <is>
          <t>ÖREBRO LÄN</t>
        </is>
      </c>
      <c r="E190" t="inlineStr">
        <is>
          <t>LINDESBERG</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36773-2024</t>
        </is>
      </c>
      <c r="B191" s="1" t="n">
        <v>45538</v>
      </c>
      <c r="C191" s="1" t="n">
        <v>46190</v>
      </c>
      <c r="D191" t="inlineStr">
        <is>
          <t>ÖREBRO LÄN</t>
        </is>
      </c>
      <c r="E191" t="inlineStr">
        <is>
          <t>LINDESBERG</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54864-2024</t>
        </is>
      </c>
      <c r="B192" s="1" t="n">
        <v>45618.59456018519</v>
      </c>
      <c r="C192" s="1" t="n">
        <v>46190</v>
      </c>
      <c r="D192" t="inlineStr">
        <is>
          <t>ÖREBRO LÄN</t>
        </is>
      </c>
      <c r="E192" t="inlineStr">
        <is>
          <t>LINDESBERG</t>
        </is>
      </c>
      <c r="F192" t="inlineStr">
        <is>
          <t>Sveaskog</t>
        </is>
      </c>
      <c r="G192" t="n">
        <v>4.4</v>
      </c>
      <c r="H192" t="n">
        <v>0</v>
      </c>
      <c r="I192" t="n">
        <v>0</v>
      </c>
      <c r="J192" t="n">
        <v>0</v>
      </c>
      <c r="K192" t="n">
        <v>0</v>
      </c>
      <c r="L192" t="n">
        <v>0</v>
      </c>
      <c r="M192" t="n">
        <v>0</v>
      </c>
      <c r="N192" t="n">
        <v>0</v>
      </c>
      <c r="O192" t="n">
        <v>0</v>
      </c>
      <c r="P192" t="n">
        <v>0</v>
      </c>
      <c r="Q192" t="n">
        <v>0</v>
      </c>
      <c r="R192" s="2" t="inlineStr"/>
    </row>
    <row r="193" ht="15" customHeight="1">
      <c r="A193" t="inlineStr">
        <is>
          <t>A 32009-2023</t>
        </is>
      </c>
      <c r="B193" s="1" t="n">
        <v>45119</v>
      </c>
      <c r="C193" s="1" t="n">
        <v>46190</v>
      </c>
      <c r="D193" t="inlineStr">
        <is>
          <t>ÖREBRO LÄN</t>
        </is>
      </c>
      <c r="E193" t="inlineStr">
        <is>
          <t>LINDESBERG</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59006-2021</t>
        </is>
      </c>
      <c r="B194" s="1" t="n">
        <v>44490</v>
      </c>
      <c r="C194" s="1" t="n">
        <v>46190</v>
      </c>
      <c r="D194" t="inlineStr">
        <is>
          <t>ÖREBRO LÄN</t>
        </is>
      </c>
      <c r="E194" t="inlineStr">
        <is>
          <t>LINDESBERG</t>
        </is>
      </c>
      <c r="G194" t="n">
        <v>5.6</v>
      </c>
      <c r="H194" t="n">
        <v>0</v>
      </c>
      <c r="I194" t="n">
        <v>0</v>
      </c>
      <c r="J194" t="n">
        <v>0</v>
      </c>
      <c r="K194" t="n">
        <v>0</v>
      </c>
      <c r="L194" t="n">
        <v>0</v>
      </c>
      <c r="M194" t="n">
        <v>0</v>
      </c>
      <c r="N194" t="n">
        <v>0</v>
      </c>
      <c r="O194" t="n">
        <v>0</v>
      </c>
      <c r="P194" t="n">
        <v>0</v>
      </c>
      <c r="Q194" t="n">
        <v>0</v>
      </c>
      <c r="R194" s="2" t="inlineStr"/>
    </row>
    <row r="195" ht="15" customHeight="1">
      <c r="A195" t="inlineStr">
        <is>
          <t>A 3148-2023</t>
        </is>
      </c>
      <c r="B195" s="1" t="n">
        <v>44946.54424768518</v>
      </c>
      <c r="C195" s="1" t="n">
        <v>46190</v>
      </c>
      <c r="D195" t="inlineStr">
        <is>
          <t>ÖREBRO LÄN</t>
        </is>
      </c>
      <c r="E195" t="inlineStr">
        <is>
          <t>LINDESBERG</t>
        </is>
      </c>
      <c r="G195" t="n">
        <v>5.5</v>
      </c>
      <c r="H195" t="n">
        <v>0</v>
      </c>
      <c r="I195" t="n">
        <v>0</v>
      </c>
      <c r="J195" t="n">
        <v>0</v>
      </c>
      <c r="K195" t="n">
        <v>0</v>
      </c>
      <c r="L195" t="n">
        <v>0</v>
      </c>
      <c r="M195" t="n">
        <v>0</v>
      </c>
      <c r="N195" t="n">
        <v>0</v>
      </c>
      <c r="O195" t="n">
        <v>0</v>
      </c>
      <c r="P195" t="n">
        <v>0</v>
      </c>
      <c r="Q195" t="n">
        <v>0</v>
      </c>
      <c r="R195" s="2" t="inlineStr"/>
    </row>
    <row r="196" ht="15" customHeight="1">
      <c r="A196" t="inlineStr">
        <is>
          <t>A 20238-2022</t>
        </is>
      </c>
      <c r="B196" s="1" t="n">
        <v>44698.62354166667</v>
      </c>
      <c r="C196" s="1" t="n">
        <v>46190</v>
      </c>
      <c r="D196" t="inlineStr">
        <is>
          <t>ÖREBRO LÄN</t>
        </is>
      </c>
      <c r="E196" t="inlineStr">
        <is>
          <t>LINDESBERG</t>
        </is>
      </c>
      <c r="F196" t="inlineStr">
        <is>
          <t>Naturvårdsverket</t>
        </is>
      </c>
      <c r="G196" t="n">
        <v>2.9</v>
      </c>
      <c r="H196" t="n">
        <v>0</v>
      </c>
      <c r="I196" t="n">
        <v>0</v>
      </c>
      <c r="J196" t="n">
        <v>0</v>
      </c>
      <c r="K196" t="n">
        <v>0</v>
      </c>
      <c r="L196" t="n">
        <v>0</v>
      </c>
      <c r="M196" t="n">
        <v>0</v>
      </c>
      <c r="N196" t="n">
        <v>0</v>
      </c>
      <c r="O196" t="n">
        <v>0</v>
      </c>
      <c r="P196" t="n">
        <v>0</v>
      </c>
      <c r="Q196" t="n">
        <v>0</v>
      </c>
      <c r="R196" s="2" t="inlineStr"/>
    </row>
    <row r="197" ht="15" customHeight="1">
      <c r="A197" t="inlineStr">
        <is>
          <t>A 59804-2023</t>
        </is>
      </c>
      <c r="B197" s="1" t="n">
        <v>45257.48188657407</v>
      </c>
      <c r="C197" s="1" t="n">
        <v>46190</v>
      </c>
      <c r="D197" t="inlineStr">
        <is>
          <t>ÖREBRO LÄN</t>
        </is>
      </c>
      <c r="E197" t="inlineStr">
        <is>
          <t>LINDESBERG</t>
        </is>
      </c>
      <c r="G197" t="n">
        <v>1.2</v>
      </c>
      <c r="H197" t="n">
        <v>0</v>
      </c>
      <c r="I197" t="n">
        <v>0</v>
      </c>
      <c r="J197" t="n">
        <v>0</v>
      </c>
      <c r="K197" t="n">
        <v>0</v>
      </c>
      <c r="L197" t="n">
        <v>0</v>
      </c>
      <c r="M197" t="n">
        <v>0</v>
      </c>
      <c r="N197" t="n">
        <v>0</v>
      </c>
      <c r="O197" t="n">
        <v>0</v>
      </c>
      <c r="P197" t="n">
        <v>0</v>
      </c>
      <c r="Q197" t="n">
        <v>0</v>
      </c>
      <c r="R197" s="2" t="inlineStr"/>
    </row>
    <row r="198" ht="15" customHeight="1">
      <c r="A198" t="inlineStr">
        <is>
          <t>A 32818-2022</t>
        </is>
      </c>
      <c r="B198" s="1" t="n">
        <v>44784.38697916667</v>
      </c>
      <c r="C198" s="1" t="n">
        <v>46190</v>
      </c>
      <c r="D198" t="inlineStr">
        <is>
          <t>ÖREBRO LÄN</t>
        </is>
      </c>
      <c r="E198" t="inlineStr">
        <is>
          <t>LINDESBERG</t>
        </is>
      </c>
      <c r="G198" t="n">
        <v>1.5</v>
      </c>
      <c r="H198" t="n">
        <v>0</v>
      </c>
      <c r="I198" t="n">
        <v>0</v>
      </c>
      <c r="J198" t="n">
        <v>0</v>
      </c>
      <c r="K198" t="n">
        <v>0</v>
      </c>
      <c r="L198" t="n">
        <v>0</v>
      </c>
      <c r="M198" t="n">
        <v>0</v>
      </c>
      <c r="N198" t="n">
        <v>0</v>
      </c>
      <c r="O198" t="n">
        <v>0</v>
      </c>
      <c r="P198" t="n">
        <v>0</v>
      </c>
      <c r="Q198" t="n">
        <v>0</v>
      </c>
      <c r="R198" s="2" t="inlineStr"/>
    </row>
    <row r="199" ht="15" customHeight="1">
      <c r="A199" t="inlineStr">
        <is>
          <t>A 61691-2023</t>
        </is>
      </c>
      <c r="B199" s="1" t="n">
        <v>45265.64142361111</v>
      </c>
      <c r="C199" s="1" t="n">
        <v>46190</v>
      </c>
      <c r="D199" t="inlineStr">
        <is>
          <t>ÖREBRO LÄN</t>
        </is>
      </c>
      <c r="E199" t="inlineStr">
        <is>
          <t>LINDESBERG</t>
        </is>
      </c>
      <c r="G199" t="n">
        <v>2.6</v>
      </c>
      <c r="H199" t="n">
        <v>0</v>
      </c>
      <c r="I199" t="n">
        <v>0</v>
      </c>
      <c r="J199" t="n">
        <v>0</v>
      </c>
      <c r="K199" t="n">
        <v>0</v>
      </c>
      <c r="L199" t="n">
        <v>0</v>
      </c>
      <c r="M199" t="n">
        <v>0</v>
      </c>
      <c r="N199" t="n">
        <v>0</v>
      </c>
      <c r="O199" t="n">
        <v>0</v>
      </c>
      <c r="P199" t="n">
        <v>0</v>
      </c>
      <c r="Q199" t="n">
        <v>0</v>
      </c>
      <c r="R199" s="2" t="inlineStr"/>
    </row>
    <row r="200" ht="15" customHeight="1">
      <c r="A200" t="inlineStr">
        <is>
          <t>A 2406-2024</t>
        </is>
      </c>
      <c r="B200" s="1" t="n">
        <v>45310</v>
      </c>
      <c r="C200" s="1" t="n">
        <v>46190</v>
      </c>
      <c r="D200" t="inlineStr">
        <is>
          <t>ÖREBRO LÄN</t>
        </is>
      </c>
      <c r="E200" t="inlineStr">
        <is>
          <t>LINDESBERG</t>
        </is>
      </c>
      <c r="G200" t="n">
        <v>16.1</v>
      </c>
      <c r="H200" t="n">
        <v>0</v>
      </c>
      <c r="I200" t="n">
        <v>0</v>
      </c>
      <c r="J200" t="n">
        <v>0</v>
      </c>
      <c r="K200" t="n">
        <v>0</v>
      </c>
      <c r="L200" t="n">
        <v>0</v>
      </c>
      <c r="M200" t="n">
        <v>0</v>
      </c>
      <c r="N200" t="n">
        <v>0</v>
      </c>
      <c r="O200" t="n">
        <v>0</v>
      </c>
      <c r="P200" t="n">
        <v>0</v>
      </c>
      <c r="Q200" t="n">
        <v>0</v>
      </c>
      <c r="R200" s="2" t="inlineStr"/>
    </row>
    <row r="201" ht="15" customHeight="1">
      <c r="A201" t="inlineStr">
        <is>
          <t>A 13417-2025</t>
        </is>
      </c>
      <c r="B201" s="1" t="n">
        <v>45736.30940972222</v>
      </c>
      <c r="C201" s="1" t="n">
        <v>46190</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46190</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43081-2021</t>
        </is>
      </c>
      <c r="B203" s="1" t="n">
        <v>44431</v>
      </c>
      <c r="C203" s="1" t="n">
        <v>46190</v>
      </c>
      <c r="D203" t="inlineStr">
        <is>
          <t>ÖREBRO LÄN</t>
        </is>
      </c>
      <c r="E203" t="inlineStr">
        <is>
          <t>LINDESBERG</t>
        </is>
      </c>
      <c r="G203" t="n">
        <v>0.5</v>
      </c>
      <c r="H203" t="n">
        <v>0</v>
      </c>
      <c r="I203" t="n">
        <v>0</v>
      </c>
      <c r="J203" t="n">
        <v>0</v>
      </c>
      <c r="K203" t="n">
        <v>0</v>
      </c>
      <c r="L203" t="n">
        <v>0</v>
      </c>
      <c r="M203" t="n">
        <v>0</v>
      </c>
      <c r="N203" t="n">
        <v>0</v>
      </c>
      <c r="O203" t="n">
        <v>0</v>
      </c>
      <c r="P203" t="n">
        <v>0</v>
      </c>
      <c r="Q203" t="n">
        <v>0</v>
      </c>
      <c r="R203" s="2" t="inlineStr"/>
    </row>
    <row r="204" ht="15" customHeight="1">
      <c r="A204" t="inlineStr">
        <is>
          <t>A 32002-2023</t>
        </is>
      </c>
      <c r="B204" s="1" t="n">
        <v>45119.46452546296</v>
      </c>
      <c r="C204" s="1" t="n">
        <v>46190</v>
      </c>
      <c r="D204" t="inlineStr">
        <is>
          <t>ÖREBRO LÄN</t>
        </is>
      </c>
      <c r="E204" t="inlineStr">
        <is>
          <t>LINDESBERG</t>
        </is>
      </c>
      <c r="F204" t="inlineStr">
        <is>
          <t>Kyrkan</t>
        </is>
      </c>
      <c r="G204" t="n">
        <v>0.6</v>
      </c>
      <c r="H204" t="n">
        <v>0</v>
      </c>
      <c r="I204" t="n">
        <v>0</v>
      </c>
      <c r="J204" t="n">
        <v>0</v>
      </c>
      <c r="K204" t="n">
        <v>0</v>
      </c>
      <c r="L204" t="n">
        <v>0</v>
      </c>
      <c r="M204" t="n">
        <v>0</v>
      </c>
      <c r="N204" t="n">
        <v>0</v>
      </c>
      <c r="O204" t="n">
        <v>0</v>
      </c>
      <c r="P204" t="n">
        <v>0</v>
      </c>
      <c r="Q204" t="n">
        <v>0</v>
      </c>
      <c r="R204" s="2" t="inlineStr"/>
    </row>
    <row r="205" ht="15" customHeight="1">
      <c r="A205" t="inlineStr">
        <is>
          <t>A 33282-2024</t>
        </is>
      </c>
      <c r="B205" s="1" t="n">
        <v>45518.71482638889</v>
      </c>
      <c r="C205" s="1" t="n">
        <v>46190</v>
      </c>
      <c r="D205" t="inlineStr">
        <is>
          <t>ÖREBRO LÄN</t>
        </is>
      </c>
      <c r="E205" t="inlineStr">
        <is>
          <t>LINDESBERG</t>
        </is>
      </c>
      <c r="G205" t="n">
        <v>7.5</v>
      </c>
      <c r="H205" t="n">
        <v>0</v>
      </c>
      <c r="I205" t="n">
        <v>0</v>
      </c>
      <c r="J205" t="n">
        <v>0</v>
      </c>
      <c r="K205" t="n">
        <v>0</v>
      </c>
      <c r="L205" t="n">
        <v>0</v>
      </c>
      <c r="M205" t="n">
        <v>0</v>
      </c>
      <c r="N205" t="n">
        <v>0</v>
      </c>
      <c r="O205" t="n">
        <v>0</v>
      </c>
      <c r="P205" t="n">
        <v>0</v>
      </c>
      <c r="Q205" t="n">
        <v>0</v>
      </c>
      <c r="R205" s="2" t="inlineStr"/>
    </row>
    <row r="206" ht="15" customHeight="1">
      <c r="A206" t="inlineStr">
        <is>
          <t>A 7661-2024</t>
        </is>
      </c>
      <c r="B206" s="1" t="n">
        <v>45348</v>
      </c>
      <c r="C206" s="1" t="n">
        <v>46190</v>
      </c>
      <c r="D206" t="inlineStr">
        <is>
          <t>ÖREBRO LÄN</t>
        </is>
      </c>
      <c r="E206" t="inlineStr">
        <is>
          <t>LINDESBERG</t>
        </is>
      </c>
      <c r="G206" t="n">
        <v>4.1</v>
      </c>
      <c r="H206" t="n">
        <v>0</v>
      </c>
      <c r="I206" t="n">
        <v>0</v>
      </c>
      <c r="J206" t="n">
        <v>0</v>
      </c>
      <c r="K206" t="n">
        <v>0</v>
      </c>
      <c r="L206" t="n">
        <v>0</v>
      </c>
      <c r="M206" t="n">
        <v>0</v>
      </c>
      <c r="N206" t="n">
        <v>0</v>
      </c>
      <c r="O206" t="n">
        <v>0</v>
      </c>
      <c r="P206" t="n">
        <v>0</v>
      </c>
      <c r="Q206" t="n">
        <v>0</v>
      </c>
      <c r="R206" s="2" t="inlineStr"/>
    </row>
    <row r="207" ht="15" customHeight="1">
      <c r="A207" t="inlineStr">
        <is>
          <t>A 37432-2022</t>
        </is>
      </c>
      <c r="B207" s="1" t="n">
        <v>44809</v>
      </c>
      <c r="C207" s="1" t="n">
        <v>46190</v>
      </c>
      <c r="D207" t="inlineStr">
        <is>
          <t>ÖREBRO LÄN</t>
        </is>
      </c>
      <c r="E207" t="inlineStr">
        <is>
          <t>LINDESBERG</t>
        </is>
      </c>
      <c r="G207" t="n">
        <v>3.6</v>
      </c>
      <c r="H207" t="n">
        <v>0</v>
      </c>
      <c r="I207" t="n">
        <v>0</v>
      </c>
      <c r="J207" t="n">
        <v>0</v>
      </c>
      <c r="K207" t="n">
        <v>0</v>
      </c>
      <c r="L207" t="n">
        <v>0</v>
      </c>
      <c r="M207" t="n">
        <v>0</v>
      </c>
      <c r="N207" t="n">
        <v>0</v>
      </c>
      <c r="O207" t="n">
        <v>0</v>
      </c>
      <c r="P207" t="n">
        <v>0</v>
      </c>
      <c r="Q207" t="n">
        <v>0</v>
      </c>
      <c r="R207" s="2" t="inlineStr"/>
    </row>
    <row r="208" ht="15" customHeight="1">
      <c r="A208" t="inlineStr">
        <is>
          <t>A 12278-2025</t>
        </is>
      </c>
      <c r="B208" s="1" t="n">
        <v>45729.65171296296</v>
      </c>
      <c r="C208" s="1" t="n">
        <v>46190</v>
      </c>
      <c r="D208" t="inlineStr">
        <is>
          <t>ÖREBRO LÄN</t>
        </is>
      </c>
      <c r="E208" t="inlineStr">
        <is>
          <t>LINDESBERG</t>
        </is>
      </c>
      <c r="G208" t="n">
        <v>3.2</v>
      </c>
      <c r="H208" t="n">
        <v>0</v>
      </c>
      <c r="I208" t="n">
        <v>0</v>
      </c>
      <c r="J208" t="n">
        <v>0</v>
      </c>
      <c r="K208" t="n">
        <v>0</v>
      </c>
      <c r="L208" t="n">
        <v>0</v>
      </c>
      <c r="M208" t="n">
        <v>0</v>
      </c>
      <c r="N208" t="n">
        <v>0</v>
      </c>
      <c r="O208" t="n">
        <v>0</v>
      </c>
      <c r="P208" t="n">
        <v>0</v>
      </c>
      <c r="Q208" t="n">
        <v>0</v>
      </c>
      <c r="R208" s="2" t="inlineStr"/>
    </row>
    <row r="209" ht="15" customHeight="1">
      <c r="A209" t="inlineStr">
        <is>
          <t>A 34237-2023</t>
        </is>
      </c>
      <c r="B209" s="1" t="n">
        <v>45138</v>
      </c>
      <c r="C209" s="1" t="n">
        <v>46190</v>
      </c>
      <c r="D209" t="inlineStr">
        <is>
          <t>ÖREBRO LÄN</t>
        </is>
      </c>
      <c r="E209" t="inlineStr">
        <is>
          <t>LINDESBERG</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35230-2024</t>
        </is>
      </c>
      <c r="B210" s="1" t="n">
        <v>45530</v>
      </c>
      <c r="C210" s="1" t="n">
        <v>46190</v>
      </c>
      <c r="D210" t="inlineStr">
        <is>
          <t>ÖREBRO LÄN</t>
        </is>
      </c>
      <c r="E210" t="inlineStr">
        <is>
          <t>LINDESBERG</t>
        </is>
      </c>
      <c r="G210" t="n">
        <v>1.7</v>
      </c>
      <c r="H210" t="n">
        <v>0</v>
      </c>
      <c r="I210" t="n">
        <v>0</v>
      </c>
      <c r="J210" t="n">
        <v>0</v>
      </c>
      <c r="K210" t="n">
        <v>0</v>
      </c>
      <c r="L210" t="n">
        <v>0</v>
      </c>
      <c r="M210" t="n">
        <v>0</v>
      </c>
      <c r="N210" t="n">
        <v>0</v>
      </c>
      <c r="O210" t="n">
        <v>0</v>
      </c>
      <c r="P210" t="n">
        <v>0</v>
      </c>
      <c r="Q210" t="n">
        <v>0</v>
      </c>
      <c r="R210" s="2" t="inlineStr"/>
    </row>
    <row r="211" ht="15" customHeight="1">
      <c r="A211" t="inlineStr">
        <is>
          <t>A 29942-2024</t>
        </is>
      </c>
      <c r="B211" s="1" t="n">
        <v>45488.42258101852</v>
      </c>
      <c r="C211" s="1" t="n">
        <v>46190</v>
      </c>
      <c r="D211" t="inlineStr">
        <is>
          <t>ÖREBRO LÄN</t>
        </is>
      </c>
      <c r="E211" t="inlineStr">
        <is>
          <t>LINDESBERG</t>
        </is>
      </c>
      <c r="G211" t="n">
        <v>2.4</v>
      </c>
      <c r="H211" t="n">
        <v>0</v>
      </c>
      <c r="I211" t="n">
        <v>0</v>
      </c>
      <c r="J211" t="n">
        <v>0</v>
      </c>
      <c r="K211" t="n">
        <v>0</v>
      </c>
      <c r="L211" t="n">
        <v>0</v>
      </c>
      <c r="M211" t="n">
        <v>0</v>
      </c>
      <c r="N211" t="n">
        <v>0</v>
      </c>
      <c r="O211" t="n">
        <v>0</v>
      </c>
      <c r="P211" t="n">
        <v>0</v>
      </c>
      <c r="Q211" t="n">
        <v>0</v>
      </c>
      <c r="R211" s="2" t="inlineStr"/>
    </row>
    <row r="212" ht="15" customHeight="1">
      <c r="A212" t="inlineStr">
        <is>
          <t>A 61202-2023</t>
        </is>
      </c>
      <c r="B212" s="1" t="n">
        <v>45264.38084490741</v>
      </c>
      <c r="C212" s="1" t="n">
        <v>46190</v>
      </c>
      <c r="D212" t="inlineStr">
        <is>
          <t>ÖREBRO LÄN</t>
        </is>
      </c>
      <c r="E212" t="inlineStr">
        <is>
          <t>LINDESBERG</t>
        </is>
      </c>
      <c r="G212" t="n">
        <v>0.9</v>
      </c>
      <c r="H212" t="n">
        <v>0</v>
      </c>
      <c r="I212" t="n">
        <v>0</v>
      </c>
      <c r="J212" t="n">
        <v>0</v>
      </c>
      <c r="K212" t="n">
        <v>0</v>
      </c>
      <c r="L212" t="n">
        <v>0</v>
      </c>
      <c r="M212" t="n">
        <v>0</v>
      </c>
      <c r="N212" t="n">
        <v>0</v>
      </c>
      <c r="O212" t="n">
        <v>0</v>
      </c>
      <c r="P212" t="n">
        <v>0</v>
      </c>
      <c r="Q212" t="n">
        <v>0</v>
      </c>
      <c r="R212" s="2" t="inlineStr"/>
    </row>
    <row r="213" ht="15" customHeight="1">
      <c r="A213" t="inlineStr">
        <is>
          <t>A 65194-2023</t>
        </is>
      </c>
      <c r="B213" s="1" t="n">
        <v>45289</v>
      </c>
      <c r="C213" s="1" t="n">
        <v>46190</v>
      </c>
      <c r="D213" t="inlineStr">
        <is>
          <t>ÖREBRO LÄN</t>
        </is>
      </c>
      <c r="E213" t="inlineStr">
        <is>
          <t>LINDESBERG</t>
        </is>
      </c>
      <c r="G213" t="n">
        <v>1</v>
      </c>
      <c r="H213" t="n">
        <v>0</v>
      </c>
      <c r="I213" t="n">
        <v>0</v>
      </c>
      <c r="J213" t="n">
        <v>0</v>
      </c>
      <c r="K213" t="n">
        <v>0</v>
      </c>
      <c r="L213" t="n">
        <v>0</v>
      </c>
      <c r="M213" t="n">
        <v>0</v>
      </c>
      <c r="N213" t="n">
        <v>0</v>
      </c>
      <c r="O213" t="n">
        <v>0</v>
      </c>
      <c r="P213" t="n">
        <v>0</v>
      </c>
      <c r="Q213" t="n">
        <v>0</v>
      </c>
      <c r="R213" s="2" t="inlineStr"/>
    </row>
    <row r="214" ht="15" customHeight="1">
      <c r="A214" t="inlineStr">
        <is>
          <t>A 69208-2021</t>
        </is>
      </c>
      <c r="B214" s="1" t="n">
        <v>44531.3575</v>
      </c>
      <c r="C214" s="1" t="n">
        <v>46190</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3294-2024</t>
        </is>
      </c>
      <c r="B215" s="1" t="n">
        <v>45316</v>
      </c>
      <c r="C215" s="1" t="n">
        <v>46190</v>
      </c>
      <c r="D215" t="inlineStr">
        <is>
          <t>ÖREBRO LÄN</t>
        </is>
      </c>
      <c r="E215" t="inlineStr">
        <is>
          <t>LINDESBERG</t>
        </is>
      </c>
      <c r="G215" t="n">
        <v>3</v>
      </c>
      <c r="H215" t="n">
        <v>0</v>
      </c>
      <c r="I215" t="n">
        <v>0</v>
      </c>
      <c r="J215" t="n">
        <v>0</v>
      </c>
      <c r="K215" t="n">
        <v>0</v>
      </c>
      <c r="L215" t="n">
        <v>0</v>
      </c>
      <c r="M215" t="n">
        <v>0</v>
      </c>
      <c r="N215" t="n">
        <v>0</v>
      </c>
      <c r="O215" t="n">
        <v>0</v>
      </c>
      <c r="P215" t="n">
        <v>0</v>
      </c>
      <c r="Q215" t="n">
        <v>0</v>
      </c>
      <c r="R215" s="2" t="inlineStr"/>
    </row>
    <row r="216" ht="15" customHeight="1">
      <c r="A216" t="inlineStr">
        <is>
          <t>A 14185-2024</t>
        </is>
      </c>
      <c r="B216" s="1" t="n">
        <v>45393.3562962963</v>
      </c>
      <c r="C216" s="1" t="n">
        <v>46190</v>
      </c>
      <c r="D216" t="inlineStr">
        <is>
          <t>ÖREBRO LÄN</t>
        </is>
      </c>
      <c r="E216" t="inlineStr">
        <is>
          <t>LINDESBERG</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14190-2024</t>
        </is>
      </c>
      <c r="B217" s="1" t="n">
        <v>45393.36060185185</v>
      </c>
      <c r="C217" s="1" t="n">
        <v>46190</v>
      </c>
      <c r="D217" t="inlineStr">
        <is>
          <t>ÖREBRO LÄN</t>
        </is>
      </c>
      <c r="E217" t="inlineStr">
        <is>
          <t>LINDESBERG</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35990-2021</t>
        </is>
      </c>
      <c r="B218" s="1" t="n">
        <v>44389</v>
      </c>
      <c r="C218" s="1" t="n">
        <v>46190</v>
      </c>
      <c r="D218" t="inlineStr">
        <is>
          <t>ÖREBRO LÄN</t>
        </is>
      </c>
      <c r="E218" t="inlineStr">
        <is>
          <t>LINDESBERG</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71090-2021</t>
        </is>
      </c>
      <c r="B219" s="1" t="n">
        <v>44539.31923611111</v>
      </c>
      <c r="C219" s="1" t="n">
        <v>46190</v>
      </c>
      <c r="D219" t="inlineStr">
        <is>
          <t>ÖREBRO LÄN</t>
        </is>
      </c>
      <c r="E219" t="inlineStr">
        <is>
          <t>LINDESBERG</t>
        </is>
      </c>
      <c r="G219" t="n">
        <v>4.3</v>
      </c>
      <c r="H219" t="n">
        <v>0</v>
      </c>
      <c r="I219" t="n">
        <v>0</v>
      </c>
      <c r="J219" t="n">
        <v>0</v>
      </c>
      <c r="K219" t="n">
        <v>0</v>
      </c>
      <c r="L219" t="n">
        <v>0</v>
      </c>
      <c r="M219" t="n">
        <v>0</v>
      </c>
      <c r="N219" t="n">
        <v>0</v>
      </c>
      <c r="O219" t="n">
        <v>0</v>
      </c>
      <c r="P219" t="n">
        <v>0</v>
      </c>
      <c r="Q219" t="n">
        <v>0</v>
      </c>
      <c r="R219" s="2" t="inlineStr"/>
    </row>
    <row r="220" ht="15" customHeight="1">
      <c r="A220" t="inlineStr">
        <is>
          <t>A 71092-2021</t>
        </is>
      </c>
      <c r="B220" s="1" t="n">
        <v>44539</v>
      </c>
      <c r="C220" s="1" t="n">
        <v>46190</v>
      </c>
      <c r="D220" t="inlineStr">
        <is>
          <t>ÖREBRO LÄN</t>
        </is>
      </c>
      <c r="E220" t="inlineStr">
        <is>
          <t>LINDESBERG</t>
        </is>
      </c>
      <c r="G220" t="n">
        <v>0.8</v>
      </c>
      <c r="H220" t="n">
        <v>0</v>
      </c>
      <c r="I220" t="n">
        <v>0</v>
      </c>
      <c r="J220" t="n">
        <v>0</v>
      </c>
      <c r="K220" t="n">
        <v>0</v>
      </c>
      <c r="L220" t="n">
        <v>0</v>
      </c>
      <c r="M220" t="n">
        <v>0</v>
      </c>
      <c r="N220" t="n">
        <v>0</v>
      </c>
      <c r="O220" t="n">
        <v>0</v>
      </c>
      <c r="P220" t="n">
        <v>0</v>
      </c>
      <c r="Q220" t="n">
        <v>0</v>
      </c>
      <c r="R220" s="2" t="inlineStr"/>
    </row>
    <row r="221" ht="15" customHeight="1">
      <c r="A221" t="inlineStr">
        <is>
          <t>A 6962-2023</t>
        </is>
      </c>
      <c r="B221" s="1" t="n">
        <v>44967.60165509259</v>
      </c>
      <c r="C221" s="1" t="n">
        <v>46190</v>
      </c>
      <c r="D221" t="inlineStr">
        <is>
          <t>ÖREBRO LÄN</t>
        </is>
      </c>
      <c r="E221" t="inlineStr">
        <is>
          <t>LINDESBERG</t>
        </is>
      </c>
      <c r="G221" t="n">
        <v>11.4</v>
      </c>
      <c r="H221" t="n">
        <v>0</v>
      </c>
      <c r="I221" t="n">
        <v>0</v>
      </c>
      <c r="J221" t="n">
        <v>0</v>
      </c>
      <c r="K221" t="n">
        <v>0</v>
      </c>
      <c r="L221" t="n">
        <v>0</v>
      </c>
      <c r="M221" t="n">
        <v>0</v>
      </c>
      <c r="N221" t="n">
        <v>0</v>
      </c>
      <c r="O221" t="n">
        <v>0</v>
      </c>
      <c r="P221" t="n">
        <v>0</v>
      </c>
      <c r="Q221" t="n">
        <v>0</v>
      </c>
      <c r="R221" s="2" t="inlineStr"/>
    </row>
    <row r="222" ht="15" customHeight="1">
      <c r="A222" t="inlineStr">
        <is>
          <t>A 36015-2021</t>
        </is>
      </c>
      <c r="B222" s="1" t="n">
        <v>44389</v>
      </c>
      <c r="C222" s="1" t="n">
        <v>46190</v>
      </c>
      <c r="D222" t="inlineStr">
        <is>
          <t>ÖREBRO LÄN</t>
        </is>
      </c>
      <c r="E222" t="inlineStr">
        <is>
          <t>LINDESBERG</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46603-2021</t>
        </is>
      </c>
      <c r="B223" s="1" t="n">
        <v>44445</v>
      </c>
      <c r="C223" s="1" t="n">
        <v>46190</v>
      </c>
      <c r="D223" t="inlineStr">
        <is>
          <t>ÖREBRO LÄN</t>
        </is>
      </c>
      <c r="E223" t="inlineStr">
        <is>
          <t>LINDESBERG</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20954-2024</t>
        </is>
      </c>
      <c r="B224" s="1" t="n">
        <v>45439.56605324074</v>
      </c>
      <c r="C224" s="1" t="n">
        <v>46190</v>
      </c>
      <c r="D224" t="inlineStr">
        <is>
          <t>ÖREBRO LÄN</t>
        </is>
      </c>
      <c r="E224" t="inlineStr">
        <is>
          <t>LINDESBERG</t>
        </is>
      </c>
      <c r="G224" t="n">
        <v>0.9</v>
      </c>
      <c r="H224" t="n">
        <v>0</v>
      </c>
      <c r="I224" t="n">
        <v>0</v>
      </c>
      <c r="J224" t="n">
        <v>0</v>
      </c>
      <c r="K224" t="n">
        <v>0</v>
      </c>
      <c r="L224" t="n">
        <v>0</v>
      </c>
      <c r="M224" t="n">
        <v>0</v>
      </c>
      <c r="N224" t="n">
        <v>0</v>
      </c>
      <c r="O224" t="n">
        <v>0</v>
      </c>
      <c r="P224" t="n">
        <v>0</v>
      </c>
      <c r="Q224" t="n">
        <v>0</v>
      </c>
      <c r="R224" s="2" t="inlineStr"/>
    </row>
    <row r="225" ht="15" customHeight="1">
      <c r="A225" t="inlineStr">
        <is>
          <t>A 7120-2025</t>
        </is>
      </c>
      <c r="B225" s="1" t="n">
        <v>45702</v>
      </c>
      <c r="C225" s="1" t="n">
        <v>46190</v>
      </c>
      <c r="D225" t="inlineStr">
        <is>
          <t>ÖREBRO LÄN</t>
        </is>
      </c>
      <c r="E225" t="inlineStr">
        <is>
          <t>LINDESBERG</t>
        </is>
      </c>
      <c r="G225" t="n">
        <v>0.5</v>
      </c>
      <c r="H225" t="n">
        <v>0</v>
      </c>
      <c r="I225" t="n">
        <v>0</v>
      </c>
      <c r="J225" t="n">
        <v>0</v>
      </c>
      <c r="K225" t="n">
        <v>0</v>
      </c>
      <c r="L225" t="n">
        <v>0</v>
      </c>
      <c r="M225" t="n">
        <v>0</v>
      </c>
      <c r="N225" t="n">
        <v>0</v>
      </c>
      <c r="O225" t="n">
        <v>0</v>
      </c>
      <c r="P225" t="n">
        <v>0</v>
      </c>
      <c r="Q225" t="n">
        <v>0</v>
      </c>
      <c r="R225" s="2" t="inlineStr"/>
    </row>
    <row r="226" ht="15" customHeight="1">
      <c r="A226" t="inlineStr">
        <is>
          <t>A 30767-2023</t>
        </is>
      </c>
      <c r="B226" s="1" t="n">
        <v>45112.67952546296</v>
      </c>
      <c r="C226" s="1" t="n">
        <v>46190</v>
      </c>
      <c r="D226" t="inlineStr">
        <is>
          <t>ÖREBRO LÄN</t>
        </is>
      </c>
      <c r="E226" t="inlineStr">
        <is>
          <t>LINDESBERG</t>
        </is>
      </c>
      <c r="G226" t="n">
        <v>3.9</v>
      </c>
      <c r="H226" t="n">
        <v>0</v>
      </c>
      <c r="I226" t="n">
        <v>0</v>
      </c>
      <c r="J226" t="n">
        <v>0</v>
      </c>
      <c r="K226" t="n">
        <v>0</v>
      </c>
      <c r="L226" t="n">
        <v>0</v>
      </c>
      <c r="M226" t="n">
        <v>0</v>
      </c>
      <c r="N226" t="n">
        <v>0</v>
      </c>
      <c r="O226" t="n">
        <v>0</v>
      </c>
      <c r="P226" t="n">
        <v>0</v>
      </c>
      <c r="Q226" t="n">
        <v>0</v>
      </c>
      <c r="R226" s="2" t="inlineStr"/>
    </row>
    <row r="227" ht="15" customHeight="1">
      <c r="A227" t="inlineStr">
        <is>
          <t>A 195-2022</t>
        </is>
      </c>
      <c r="B227" s="1" t="n">
        <v>44564</v>
      </c>
      <c r="C227" s="1" t="n">
        <v>46190</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51379-2023</t>
        </is>
      </c>
      <c r="B228" s="1" t="n">
        <v>45219</v>
      </c>
      <c r="C228" s="1" t="n">
        <v>46190</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16054-2022</t>
        </is>
      </c>
      <c r="B229" s="1" t="n">
        <v>44665</v>
      </c>
      <c r="C229" s="1" t="n">
        <v>46190</v>
      </c>
      <c r="D229" t="inlineStr">
        <is>
          <t>ÖREBRO LÄN</t>
        </is>
      </c>
      <c r="E229" t="inlineStr">
        <is>
          <t>LINDESBERG</t>
        </is>
      </c>
      <c r="G229" t="n">
        <v>6.9</v>
      </c>
      <c r="H229" t="n">
        <v>0</v>
      </c>
      <c r="I229" t="n">
        <v>0</v>
      </c>
      <c r="J229" t="n">
        <v>0</v>
      </c>
      <c r="K229" t="n">
        <v>0</v>
      </c>
      <c r="L229" t="n">
        <v>0</v>
      </c>
      <c r="M229" t="n">
        <v>0</v>
      </c>
      <c r="N229" t="n">
        <v>0</v>
      </c>
      <c r="O229" t="n">
        <v>0</v>
      </c>
      <c r="P229" t="n">
        <v>0</v>
      </c>
      <c r="Q229" t="n">
        <v>0</v>
      </c>
      <c r="R229" s="2" t="inlineStr"/>
    </row>
    <row r="230" ht="15" customHeight="1">
      <c r="A230" t="inlineStr">
        <is>
          <t>A 51656-2023</t>
        </is>
      </c>
      <c r="B230" s="1" t="n">
        <v>45222</v>
      </c>
      <c r="C230" s="1" t="n">
        <v>46190</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49544-2023</t>
        </is>
      </c>
      <c r="B231" s="1" t="n">
        <v>45211</v>
      </c>
      <c r="C231" s="1" t="n">
        <v>46190</v>
      </c>
      <c r="D231" t="inlineStr">
        <is>
          <t>ÖREBRO LÄN</t>
        </is>
      </c>
      <c r="E231" t="inlineStr">
        <is>
          <t>LINDESBERG</t>
        </is>
      </c>
      <c r="G231" t="n">
        <v>0.5</v>
      </c>
      <c r="H231" t="n">
        <v>0</v>
      </c>
      <c r="I231" t="n">
        <v>0</v>
      </c>
      <c r="J231" t="n">
        <v>0</v>
      </c>
      <c r="K231" t="n">
        <v>0</v>
      </c>
      <c r="L231" t="n">
        <v>0</v>
      </c>
      <c r="M231" t="n">
        <v>0</v>
      </c>
      <c r="N231" t="n">
        <v>0</v>
      </c>
      <c r="O231" t="n">
        <v>0</v>
      </c>
      <c r="P231" t="n">
        <v>0</v>
      </c>
      <c r="Q231" t="n">
        <v>0</v>
      </c>
      <c r="R231" s="2" t="inlineStr"/>
    </row>
    <row r="232" ht="15" customHeight="1">
      <c r="A232" t="inlineStr">
        <is>
          <t>A 29857-2023</t>
        </is>
      </c>
      <c r="B232" s="1" t="n">
        <v>45107</v>
      </c>
      <c r="C232" s="1" t="n">
        <v>46190</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46190</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3732-2023</t>
        </is>
      </c>
      <c r="B234" s="1" t="n">
        <v>44949</v>
      </c>
      <c r="C234" s="1" t="n">
        <v>46190</v>
      </c>
      <c r="D234" t="inlineStr">
        <is>
          <t>ÖREBRO LÄN</t>
        </is>
      </c>
      <c r="E234" t="inlineStr">
        <is>
          <t>LINDESBERG</t>
        </is>
      </c>
      <c r="G234" t="n">
        <v>3.3</v>
      </c>
      <c r="H234" t="n">
        <v>0</v>
      </c>
      <c r="I234" t="n">
        <v>0</v>
      </c>
      <c r="J234" t="n">
        <v>0</v>
      </c>
      <c r="K234" t="n">
        <v>0</v>
      </c>
      <c r="L234" t="n">
        <v>0</v>
      </c>
      <c r="M234" t="n">
        <v>0</v>
      </c>
      <c r="N234" t="n">
        <v>0</v>
      </c>
      <c r="O234" t="n">
        <v>0</v>
      </c>
      <c r="P234" t="n">
        <v>0</v>
      </c>
      <c r="Q234" t="n">
        <v>0</v>
      </c>
      <c r="R234" s="2" t="inlineStr"/>
    </row>
    <row r="235" ht="15" customHeight="1">
      <c r="A235" t="inlineStr">
        <is>
          <t>A 57069-2022</t>
        </is>
      </c>
      <c r="B235" s="1" t="n">
        <v>44895</v>
      </c>
      <c r="C235" s="1" t="n">
        <v>46190</v>
      </c>
      <c r="D235" t="inlineStr">
        <is>
          <t>ÖREBRO LÄN</t>
        </is>
      </c>
      <c r="E235" t="inlineStr">
        <is>
          <t>LINDESBERG</t>
        </is>
      </c>
      <c r="G235" t="n">
        <v>2.3</v>
      </c>
      <c r="H235" t="n">
        <v>0</v>
      </c>
      <c r="I235" t="n">
        <v>0</v>
      </c>
      <c r="J235" t="n">
        <v>0</v>
      </c>
      <c r="K235" t="n">
        <v>0</v>
      </c>
      <c r="L235" t="n">
        <v>0</v>
      </c>
      <c r="M235" t="n">
        <v>0</v>
      </c>
      <c r="N235" t="n">
        <v>0</v>
      </c>
      <c r="O235" t="n">
        <v>0</v>
      </c>
      <c r="P235" t="n">
        <v>0</v>
      </c>
      <c r="Q235" t="n">
        <v>0</v>
      </c>
      <c r="R235" s="2" t="inlineStr"/>
    </row>
    <row r="236" ht="15" customHeight="1">
      <c r="A236" t="inlineStr">
        <is>
          <t>A 35739-2024</t>
        </is>
      </c>
      <c r="B236" s="1" t="n">
        <v>45532</v>
      </c>
      <c r="C236" s="1" t="n">
        <v>46190</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8213-2023</t>
        </is>
      </c>
      <c r="B237" s="1" t="n">
        <v>44974.55693287037</v>
      </c>
      <c r="C237" s="1" t="n">
        <v>46190</v>
      </c>
      <c r="D237" t="inlineStr">
        <is>
          <t>ÖREBRO LÄN</t>
        </is>
      </c>
      <c r="E237" t="inlineStr">
        <is>
          <t>LINDESBERG</t>
        </is>
      </c>
      <c r="G237" t="n">
        <v>0.7</v>
      </c>
      <c r="H237" t="n">
        <v>0</v>
      </c>
      <c r="I237" t="n">
        <v>0</v>
      </c>
      <c r="J237" t="n">
        <v>0</v>
      </c>
      <c r="K237" t="n">
        <v>0</v>
      </c>
      <c r="L237" t="n">
        <v>0</v>
      </c>
      <c r="M237" t="n">
        <v>0</v>
      </c>
      <c r="N237" t="n">
        <v>0</v>
      </c>
      <c r="O237" t="n">
        <v>0</v>
      </c>
      <c r="P237" t="n">
        <v>0</v>
      </c>
      <c r="Q237" t="n">
        <v>0</v>
      </c>
      <c r="R237" s="2" t="inlineStr"/>
    </row>
    <row r="238" ht="15" customHeight="1">
      <c r="A238" t="inlineStr">
        <is>
          <t>A 23260-2024</t>
        </is>
      </c>
      <c r="B238" s="1" t="n">
        <v>45453.36664351852</v>
      </c>
      <c r="C238" s="1" t="n">
        <v>46190</v>
      </c>
      <c r="D238" t="inlineStr">
        <is>
          <t>ÖREBRO LÄN</t>
        </is>
      </c>
      <c r="E238" t="inlineStr">
        <is>
          <t>LINDESBERG</t>
        </is>
      </c>
      <c r="F238" t="inlineStr">
        <is>
          <t>Sveaskog</t>
        </is>
      </c>
      <c r="G238" t="n">
        <v>0.3</v>
      </c>
      <c r="H238" t="n">
        <v>0</v>
      </c>
      <c r="I238" t="n">
        <v>0</v>
      </c>
      <c r="J238" t="n">
        <v>0</v>
      </c>
      <c r="K238" t="n">
        <v>0</v>
      </c>
      <c r="L238" t="n">
        <v>0</v>
      </c>
      <c r="M238" t="n">
        <v>0</v>
      </c>
      <c r="N238" t="n">
        <v>0</v>
      </c>
      <c r="O238" t="n">
        <v>0</v>
      </c>
      <c r="P238" t="n">
        <v>0</v>
      </c>
      <c r="Q238" t="n">
        <v>0</v>
      </c>
      <c r="R238" s="2" t="inlineStr"/>
    </row>
    <row r="239" ht="15" customHeight="1">
      <c r="A239" t="inlineStr">
        <is>
          <t>A 4067-2024</t>
        </is>
      </c>
      <c r="B239" s="1" t="n">
        <v>45323</v>
      </c>
      <c r="C239" s="1" t="n">
        <v>46190</v>
      </c>
      <c r="D239" t="inlineStr">
        <is>
          <t>ÖREBRO LÄN</t>
        </is>
      </c>
      <c r="E239" t="inlineStr">
        <is>
          <t>LINDESBERG</t>
        </is>
      </c>
      <c r="G239" t="n">
        <v>1</v>
      </c>
      <c r="H239" t="n">
        <v>0</v>
      </c>
      <c r="I239" t="n">
        <v>0</v>
      </c>
      <c r="J239" t="n">
        <v>0</v>
      </c>
      <c r="K239" t="n">
        <v>0</v>
      </c>
      <c r="L239" t="n">
        <v>0</v>
      </c>
      <c r="M239" t="n">
        <v>0</v>
      </c>
      <c r="N239" t="n">
        <v>0</v>
      </c>
      <c r="O239" t="n">
        <v>0</v>
      </c>
      <c r="P239" t="n">
        <v>0</v>
      </c>
      <c r="Q239" t="n">
        <v>0</v>
      </c>
      <c r="R239" s="2" t="inlineStr"/>
    </row>
    <row r="240" ht="15" customHeight="1">
      <c r="A240" t="inlineStr">
        <is>
          <t>A 46607-2021</t>
        </is>
      </c>
      <c r="B240" s="1" t="n">
        <v>44445.55690972223</v>
      </c>
      <c r="C240" s="1" t="n">
        <v>46190</v>
      </c>
      <c r="D240" t="inlineStr">
        <is>
          <t>ÖREBRO LÄN</t>
        </is>
      </c>
      <c r="E240" t="inlineStr">
        <is>
          <t>LINDESBERG</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46190</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20930-2025</t>
        </is>
      </c>
      <c r="B242" s="1" t="n">
        <v>45777.42628472222</v>
      </c>
      <c r="C242" s="1" t="n">
        <v>46190</v>
      </c>
      <c r="D242" t="inlineStr">
        <is>
          <t>ÖREBRO LÄN</t>
        </is>
      </c>
      <c r="E242" t="inlineStr">
        <is>
          <t>LINDESBERG</t>
        </is>
      </c>
      <c r="F242" t="inlineStr">
        <is>
          <t>Sveaskog</t>
        </is>
      </c>
      <c r="G242" t="n">
        <v>3.9</v>
      </c>
      <c r="H242" t="n">
        <v>0</v>
      </c>
      <c r="I242" t="n">
        <v>0</v>
      </c>
      <c r="J242" t="n">
        <v>0</v>
      </c>
      <c r="K242" t="n">
        <v>0</v>
      </c>
      <c r="L242" t="n">
        <v>0</v>
      </c>
      <c r="M242" t="n">
        <v>0</v>
      </c>
      <c r="N242" t="n">
        <v>0</v>
      </c>
      <c r="O242" t="n">
        <v>0</v>
      </c>
      <c r="P242" t="n">
        <v>0</v>
      </c>
      <c r="Q242" t="n">
        <v>0</v>
      </c>
      <c r="R242" s="2" t="inlineStr"/>
    </row>
    <row r="243" ht="15" customHeight="1">
      <c r="A243" t="inlineStr">
        <is>
          <t>A 10823-2023</t>
        </is>
      </c>
      <c r="B243" s="1" t="n">
        <v>44990</v>
      </c>
      <c r="C243" s="1" t="n">
        <v>46190</v>
      </c>
      <c r="D243" t="inlineStr">
        <is>
          <t>ÖREBRO LÄN</t>
        </is>
      </c>
      <c r="E243" t="inlineStr">
        <is>
          <t>LINDESBERG</t>
        </is>
      </c>
      <c r="G243" t="n">
        <v>1.8</v>
      </c>
      <c r="H243" t="n">
        <v>0</v>
      </c>
      <c r="I243" t="n">
        <v>0</v>
      </c>
      <c r="J243" t="n">
        <v>0</v>
      </c>
      <c r="K243" t="n">
        <v>0</v>
      </c>
      <c r="L243" t="n">
        <v>0</v>
      </c>
      <c r="M243" t="n">
        <v>0</v>
      </c>
      <c r="N243" t="n">
        <v>0</v>
      </c>
      <c r="O243" t="n">
        <v>0</v>
      </c>
      <c r="P243" t="n">
        <v>0</v>
      </c>
      <c r="Q243" t="n">
        <v>0</v>
      </c>
      <c r="R243" s="2" t="inlineStr"/>
    </row>
    <row r="244" ht="15" customHeight="1">
      <c r="A244" t="inlineStr">
        <is>
          <t>A 8902-2024</t>
        </is>
      </c>
      <c r="B244" s="1" t="n">
        <v>45357.34521990741</v>
      </c>
      <c r="C244" s="1" t="n">
        <v>46190</v>
      </c>
      <c r="D244" t="inlineStr">
        <is>
          <t>ÖREBRO LÄN</t>
        </is>
      </c>
      <c r="E244" t="inlineStr">
        <is>
          <t>LINDESBERG</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12795-2025</t>
        </is>
      </c>
      <c r="B245" s="1" t="n">
        <v>45733.60959490741</v>
      </c>
      <c r="C245" s="1" t="n">
        <v>46190</v>
      </c>
      <c r="D245" t="inlineStr">
        <is>
          <t>ÖREBRO LÄN</t>
        </is>
      </c>
      <c r="E245" t="inlineStr">
        <is>
          <t>LINDESBERG</t>
        </is>
      </c>
      <c r="G245" t="n">
        <v>10.8</v>
      </c>
      <c r="H245" t="n">
        <v>0</v>
      </c>
      <c r="I245" t="n">
        <v>0</v>
      </c>
      <c r="J245" t="n">
        <v>0</v>
      </c>
      <c r="K245" t="n">
        <v>0</v>
      </c>
      <c r="L245" t="n">
        <v>0</v>
      </c>
      <c r="M245" t="n">
        <v>0</v>
      </c>
      <c r="N245" t="n">
        <v>0</v>
      </c>
      <c r="O245" t="n">
        <v>0</v>
      </c>
      <c r="P245" t="n">
        <v>0</v>
      </c>
      <c r="Q245" t="n">
        <v>0</v>
      </c>
      <c r="R245" s="2" t="inlineStr"/>
    </row>
    <row r="246" ht="15" customHeight="1">
      <c r="A246" t="inlineStr">
        <is>
          <t>A 20944-2025</t>
        </is>
      </c>
      <c r="B246" s="1" t="n">
        <v>45777</v>
      </c>
      <c r="C246" s="1" t="n">
        <v>46190</v>
      </c>
      <c r="D246" t="inlineStr">
        <is>
          <t>ÖREBRO LÄN</t>
        </is>
      </c>
      <c r="E246" t="inlineStr">
        <is>
          <t>LINDESBERG</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20950-2025</t>
        </is>
      </c>
      <c r="B247" s="1" t="n">
        <v>45777.43878472222</v>
      </c>
      <c r="C247" s="1" t="n">
        <v>46190</v>
      </c>
      <c r="D247" t="inlineStr">
        <is>
          <t>ÖREBRO LÄN</t>
        </is>
      </c>
      <c r="E247" t="inlineStr">
        <is>
          <t>LINDESBERG</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53046-2024</t>
        </is>
      </c>
      <c r="B248" s="1" t="n">
        <v>45611.44960648148</v>
      </c>
      <c r="C248" s="1" t="n">
        <v>46190</v>
      </c>
      <c r="D248" t="inlineStr">
        <is>
          <t>ÖREBRO LÄN</t>
        </is>
      </c>
      <c r="E248" t="inlineStr">
        <is>
          <t>LINDESBERG</t>
        </is>
      </c>
      <c r="G248" t="n">
        <v>1.2</v>
      </c>
      <c r="H248" t="n">
        <v>0</v>
      </c>
      <c r="I248" t="n">
        <v>0</v>
      </c>
      <c r="J248" t="n">
        <v>0</v>
      </c>
      <c r="K248" t="n">
        <v>0</v>
      </c>
      <c r="L248" t="n">
        <v>0</v>
      </c>
      <c r="M248" t="n">
        <v>0</v>
      </c>
      <c r="N248" t="n">
        <v>0</v>
      </c>
      <c r="O248" t="n">
        <v>0</v>
      </c>
      <c r="P248" t="n">
        <v>0</v>
      </c>
      <c r="Q248" t="n">
        <v>0</v>
      </c>
      <c r="R248" s="2" t="inlineStr"/>
    </row>
    <row r="249" ht="15" customHeight="1">
      <c r="A249" t="inlineStr">
        <is>
          <t>A 20804-2025</t>
        </is>
      </c>
      <c r="B249" s="1" t="n">
        <v>45776.65518518518</v>
      </c>
      <c r="C249" s="1" t="n">
        <v>46190</v>
      </c>
      <c r="D249" t="inlineStr">
        <is>
          <t>ÖREBRO LÄN</t>
        </is>
      </c>
      <c r="E249" t="inlineStr">
        <is>
          <t>LINDESBERG</t>
        </is>
      </c>
      <c r="G249" t="n">
        <v>3.2</v>
      </c>
      <c r="H249" t="n">
        <v>0</v>
      </c>
      <c r="I249" t="n">
        <v>0</v>
      </c>
      <c r="J249" t="n">
        <v>0</v>
      </c>
      <c r="K249" t="n">
        <v>0</v>
      </c>
      <c r="L249" t="n">
        <v>0</v>
      </c>
      <c r="M249" t="n">
        <v>0</v>
      </c>
      <c r="N249" t="n">
        <v>0</v>
      </c>
      <c r="O249" t="n">
        <v>0</v>
      </c>
      <c r="P249" t="n">
        <v>0</v>
      </c>
      <c r="Q249" t="n">
        <v>0</v>
      </c>
      <c r="R249" s="2" t="inlineStr"/>
    </row>
    <row r="250" ht="15" customHeight="1">
      <c r="A250" t="inlineStr">
        <is>
          <t>A 40305-2024</t>
        </is>
      </c>
      <c r="B250" s="1" t="n">
        <v>45554.71863425926</v>
      </c>
      <c r="C250" s="1" t="n">
        <v>46190</v>
      </c>
      <c r="D250" t="inlineStr">
        <is>
          <t>ÖREBRO LÄN</t>
        </is>
      </c>
      <c r="E250" t="inlineStr">
        <is>
          <t>LINDESBERG</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17895-2022</t>
        </is>
      </c>
      <c r="B251" s="1" t="n">
        <v>44683</v>
      </c>
      <c r="C251" s="1" t="n">
        <v>46190</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19436-2025</t>
        </is>
      </c>
      <c r="B252" s="1" t="n">
        <v>45769.98449074074</v>
      </c>
      <c r="C252" s="1" t="n">
        <v>46190</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22829-2023</t>
        </is>
      </c>
      <c r="B253" s="1" t="n">
        <v>45072.42776620371</v>
      </c>
      <c r="C253" s="1" t="n">
        <v>46190</v>
      </c>
      <c r="D253" t="inlineStr">
        <is>
          <t>ÖREBRO LÄN</t>
        </is>
      </c>
      <c r="E253" t="inlineStr">
        <is>
          <t>LINDESBERG</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51539-2024</t>
        </is>
      </c>
      <c r="B254" s="1" t="n">
        <v>45604.58837962963</v>
      </c>
      <c r="C254" s="1" t="n">
        <v>46190</v>
      </c>
      <c r="D254" t="inlineStr">
        <is>
          <t>ÖREBRO LÄN</t>
        </is>
      </c>
      <c r="E254" t="inlineStr">
        <is>
          <t>LINDESBERG</t>
        </is>
      </c>
      <c r="G254" t="n">
        <v>1.4</v>
      </c>
      <c r="H254" t="n">
        <v>0</v>
      </c>
      <c r="I254" t="n">
        <v>0</v>
      </c>
      <c r="J254" t="n">
        <v>0</v>
      </c>
      <c r="K254" t="n">
        <v>0</v>
      </c>
      <c r="L254" t="n">
        <v>0</v>
      </c>
      <c r="M254" t="n">
        <v>0</v>
      </c>
      <c r="N254" t="n">
        <v>0</v>
      </c>
      <c r="O254" t="n">
        <v>0</v>
      </c>
      <c r="P254" t="n">
        <v>0</v>
      </c>
      <c r="Q254" t="n">
        <v>0</v>
      </c>
      <c r="R254" s="2" t="inlineStr"/>
    </row>
    <row r="255" ht="15" customHeight="1">
      <c r="A255" t="inlineStr">
        <is>
          <t>A 21812-2025</t>
        </is>
      </c>
      <c r="B255" s="1" t="n">
        <v>45783.71833333333</v>
      </c>
      <c r="C255" s="1" t="n">
        <v>46190</v>
      </c>
      <c r="D255" t="inlineStr">
        <is>
          <t>ÖREBRO LÄN</t>
        </is>
      </c>
      <c r="E255" t="inlineStr">
        <is>
          <t>LINDESBERG</t>
        </is>
      </c>
      <c r="G255" t="n">
        <v>0.9</v>
      </c>
      <c r="H255" t="n">
        <v>0</v>
      </c>
      <c r="I255" t="n">
        <v>0</v>
      </c>
      <c r="J255" t="n">
        <v>0</v>
      </c>
      <c r="K255" t="n">
        <v>0</v>
      </c>
      <c r="L255" t="n">
        <v>0</v>
      </c>
      <c r="M255" t="n">
        <v>0</v>
      </c>
      <c r="N255" t="n">
        <v>0</v>
      </c>
      <c r="O255" t="n">
        <v>0</v>
      </c>
      <c r="P255" t="n">
        <v>0</v>
      </c>
      <c r="Q255" t="n">
        <v>0</v>
      </c>
      <c r="R255" s="2" t="inlineStr"/>
    </row>
    <row r="256" ht="15" customHeight="1">
      <c r="A256" t="inlineStr">
        <is>
          <t>A 28463-2024</t>
        </is>
      </c>
      <c r="B256" s="1" t="n">
        <v>45477.70315972222</v>
      </c>
      <c r="C256" s="1" t="n">
        <v>46190</v>
      </c>
      <c r="D256" t="inlineStr">
        <is>
          <t>ÖREBRO LÄN</t>
        </is>
      </c>
      <c r="E256" t="inlineStr">
        <is>
          <t>LINDESBERG</t>
        </is>
      </c>
      <c r="G256" t="n">
        <v>6.3</v>
      </c>
      <c r="H256" t="n">
        <v>0</v>
      </c>
      <c r="I256" t="n">
        <v>0</v>
      </c>
      <c r="J256" t="n">
        <v>0</v>
      </c>
      <c r="K256" t="n">
        <v>0</v>
      </c>
      <c r="L256" t="n">
        <v>0</v>
      </c>
      <c r="M256" t="n">
        <v>0</v>
      </c>
      <c r="N256" t="n">
        <v>0</v>
      </c>
      <c r="O256" t="n">
        <v>0</v>
      </c>
      <c r="P256" t="n">
        <v>0</v>
      </c>
      <c r="Q256" t="n">
        <v>0</v>
      </c>
      <c r="R256" s="2" t="inlineStr"/>
    </row>
    <row r="257" ht="15" customHeight="1">
      <c r="A257" t="inlineStr">
        <is>
          <t>A 43195-2024</t>
        </is>
      </c>
      <c r="B257" s="1" t="n">
        <v>45567.68003472222</v>
      </c>
      <c r="C257" s="1" t="n">
        <v>46190</v>
      </c>
      <c r="D257" t="inlineStr">
        <is>
          <t>ÖREBRO LÄN</t>
        </is>
      </c>
      <c r="E257" t="inlineStr">
        <is>
          <t>LINDESBERG</t>
        </is>
      </c>
      <c r="G257" t="n">
        <v>27.8</v>
      </c>
      <c r="H257" t="n">
        <v>0</v>
      </c>
      <c r="I257" t="n">
        <v>0</v>
      </c>
      <c r="J257" t="n">
        <v>0</v>
      </c>
      <c r="K257" t="n">
        <v>0</v>
      </c>
      <c r="L257" t="n">
        <v>0</v>
      </c>
      <c r="M257" t="n">
        <v>0</v>
      </c>
      <c r="N257" t="n">
        <v>0</v>
      </c>
      <c r="O257" t="n">
        <v>0</v>
      </c>
      <c r="P257" t="n">
        <v>0</v>
      </c>
      <c r="Q257" t="n">
        <v>0</v>
      </c>
      <c r="R257" s="2" t="inlineStr"/>
    </row>
    <row r="258" ht="15" customHeight="1">
      <c r="A258" t="inlineStr">
        <is>
          <t>A 31861-2024</t>
        </is>
      </c>
      <c r="B258" s="1" t="n">
        <v>45509.73383101852</v>
      </c>
      <c r="C258" s="1" t="n">
        <v>46190</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13943-2022</t>
        </is>
      </c>
      <c r="B259" s="1" t="n">
        <v>44650.47945601852</v>
      </c>
      <c r="C259" s="1" t="n">
        <v>46190</v>
      </c>
      <c r="D259" t="inlineStr">
        <is>
          <t>ÖREBRO LÄN</t>
        </is>
      </c>
      <c r="E259" t="inlineStr">
        <is>
          <t>LINDESBERG</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15822-2024</t>
        </is>
      </c>
      <c r="B260" s="1" t="n">
        <v>45404.68190972223</v>
      </c>
      <c r="C260" s="1" t="n">
        <v>46190</v>
      </c>
      <c r="D260" t="inlineStr">
        <is>
          <t>ÖREBRO LÄN</t>
        </is>
      </c>
      <c r="E260" t="inlineStr">
        <is>
          <t>LINDESBERG</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24583-2024</t>
        </is>
      </c>
      <c r="B261" s="1" t="n">
        <v>45460.46358796296</v>
      </c>
      <c r="C261" s="1" t="n">
        <v>46190</v>
      </c>
      <c r="D261" t="inlineStr">
        <is>
          <t>ÖREBRO LÄN</t>
        </is>
      </c>
      <c r="E261" t="inlineStr">
        <is>
          <t>LINDESBERG</t>
        </is>
      </c>
      <c r="G261" t="n">
        <v>13.7</v>
      </c>
      <c r="H261" t="n">
        <v>0</v>
      </c>
      <c r="I261" t="n">
        <v>0</v>
      </c>
      <c r="J261" t="n">
        <v>0</v>
      </c>
      <c r="K261" t="n">
        <v>0</v>
      </c>
      <c r="L261" t="n">
        <v>0</v>
      </c>
      <c r="M261" t="n">
        <v>0</v>
      </c>
      <c r="N261" t="n">
        <v>0</v>
      </c>
      <c r="O261" t="n">
        <v>0</v>
      </c>
      <c r="P261" t="n">
        <v>0</v>
      </c>
      <c r="Q261" t="n">
        <v>0</v>
      </c>
      <c r="R261" s="2" t="inlineStr"/>
    </row>
    <row r="262" ht="15" customHeight="1">
      <c r="A262" t="inlineStr">
        <is>
          <t>A 2107-2022</t>
        </is>
      </c>
      <c r="B262" s="1" t="n">
        <v>44577.83484953704</v>
      </c>
      <c r="C262" s="1" t="n">
        <v>46190</v>
      </c>
      <c r="D262" t="inlineStr">
        <is>
          <t>ÖREBRO LÄN</t>
        </is>
      </c>
      <c r="E262" t="inlineStr">
        <is>
          <t>LINDESBERG</t>
        </is>
      </c>
      <c r="G262" t="n">
        <v>2.9</v>
      </c>
      <c r="H262" t="n">
        <v>0</v>
      </c>
      <c r="I262" t="n">
        <v>0</v>
      </c>
      <c r="J262" t="n">
        <v>0</v>
      </c>
      <c r="K262" t="n">
        <v>0</v>
      </c>
      <c r="L262" t="n">
        <v>0</v>
      </c>
      <c r="M262" t="n">
        <v>0</v>
      </c>
      <c r="N262" t="n">
        <v>0</v>
      </c>
      <c r="O262" t="n">
        <v>0</v>
      </c>
      <c r="P262" t="n">
        <v>0</v>
      </c>
      <c r="Q262" t="n">
        <v>0</v>
      </c>
      <c r="R262" s="2" t="inlineStr"/>
    </row>
    <row r="263" ht="15" customHeight="1">
      <c r="A263" t="inlineStr">
        <is>
          <t>A 23607-2023</t>
        </is>
      </c>
      <c r="B263" s="1" t="n">
        <v>45077</v>
      </c>
      <c r="C263" s="1" t="n">
        <v>46190</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12692-2024</t>
        </is>
      </c>
      <c r="B264" s="1" t="n">
        <v>45384.43418981481</v>
      </c>
      <c r="C264" s="1" t="n">
        <v>46190</v>
      </c>
      <c r="D264" t="inlineStr">
        <is>
          <t>ÖREBRO LÄN</t>
        </is>
      </c>
      <c r="E264" t="inlineStr">
        <is>
          <t>LINDESBERG</t>
        </is>
      </c>
      <c r="G264" t="n">
        <v>5.2</v>
      </c>
      <c r="H264" t="n">
        <v>0</v>
      </c>
      <c r="I264" t="n">
        <v>0</v>
      </c>
      <c r="J264" t="n">
        <v>0</v>
      </c>
      <c r="K264" t="n">
        <v>0</v>
      </c>
      <c r="L264" t="n">
        <v>0</v>
      </c>
      <c r="M264" t="n">
        <v>0</v>
      </c>
      <c r="N264" t="n">
        <v>0</v>
      </c>
      <c r="O264" t="n">
        <v>0</v>
      </c>
      <c r="P264" t="n">
        <v>0</v>
      </c>
      <c r="Q264" t="n">
        <v>0</v>
      </c>
      <c r="R264" s="2" t="inlineStr"/>
    </row>
    <row r="265" ht="15" customHeight="1">
      <c r="A265" t="inlineStr">
        <is>
          <t>A 61594-2024</t>
        </is>
      </c>
      <c r="B265" s="1" t="n">
        <v>45646.63482638889</v>
      </c>
      <c r="C265" s="1" t="n">
        <v>46190</v>
      </c>
      <c r="D265" t="inlineStr">
        <is>
          <t>ÖREBRO LÄN</t>
        </is>
      </c>
      <c r="E265" t="inlineStr">
        <is>
          <t>LINDESBERG</t>
        </is>
      </c>
      <c r="G265" t="n">
        <v>2</v>
      </c>
      <c r="H265" t="n">
        <v>0</v>
      </c>
      <c r="I265" t="n">
        <v>0</v>
      </c>
      <c r="J265" t="n">
        <v>0</v>
      </c>
      <c r="K265" t="n">
        <v>0</v>
      </c>
      <c r="L265" t="n">
        <v>0</v>
      </c>
      <c r="M265" t="n">
        <v>0</v>
      </c>
      <c r="N265" t="n">
        <v>0</v>
      </c>
      <c r="O265" t="n">
        <v>0</v>
      </c>
      <c r="P265" t="n">
        <v>0</v>
      </c>
      <c r="Q265" t="n">
        <v>0</v>
      </c>
      <c r="R265" s="2" t="inlineStr"/>
    </row>
    <row r="266" ht="15" customHeight="1">
      <c r="A266" t="inlineStr">
        <is>
          <t>A 34676-2023</t>
        </is>
      </c>
      <c r="B266" s="1" t="n">
        <v>45140</v>
      </c>
      <c r="C266" s="1" t="n">
        <v>46190</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16447-2025</t>
        </is>
      </c>
      <c r="B267" s="1" t="n">
        <v>45751.50498842593</v>
      </c>
      <c r="C267" s="1" t="n">
        <v>46190</v>
      </c>
      <c r="D267" t="inlineStr">
        <is>
          <t>ÖREBRO LÄN</t>
        </is>
      </c>
      <c r="E267" t="inlineStr">
        <is>
          <t>LINDESBERG</t>
        </is>
      </c>
      <c r="G267" t="n">
        <v>2</v>
      </c>
      <c r="H267" t="n">
        <v>0</v>
      </c>
      <c r="I267" t="n">
        <v>0</v>
      </c>
      <c r="J267" t="n">
        <v>0</v>
      </c>
      <c r="K267" t="n">
        <v>0</v>
      </c>
      <c r="L267" t="n">
        <v>0</v>
      </c>
      <c r="M267" t="n">
        <v>0</v>
      </c>
      <c r="N267" t="n">
        <v>0</v>
      </c>
      <c r="O267" t="n">
        <v>0</v>
      </c>
      <c r="P267" t="n">
        <v>0</v>
      </c>
      <c r="Q267" t="n">
        <v>0</v>
      </c>
      <c r="R267" s="2" t="inlineStr"/>
    </row>
    <row r="268" ht="15" customHeight="1">
      <c r="A268" t="inlineStr">
        <is>
          <t>A 43532-2024</t>
        </is>
      </c>
      <c r="B268" s="1" t="n">
        <v>45569.3533912037</v>
      </c>
      <c r="C268" s="1" t="n">
        <v>46190</v>
      </c>
      <c r="D268" t="inlineStr">
        <is>
          <t>ÖREBRO LÄN</t>
        </is>
      </c>
      <c r="E268" t="inlineStr">
        <is>
          <t>LINDESBERG</t>
        </is>
      </c>
      <c r="G268" t="n">
        <v>2.4</v>
      </c>
      <c r="H268" t="n">
        <v>0</v>
      </c>
      <c r="I268" t="n">
        <v>0</v>
      </c>
      <c r="J268" t="n">
        <v>0</v>
      </c>
      <c r="K268" t="n">
        <v>0</v>
      </c>
      <c r="L268" t="n">
        <v>0</v>
      </c>
      <c r="M268" t="n">
        <v>0</v>
      </c>
      <c r="N268" t="n">
        <v>0</v>
      </c>
      <c r="O268" t="n">
        <v>0</v>
      </c>
      <c r="P268" t="n">
        <v>0</v>
      </c>
      <c r="Q268" t="n">
        <v>0</v>
      </c>
      <c r="R268" s="2" t="inlineStr"/>
    </row>
    <row r="269" ht="15" customHeight="1">
      <c r="A269" t="inlineStr">
        <is>
          <t>A 2569-2023</t>
        </is>
      </c>
      <c r="B269" s="1" t="n">
        <v>44943.73792824074</v>
      </c>
      <c r="C269" s="1" t="n">
        <v>46190</v>
      </c>
      <c r="D269" t="inlineStr">
        <is>
          <t>ÖREBRO LÄN</t>
        </is>
      </c>
      <c r="E269" t="inlineStr">
        <is>
          <t>LINDESBERG</t>
        </is>
      </c>
      <c r="G269" t="n">
        <v>2.3</v>
      </c>
      <c r="H269" t="n">
        <v>0</v>
      </c>
      <c r="I269" t="n">
        <v>0</v>
      </c>
      <c r="J269" t="n">
        <v>0</v>
      </c>
      <c r="K269" t="n">
        <v>0</v>
      </c>
      <c r="L269" t="n">
        <v>0</v>
      </c>
      <c r="M269" t="n">
        <v>0</v>
      </c>
      <c r="N269" t="n">
        <v>0</v>
      </c>
      <c r="O269" t="n">
        <v>0</v>
      </c>
      <c r="P269" t="n">
        <v>0</v>
      </c>
      <c r="Q269" t="n">
        <v>0</v>
      </c>
      <c r="R269" s="2" t="inlineStr"/>
    </row>
    <row r="270" ht="15" customHeight="1">
      <c r="A270" t="inlineStr">
        <is>
          <t>A 59282-2023</t>
        </is>
      </c>
      <c r="B270" s="1" t="n">
        <v>45253</v>
      </c>
      <c r="C270" s="1" t="n">
        <v>46190</v>
      </c>
      <c r="D270" t="inlineStr">
        <is>
          <t>ÖREBRO LÄN</t>
        </is>
      </c>
      <c r="E270" t="inlineStr">
        <is>
          <t>LINDESBERG</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47601-2023</t>
        </is>
      </c>
      <c r="B271" s="1" t="n">
        <v>45203.45681712963</v>
      </c>
      <c r="C271" s="1" t="n">
        <v>46190</v>
      </c>
      <c r="D271" t="inlineStr">
        <is>
          <t>ÖREBRO LÄN</t>
        </is>
      </c>
      <c r="E271" t="inlineStr">
        <is>
          <t>LINDESBERG</t>
        </is>
      </c>
      <c r="G271" t="n">
        <v>37.6</v>
      </c>
      <c r="H271" t="n">
        <v>0</v>
      </c>
      <c r="I271" t="n">
        <v>0</v>
      </c>
      <c r="J271" t="n">
        <v>0</v>
      </c>
      <c r="K271" t="n">
        <v>0</v>
      </c>
      <c r="L271" t="n">
        <v>0</v>
      </c>
      <c r="M271" t="n">
        <v>0</v>
      </c>
      <c r="N271" t="n">
        <v>0</v>
      </c>
      <c r="O271" t="n">
        <v>0</v>
      </c>
      <c r="P271" t="n">
        <v>0</v>
      </c>
      <c r="Q271" t="n">
        <v>0</v>
      </c>
      <c r="R271" s="2" t="inlineStr"/>
    </row>
    <row r="272" ht="15" customHeight="1">
      <c r="A272" t="inlineStr">
        <is>
          <t>A 19960-2023</t>
        </is>
      </c>
      <c r="B272" s="1" t="n">
        <v>45054</v>
      </c>
      <c r="C272" s="1" t="n">
        <v>46190</v>
      </c>
      <c r="D272" t="inlineStr">
        <is>
          <t>ÖREBRO LÄN</t>
        </is>
      </c>
      <c r="E272" t="inlineStr">
        <is>
          <t>LINDESBERG</t>
        </is>
      </c>
      <c r="G272" t="n">
        <v>6.2</v>
      </c>
      <c r="H272" t="n">
        <v>0</v>
      </c>
      <c r="I272" t="n">
        <v>0</v>
      </c>
      <c r="J272" t="n">
        <v>0</v>
      </c>
      <c r="K272" t="n">
        <v>0</v>
      </c>
      <c r="L272" t="n">
        <v>0</v>
      </c>
      <c r="M272" t="n">
        <v>0</v>
      </c>
      <c r="N272" t="n">
        <v>0</v>
      </c>
      <c r="O272" t="n">
        <v>0</v>
      </c>
      <c r="P272" t="n">
        <v>0</v>
      </c>
      <c r="Q272" t="n">
        <v>0</v>
      </c>
      <c r="R272" s="2" t="inlineStr"/>
    </row>
    <row r="273" ht="15" customHeight="1">
      <c r="A273" t="inlineStr">
        <is>
          <t>A 46647-2024</t>
        </is>
      </c>
      <c r="B273" s="1" t="n">
        <v>45583</v>
      </c>
      <c r="C273" s="1" t="n">
        <v>46190</v>
      </c>
      <c r="D273" t="inlineStr">
        <is>
          <t>ÖREBRO LÄN</t>
        </is>
      </c>
      <c r="E273" t="inlineStr">
        <is>
          <t>LINDESBERG</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22078-2025</t>
        </is>
      </c>
      <c r="B274" s="1" t="n">
        <v>45785.4253125</v>
      </c>
      <c r="C274" s="1" t="n">
        <v>46190</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53355-2023</t>
        </is>
      </c>
      <c r="B275" s="1" t="n">
        <v>45229.66430555555</v>
      </c>
      <c r="C275" s="1" t="n">
        <v>46190</v>
      </c>
      <c r="D275" t="inlineStr">
        <is>
          <t>ÖREBRO LÄN</t>
        </is>
      </c>
      <c r="E275" t="inlineStr">
        <is>
          <t>LINDESBERG</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46219-2022</t>
        </is>
      </c>
      <c r="B276" s="1" t="n">
        <v>44846</v>
      </c>
      <c r="C276" s="1" t="n">
        <v>46190</v>
      </c>
      <c r="D276" t="inlineStr">
        <is>
          <t>ÖREBRO LÄN</t>
        </is>
      </c>
      <c r="E276" t="inlineStr">
        <is>
          <t>LINDESBERG</t>
        </is>
      </c>
      <c r="G276" t="n">
        <v>6</v>
      </c>
      <c r="H276" t="n">
        <v>0</v>
      </c>
      <c r="I276" t="n">
        <v>0</v>
      </c>
      <c r="J276" t="n">
        <v>0</v>
      </c>
      <c r="K276" t="n">
        <v>0</v>
      </c>
      <c r="L276" t="n">
        <v>0</v>
      </c>
      <c r="M276" t="n">
        <v>0</v>
      </c>
      <c r="N276" t="n">
        <v>0</v>
      </c>
      <c r="O276" t="n">
        <v>0</v>
      </c>
      <c r="P276" t="n">
        <v>0</v>
      </c>
      <c r="Q276" t="n">
        <v>0</v>
      </c>
      <c r="R276" s="2" t="inlineStr"/>
    </row>
    <row r="277" ht="15" customHeight="1">
      <c r="A277" t="inlineStr">
        <is>
          <t>A 56260-2021</t>
        </is>
      </c>
      <c r="B277" s="1" t="n">
        <v>44479.58512731481</v>
      </c>
      <c r="C277" s="1" t="n">
        <v>46190</v>
      </c>
      <c r="D277" t="inlineStr">
        <is>
          <t>ÖREBRO LÄN</t>
        </is>
      </c>
      <c r="E277" t="inlineStr">
        <is>
          <t>LINDESBERG</t>
        </is>
      </c>
      <c r="G277" t="n">
        <v>1.4</v>
      </c>
      <c r="H277" t="n">
        <v>0</v>
      </c>
      <c r="I277" t="n">
        <v>0</v>
      </c>
      <c r="J277" t="n">
        <v>0</v>
      </c>
      <c r="K277" t="n">
        <v>0</v>
      </c>
      <c r="L277" t="n">
        <v>0</v>
      </c>
      <c r="M277" t="n">
        <v>0</v>
      </c>
      <c r="N277" t="n">
        <v>0</v>
      </c>
      <c r="O277" t="n">
        <v>0</v>
      </c>
      <c r="P277" t="n">
        <v>0</v>
      </c>
      <c r="Q277" t="n">
        <v>0</v>
      </c>
      <c r="R277" s="2" t="inlineStr"/>
    </row>
    <row r="278" ht="15" customHeight="1">
      <c r="A278" t="inlineStr">
        <is>
          <t>A 62308-2023</t>
        </is>
      </c>
      <c r="B278" s="1" t="n">
        <v>45267.69052083333</v>
      </c>
      <c r="C278" s="1" t="n">
        <v>46190</v>
      </c>
      <c r="D278" t="inlineStr">
        <is>
          <t>ÖREBRO LÄN</t>
        </is>
      </c>
      <c r="E278" t="inlineStr">
        <is>
          <t>LINDESBERG</t>
        </is>
      </c>
      <c r="F278" t="inlineStr">
        <is>
          <t>Naturvårdsverket</t>
        </is>
      </c>
      <c r="G278" t="n">
        <v>3.1</v>
      </c>
      <c r="H278" t="n">
        <v>0</v>
      </c>
      <c r="I278" t="n">
        <v>0</v>
      </c>
      <c r="J278" t="n">
        <v>0</v>
      </c>
      <c r="K278" t="n">
        <v>0</v>
      </c>
      <c r="L278" t="n">
        <v>0</v>
      </c>
      <c r="M278" t="n">
        <v>0</v>
      </c>
      <c r="N278" t="n">
        <v>0</v>
      </c>
      <c r="O278" t="n">
        <v>0</v>
      </c>
      <c r="P278" t="n">
        <v>0</v>
      </c>
      <c r="Q278" t="n">
        <v>0</v>
      </c>
      <c r="R278" s="2" t="inlineStr"/>
    </row>
    <row r="279" ht="15" customHeight="1">
      <c r="A279" t="inlineStr">
        <is>
          <t>A 38534-2025</t>
        </is>
      </c>
      <c r="B279" s="1" t="n">
        <v>45884</v>
      </c>
      <c r="C279" s="1" t="n">
        <v>46190</v>
      </c>
      <c r="D279" t="inlineStr">
        <is>
          <t>ÖREBRO LÄN</t>
        </is>
      </c>
      <c r="E279" t="inlineStr">
        <is>
          <t>LINDESBERG</t>
        </is>
      </c>
      <c r="G279" t="n">
        <v>4.9</v>
      </c>
      <c r="H279" t="n">
        <v>0</v>
      </c>
      <c r="I279" t="n">
        <v>0</v>
      </c>
      <c r="J279" t="n">
        <v>0</v>
      </c>
      <c r="K279" t="n">
        <v>0</v>
      </c>
      <c r="L279" t="n">
        <v>0</v>
      </c>
      <c r="M279" t="n">
        <v>0</v>
      </c>
      <c r="N279" t="n">
        <v>0</v>
      </c>
      <c r="O279" t="n">
        <v>0</v>
      </c>
      <c r="P279" t="n">
        <v>0</v>
      </c>
      <c r="Q279" t="n">
        <v>0</v>
      </c>
      <c r="R279" s="2" t="inlineStr"/>
    </row>
    <row r="280" ht="15" customHeight="1">
      <c r="A280" t="inlineStr">
        <is>
          <t>A 43247-2023</t>
        </is>
      </c>
      <c r="B280" s="1" t="n">
        <v>45183.48666666666</v>
      </c>
      <c r="C280" s="1" t="n">
        <v>46190</v>
      </c>
      <c r="D280" t="inlineStr">
        <is>
          <t>ÖREBRO LÄN</t>
        </is>
      </c>
      <c r="E280" t="inlineStr">
        <is>
          <t>LINDESBERG</t>
        </is>
      </c>
      <c r="G280" t="n">
        <v>3</v>
      </c>
      <c r="H280" t="n">
        <v>0</v>
      </c>
      <c r="I280" t="n">
        <v>0</v>
      </c>
      <c r="J280" t="n">
        <v>0</v>
      </c>
      <c r="K280" t="n">
        <v>0</v>
      </c>
      <c r="L280" t="n">
        <v>0</v>
      </c>
      <c r="M280" t="n">
        <v>0</v>
      </c>
      <c r="N280" t="n">
        <v>0</v>
      </c>
      <c r="O280" t="n">
        <v>0</v>
      </c>
      <c r="P280" t="n">
        <v>0</v>
      </c>
      <c r="Q280" t="n">
        <v>0</v>
      </c>
      <c r="R280" s="2" t="inlineStr"/>
    </row>
    <row r="281" ht="15" customHeight="1">
      <c r="A281" t="inlineStr">
        <is>
          <t>A 37507-2023</t>
        </is>
      </c>
      <c r="B281" s="1" t="n">
        <v>45158.41768518519</v>
      </c>
      <c r="C281" s="1" t="n">
        <v>46190</v>
      </c>
      <c r="D281" t="inlineStr">
        <is>
          <t>ÖREBRO LÄN</t>
        </is>
      </c>
      <c r="E281" t="inlineStr">
        <is>
          <t>LINDESBERG</t>
        </is>
      </c>
      <c r="G281" t="n">
        <v>0.6</v>
      </c>
      <c r="H281" t="n">
        <v>0</v>
      </c>
      <c r="I281" t="n">
        <v>0</v>
      </c>
      <c r="J281" t="n">
        <v>0</v>
      </c>
      <c r="K281" t="n">
        <v>0</v>
      </c>
      <c r="L281" t="n">
        <v>0</v>
      </c>
      <c r="M281" t="n">
        <v>0</v>
      </c>
      <c r="N281" t="n">
        <v>0</v>
      </c>
      <c r="O281" t="n">
        <v>0</v>
      </c>
      <c r="P281" t="n">
        <v>0</v>
      </c>
      <c r="Q281" t="n">
        <v>0</v>
      </c>
      <c r="R281" s="2" t="inlineStr"/>
    </row>
    <row r="282" ht="15" customHeight="1">
      <c r="A282" t="inlineStr">
        <is>
          <t>A 36680-2024</t>
        </is>
      </c>
      <c r="B282" s="1" t="n">
        <v>45537.65305555556</v>
      </c>
      <c r="C282" s="1" t="n">
        <v>46190</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5358-2022</t>
        </is>
      </c>
      <c r="B283" s="1" t="n">
        <v>44594.84091435185</v>
      </c>
      <c r="C283" s="1" t="n">
        <v>46190</v>
      </c>
      <c r="D283" t="inlineStr">
        <is>
          <t>ÖREBRO LÄN</t>
        </is>
      </c>
      <c r="E283" t="inlineStr">
        <is>
          <t>LINDESBERG</t>
        </is>
      </c>
      <c r="G283" t="n">
        <v>2.8</v>
      </c>
      <c r="H283" t="n">
        <v>0</v>
      </c>
      <c r="I283" t="n">
        <v>0</v>
      </c>
      <c r="J283" t="n">
        <v>0</v>
      </c>
      <c r="K283" t="n">
        <v>0</v>
      </c>
      <c r="L283" t="n">
        <v>0</v>
      </c>
      <c r="M283" t="n">
        <v>0</v>
      </c>
      <c r="N283" t="n">
        <v>0</v>
      </c>
      <c r="O283" t="n">
        <v>0</v>
      </c>
      <c r="P283" t="n">
        <v>0</v>
      </c>
      <c r="Q283" t="n">
        <v>0</v>
      </c>
      <c r="R283" s="2" t="inlineStr"/>
    </row>
    <row r="284" ht="15" customHeight="1">
      <c r="A284" t="inlineStr">
        <is>
          <t>A 60943-2024</t>
        </is>
      </c>
      <c r="B284" s="1" t="n">
        <v>45645.3737962963</v>
      </c>
      <c r="C284" s="1" t="n">
        <v>46190</v>
      </c>
      <c r="D284" t="inlineStr">
        <is>
          <t>ÖREBRO LÄN</t>
        </is>
      </c>
      <c r="E284" t="inlineStr">
        <is>
          <t>LINDESBERG</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36686-2024</t>
        </is>
      </c>
      <c r="B285" s="1" t="n">
        <v>45537.665</v>
      </c>
      <c r="C285" s="1" t="n">
        <v>46190</v>
      </c>
      <c r="D285" t="inlineStr">
        <is>
          <t>ÖREBRO LÄN</t>
        </is>
      </c>
      <c r="E285" t="inlineStr">
        <is>
          <t>LINDESBERG</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41948-2023</t>
        </is>
      </c>
      <c r="B286" s="1" t="n">
        <v>45177.33091435185</v>
      </c>
      <c r="C286" s="1" t="n">
        <v>46190</v>
      </c>
      <c r="D286" t="inlineStr">
        <is>
          <t>ÖREBRO LÄN</t>
        </is>
      </c>
      <c r="E286" t="inlineStr">
        <is>
          <t>LINDESBERG</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28776-2023</t>
        </is>
      </c>
      <c r="B287" s="1" t="n">
        <v>45104.34107638889</v>
      </c>
      <c r="C287" s="1" t="n">
        <v>46190</v>
      </c>
      <c r="D287" t="inlineStr">
        <is>
          <t>ÖREBRO LÄN</t>
        </is>
      </c>
      <c r="E287" t="inlineStr">
        <is>
          <t>LINDESBERG</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53189-2023</t>
        </is>
      </c>
      <c r="B288" s="1" t="n">
        <v>45194</v>
      </c>
      <c r="C288" s="1" t="n">
        <v>46190</v>
      </c>
      <c r="D288" t="inlineStr">
        <is>
          <t>ÖREBRO LÄN</t>
        </is>
      </c>
      <c r="E288" t="inlineStr">
        <is>
          <t>LINDESBERG</t>
        </is>
      </c>
      <c r="G288" t="n">
        <v>2</v>
      </c>
      <c r="H288" t="n">
        <v>0</v>
      </c>
      <c r="I288" t="n">
        <v>0</v>
      </c>
      <c r="J288" t="n">
        <v>0</v>
      </c>
      <c r="K288" t="n">
        <v>0</v>
      </c>
      <c r="L288" t="n">
        <v>0</v>
      </c>
      <c r="M288" t="n">
        <v>0</v>
      </c>
      <c r="N288" t="n">
        <v>0</v>
      </c>
      <c r="O288" t="n">
        <v>0</v>
      </c>
      <c r="P288" t="n">
        <v>0</v>
      </c>
      <c r="Q288" t="n">
        <v>0</v>
      </c>
      <c r="R288" s="2" t="inlineStr"/>
    </row>
    <row r="289" ht="15" customHeight="1">
      <c r="A289" t="inlineStr">
        <is>
          <t>A 23649-2023</t>
        </is>
      </c>
      <c r="B289" s="1" t="n">
        <v>45074</v>
      </c>
      <c r="C289" s="1" t="n">
        <v>46190</v>
      </c>
      <c r="D289" t="inlineStr">
        <is>
          <t>ÖREBRO LÄN</t>
        </is>
      </c>
      <c r="E289" t="inlineStr">
        <is>
          <t>LINDESBERG</t>
        </is>
      </c>
      <c r="G289" t="n">
        <v>1.2</v>
      </c>
      <c r="H289" t="n">
        <v>0</v>
      </c>
      <c r="I289" t="n">
        <v>0</v>
      </c>
      <c r="J289" t="n">
        <v>0</v>
      </c>
      <c r="K289" t="n">
        <v>0</v>
      </c>
      <c r="L289" t="n">
        <v>0</v>
      </c>
      <c r="M289" t="n">
        <v>0</v>
      </c>
      <c r="N289" t="n">
        <v>0</v>
      </c>
      <c r="O289" t="n">
        <v>0</v>
      </c>
      <c r="P289" t="n">
        <v>0</v>
      </c>
      <c r="Q289" t="n">
        <v>0</v>
      </c>
      <c r="R289" s="2" t="inlineStr"/>
    </row>
    <row r="290" ht="15" customHeight="1">
      <c r="A290" t="inlineStr">
        <is>
          <t>A 45041-2024</t>
        </is>
      </c>
      <c r="B290" s="1" t="n">
        <v>45575.53690972222</v>
      </c>
      <c r="C290" s="1" t="n">
        <v>46190</v>
      </c>
      <c r="D290" t="inlineStr">
        <is>
          <t>ÖREBRO LÄN</t>
        </is>
      </c>
      <c r="E290" t="inlineStr">
        <is>
          <t>LINDESBERG</t>
        </is>
      </c>
      <c r="F290" t="inlineStr">
        <is>
          <t>Sveaskog</t>
        </is>
      </c>
      <c r="G290" t="n">
        <v>0.3</v>
      </c>
      <c r="H290" t="n">
        <v>0</v>
      </c>
      <c r="I290" t="n">
        <v>0</v>
      </c>
      <c r="J290" t="n">
        <v>0</v>
      </c>
      <c r="K290" t="n">
        <v>0</v>
      </c>
      <c r="L290" t="n">
        <v>0</v>
      </c>
      <c r="M290" t="n">
        <v>0</v>
      </c>
      <c r="N290" t="n">
        <v>0</v>
      </c>
      <c r="O290" t="n">
        <v>0</v>
      </c>
      <c r="P290" t="n">
        <v>0</v>
      </c>
      <c r="Q290" t="n">
        <v>0</v>
      </c>
      <c r="R290" s="2" t="inlineStr"/>
    </row>
    <row r="291" ht="15" customHeight="1">
      <c r="A291" t="inlineStr">
        <is>
          <t>A 29938-2024</t>
        </is>
      </c>
      <c r="B291" s="1" t="n">
        <v>45488.41480324074</v>
      </c>
      <c r="C291" s="1" t="n">
        <v>46190</v>
      </c>
      <c r="D291" t="inlineStr">
        <is>
          <t>ÖREBRO LÄN</t>
        </is>
      </c>
      <c r="E291" t="inlineStr">
        <is>
          <t>LINDESBERG</t>
        </is>
      </c>
      <c r="G291" t="n">
        <v>4</v>
      </c>
      <c r="H291" t="n">
        <v>0</v>
      </c>
      <c r="I291" t="n">
        <v>0</v>
      </c>
      <c r="J291" t="n">
        <v>0</v>
      </c>
      <c r="K291" t="n">
        <v>0</v>
      </c>
      <c r="L291" t="n">
        <v>0</v>
      </c>
      <c r="M291" t="n">
        <v>0</v>
      </c>
      <c r="N291" t="n">
        <v>0</v>
      </c>
      <c r="O291" t="n">
        <v>0</v>
      </c>
      <c r="P291" t="n">
        <v>0</v>
      </c>
      <c r="Q291" t="n">
        <v>0</v>
      </c>
      <c r="R291" s="2" t="inlineStr"/>
    </row>
    <row r="292" ht="15" customHeight="1">
      <c r="A292" t="inlineStr">
        <is>
          <t>A 38509-2025</t>
        </is>
      </c>
      <c r="B292" s="1" t="n">
        <v>45884.38858796296</v>
      </c>
      <c r="C292" s="1" t="n">
        <v>46190</v>
      </c>
      <c r="D292" t="inlineStr">
        <is>
          <t>ÖREBRO LÄN</t>
        </is>
      </c>
      <c r="E292" t="inlineStr">
        <is>
          <t>LINDESBERG</t>
        </is>
      </c>
      <c r="G292" t="n">
        <v>14.9</v>
      </c>
      <c r="H292" t="n">
        <v>0</v>
      </c>
      <c r="I292" t="n">
        <v>0</v>
      </c>
      <c r="J292" t="n">
        <v>0</v>
      </c>
      <c r="K292" t="n">
        <v>0</v>
      </c>
      <c r="L292" t="n">
        <v>0</v>
      </c>
      <c r="M292" t="n">
        <v>0</v>
      </c>
      <c r="N292" t="n">
        <v>0</v>
      </c>
      <c r="O292" t="n">
        <v>0</v>
      </c>
      <c r="P292" t="n">
        <v>0</v>
      </c>
      <c r="Q292" t="n">
        <v>0</v>
      </c>
      <c r="R292" s="2" t="inlineStr"/>
    </row>
    <row r="293" ht="15" customHeight="1">
      <c r="A293" t="inlineStr">
        <is>
          <t>A 61597-2023</t>
        </is>
      </c>
      <c r="B293" s="1" t="n">
        <v>45265.49225694445</v>
      </c>
      <c r="C293" s="1" t="n">
        <v>46190</v>
      </c>
      <c r="D293" t="inlineStr">
        <is>
          <t>ÖREBRO LÄN</t>
        </is>
      </c>
      <c r="E293" t="inlineStr">
        <is>
          <t>LINDESBERG</t>
        </is>
      </c>
      <c r="G293" t="n">
        <v>10.3</v>
      </c>
      <c r="H293" t="n">
        <v>0</v>
      </c>
      <c r="I293" t="n">
        <v>0</v>
      </c>
      <c r="J293" t="n">
        <v>0</v>
      </c>
      <c r="K293" t="n">
        <v>0</v>
      </c>
      <c r="L293" t="n">
        <v>0</v>
      </c>
      <c r="M293" t="n">
        <v>0</v>
      </c>
      <c r="N293" t="n">
        <v>0</v>
      </c>
      <c r="O293" t="n">
        <v>0</v>
      </c>
      <c r="P293" t="n">
        <v>0</v>
      </c>
      <c r="Q293" t="n">
        <v>0</v>
      </c>
      <c r="R293" s="2" t="inlineStr"/>
    </row>
    <row r="294" ht="15" customHeight="1">
      <c r="A294" t="inlineStr">
        <is>
          <t>A 47535-2022</t>
        </is>
      </c>
      <c r="B294" s="1" t="n">
        <v>44853.79818287037</v>
      </c>
      <c r="C294" s="1" t="n">
        <v>46190</v>
      </c>
      <c r="D294" t="inlineStr">
        <is>
          <t>ÖREBRO LÄN</t>
        </is>
      </c>
      <c r="E294" t="inlineStr">
        <is>
          <t>LINDESBERG</t>
        </is>
      </c>
      <c r="G294" t="n">
        <v>3</v>
      </c>
      <c r="H294" t="n">
        <v>0</v>
      </c>
      <c r="I294" t="n">
        <v>0</v>
      </c>
      <c r="J294" t="n">
        <v>0</v>
      </c>
      <c r="K294" t="n">
        <v>0</v>
      </c>
      <c r="L294" t="n">
        <v>0</v>
      </c>
      <c r="M294" t="n">
        <v>0</v>
      </c>
      <c r="N294" t="n">
        <v>0</v>
      </c>
      <c r="O294" t="n">
        <v>0</v>
      </c>
      <c r="P294" t="n">
        <v>0</v>
      </c>
      <c r="Q294" t="n">
        <v>0</v>
      </c>
      <c r="R294" s="2" t="inlineStr"/>
    </row>
    <row r="295" ht="15" customHeight="1">
      <c r="A295" t="inlineStr">
        <is>
          <t>A 43433-2024</t>
        </is>
      </c>
      <c r="B295" s="1" t="n">
        <v>45568.64523148148</v>
      </c>
      <c r="C295" s="1" t="n">
        <v>46190</v>
      </c>
      <c r="D295" t="inlineStr">
        <is>
          <t>ÖREBRO LÄN</t>
        </is>
      </c>
      <c r="E295" t="inlineStr">
        <is>
          <t>LINDESBERG</t>
        </is>
      </c>
      <c r="F295" t="inlineStr">
        <is>
          <t>Sveaskog</t>
        </is>
      </c>
      <c r="G295" t="n">
        <v>3.2</v>
      </c>
      <c r="H295" t="n">
        <v>0</v>
      </c>
      <c r="I295" t="n">
        <v>0</v>
      </c>
      <c r="J295" t="n">
        <v>0</v>
      </c>
      <c r="K295" t="n">
        <v>0</v>
      </c>
      <c r="L295" t="n">
        <v>0</v>
      </c>
      <c r="M295" t="n">
        <v>0</v>
      </c>
      <c r="N295" t="n">
        <v>0</v>
      </c>
      <c r="O295" t="n">
        <v>0</v>
      </c>
      <c r="P295" t="n">
        <v>0</v>
      </c>
      <c r="Q295" t="n">
        <v>0</v>
      </c>
      <c r="R295" s="2" t="inlineStr"/>
    </row>
    <row r="296" ht="15" customHeight="1">
      <c r="A296" t="inlineStr">
        <is>
          <t>A 59641-2024</t>
        </is>
      </c>
      <c r="B296" s="1" t="n">
        <v>45639.30934027778</v>
      </c>
      <c r="C296" s="1" t="n">
        <v>46190</v>
      </c>
      <c r="D296" t="inlineStr">
        <is>
          <t>ÖREBRO LÄN</t>
        </is>
      </c>
      <c r="E296" t="inlineStr">
        <is>
          <t>LINDESBERG</t>
        </is>
      </c>
      <c r="G296" t="n">
        <v>2.1</v>
      </c>
      <c r="H296" t="n">
        <v>0</v>
      </c>
      <c r="I296" t="n">
        <v>0</v>
      </c>
      <c r="J296" t="n">
        <v>0</v>
      </c>
      <c r="K296" t="n">
        <v>0</v>
      </c>
      <c r="L296" t="n">
        <v>0</v>
      </c>
      <c r="M296" t="n">
        <v>0</v>
      </c>
      <c r="N296" t="n">
        <v>0</v>
      </c>
      <c r="O296" t="n">
        <v>0</v>
      </c>
      <c r="P296" t="n">
        <v>0</v>
      </c>
      <c r="Q296" t="n">
        <v>0</v>
      </c>
      <c r="R296" s="2" t="inlineStr"/>
    </row>
    <row r="297" ht="15" customHeight="1">
      <c r="A297" t="inlineStr">
        <is>
          <t>A 42707-2023</t>
        </is>
      </c>
      <c r="B297" s="1" t="n">
        <v>45181</v>
      </c>
      <c r="C297" s="1" t="n">
        <v>46190</v>
      </c>
      <c r="D297" t="inlineStr">
        <is>
          <t>ÖREBRO LÄN</t>
        </is>
      </c>
      <c r="E297" t="inlineStr">
        <is>
          <t>LINDESBERG</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41582-2021</t>
        </is>
      </c>
      <c r="B298" s="1" t="n">
        <v>44425.40297453704</v>
      </c>
      <c r="C298" s="1" t="n">
        <v>46190</v>
      </c>
      <c r="D298" t="inlineStr">
        <is>
          <t>ÖREBRO LÄN</t>
        </is>
      </c>
      <c r="E298" t="inlineStr">
        <is>
          <t>LINDESBERG</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17779-2024</t>
        </is>
      </c>
      <c r="B299" s="1" t="n">
        <v>45418.66800925926</v>
      </c>
      <c r="C299" s="1" t="n">
        <v>46190</v>
      </c>
      <c r="D299" t="inlineStr">
        <is>
          <t>ÖREBRO LÄN</t>
        </is>
      </c>
      <c r="E299" t="inlineStr">
        <is>
          <t>LINDESBERG</t>
        </is>
      </c>
      <c r="G299" t="n">
        <v>3.7</v>
      </c>
      <c r="H299" t="n">
        <v>0</v>
      </c>
      <c r="I299" t="n">
        <v>0</v>
      </c>
      <c r="J299" t="n">
        <v>0</v>
      </c>
      <c r="K299" t="n">
        <v>0</v>
      </c>
      <c r="L299" t="n">
        <v>0</v>
      </c>
      <c r="M299" t="n">
        <v>0</v>
      </c>
      <c r="N299" t="n">
        <v>0</v>
      </c>
      <c r="O299" t="n">
        <v>0</v>
      </c>
      <c r="P299" t="n">
        <v>0</v>
      </c>
      <c r="Q299" t="n">
        <v>0</v>
      </c>
      <c r="R299" s="2" t="inlineStr"/>
    </row>
    <row r="300" ht="15" customHeight="1">
      <c r="A300" t="inlineStr">
        <is>
          <t>A 54793-2024</t>
        </is>
      </c>
      <c r="B300" s="1" t="n">
        <v>45618</v>
      </c>
      <c r="C300" s="1" t="n">
        <v>46190</v>
      </c>
      <c r="D300" t="inlineStr">
        <is>
          <t>ÖREBRO LÄN</t>
        </is>
      </c>
      <c r="E300" t="inlineStr">
        <is>
          <t>LINDESBERG</t>
        </is>
      </c>
      <c r="G300" t="n">
        <v>3</v>
      </c>
      <c r="H300" t="n">
        <v>0</v>
      </c>
      <c r="I300" t="n">
        <v>0</v>
      </c>
      <c r="J300" t="n">
        <v>0</v>
      </c>
      <c r="K300" t="n">
        <v>0</v>
      </c>
      <c r="L300" t="n">
        <v>0</v>
      </c>
      <c r="M300" t="n">
        <v>0</v>
      </c>
      <c r="N300" t="n">
        <v>0</v>
      </c>
      <c r="O300" t="n">
        <v>0</v>
      </c>
      <c r="P300" t="n">
        <v>0</v>
      </c>
      <c r="Q300" t="n">
        <v>0</v>
      </c>
      <c r="R300" s="2" t="inlineStr"/>
    </row>
    <row r="301" ht="15" customHeight="1">
      <c r="A301" t="inlineStr">
        <is>
          <t>A 23102-2023</t>
        </is>
      </c>
      <c r="B301" s="1" t="n">
        <v>45075.44152777778</v>
      </c>
      <c r="C301" s="1" t="n">
        <v>46190</v>
      </c>
      <c r="D301" t="inlineStr">
        <is>
          <t>ÖREBRO LÄN</t>
        </is>
      </c>
      <c r="E301" t="inlineStr">
        <is>
          <t>LINDESBERG</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2414-2024</t>
        </is>
      </c>
      <c r="B302" s="1" t="n">
        <v>45310.87931712963</v>
      </c>
      <c r="C302" s="1" t="n">
        <v>46190</v>
      </c>
      <c r="D302" t="inlineStr">
        <is>
          <t>ÖREBRO LÄN</t>
        </is>
      </c>
      <c r="E302" t="inlineStr">
        <is>
          <t>LINDESBERG</t>
        </is>
      </c>
      <c r="G302" t="n">
        <v>7.2</v>
      </c>
      <c r="H302" t="n">
        <v>0</v>
      </c>
      <c r="I302" t="n">
        <v>0</v>
      </c>
      <c r="J302" t="n">
        <v>0</v>
      </c>
      <c r="K302" t="n">
        <v>0</v>
      </c>
      <c r="L302" t="n">
        <v>0</v>
      </c>
      <c r="M302" t="n">
        <v>0</v>
      </c>
      <c r="N302" t="n">
        <v>0</v>
      </c>
      <c r="O302" t="n">
        <v>0</v>
      </c>
      <c r="P302" t="n">
        <v>0</v>
      </c>
      <c r="Q302" t="n">
        <v>0</v>
      </c>
      <c r="R302" s="2" t="inlineStr"/>
    </row>
    <row r="303" ht="15" customHeight="1">
      <c r="A303" t="inlineStr">
        <is>
          <t>A 48265-2021</t>
        </is>
      </c>
      <c r="B303" s="1" t="n">
        <v>44449</v>
      </c>
      <c r="C303" s="1" t="n">
        <v>46190</v>
      </c>
      <c r="D303" t="inlineStr">
        <is>
          <t>ÖREBRO LÄN</t>
        </is>
      </c>
      <c r="E303" t="inlineStr">
        <is>
          <t>LINDESBERG</t>
        </is>
      </c>
      <c r="G303" t="n">
        <v>23.7</v>
      </c>
      <c r="H303" t="n">
        <v>0</v>
      </c>
      <c r="I303" t="n">
        <v>0</v>
      </c>
      <c r="J303" t="n">
        <v>0</v>
      </c>
      <c r="K303" t="n">
        <v>0</v>
      </c>
      <c r="L303" t="n">
        <v>0</v>
      </c>
      <c r="M303" t="n">
        <v>0</v>
      </c>
      <c r="N303" t="n">
        <v>0</v>
      </c>
      <c r="O303" t="n">
        <v>0</v>
      </c>
      <c r="P303" t="n">
        <v>0</v>
      </c>
      <c r="Q303" t="n">
        <v>0</v>
      </c>
      <c r="R303" s="2" t="inlineStr"/>
    </row>
    <row r="304" ht="15" customHeight="1">
      <c r="A304" t="inlineStr">
        <is>
          <t>A 1400-2025</t>
        </is>
      </c>
      <c r="B304" s="1" t="n">
        <v>45667</v>
      </c>
      <c r="C304" s="1" t="n">
        <v>46190</v>
      </c>
      <c r="D304" t="inlineStr">
        <is>
          <t>ÖREBRO LÄN</t>
        </is>
      </c>
      <c r="E304" t="inlineStr">
        <is>
          <t>LINDESBERG</t>
        </is>
      </c>
      <c r="F304" t="inlineStr">
        <is>
          <t>Allmännings- och besparingsskogar</t>
        </is>
      </c>
      <c r="G304" t="n">
        <v>11.3</v>
      </c>
      <c r="H304" t="n">
        <v>0</v>
      </c>
      <c r="I304" t="n">
        <v>0</v>
      </c>
      <c r="J304" t="n">
        <v>0</v>
      </c>
      <c r="K304" t="n">
        <v>0</v>
      </c>
      <c r="L304" t="n">
        <v>0</v>
      </c>
      <c r="M304" t="n">
        <v>0</v>
      </c>
      <c r="N304" t="n">
        <v>0</v>
      </c>
      <c r="O304" t="n">
        <v>0</v>
      </c>
      <c r="P304" t="n">
        <v>0</v>
      </c>
      <c r="Q304" t="n">
        <v>0</v>
      </c>
      <c r="R304" s="2" t="inlineStr"/>
    </row>
    <row r="305" ht="15" customHeight="1">
      <c r="A305" t="inlineStr">
        <is>
          <t>A 67016-2021</t>
        </is>
      </c>
      <c r="B305" s="1" t="n">
        <v>44522</v>
      </c>
      <c r="C305" s="1" t="n">
        <v>46190</v>
      </c>
      <c r="D305" t="inlineStr">
        <is>
          <t>ÖREBRO LÄN</t>
        </is>
      </c>
      <c r="E305" t="inlineStr">
        <is>
          <t>LINDESBERG</t>
        </is>
      </c>
      <c r="G305" t="n">
        <v>8</v>
      </c>
      <c r="H305" t="n">
        <v>0</v>
      </c>
      <c r="I305" t="n">
        <v>0</v>
      </c>
      <c r="J305" t="n">
        <v>0</v>
      </c>
      <c r="K305" t="n">
        <v>0</v>
      </c>
      <c r="L305" t="n">
        <v>0</v>
      </c>
      <c r="M305" t="n">
        <v>0</v>
      </c>
      <c r="N305" t="n">
        <v>0</v>
      </c>
      <c r="O305" t="n">
        <v>0</v>
      </c>
      <c r="P305" t="n">
        <v>0</v>
      </c>
      <c r="Q305" t="n">
        <v>0</v>
      </c>
      <c r="R305" s="2" t="inlineStr"/>
    </row>
    <row r="306" ht="15" customHeight="1">
      <c r="A306" t="inlineStr">
        <is>
          <t>A 1490-2024</t>
        </is>
      </c>
      <c r="B306" s="1" t="n">
        <v>45305</v>
      </c>
      <c r="C306" s="1" t="n">
        <v>46190</v>
      </c>
      <c r="D306" t="inlineStr">
        <is>
          <t>ÖREBRO LÄN</t>
        </is>
      </c>
      <c r="E306" t="inlineStr">
        <is>
          <t>LINDESBERG</t>
        </is>
      </c>
      <c r="G306" t="n">
        <v>17.6</v>
      </c>
      <c r="H306" t="n">
        <v>0</v>
      </c>
      <c r="I306" t="n">
        <v>0</v>
      </c>
      <c r="J306" t="n">
        <v>0</v>
      </c>
      <c r="K306" t="n">
        <v>0</v>
      </c>
      <c r="L306" t="n">
        <v>0</v>
      </c>
      <c r="M306" t="n">
        <v>0</v>
      </c>
      <c r="N306" t="n">
        <v>0</v>
      </c>
      <c r="O306" t="n">
        <v>0</v>
      </c>
      <c r="P306" t="n">
        <v>0</v>
      </c>
      <c r="Q306" t="n">
        <v>0</v>
      </c>
      <c r="R306" s="2" t="inlineStr"/>
    </row>
    <row r="307" ht="15" customHeight="1">
      <c r="A307" t="inlineStr">
        <is>
          <t>A 7026-2024</t>
        </is>
      </c>
      <c r="B307" s="1" t="n">
        <v>45343.58587962963</v>
      </c>
      <c r="C307" s="1" t="n">
        <v>46190</v>
      </c>
      <c r="D307" t="inlineStr">
        <is>
          <t>ÖREBRO LÄN</t>
        </is>
      </c>
      <c r="E307" t="inlineStr">
        <is>
          <t>LINDESBERG</t>
        </is>
      </c>
      <c r="G307" t="n">
        <v>2.4</v>
      </c>
      <c r="H307" t="n">
        <v>0</v>
      </c>
      <c r="I307" t="n">
        <v>0</v>
      </c>
      <c r="J307" t="n">
        <v>0</v>
      </c>
      <c r="K307" t="n">
        <v>0</v>
      </c>
      <c r="L307" t="n">
        <v>0</v>
      </c>
      <c r="M307" t="n">
        <v>0</v>
      </c>
      <c r="N307" t="n">
        <v>0</v>
      </c>
      <c r="O307" t="n">
        <v>0</v>
      </c>
      <c r="P307" t="n">
        <v>0</v>
      </c>
      <c r="Q307" t="n">
        <v>0</v>
      </c>
      <c r="R307" s="2" t="inlineStr"/>
    </row>
    <row r="308" ht="15" customHeight="1">
      <c r="A308" t="inlineStr">
        <is>
          <t>A 21202-2024</t>
        </is>
      </c>
      <c r="B308" s="1" t="n">
        <v>45440.5433912037</v>
      </c>
      <c r="C308" s="1" t="n">
        <v>46190</v>
      </c>
      <c r="D308" t="inlineStr">
        <is>
          <t>ÖREBRO LÄN</t>
        </is>
      </c>
      <c r="E308" t="inlineStr">
        <is>
          <t>LINDESBERG</t>
        </is>
      </c>
      <c r="G308" t="n">
        <v>4</v>
      </c>
      <c r="H308" t="n">
        <v>0</v>
      </c>
      <c r="I308" t="n">
        <v>0</v>
      </c>
      <c r="J308" t="n">
        <v>0</v>
      </c>
      <c r="K308" t="n">
        <v>0</v>
      </c>
      <c r="L308" t="n">
        <v>0</v>
      </c>
      <c r="M308" t="n">
        <v>0</v>
      </c>
      <c r="N308" t="n">
        <v>0</v>
      </c>
      <c r="O308" t="n">
        <v>0</v>
      </c>
      <c r="P308" t="n">
        <v>0</v>
      </c>
      <c r="Q308" t="n">
        <v>0</v>
      </c>
      <c r="R308" s="2" t="inlineStr"/>
    </row>
    <row r="309" ht="15" customHeight="1">
      <c r="A309" t="inlineStr">
        <is>
          <t>A 4013-2025</t>
        </is>
      </c>
      <c r="B309" s="1" t="n">
        <v>45684.5790162037</v>
      </c>
      <c r="C309" s="1" t="n">
        <v>46190</v>
      </c>
      <c r="D309" t="inlineStr">
        <is>
          <t>ÖREBRO LÄN</t>
        </is>
      </c>
      <c r="E309" t="inlineStr">
        <is>
          <t>LINDESBERG</t>
        </is>
      </c>
      <c r="G309" t="n">
        <v>0.9</v>
      </c>
      <c r="H309" t="n">
        <v>0</v>
      </c>
      <c r="I309" t="n">
        <v>0</v>
      </c>
      <c r="J309" t="n">
        <v>0</v>
      </c>
      <c r="K309" t="n">
        <v>0</v>
      </c>
      <c r="L309" t="n">
        <v>0</v>
      </c>
      <c r="M309" t="n">
        <v>0</v>
      </c>
      <c r="N309" t="n">
        <v>0</v>
      </c>
      <c r="O309" t="n">
        <v>0</v>
      </c>
      <c r="P309" t="n">
        <v>0</v>
      </c>
      <c r="Q309" t="n">
        <v>0</v>
      </c>
      <c r="R309" s="2" t="inlineStr"/>
    </row>
    <row r="310" ht="15" customHeight="1">
      <c r="A310" t="inlineStr">
        <is>
          <t>A 27434-2023</t>
        </is>
      </c>
      <c r="B310" s="1" t="n">
        <v>45097.38688657407</v>
      </c>
      <c r="C310" s="1" t="n">
        <v>46190</v>
      </c>
      <c r="D310" t="inlineStr">
        <is>
          <t>ÖREBRO LÄN</t>
        </is>
      </c>
      <c r="E310" t="inlineStr">
        <is>
          <t>LINDESBERG</t>
        </is>
      </c>
      <c r="G310" t="n">
        <v>10.7</v>
      </c>
      <c r="H310" t="n">
        <v>0</v>
      </c>
      <c r="I310" t="n">
        <v>0</v>
      </c>
      <c r="J310" t="n">
        <v>0</v>
      </c>
      <c r="K310" t="n">
        <v>0</v>
      </c>
      <c r="L310" t="n">
        <v>0</v>
      </c>
      <c r="M310" t="n">
        <v>0</v>
      </c>
      <c r="N310" t="n">
        <v>0</v>
      </c>
      <c r="O310" t="n">
        <v>0</v>
      </c>
      <c r="P310" t="n">
        <v>0</v>
      </c>
      <c r="Q310" t="n">
        <v>0</v>
      </c>
      <c r="R310" s="2" t="inlineStr"/>
    </row>
    <row r="311" ht="15" customHeight="1">
      <c r="A311" t="inlineStr">
        <is>
          <t>A 33978-2023</t>
        </is>
      </c>
      <c r="B311" s="1" t="n">
        <v>45134.68158564815</v>
      </c>
      <c r="C311" s="1" t="n">
        <v>46190</v>
      </c>
      <c r="D311" t="inlineStr">
        <is>
          <t>ÖREBRO LÄN</t>
        </is>
      </c>
      <c r="E311" t="inlineStr">
        <is>
          <t>LINDESBERG</t>
        </is>
      </c>
      <c r="G311" t="n">
        <v>4.1</v>
      </c>
      <c r="H311" t="n">
        <v>0</v>
      </c>
      <c r="I311" t="n">
        <v>0</v>
      </c>
      <c r="J311" t="n">
        <v>0</v>
      </c>
      <c r="K311" t="n">
        <v>0</v>
      </c>
      <c r="L311" t="n">
        <v>0</v>
      </c>
      <c r="M311" t="n">
        <v>0</v>
      </c>
      <c r="N311" t="n">
        <v>0</v>
      </c>
      <c r="O311" t="n">
        <v>0</v>
      </c>
      <c r="P311" t="n">
        <v>0</v>
      </c>
      <c r="Q311" t="n">
        <v>0</v>
      </c>
      <c r="R311" s="2" t="inlineStr"/>
    </row>
    <row r="312" ht="15" customHeight="1">
      <c r="A312" t="inlineStr">
        <is>
          <t>A 55272-2023</t>
        </is>
      </c>
      <c r="B312" s="1" t="n">
        <v>45237.67819444444</v>
      </c>
      <c r="C312" s="1" t="n">
        <v>46190</v>
      </c>
      <c r="D312" t="inlineStr">
        <is>
          <t>ÖREBRO LÄN</t>
        </is>
      </c>
      <c r="E312" t="inlineStr">
        <is>
          <t>LINDESBERG</t>
        </is>
      </c>
      <c r="G312" t="n">
        <v>2.4</v>
      </c>
      <c r="H312" t="n">
        <v>0</v>
      </c>
      <c r="I312" t="n">
        <v>0</v>
      </c>
      <c r="J312" t="n">
        <v>0</v>
      </c>
      <c r="K312" t="n">
        <v>0</v>
      </c>
      <c r="L312" t="n">
        <v>0</v>
      </c>
      <c r="M312" t="n">
        <v>0</v>
      </c>
      <c r="N312" t="n">
        <v>0</v>
      </c>
      <c r="O312" t="n">
        <v>0</v>
      </c>
      <c r="P312" t="n">
        <v>0</v>
      </c>
      <c r="Q312" t="n">
        <v>0</v>
      </c>
      <c r="R312" s="2" t="inlineStr"/>
    </row>
    <row r="313" ht="15" customHeight="1">
      <c r="A313" t="inlineStr">
        <is>
          <t>A 7201-2024</t>
        </is>
      </c>
      <c r="B313" s="1" t="n">
        <v>45344.6027662037</v>
      </c>
      <c r="C313" s="1" t="n">
        <v>46190</v>
      </c>
      <c r="D313" t="inlineStr">
        <is>
          <t>ÖREBRO LÄN</t>
        </is>
      </c>
      <c r="E313" t="inlineStr">
        <is>
          <t>LINDESBERG</t>
        </is>
      </c>
      <c r="G313" t="n">
        <v>4.7</v>
      </c>
      <c r="H313" t="n">
        <v>0</v>
      </c>
      <c r="I313" t="n">
        <v>0</v>
      </c>
      <c r="J313" t="n">
        <v>0</v>
      </c>
      <c r="K313" t="n">
        <v>0</v>
      </c>
      <c r="L313" t="n">
        <v>0</v>
      </c>
      <c r="M313" t="n">
        <v>0</v>
      </c>
      <c r="N313" t="n">
        <v>0</v>
      </c>
      <c r="O313" t="n">
        <v>0</v>
      </c>
      <c r="P313" t="n">
        <v>0</v>
      </c>
      <c r="Q313" t="n">
        <v>0</v>
      </c>
      <c r="R313" s="2" t="inlineStr"/>
    </row>
    <row r="314" ht="15" customHeight="1">
      <c r="A314" t="inlineStr">
        <is>
          <t>A 5080-2024</t>
        </is>
      </c>
      <c r="B314" s="1" t="n">
        <v>45330</v>
      </c>
      <c r="C314" s="1" t="n">
        <v>46190</v>
      </c>
      <c r="D314" t="inlineStr">
        <is>
          <t>ÖREBRO LÄN</t>
        </is>
      </c>
      <c r="E314" t="inlineStr">
        <is>
          <t>LINDESBERG</t>
        </is>
      </c>
      <c r="G314" t="n">
        <v>1.5</v>
      </c>
      <c r="H314" t="n">
        <v>0</v>
      </c>
      <c r="I314" t="n">
        <v>0</v>
      </c>
      <c r="J314" t="n">
        <v>0</v>
      </c>
      <c r="K314" t="n">
        <v>0</v>
      </c>
      <c r="L314" t="n">
        <v>0</v>
      </c>
      <c r="M314" t="n">
        <v>0</v>
      </c>
      <c r="N314" t="n">
        <v>0</v>
      </c>
      <c r="O314" t="n">
        <v>0</v>
      </c>
      <c r="P314" t="n">
        <v>0</v>
      </c>
      <c r="Q314" t="n">
        <v>0</v>
      </c>
      <c r="R314" s="2" t="inlineStr"/>
    </row>
    <row r="315" ht="15" customHeight="1">
      <c r="A315" t="inlineStr">
        <is>
          <t>A 12307-2025</t>
        </is>
      </c>
      <c r="B315" s="1" t="n">
        <v>45729.76231481481</v>
      </c>
      <c r="C315" s="1" t="n">
        <v>46190</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15899-2025</t>
        </is>
      </c>
      <c r="B316" s="1" t="n">
        <v>45749.42258101852</v>
      </c>
      <c r="C316" s="1" t="n">
        <v>46190</v>
      </c>
      <c r="D316" t="inlineStr">
        <is>
          <t>ÖREBRO LÄN</t>
        </is>
      </c>
      <c r="E316" t="inlineStr">
        <is>
          <t>LINDESBERG</t>
        </is>
      </c>
      <c r="G316" t="n">
        <v>6.6</v>
      </c>
      <c r="H316" t="n">
        <v>0</v>
      </c>
      <c r="I316" t="n">
        <v>0</v>
      </c>
      <c r="J316" t="n">
        <v>0</v>
      </c>
      <c r="K316" t="n">
        <v>0</v>
      </c>
      <c r="L316" t="n">
        <v>0</v>
      </c>
      <c r="M316" t="n">
        <v>0</v>
      </c>
      <c r="N316" t="n">
        <v>0</v>
      </c>
      <c r="O316" t="n">
        <v>0</v>
      </c>
      <c r="P316" t="n">
        <v>0</v>
      </c>
      <c r="Q316" t="n">
        <v>0</v>
      </c>
      <c r="R316" s="2" t="inlineStr"/>
    </row>
    <row r="317" ht="15" customHeight="1">
      <c r="A317" t="inlineStr">
        <is>
          <t>A 8834-2023</t>
        </is>
      </c>
      <c r="B317" s="1" t="n">
        <v>44978</v>
      </c>
      <c r="C317" s="1" t="n">
        <v>46190</v>
      </c>
      <c r="D317" t="inlineStr">
        <is>
          <t>ÖREBRO LÄN</t>
        </is>
      </c>
      <c r="E317" t="inlineStr">
        <is>
          <t>LINDESBERG</t>
        </is>
      </c>
      <c r="G317" t="n">
        <v>0.5</v>
      </c>
      <c r="H317" t="n">
        <v>0</v>
      </c>
      <c r="I317" t="n">
        <v>0</v>
      </c>
      <c r="J317" t="n">
        <v>0</v>
      </c>
      <c r="K317" t="n">
        <v>0</v>
      </c>
      <c r="L317" t="n">
        <v>0</v>
      </c>
      <c r="M317" t="n">
        <v>0</v>
      </c>
      <c r="N317" t="n">
        <v>0</v>
      </c>
      <c r="O317" t="n">
        <v>0</v>
      </c>
      <c r="P317" t="n">
        <v>0</v>
      </c>
      <c r="Q317" t="n">
        <v>0</v>
      </c>
      <c r="R317" s="2" t="inlineStr"/>
    </row>
    <row r="318" ht="15" customHeight="1">
      <c r="A318" t="inlineStr">
        <is>
          <t>A 51071-2022</t>
        </is>
      </c>
      <c r="B318" s="1" t="n">
        <v>44868.36924768519</v>
      </c>
      <c r="C318" s="1" t="n">
        <v>46190</v>
      </c>
      <c r="D318" t="inlineStr">
        <is>
          <t>ÖREBRO LÄN</t>
        </is>
      </c>
      <c r="E318" t="inlineStr">
        <is>
          <t>LINDESBERG</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52284-2024</t>
        </is>
      </c>
      <c r="B319" s="1" t="n">
        <v>45608</v>
      </c>
      <c r="C319" s="1" t="n">
        <v>46190</v>
      </c>
      <c r="D319" t="inlineStr">
        <is>
          <t>ÖREBRO LÄN</t>
        </is>
      </c>
      <c r="E319" t="inlineStr">
        <is>
          <t>LINDESBERG</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60926-2024</t>
        </is>
      </c>
      <c r="B320" s="1" t="n">
        <v>45645</v>
      </c>
      <c r="C320" s="1" t="n">
        <v>46190</v>
      </c>
      <c r="D320" t="inlineStr">
        <is>
          <t>ÖREBRO LÄN</t>
        </is>
      </c>
      <c r="E320" t="inlineStr">
        <is>
          <t>LINDESBERG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15895-2025</t>
        </is>
      </c>
      <c r="B321" s="1" t="n">
        <v>45749</v>
      </c>
      <c r="C321" s="1" t="n">
        <v>46190</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23844-2025</t>
        </is>
      </c>
      <c r="B322" s="1" t="n">
        <v>45793.62422453704</v>
      </c>
      <c r="C322" s="1" t="n">
        <v>46190</v>
      </c>
      <c r="D322" t="inlineStr">
        <is>
          <t>ÖREBRO LÄN</t>
        </is>
      </c>
      <c r="E322" t="inlineStr">
        <is>
          <t>LINDESBERG</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24186-2024</t>
        </is>
      </c>
      <c r="B323" s="1" t="n">
        <v>45456.90869212963</v>
      </c>
      <c r="C323" s="1" t="n">
        <v>46190</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38861-2025</t>
        </is>
      </c>
      <c r="B324" s="1" t="n">
        <v>45887.56101851852</v>
      </c>
      <c r="C324" s="1" t="n">
        <v>46190</v>
      </c>
      <c r="D324" t="inlineStr">
        <is>
          <t>ÖREBRO LÄN</t>
        </is>
      </c>
      <c r="E324" t="inlineStr">
        <is>
          <t>LINDESBERG</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56561-2023</t>
        </is>
      </c>
      <c r="B325" s="1" t="n">
        <v>45243</v>
      </c>
      <c r="C325" s="1" t="n">
        <v>46190</v>
      </c>
      <c r="D325" t="inlineStr">
        <is>
          <t>ÖREBRO LÄN</t>
        </is>
      </c>
      <c r="E325" t="inlineStr">
        <is>
          <t>LINDESBERG</t>
        </is>
      </c>
      <c r="G325" t="n">
        <v>1.9</v>
      </c>
      <c r="H325" t="n">
        <v>0</v>
      </c>
      <c r="I325" t="n">
        <v>0</v>
      </c>
      <c r="J325" t="n">
        <v>0</v>
      </c>
      <c r="K325" t="n">
        <v>0</v>
      </c>
      <c r="L325" t="n">
        <v>0</v>
      </c>
      <c r="M325" t="n">
        <v>0</v>
      </c>
      <c r="N325" t="n">
        <v>0</v>
      </c>
      <c r="O325" t="n">
        <v>0</v>
      </c>
      <c r="P325" t="n">
        <v>0</v>
      </c>
      <c r="Q325" t="n">
        <v>0</v>
      </c>
      <c r="R325" s="2" t="inlineStr"/>
    </row>
    <row r="326" ht="15" customHeight="1">
      <c r="A326" t="inlineStr">
        <is>
          <t>A 35229-2024</t>
        </is>
      </c>
      <c r="B326" s="1" t="n">
        <v>45530</v>
      </c>
      <c r="C326" s="1" t="n">
        <v>46190</v>
      </c>
      <c r="D326" t="inlineStr">
        <is>
          <t>ÖREBRO LÄN</t>
        </is>
      </c>
      <c r="E326" t="inlineStr">
        <is>
          <t>LINDESBERG</t>
        </is>
      </c>
      <c r="G326" t="n">
        <v>0.8</v>
      </c>
      <c r="H326" t="n">
        <v>0</v>
      </c>
      <c r="I326" t="n">
        <v>0</v>
      </c>
      <c r="J326" t="n">
        <v>0</v>
      </c>
      <c r="K326" t="n">
        <v>0</v>
      </c>
      <c r="L326" t="n">
        <v>0</v>
      </c>
      <c r="M326" t="n">
        <v>0</v>
      </c>
      <c r="N326" t="n">
        <v>0</v>
      </c>
      <c r="O326" t="n">
        <v>0</v>
      </c>
      <c r="P326" t="n">
        <v>0</v>
      </c>
      <c r="Q326" t="n">
        <v>0</v>
      </c>
      <c r="R326" s="2" t="inlineStr"/>
    </row>
    <row r="327" ht="15" customHeight="1">
      <c r="A327" t="inlineStr">
        <is>
          <t>A 52930-2024</t>
        </is>
      </c>
      <c r="B327" s="1" t="n">
        <v>45610.7466087963</v>
      </c>
      <c r="C327" s="1" t="n">
        <v>46190</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56579-2023</t>
        </is>
      </c>
      <c r="B328" s="1" t="n">
        <v>45243.62420138889</v>
      </c>
      <c r="C328" s="1" t="n">
        <v>46190</v>
      </c>
      <c r="D328" t="inlineStr">
        <is>
          <t>ÖREBRO LÄN</t>
        </is>
      </c>
      <c r="E328" t="inlineStr">
        <is>
          <t>LINDESBERG</t>
        </is>
      </c>
      <c r="F328" t="inlineStr">
        <is>
          <t>Naturvårdsverket</t>
        </is>
      </c>
      <c r="G328" t="n">
        <v>1.6</v>
      </c>
      <c r="H328" t="n">
        <v>0</v>
      </c>
      <c r="I328" t="n">
        <v>0</v>
      </c>
      <c r="J328" t="n">
        <v>0</v>
      </c>
      <c r="K328" t="n">
        <v>0</v>
      </c>
      <c r="L328" t="n">
        <v>0</v>
      </c>
      <c r="M328" t="n">
        <v>0</v>
      </c>
      <c r="N328" t="n">
        <v>0</v>
      </c>
      <c r="O328" t="n">
        <v>0</v>
      </c>
      <c r="P328" t="n">
        <v>0</v>
      </c>
      <c r="Q328" t="n">
        <v>0</v>
      </c>
      <c r="R328" s="2" t="inlineStr"/>
    </row>
    <row r="329" ht="15" customHeight="1">
      <c r="A329" t="inlineStr">
        <is>
          <t>A 56582-2023</t>
        </is>
      </c>
      <c r="B329" s="1" t="n">
        <v>45243</v>
      </c>
      <c r="C329" s="1" t="n">
        <v>46190</v>
      </c>
      <c r="D329" t="inlineStr">
        <is>
          <t>ÖREBRO LÄN</t>
        </is>
      </c>
      <c r="E329" t="inlineStr">
        <is>
          <t>LINDESBERG</t>
        </is>
      </c>
      <c r="F329" t="inlineStr">
        <is>
          <t>Naturvårdsverket</t>
        </is>
      </c>
      <c r="G329" t="n">
        <v>2.3</v>
      </c>
      <c r="H329" t="n">
        <v>0</v>
      </c>
      <c r="I329" t="n">
        <v>0</v>
      </c>
      <c r="J329" t="n">
        <v>0</v>
      </c>
      <c r="K329" t="n">
        <v>0</v>
      </c>
      <c r="L329" t="n">
        <v>0</v>
      </c>
      <c r="M329" t="n">
        <v>0</v>
      </c>
      <c r="N329" t="n">
        <v>0</v>
      </c>
      <c r="O329" t="n">
        <v>0</v>
      </c>
      <c r="P329" t="n">
        <v>0</v>
      </c>
      <c r="Q329" t="n">
        <v>0</v>
      </c>
      <c r="R329" s="2" t="inlineStr"/>
    </row>
    <row r="330" ht="15" customHeight="1">
      <c r="A330" t="inlineStr">
        <is>
          <t>A 39429-2025</t>
        </is>
      </c>
      <c r="B330" s="1" t="n">
        <v>45889.67577546297</v>
      </c>
      <c r="C330" s="1" t="n">
        <v>46190</v>
      </c>
      <c r="D330" t="inlineStr">
        <is>
          <t>ÖREBRO LÄN</t>
        </is>
      </c>
      <c r="E330" t="inlineStr">
        <is>
          <t>LINDESBERG</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41947-2023</t>
        </is>
      </c>
      <c r="B331" s="1" t="n">
        <v>45177.31795138889</v>
      </c>
      <c r="C331" s="1" t="n">
        <v>46190</v>
      </c>
      <c r="D331" t="inlineStr">
        <is>
          <t>ÖREBRO LÄN</t>
        </is>
      </c>
      <c r="E331" t="inlineStr">
        <is>
          <t>LINDESBERG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10822-2023</t>
        </is>
      </c>
      <c r="B332" s="1" t="n">
        <v>44990</v>
      </c>
      <c r="C332" s="1" t="n">
        <v>46190</v>
      </c>
      <c r="D332" t="inlineStr">
        <is>
          <t>ÖREBRO LÄN</t>
        </is>
      </c>
      <c r="E332" t="inlineStr">
        <is>
          <t>LINDESBERG</t>
        </is>
      </c>
      <c r="G332" t="n">
        <v>1.3</v>
      </c>
      <c r="H332" t="n">
        <v>0</v>
      </c>
      <c r="I332" t="n">
        <v>0</v>
      </c>
      <c r="J332" t="n">
        <v>0</v>
      </c>
      <c r="K332" t="n">
        <v>0</v>
      </c>
      <c r="L332" t="n">
        <v>0</v>
      </c>
      <c r="M332" t="n">
        <v>0</v>
      </c>
      <c r="N332" t="n">
        <v>0</v>
      </c>
      <c r="O332" t="n">
        <v>0</v>
      </c>
      <c r="P332" t="n">
        <v>0</v>
      </c>
      <c r="Q332" t="n">
        <v>0</v>
      </c>
      <c r="R332" s="2" t="inlineStr"/>
    </row>
    <row r="333" ht="15" customHeight="1">
      <c r="A333" t="inlineStr">
        <is>
          <t>A 37738-2024</t>
        </is>
      </c>
      <c r="B333" s="1" t="n">
        <v>45541.66916666667</v>
      </c>
      <c r="C333" s="1" t="n">
        <v>46190</v>
      </c>
      <c r="D333" t="inlineStr">
        <is>
          <t>ÖREBRO LÄN</t>
        </is>
      </c>
      <c r="E333" t="inlineStr">
        <is>
          <t>LINDESBERG</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23932-2025</t>
        </is>
      </c>
      <c r="B334" s="1" t="n">
        <v>45795.70912037037</v>
      </c>
      <c r="C334" s="1" t="n">
        <v>46190</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37125-2023</t>
        </is>
      </c>
      <c r="B335" s="1" t="n">
        <v>45155.5653125</v>
      </c>
      <c r="C335" s="1" t="n">
        <v>46190</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57944-2023</t>
        </is>
      </c>
      <c r="B336" s="1" t="n">
        <v>45244</v>
      </c>
      <c r="C336" s="1" t="n">
        <v>46190</v>
      </c>
      <c r="D336" t="inlineStr">
        <is>
          <t>ÖREBRO LÄN</t>
        </is>
      </c>
      <c r="E336" t="inlineStr">
        <is>
          <t>LINDESBERG</t>
        </is>
      </c>
      <c r="G336" t="n">
        <v>2.4</v>
      </c>
      <c r="H336" t="n">
        <v>0</v>
      </c>
      <c r="I336" t="n">
        <v>0</v>
      </c>
      <c r="J336" t="n">
        <v>0</v>
      </c>
      <c r="K336" t="n">
        <v>0</v>
      </c>
      <c r="L336" t="n">
        <v>0</v>
      </c>
      <c r="M336" t="n">
        <v>0</v>
      </c>
      <c r="N336" t="n">
        <v>0</v>
      </c>
      <c r="O336" t="n">
        <v>0</v>
      </c>
      <c r="P336" t="n">
        <v>0</v>
      </c>
      <c r="Q336" t="n">
        <v>0</v>
      </c>
      <c r="R336" s="2" t="inlineStr"/>
    </row>
    <row r="337" ht="15" customHeight="1">
      <c r="A337" t="inlineStr">
        <is>
          <t>A 39421-2025</t>
        </is>
      </c>
      <c r="B337" s="1" t="n">
        <v>45889.66935185185</v>
      </c>
      <c r="C337" s="1" t="n">
        <v>46190</v>
      </c>
      <c r="D337" t="inlineStr">
        <is>
          <t>ÖREBRO LÄN</t>
        </is>
      </c>
      <c r="E337" t="inlineStr">
        <is>
          <t>LINDESBERG</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39424-2025</t>
        </is>
      </c>
      <c r="B338" s="1" t="n">
        <v>45889.67290509259</v>
      </c>
      <c r="C338" s="1" t="n">
        <v>46190</v>
      </c>
      <c r="D338" t="inlineStr">
        <is>
          <t>ÖREBRO LÄN</t>
        </is>
      </c>
      <c r="E338" t="inlineStr">
        <is>
          <t>LINDESBERG</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3233-2023</t>
        </is>
      </c>
      <c r="B339" s="1" t="n">
        <v>44946</v>
      </c>
      <c r="C339" s="1" t="n">
        <v>46190</v>
      </c>
      <c r="D339" t="inlineStr">
        <is>
          <t>ÖREBRO LÄN</t>
        </is>
      </c>
      <c r="E339" t="inlineStr">
        <is>
          <t>LINDESBERG</t>
        </is>
      </c>
      <c r="G339" t="n">
        <v>3</v>
      </c>
      <c r="H339" t="n">
        <v>0</v>
      </c>
      <c r="I339" t="n">
        <v>0</v>
      </c>
      <c r="J339" t="n">
        <v>0</v>
      </c>
      <c r="K339" t="n">
        <v>0</v>
      </c>
      <c r="L339" t="n">
        <v>0</v>
      </c>
      <c r="M339" t="n">
        <v>0</v>
      </c>
      <c r="N339" t="n">
        <v>0</v>
      </c>
      <c r="O339" t="n">
        <v>0</v>
      </c>
      <c r="P339" t="n">
        <v>0</v>
      </c>
      <c r="Q339" t="n">
        <v>0</v>
      </c>
      <c r="R339" s="2" t="inlineStr"/>
    </row>
    <row r="340" ht="15" customHeight="1">
      <c r="A340" t="inlineStr">
        <is>
          <t>A 15325-2024</t>
        </is>
      </c>
      <c r="B340" s="1" t="n">
        <v>45400.6709837963</v>
      </c>
      <c r="C340" s="1" t="n">
        <v>46190</v>
      </c>
      <c r="D340" t="inlineStr">
        <is>
          <t>ÖREBRO LÄN</t>
        </is>
      </c>
      <c r="E340" t="inlineStr">
        <is>
          <t>LINDESBERG</t>
        </is>
      </c>
      <c r="F340" t="inlineStr">
        <is>
          <t>Sveaskog</t>
        </is>
      </c>
      <c r="G340" t="n">
        <v>0.3</v>
      </c>
      <c r="H340" t="n">
        <v>0</v>
      </c>
      <c r="I340" t="n">
        <v>0</v>
      </c>
      <c r="J340" t="n">
        <v>0</v>
      </c>
      <c r="K340" t="n">
        <v>0</v>
      </c>
      <c r="L340" t="n">
        <v>0</v>
      </c>
      <c r="M340" t="n">
        <v>0</v>
      </c>
      <c r="N340" t="n">
        <v>0</v>
      </c>
      <c r="O340" t="n">
        <v>0</v>
      </c>
      <c r="P340" t="n">
        <v>0</v>
      </c>
      <c r="Q340" t="n">
        <v>0</v>
      </c>
      <c r="R340" s="2" t="inlineStr"/>
    </row>
    <row r="341" ht="15" customHeight="1">
      <c r="A341" t="inlineStr">
        <is>
          <t>A 40970-2023</t>
        </is>
      </c>
      <c r="B341" s="1" t="n">
        <v>45173</v>
      </c>
      <c r="C341" s="1" t="n">
        <v>46190</v>
      </c>
      <c r="D341" t="inlineStr">
        <is>
          <t>ÖREBRO LÄN</t>
        </is>
      </c>
      <c r="E341" t="inlineStr">
        <is>
          <t>LINDESBERG</t>
        </is>
      </c>
      <c r="G341" t="n">
        <v>2.1</v>
      </c>
      <c r="H341" t="n">
        <v>0</v>
      </c>
      <c r="I341" t="n">
        <v>0</v>
      </c>
      <c r="J341" t="n">
        <v>0</v>
      </c>
      <c r="K341" t="n">
        <v>0</v>
      </c>
      <c r="L341" t="n">
        <v>0</v>
      </c>
      <c r="M341" t="n">
        <v>0</v>
      </c>
      <c r="N341" t="n">
        <v>0</v>
      </c>
      <c r="O341" t="n">
        <v>0</v>
      </c>
      <c r="P341" t="n">
        <v>0</v>
      </c>
      <c r="Q341" t="n">
        <v>0</v>
      </c>
      <c r="R341" s="2" t="inlineStr"/>
    </row>
    <row r="342" ht="15" customHeight="1">
      <c r="A342" t="inlineStr">
        <is>
          <t>A 24017-2025</t>
        </is>
      </c>
      <c r="B342" s="1" t="n">
        <v>45796.44885416667</v>
      </c>
      <c r="C342" s="1" t="n">
        <v>46190</v>
      </c>
      <c r="D342" t="inlineStr">
        <is>
          <t>ÖREBRO LÄN</t>
        </is>
      </c>
      <c r="E342" t="inlineStr">
        <is>
          <t>LINDESBERG</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24107-2025</t>
        </is>
      </c>
      <c r="B343" s="1" t="n">
        <v>45796</v>
      </c>
      <c r="C343" s="1" t="n">
        <v>46190</v>
      </c>
      <c r="D343" t="inlineStr">
        <is>
          <t>ÖREBRO LÄN</t>
        </is>
      </c>
      <c r="E343" t="inlineStr">
        <is>
          <t>LINDESBERG</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15933-2025</t>
        </is>
      </c>
      <c r="B344" s="1" t="n">
        <v>45749.47251157407</v>
      </c>
      <c r="C344" s="1" t="n">
        <v>46190</v>
      </c>
      <c r="D344" t="inlineStr">
        <is>
          <t>ÖREBRO LÄN</t>
        </is>
      </c>
      <c r="E344" t="inlineStr">
        <is>
          <t>LINDESBERG</t>
        </is>
      </c>
      <c r="G344" t="n">
        <v>6.1</v>
      </c>
      <c r="H344" t="n">
        <v>0</v>
      </c>
      <c r="I344" t="n">
        <v>0</v>
      </c>
      <c r="J344" t="n">
        <v>0</v>
      </c>
      <c r="K344" t="n">
        <v>0</v>
      </c>
      <c r="L344" t="n">
        <v>0</v>
      </c>
      <c r="M344" t="n">
        <v>0</v>
      </c>
      <c r="N344" t="n">
        <v>0</v>
      </c>
      <c r="O344" t="n">
        <v>0</v>
      </c>
      <c r="P344" t="n">
        <v>0</v>
      </c>
      <c r="Q344" t="n">
        <v>0</v>
      </c>
      <c r="R344" s="2" t="inlineStr"/>
    </row>
    <row r="345" ht="15" customHeight="1">
      <c r="A345" t="inlineStr">
        <is>
          <t>A 58662-2022</t>
        </is>
      </c>
      <c r="B345" s="1" t="n">
        <v>44902</v>
      </c>
      <c r="C345" s="1" t="n">
        <v>46190</v>
      </c>
      <c r="D345" t="inlineStr">
        <is>
          <t>ÖREBRO LÄN</t>
        </is>
      </c>
      <c r="E345" t="inlineStr">
        <is>
          <t>LINDESBERG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24011-2025</t>
        </is>
      </c>
      <c r="B346" s="1" t="n">
        <v>45796</v>
      </c>
      <c r="C346" s="1" t="n">
        <v>46190</v>
      </c>
      <c r="D346" t="inlineStr">
        <is>
          <t>ÖREBRO LÄN</t>
        </is>
      </c>
      <c r="E346" t="inlineStr">
        <is>
          <t>LINDESBERG</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24020-2025</t>
        </is>
      </c>
      <c r="B347" s="1" t="n">
        <v>45796.45054398148</v>
      </c>
      <c r="C347" s="1" t="n">
        <v>46190</v>
      </c>
      <c r="D347" t="inlineStr">
        <is>
          <t>ÖREBRO LÄN</t>
        </is>
      </c>
      <c r="E347" t="inlineStr">
        <is>
          <t>LINDESBERG</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62968-2023</t>
        </is>
      </c>
      <c r="B348" s="1" t="n">
        <v>45272.57385416667</v>
      </c>
      <c r="C348" s="1" t="n">
        <v>46190</v>
      </c>
      <c r="D348" t="inlineStr">
        <is>
          <t>ÖREBRO LÄN</t>
        </is>
      </c>
      <c r="E348" t="inlineStr">
        <is>
          <t>LINDESBERG</t>
        </is>
      </c>
      <c r="G348" t="n">
        <v>0.6</v>
      </c>
      <c r="H348" t="n">
        <v>0</v>
      </c>
      <c r="I348" t="n">
        <v>0</v>
      </c>
      <c r="J348" t="n">
        <v>0</v>
      </c>
      <c r="K348" t="n">
        <v>0</v>
      </c>
      <c r="L348" t="n">
        <v>0</v>
      </c>
      <c r="M348" t="n">
        <v>0</v>
      </c>
      <c r="N348" t="n">
        <v>0</v>
      </c>
      <c r="O348" t="n">
        <v>0</v>
      </c>
      <c r="P348" t="n">
        <v>0</v>
      </c>
      <c r="Q348" t="n">
        <v>0</v>
      </c>
      <c r="R348" s="2" t="inlineStr"/>
    </row>
    <row r="349" ht="15" customHeight="1">
      <c r="A349" t="inlineStr">
        <is>
          <t>A 24043-2024</t>
        </is>
      </c>
      <c r="B349" s="1" t="n">
        <v>45456.48927083334</v>
      </c>
      <c r="C349" s="1" t="n">
        <v>46190</v>
      </c>
      <c r="D349" t="inlineStr">
        <is>
          <t>ÖREBRO LÄN</t>
        </is>
      </c>
      <c r="E349" t="inlineStr">
        <is>
          <t>LINDESBERG</t>
        </is>
      </c>
      <c r="G349" t="n">
        <v>6.2</v>
      </c>
      <c r="H349" t="n">
        <v>0</v>
      </c>
      <c r="I349" t="n">
        <v>0</v>
      </c>
      <c r="J349" t="n">
        <v>0</v>
      </c>
      <c r="K349" t="n">
        <v>0</v>
      </c>
      <c r="L349" t="n">
        <v>0</v>
      </c>
      <c r="M349" t="n">
        <v>0</v>
      </c>
      <c r="N349" t="n">
        <v>0</v>
      </c>
      <c r="O349" t="n">
        <v>0</v>
      </c>
      <c r="P349" t="n">
        <v>0</v>
      </c>
      <c r="Q349" t="n">
        <v>0</v>
      </c>
      <c r="R349" s="2" t="inlineStr"/>
    </row>
    <row r="350" ht="15" customHeight="1">
      <c r="A350" t="inlineStr">
        <is>
          <t>A 15936-2025</t>
        </is>
      </c>
      <c r="B350" s="1" t="n">
        <v>45749.4737962963</v>
      </c>
      <c r="C350" s="1" t="n">
        <v>46190</v>
      </c>
      <c r="D350" t="inlineStr">
        <is>
          <t>ÖREBRO LÄN</t>
        </is>
      </c>
      <c r="E350" t="inlineStr">
        <is>
          <t>LINDESBERG</t>
        </is>
      </c>
      <c r="G350" t="n">
        <v>22.3</v>
      </c>
      <c r="H350" t="n">
        <v>0</v>
      </c>
      <c r="I350" t="n">
        <v>0</v>
      </c>
      <c r="J350" t="n">
        <v>0</v>
      </c>
      <c r="K350" t="n">
        <v>0</v>
      </c>
      <c r="L350" t="n">
        <v>0</v>
      </c>
      <c r="M350" t="n">
        <v>0</v>
      </c>
      <c r="N350" t="n">
        <v>0</v>
      </c>
      <c r="O350" t="n">
        <v>0</v>
      </c>
      <c r="P350" t="n">
        <v>0</v>
      </c>
      <c r="Q350" t="n">
        <v>0</v>
      </c>
      <c r="R350" s="2" t="inlineStr"/>
    </row>
    <row r="351" ht="15" customHeight="1">
      <c r="A351" t="inlineStr">
        <is>
          <t>A 10564-2023</t>
        </is>
      </c>
      <c r="B351" s="1" t="n">
        <v>44988</v>
      </c>
      <c r="C351" s="1" t="n">
        <v>46190</v>
      </c>
      <c r="D351" t="inlineStr">
        <is>
          <t>ÖREBRO LÄN</t>
        </is>
      </c>
      <c r="E351" t="inlineStr">
        <is>
          <t>LINDESBERG</t>
        </is>
      </c>
      <c r="F351" t="inlineStr">
        <is>
          <t>Kyrkan</t>
        </is>
      </c>
      <c r="G351" t="n">
        <v>1.6</v>
      </c>
      <c r="H351" t="n">
        <v>0</v>
      </c>
      <c r="I351" t="n">
        <v>0</v>
      </c>
      <c r="J351" t="n">
        <v>0</v>
      </c>
      <c r="K351" t="n">
        <v>0</v>
      </c>
      <c r="L351" t="n">
        <v>0</v>
      </c>
      <c r="M351" t="n">
        <v>0</v>
      </c>
      <c r="N351" t="n">
        <v>0</v>
      </c>
      <c r="O351" t="n">
        <v>0</v>
      </c>
      <c r="P351" t="n">
        <v>0</v>
      </c>
      <c r="Q351" t="n">
        <v>0</v>
      </c>
      <c r="R351" s="2" t="inlineStr"/>
    </row>
    <row r="352" ht="15" customHeight="1">
      <c r="A352" t="inlineStr">
        <is>
          <t>A 28031-2023</t>
        </is>
      </c>
      <c r="B352" s="1" t="n">
        <v>45099.27354166667</v>
      </c>
      <c r="C352" s="1" t="n">
        <v>46190</v>
      </c>
      <c r="D352" t="inlineStr">
        <is>
          <t>ÖREBRO LÄN</t>
        </is>
      </c>
      <c r="E352" t="inlineStr">
        <is>
          <t>LINDESBERG</t>
        </is>
      </c>
      <c r="F352" t="inlineStr">
        <is>
          <t>Kyrkan</t>
        </is>
      </c>
      <c r="G352" t="n">
        <v>1.2</v>
      </c>
      <c r="H352" t="n">
        <v>0</v>
      </c>
      <c r="I352" t="n">
        <v>0</v>
      </c>
      <c r="J352" t="n">
        <v>0</v>
      </c>
      <c r="K352" t="n">
        <v>0</v>
      </c>
      <c r="L352" t="n">
        <v>0</v>
      </c>
      <c r="M352" t="n">
        <v>0</v>
      </c>
      <c r="N352" t="n">
        <v>0</v>
      </c>
      <c r="O352" t="n">
        <v>0</v>
      </c>
      <c r="P352" t="n">
        <v>0</v>
      </c>
      <c r="Q352" t="n">
        <v>0</v>
      </c>
      <c r="R352" s="2" t="inlineStr"/>
    </row>
    <row r="353" ht="15" customHeight="1">
      <c r="A353" t="inlineStr">
        <is>
          <t>A 48231-2024</t>
        </is>
      </c>
      <c r="B353" s="1" t="n">
        <v>45590.37590277778</v>
      </c>
      <c r="C353" s="1" t="n">
        <v>46190</v>
      </c>
      <c r="D353" t="inlineStr">
        <is>
          <t>ÖREBRO LÄN</t>
        </is>
      </c>
      <c r="E353" t="inlineStr">
        <is>
          <t>LINDESBERG</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4310-2025</t>
        </is>
      </c>
      <c r="B354" s="1" t="n">
        <v>45685</v>
      </c>
      <c r="C354" s="1" t="n">
        <v>46190</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30830-2024</t>
        </is>
      </c>
      <c r="B355" s="1" t="n">
        <v>45497</v>
      </c>
      <c r="C355" s="1" t="n">
        <v>46190</v>
      </c>
      <c r="D355" t="inlineStr">
        <is>
          <t>ÖREBRO LÄN</t>
        </is>
      </c>
      <c r="E355" t="inlineStr">
        <is>
          <t>LINDESBERG</t>
        </is>
      </c>
      <c r="G355" t="n">
        <v>2.8</v>
      </c>
      <c r="H355" t="n">
        <v>0</v>
      </c>
      <c r="I355" t="n">
        <v>0</v>
      </c>
      <c r="J355" t="n">
        <v>0</v>
      </c>
      <c r="K355" t="n">
        <v>0</v>
      </c>
      <c r="L355" t="n">
        <v>0</v>
      </c>
      <c r="M355" t="n">
        <v>0</v>
      </c>
      <c r="N355" t="n">
        <v>0</v>
      </c>
      <c r="O355" t="n">
        <v>0</v>
      </c>
      <c r="P355" t="n">
        <v>0</v>
      </c>
      <c r="Q355" t="n">
        <v>0</v>
      </c>
      <c r="R355" s="2" t="inlineStr"/>
    </row>
    <row r="356" ht="15" customHeight="1">
      <c r="A356" t="inlineStr">
        <is>
          <t>A 36291-2022</t>
        </is>
      </c>
      <c r="B356" s="1" t="n">
        <v>44803.64361111111</v>
      </c>
      <c r="C356" s="1" t="n">
        <v>46190</v>
      </c>
      <c r="D356" t="inlineStr">
        <is>
          <t>ÖREBRO LÄN</t>
        </is>
      </c>
      <c r="E356" t="inlineStr">
        <is>
          <t>LINDESBERG</t>
        </is>
      </c>
      <c r="G356" t="n">
        <v>3.8</v>
      </c>
      <c r="H356" t="n">
        <v>0</v>
      </c>
      <c r="I356" t="n">
        <v>0</v>
      </c>
      <c r="J356" t="n">
        <v>0</v>
      </c>
      <c r="K356" t="n">
        <v>0</v>
      </c>
      <c r="L356" t="n">
        <v>0</v>
      </c>
      <c r="M356" t="n">
        <v>0</v>
      </c>
      <c r="N356" t="n">
        <v>0</v>
      </c>
      <c r="O356" t="n">
        <v>0</v>
      </c>
      <c r="P356" t="n">
        <v>0</v>
      </c>
      <c r="Q356" t="n">
        <v>0</v>
      </c>
      <c r="R356" s="2" t="inlineStr"/>
    </row>
    <row r="357" ht="15" customHeight="1">
      <c r="A357" t="inlineStr">
        <is>
          <t>A 47110-2024</t>
        </is>
      </c>
      <c r="B357" s="1" t="n">
        <v>45586.55451388889</v>
      </c>
      <c r="C357" s="1" t="n">
        <v>46190</v>
      </c>
      <c r="D357" t="inlineStr">
        <is>
          <t>ÖREBRO LÄN</t>
        </is>
      </c>
      <c r="E357" t="inlineStr">
        <is>
          <t>LINDESBERG</t>
        </is>
      </c>
      <c r="G357" t="n">
        <v>0.6</v>
      </c>
      <c r="H357" t="n">
        <v>0</v>
      </c>
      <c r="I357" t="n">
        <v>0</v>
      </c>
      <c r="J357" t="n">
        <v>0</v>
      </c>
      <c r="K357" t="n">
        <v>0</v>
      </c>
      <c r="L357" t="n">
        <v>0</v>
      </c>
      <c r="M357" t="n">
        <v>0</v>
      </c>
      <c r="N357" t="n">
        <v>0</v>
      </c>
      <c r="O357" t="n">
        <v>0</v>
      </c>
      <c r="P357" t="n">
        <v>0</v>
      </c>
      <c r="Q357" t="n">
        <v>0</v>
      </c>
      <c r="R357" s="2" t="inlineStr"/>
    </row>
    <row r="358" ht="15" customHeight="1">
      <c r="A358" t="inlineStr">
        <is>
          <t>A 27440-2023</t>
        </is>
      </c>
      <c r="B358" s="1" t="n">
        <v>45097.39893518519</v>
      </c>
      <c r="C358" s="1" t="n">
        <v>46190</v>
      </c>
      <c r="D358" t="inlineStr">
        <is>
          <t>ÖREBRO LÄN</t>
        </is>
      </c>
      <c r="E358" t="inlineStr">
        <is>
          <t>LINDESBERG</t>
        </is>
      </c>
      <c r="G358" t="n">
        <v>6.6</v>
      </c>
      <c r="H358" t="n">
        <v>0</v>
      </c>
      <c r="I358" t="n">
        <v>0</v>
      </c>
      <c r="J358" t="n">
        <v>0</v>
      </c>
      <c r="K358" t="n">
        <v>0</v>
      </c>
      <c r="L358" t="n">
        <v>0</v>
      </c>
      <c r="M358" t="n">
        <v>0</v>
      </c>
      <c r="N358" t="n">
        <v>0</v>
      </c>
      <c r="O358" t="n">
        <v>0</v>
      </c>
      <c r="P358" t="n">
        <v>0</v>
      </c>
      <c r="Q358" t="n">
        <v>0</v>
      </c>
      <c r="R358" s="2" t="inlineStr"/>
    </row>
    <row r="359" ht="15" customHeight="1">
      <c r="A359" t="inlineStr">
        <is>
          <t>A 39137-2024</t>
        </is>
      </c>
      <c r="B359" s="1" t="n">
        <v>45548</v>
      </c>
      <c r="C359" s="1" t="n">
        <v>46190</v>
      </c>
      <c r="D359" t="inlineStr">
        <is>
          <t>ÖREBRO LÄN</t>
        </is>
      </c>
      <c r="E359" t="inlineStr">
        <is>
          <t>LINDESBERG</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39152-2024</t>
        </is>
      </c>
      <c r="B360" s="1" t="n">
        <v>45548</v>
      </c>
      <c r="C360" s="1" t="n">
        <v>46190</v>
      </c>
      <c r="D360" t="inlineStr">
        <is>
          <t>ÖREBRO LÄN</t>
        </is>
      </c>
      <c r="E360" t="inlineStr">
        <is>
          <t>LINDESBERG</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10836-2024</t>
        </is>
      </c>
      <c r="B361" s="1" t="n">
        <v>45369</v>
      </c>
      <c r="C361" s="1" t="n">
        <v>46190</v>
      </c>
      <c r="D361" t="inlineStr">
        <is>
          <t>ÖREBRO LÄN</t>
        </is>
      </c>
      <c r="E361" t="inlineStr">
        <is>
          <t>LINDESBERG</t>
        </is>
      </c>
      <c r="G361" t="n">
        <v>2.8</v>
      </c>
      <c r="H361" t="n">
        <v>0</v>
      </c>
      <c r="I361" t="n">
        <v>0</v>
      </c>
      <c r="J361" t="n">
        <v>0</v>
      </c>
      <c r="K361" t="n">
        <v>0</v>
      </c>
      <c r="L361" t="n">
        <v>0</v>
      </c>
      <c r="M361" t="n">
        <v>0</v>
      </c>
      <c r="N361" t="n">
        <v>0</v>
      </c>
      <c r="O361" t="n">
        <v>0</v>
      </c>
      <c r="P361" t="n">
        <v>0</v>
      </c>
      <c r="Q361" t="n">
        <v>0</v>
      </c>
      <c r="R361" s="2" t="inlineStr"/>
    </row>
    <row r="362" ht="15" customHeight="1">
      <c r="A362" t="inlineStr">
        <is>
          <t>A 25842-2025</t>
        </is>
      </c>
      <c r="B362" s="1" t="n">
        <v>45804.45474537037</v>
      </c>
      <c r="C362" s="1" t="n">
        <v>46190</v>
      </c>
      <c r="D362" t="inlineStr">
        <is>
          <t>ÖREBRO LÄN</t>
        </is>
      </c>
      <c r="E362" t="inlineStr">
        <is>
          <t>LINDESBERG</t>
        </is>
      </c>
      <c r="G362" t="n">
        <v>1.7</v>
      </c>
      <c r="H362" t="n">
        <v>0</v>
      </c>
      <c r="I362" t="n">
        <v>0</v>
      </c>
      <c r="J362" t="n">
        <v>0</v>
      </c>
      <c r="K362" t="n">
        <v>0</v>
      </c>
      <c r="L362" t="n">
        <v>0</v>
      </c>
      <c r="M362" t="n">
        <v>0</v>
      </c>
      <c r="N362" t="n">
        <v>0</v>
      </c>
      <c r="O362" t="n">
        <v>0</v>
      </c>
      <c r="P362" t="n">
        <v>0</v>
      </c>
      <c r="Q362" t="n">
        <v>0</v>
      </c>
      <c r="R362" s="2" t="inlineStr"/>
    </row>
    <row r="363" ht="15" customHeight="1">
      <c r="A363" t="inlineStr">
        <is>
          <t>A 21245-2024</t>
        </is>
      </c>
      <c r="B363" s="1" t="n">
        <v>45440</v>
      </c>
      <c r="C363" s="1" t="n">
        <v>46190</v>
      </c>
      <c r="D363" t="inlineStr">
        <is>
          <t>ÖREBRO LÄN</t>
        </is>
      </c>
      <c r="E363" t="inlineStr">
        <is>
          <t>LINDESBERG</t>
        </is>
      </c>
      <c r="G363" t="n">
        <v>2</v>
      </c>
      <c r="H363" t="n">
        <v>0</v>
      </c>
      <c r="I363" t="n">
        <v>0</v>
      </c>
      <c r="J363" t="n">
        <v>0</v>
      </c>
      <c r="K363" t="n">
        <v>0</v>
      </c>
      <c r="L363" t="n">
        <v>0</v>
      </c>
      <c r="M363" t="n">
        <v>0</v>
      </c>
      <c r="N363" t="n">
        <v>0</v>
      </c>
      <c r="O363" t="n">
        <v>0</v>
      </c>
      <c r="P363" t="n">
        <v>0</v>
      </c>
      <c r="Q363" t="n">
        <v>0</v>
      </c>
      <c r="R363" s="2" t="inlineStr"/>
    </row>
    <row r="364" ht="15" customHeight="1">
      <c r="A364" t="inlineStr">
        <is>
          <t>A 61601-2024</t>
        </is>
      </c>
      <c r="B364" s="1" t="n">
        <v>45646.63839120371</v>
      </c>
      <c r="C364" s="1" t="n">
        <v>46190</v>
      </c>
      <c r="D364" t="inlineStr">
        <is>
          <t>ÖREBRO LÄN</t>
        </is>
      </c>
      <c r="E364" t="inlineStr">
        <is>
          <t>LINDESBERG</t>
        </is>
      </c>
      <c r="G364" t="n">
        <v>0.5</v>
      </c>
      <c r="H364" t="n">
        <v>0</v>
      </c>
      <c r="I364" t="n">
        <v>0</v>
      </c>
      <c r="J364" t="n">
        <v>0</v>
      </c>
      <c r="K364" t="n">
        <v>0</v>
      </c>
      <c r="L364" t="n">
        <v>0</v>
      </c>
      <c r="M364" t="n">
        <v>0</v>
      </c>
      <c r="N364" t="n">
        <v>0</v>
      </c>
      <c r="O364" t="n">
        <v>0</v>
      </c>
      <c r="P364" t="n">
        <v>0</v>
      </c>
      <c r="Q364" t="n">
        <v>0</v>
      </c>
      <c r="R364" s="2" t="inlineStr"/>
    </row>
    <row r="365" ht="15" customHeight="1">
      <c r="A365" t="inlineStr">
        <is>
          <t>A 6604-2024</t>
        </is>
      </c>
      <c r="B365" s="1" t="n">
        <v>45341.56577546296</v>
      </c>
      <c r="C365" s="1" t="n">
        <v>46190</v>
      </c>
      <c r="D365" t="inlineStr">
        <is>
          <t>ÖREBRO LÄN</t>
        </is>
      </c>
      <c r="E365" t="inlineStr">
        <is>
          <t>LINDESBERG</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33716-2021</t>
        </is>
      </c>
      <c r="B366" s="1" t="n">
        <v>44378.46857638889</v>
      </c>
      <c r="C366" s="1" t="n">
        <v>46190</v>
      </c>
      <c r="D366" t="inlineStr">
        <is>
          <t>ÖREBRO LÄN</t>
        </is>
      </c>
      <c r="E366" t="inlineStr">
        <is>
          <t>LINDESBERG</t>
        </is>
      </c>
      <c r="G366" t="n">
        <v>4.6</v>
      </c>
      <c r="H366" t="n">
        <v>0</v>
      </c>
      <c r="I366" t="n">
        <v>0</v>
      </c>
      <c r="J366" t="n">
        <v>0</v>
      </c>
      <c r="K366" t="n">
        <v>0</v>
      </c>
      <c r="L366" t="n">
        <v>0</v>
      </c>
      <c r="M366" t="n">
        <v>0</v>
      </c>
      <c r="N366" t="n">
        <v>0</v>
      </c>
      <c r="O366" t="n">
        <v>0</v>
      </c>
      <c r="P366" t="n">
        <v>0</v>
      </c>
      <c r="Q366" t="n">
        <v>0</v>
      </c>
      <c r="R366" s="2" t="inlineStr"/>
    </row>
    <row r="367" ht="15" customHeight="1">
      <c r="A367" t="inlineStr">
        <is>
          <t>A 42410-2024</t>
        </is>
      </c>
      <c r="B367" s="1" t="n">
        <v>45565</v>
      </c>
      <c r="C367" s="1" t="n">
        <v>46190</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23536-2023</t>
        </is>
      </c>
      <c r="B368" s="1" t="n">
        <v>45077</v>
      </c>
      <c r="C368" s="1" t="n">
        <v>46190</v>
      </c>
      <c r="D368" t="inlineStr">
        <is>
          <t>ÖREBRO LÄN</t>
        </is>
      </c>
      <c r="E368" t="inlineStr">
        <is>
          <t>LINDESBERG</t>
        </is>
      </c>
      <c r="F368" t="inlineStr">
        <is>
          <t>Kyrkan</t>
        </is>
      </c>
      <c r="G368" t="n">
        <v>0.5</v>
      </c>
      <c r="H368" t="n">
        <v>0</v>
      </c>
      <c r="I368" t="n">
        <v>0</v>
      </c>
      <c r="J368" t="n">
        <v>0</v>
      </c>
      <c r="K368" t="n">
        <v>0</v>
      </c>
      <c r="L368" t="n">
        <v>0</v>
      </c>
      <c r="M368" t="n">
        <v>0</v>
      </c>
      <c r="N368" t="n">
        <v>0</v>
      </c>
      <c r="O368" t="n">
        <v>0</v>
      </c>
      <c r="P368" t="n">
        <v>0</v>
      </c>
      <c r="Q368" t="n">
        <v>0</v>
      </c>
      <c r="R368" s="2" t="inlineStr"/>
    </row>
    <row r="369" ht="15" customHeight="1">
      <c r="A369" t="inlineStr">
        <is>
          <t>A 38552-2023</t>
        </is>
      </c>
      <c r="B369" s="1" t="n">
        <v>45162.5978125</v>
      </c>
      <c r="C369" s="1" t="n">
        <v>46190</v>
      </c>
      <c r="D369" t="inlineStr">
        <is>
          <t>ÖREBRO LÄN</t>
        </is>
      </c>
      <c r="E369" t="inlineStr">
        <is>
          <t>LINDESBERG</t>
        </is>
      </c>
      <c r="G369" t="n">
        <v>10.4</v>
      </c>
      <c r="H369" t="n">
        <v>0</v>
      </c>
      <c r="I369" t="n">
        <v>0</v>
      </c>
      <c r="J369" t="n">
        <v>0</v>
      </c>
      <c r="K369" t="n">
        <v>0</v>
      </c>
      <c r="L369" t="n">
        <v>0</v>
      </c>
      <c r="M369" t="n">
        <v>0</v>
      </c>
      <c r="N369" t="n">
        <v>0</v>
      </c>
      <c r="O369" t="n">
        <v>0</v>
      </c>
      <c r="P369" t="n">
        <v>0</v>
      </c>
      <c r="Q369" t="n">
        <v>0</v>
      </c>
      <c r="R369" s="2" t="inlineStr"/>
    </row>
    <row r="370" ht="15" customHeight="1">
      <c r="A370" t="inlineStr">
        <is>
          <t>A 9140-2025</t>
        </is>
      </c>
      <c r="B370" s="1" t="n">
        <v>45714.31533564815</v>
      </c>
      <c r="C370" s="1" t="n">
        <v>46190</v>
      </c>
      <c r="D370" t="inlineStr">
        <is>
          <t>ÖREBRO LÄN</t>
        </is>
      </c>
      <c r="E370" t="inlineStr">
        <is>
          <t>LINDESBERG</t>
        </is>
      </c>
      <c r="G370" t="n">
        <v>0.8</v>
      </c>
      <c r="H370" t="n">
        <v>0</v>
      </c>
      <c r="I370" t="n">
        <v>0</v>
      </c>
      <c r="J370" t="n">
        <v>0</v>
      </c>
      <c r="K370" t="n">
        <v>0</v>
      </c>
      <c r="L370" t="n">
        <v>0</v>
      </c>
      <c r="M370" t="n">
        <v>0</v>
      </c>
      <c r="N370" t="n">
        <v>0</v>
      </c>
      <c r="O370" t="n">
        <v>0</v>
      </c>
      <c r="P370" t="n">
        <v>0</v>
      </c>
      <c r="Q370" t="n">
        <v>0</v>
      </c>
      <c r="R370" s="2" t="inlineStr"/>
    </row>
    <row r="371" ht="15" customHeight="1">
      <c r="A371" t="inlineStr">
        <is>
          <t>A 19914-2024</t>
        </is>
      </c>
      <c r="B371" s="1" t="n">
        <v>45433.58099537037</v>
      </c>
      <c r="C371" s="1" t="n">
        <v>46190</v>
      </c>
      <c r="D371" t="inlineStr">
        <is>
          <t>ÖREBRO LÄN</t>
        </is>
      </c>
      <c r="E371" t="inlineStr">
        <is>
          <t>LINDESBERG</t>
        </is>
      </c>
      <c r="G371" t="n">
        <v>1.1</v>
      </c>
      <c r="H371" t="n">
        <v>0</v>
      </c>
      <c r="I371" t="n">
        <v>0</v>
      </c>
      <c r="J371" t="n">
        <v>0</v>
      </c>
      <c r="K371" t="n">
        <v>0</v>
      </c>
      <c r="L371" t="n">
        <v>0</v>
      </c>
      <c r="M371" t="n">
        <v>0</v>
      </c>
      <c r="N371" t="n">
        <v>0</v>
      </c>
      <c r="O371" t="n">
        <v>0</v>
      </c>
      <c r="P371" t="n">
        <v>0</v>
      </c>
      <c r="Q371" t="n">
        <v>0</v>
      </c>
      <c r="R371" s="2" t="inlineStr"/>
    </row>
    <row r="372" ht="15" customHeight="1">
      <c r="A372" t="inlineStr">
        <is>
          <t>A 8139-2023</t>
        </is>
      </c>
      <c r="B372" s="1" t="n">
        <v>44970</v>
      </c>
      <c r="C372" s="1" t="n">
        <v>46190</v>
      </c>
      <c r="D372" t="inlineStr">
        <is>
          <t>ÖREBRO LÄN</t>
        </is>
      </c>
      <c r="E372" t="inlineStr">
        <is>
          <t>LINDESBERG</t>
        </is>
      </c>
      <c r="G372" t="n">
        <v>3.6</v>
      </c>
      <c r="H372" t="n">
        <v>0</v>
      </c>
      <c r="I372" t="n">
        <v>0</v>
      </c>
      <c r="J372" t="n">
        <v>0</v>
      </c>
      <c r="K372" t="n">
        <v>0</v>
      </c>
      <c r="L372" t="n">
        <v>0</v>
      </c>
      <c r="M372" t="n">
        <v>0</v>
      </c>
      <c r="N372" t="n">
        <v>0</v>
      </c>
      <c r="O372" t="n">
        <v>0</v>
      </c>
      <c r="P372" t="n">
        <v>0</v>
      </c>
      <c r="Q372" t="n">
        <v>0</v>
      </c>
      <c r="R372" s="2" t="inlineStr"/>
    </row>
    <row r="373" ht="15" customHeight="1">
      <c r="A373" t="inlineStr">
        <is>
          <t>A 55631-2022</t>
        </is>
      </c>
      <c r="B373" s="1" t="n">
        <v>44888.4577662037</v>
      </c>
      <c r="C373" s="1" t="n">
        <v>46190</v>
      </c>
      <c r="D373" t="inlineStr">
        <is>
          <t>ÖREBRO LÄN</t>
        </is>
      </c>
      <c r="E373" t="inlineStr">
        <is>
          <t>LINDESBERG</t>
        </is>
      </c>
      <c r="G373" t="n">
        <v>4.4</v>
      </c>
      <c r="H373" t="n">
        <v>0</v>
      </c>
      <c r="I373" t="n">
        <v>0</v>
      </c>
      <c r="J373" t="n">
        <v>0</v>
      </c>
      <c r="K373" t="n">
        <v>0</v>
      </c>
      <c r="L373" t="n">
        <v>0</v>
      </c>
      <c r="M373" t="n">
        <v>0</v>
      </c>
      <c r="N373" t="n">
        <v>0</v>
      </c>
      <c r="O373" t="n">
        <v>0</v>
      </c>
      <c r="P373" t="n">
        <v>0</v>
      </c>
      <c r="Q373" t="n">
        <v>0</v>
      </c>
      <c r="R373" s="2" t="inlineStr"/>
    </row>
    <row r="374" ht="15" customHeight="1">
      <c r="A374" t="inlineStr">
        <is>
          <t>A 265-2023</t>
        </is>
      </c>
      <c r="B374" s="1" t="n">
        <v>44928</v>
      </c>
      <c r="C374" s="1" t="n">
        <v>46190</v>
      </c>
      <c r="D374" t="inlineStr">
        <is>
          <t>ÖREBRO LÄN</t>
        </is>
      </c>
      <c r="E374" t="inlineStr">
        <is>
          <t>LINDESBERG</t>
        </is>
      </c>
      <c r="G374" t="n">
        <v>2.4</v>
      </c>
      <c r="H374" t="n">
        <v>0</v>
      </c>
      <c r="I374" t="n">
        <v>0</v>
      </c>
      <c r="J374" t="n">
        <v>0</v>
      </c>
      <c r="K374" t="n">
        <v>0</v>
      </c>
      <c r="L374" t="n">
        <v>0</v>
      </c>
      <c r="M374" t="n">
        <v>0</v>
      </c>
      <c r="N374" t="n">
        <v>0</v>
      </c>
      <c r="O374" t="n">
        <v>0</v>
      </c>
      <c r="P374" t="n">
        <v>0</v>
      </c>
      <c r="Q374" t="n">
        <v>0</v>
      </c>
      <c r="R374" s="2" t="inlineStr"/>
    </row>
    <row r="375" ht="15" customHeight="1">
      <c r="A375" t="inlineStr">
        <is>
          <t>A 60115-2022</t>
        </is>
      </c>
      <c r="B375" s="1" t="n">
        <v>44902</v>
      </c>
      <c r="C375" s="1" t="n">
        <v>46190</v>
      </c>
      <c r="D375" t="inlineStr">
        <is>
          <t>ÖREBRO LÄN</t>
        </is>
      </c>
      <c r="E375" t="inlineStr">
        <is>
          <t>LINDESBERG</t>
        </is>
      </c>
      <c r="G375" t="n">
        <v>0.5</v>
      </c>
      <c r="H375" t="n">
        <v>0</v>
      </c>
      <c r="I375" t="n">
        <v>0</v>
      </c>
      <c r="J375" t="n">
        <v>0</v>
      </c>
      <c r="K375" t="n">
        <v>0</v>
      </c>
      <c r="L375" t="n">
        <v>0</v>
      </c>
      <c r="M375" t="n">
        <v>0</v>
      </c>
      <c r="N375" t="n">
        <v>0</v>
      </c>
      <c r="O375" t="n">
        <v>0</v>
      </c>
      <c r="P375" t="n">
        <v>0</v>
      </c>
      <c r="Q375" t="n">
        <v>0</v>
      </c>
      <c r="R375" s="2" t="inlineStr"/>
    </row>
    <row r="376" ht="15" customHeight="1">
      <c r="A376" t="inlineStr">
        <is>
          <t>A 53168-2023</t>
        </is>
      </c>
      <c r="B376" s="1" t="n">
        <v>45229</v>
      </c>
      <c r="C376" s="1" t="n">
        <v>46190</v>
      </c>
      <c r="D376" t="inlineStr">
        <is>
          <t>ÖREBRO LÄN</t>
        </is>
      </c>
      <c r="E376" t="inlineStr">
        <is>
          <t>LINDESBERG</t>
        </is>
      </c>
      <c r="G376" t="n">
        <v>1.5</v>
      </c>
      <c r="H376" t="n">
        <v>0</v>
      </c>
      <c r="I376" t="n">
        <v>0</v>
      </c>
      <c r="J376" t="n">
        <v>0</v>
      </c>
      <c r="K376" t="n">
        <v>0</v>
      </c>
      <c r="L376" t="n">
        <v>0</v>
      </c>
      <c r="M376" t="n">
        <v>0</v>
      </c>
      <c r="N376" t="n">
        <v>0</v>
      </c>
      <c r="O376" t="n">
        <v>0</v>
      </c>
      <c r="P376" t="n">
        <v>0</v>
      </c>
      <c r="Q376" t="n">
        <v>0</v>
      </c>
      <c r="R376" s="2" t="inlineStr"/>
    </row>
    <row r="377" ht="15" customHeight="1">
      <c r="A377" t="inlineStr">
        <is>
          <t>A 29975-2023</t>
        </is>
      </c>
      <c r="B377" s="1" t="n">
        <v>45108.7553587963</v>
      </c>
      <c r="C377" s="1" t="n">
        <v>46190</v>
      </c>
      <c r="D377" t="inlineStr">
        <is>
          <t>ÖREBRO LÄN</t>
        </is>
      </c>
      <c r="E377" t="inlineStr">
        <is>
          <t>LINDESBERG</t>
        </is>
      </c>
      <c r="G377" t="n">
        <v>6.4</v>
      </c>
      <c r="H377" t="n">
        <v>0</v>
      </c>
      <c r="I377" t="n">
        <v>0</v>
      </c>
      <c r="J377" t="n">
        <v>0</v>
      </c>
      <c r="K377" t="n">
        <v>0</v>
      </c>
      <c r="L377" t="n">
        <v>0</v>
      </c>
      <c r="M377" t="n">
        <v>0</v>
      </c>
      <c r="N377" t="n">
        <v>0</v>
      </c>
      <c r="O377" t="n">
        <v>0</v>
      </c>
      <c r="P377" t="n">
        <v>0</v>
      </c>
      <c r="Q377" t="n">
        <v>0</v>
      </c>
      <c r="R377" s="2" t="inlineStr"/>
    </row>
    <row r="378" ht="15" customHeight="1">
      <c r="A378" t="inlineStr">
        <is>
          <t>A 36748-2024</t>
        </is>
      </c>
      <c r="B378" s="1" t="n">
        <v>45538.34460648148</v>
      </c>
      <c r="C378" s="1" t="n">
        <v>46190</v>
      </c>
      <c r="D378" t="inlineStr">
        <is>
          <t>ÖREBRO LÄN</t>
        </is>
      </c>
      <c r="E378" t="inlineStr">
        <is>
          <t>LINDESBERG</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27296-2025</t>
        </is>
      </c>
      <c r="B379" s="1" t="n">
        <v>45812.56952546296</v>
      </c>
      <c r="C379" s="1" t="n">
        <v>46190</v>
      </c>
      <c r="D379" t="inlineStr">
        <is>
          <t>ÖREBRO LÄN</t>
        </is>
      </c>
      <c r="E379" t="inlineStr">
        <is>
          <t>LINDESBERG</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64427-2021</t>
        </is>
      </c>
      <c r="B380" s="1" t="n">
        <v>44511</v>
      </c>
      <c r="C380" s="1" t="n">
        <v>46190</v>
      </c>
      <c r="D380" t="inlineStr">
        <is>
          <t>ÖREBRO LÄN</t>
        </is>
      </c>
      <c r="E380" t="inlineStr">
        <is>
          <t>LINDESBERG</t>
        </is>
      </c>
      <c r="G380" t="n">
        <v>2.2</v>
      </c>
      <c r="H380" t="n">
        <v>0</v>
      </c>
      <c r="I380" t="n">
        <v>0</v>
      </c>
      <c r="J380" t="n">
        <v>0</v>
      </c>
      <c r="K380" t="n">
        <v>0</v>
      </c>
      <c r="L380" t="n">
        <v>0</v>
      </c>
      <c r="M380" t="n">
        <v>0</v>
      </c>
      <c r="N380" t="n">
        <v>0</v>
      </c>
      <c r="O380" t="n">
        <v>0</v>
      </c>
      <c r="P380" t="n">
        <v>0</v>
      </c>
      <c r="Q380" t="n">
        <v>0</v>
      </c>
      <c r="R380" s="2" t="inlineStr"/>
    </row>
    <row r="381" ht="15" customHeight="1">
      <c r="A381" t="inlineStr">
        <is>
          <t>A 40905-2023</t>
        </is>
      </c>
      <c r="B381" s="1" t="n">
        <v>45173.39315972223</v>
      </c>
      <c r="C381" s="1" t="n">
        <v>46190</v>
      </c>
      <c r="D381" t="inlineStr">
        <is>
          <t>ÖREBRO LÄN</t>
        </is>
      </c>
      <c r="E381" t="inlineStr">
        <is>
          <t>LINDESBERG</t>
        </is>
      </c>
      <c r="G381" t="n">
        <v>0.5</v>
      </c>
      <c r="H381" t="n">
        <v>0</v>
      </c>
      <c r="I381" t="n">
        <v>0</v>
      </c>
      <c r="J381" t="n">
        <v>0</v>
      </c>
      <c r="K381" t="n">
        <v>0</v>
      </c>
      <c r="L381" t="n">
        <v>0</v>
      </c>
      <c r="M381" t="n">
        <v>0</v>
      </c>
      <c r="N381" t="n">
        <v>0</v>
      </c>
      <c r="O381" t="n">
        <v>0</v>
      </c>
      <c r="P381" t="n">
        <v>0</v>
      </c>
      <c r="Q381" t="n">
        <v>0</v>
      </c>
      <c r="R381" s="2" t="inlineStr"/>
    </row>
    <row r="382" ht="15" customHeight="1">
      <c r="A382" t="inlineStr">
        <is>
          <t>A 53352-2023</t>
        </is>
      </c>
      <c r="B382" s="1" t="n">
        <v>45229.66262731481</v>
      </c>
      <c r="C382" s="1" t="n">
        <v>46190</v>
      </c>
      <c r="D382" t="inlineStr">
        <is>
          <t>ÖREBRO LÄN</t>
        </is>
      </c>
      <c r="E382" t="inlineStr">
        <is>
          <t>LINDESBERG</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40347-2025</t>
        </is>
      </c>
      <c r="B383" s="1" t="n">
        <v>45895.4790625</v>
      </c>
      <c r="C383" s="1" t="n">
        <v>46190</v>
      </c>
      <c r="D383" t="inlineStr">
        <is>
          <t>ÖREBRO LÄN</t>
        </is>
      </c>
      <c r="E383" t="inlineStr">
        <is>
          <t>LINDESBERG</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40346-2025</t>
        </is>
      </c>
      <c r="B384" s="1" t="n">
        <v>45895.47704861111</v>
      </c>
      <c r="C384" s="1" t="n">
        <v>46190</v>
      </c>
      <c r="D384" t="inlineStr">
        <is>
          <t>ÖREBRO LÄN</t>
        </is>
      </c>
      <c r="E384" t="inlineStr">
        <is>
          <t>LINDESBERG</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40085-2023</t>
        </is>
      </c>
      <c r="B385" s="1" t="n">
        <v>45168.92155092592</v>
      </c>
      <c r="C385" s="1" t="n">
        <v>46190</v>
      </c>
      <c r="D385" t="inlineStr">
        <is>
          <t>ÖREBRO LÄN</t>
        </is>
      </c>
      <c r="E385" t="inlineStr">
        <is>
          <t>LINDESBERG</t>
        </is>
      </c>
      <c r="G385" t="n">
        <v>6.1</v>
      </c>
      <c r="H385" t="n">
        <v>0</v>
      </c>
      <c r="I385" t="n">
        <v>0</v>
      </c>
      <c r="J385" t="n">
        <v>0</v>
      </c>
      <c r="K385" t="n">
        <v>0</v>
      </c>
      <c r="L385" t="n">
        <v>0</v>
      </c>
      <c r="M385" t="n">
        <v>0</v>
      </c>
      <c r="N385" t="n">
        <v>0</v>
      </c>
      <c r="O385" t="n">
        <v>0</v>
      </c>
      <c r="P385" t="n">
        <v>0</v>
      </c>
      <c r="Q385" t="n">
        <v>0</v>
      </c>
      <c r="R385" s="2" t="inlineStr"/>
    </row>
    <row r="386" ht="15" customHeight="1">
      <c r="A386" t="inlineStr">
        <is>
          <t>A 40117-2023</t>
        </is>
      </c>
      <c r="B386" s="1" t="n">
        <v>45168.94197916667</v>
      </c>
      <c r="C386" s="1" t="n">
        <v>46190</v>
      </c>
      <c r="D386" t="inlineStr">
        <is>
          <t>ÖREBRO LÄN</t>
        </is>
      </c>
      <c r="E386" t="inlineStr">
        <is>
          <t>LINDESBERG</t>
        </is>
      </c>
      <c r="G386" t="n">
        <v>2.3</v>
      </c>
      <c r="H386" t="n">
        <v>0</v>
      </c>
      <c r="I386" t="n">
        <v>0</v>
      </c>
      <c r="J386" t="n">
        <v>0</v>
      </c>
      <c r="K386" t="n">
        <v>0</v>
      </c>
      <c r="L386" t="n">
        <v>0</v>
      </c>
      <c r="M386" t="n">
        <v>0</v>
      </c>
      <c r="N386" t="n">
        <v>0</v>
      </c>
      <c r="O386" t="n">
        <v>0</v>
      </c>
      <c r="P386" t="n">
        <v>0</v>
      </c>
      <c r="Q386" t="n">
        <v>0</v>
      </c>
      <c r="R386" s="2" t="inlineStr"/>
    </row>
    <row r="387" ht="15" customHeight="1">
      <c r="A387" t="inlineStr">
        <is>
          <t>A 28040-2025</t>
        </is>
      </c>
      <c r="B387" s="1" t="n">
        <v>45817.6455324074</v>
      </c>
      <c r="C387" s="1" t="n">
        <v>46190</v>
      </c>
      <c r="D387" t="inlineStr">
        <is>
          <t>ÖREBRO LÄN</t>
        </is>
      </c>
      <c r="E387" t="inlineStr">
        <is>
          <t>LINDESBERG</t>
        </is>
      </c>
      <c r="G387" t="n">
        <v>1.4</v>
      </c>
      <c r="H387" t="n">
        <v>0</v>
      </c>
      <c r="I387" t="n">
        <v>0</v>
      </c>
      <c r="J387" t="n">
        <v>0</v>
      </c>
      <c r="K387" t="n">
        <v>0</v>
      </c>
      <c r="L387" t="n">
        <v>0</v>
      </c>
      <c r="M387" t="n">
        <v>0</v>
      </c>
      <c r="N387" t="n">
        <v>0</v>
      </c>
      <c r="O387" t="n">
        <v>0</v>
      </c>
      <c r="P387" t="n">
        <v>0</v>
      </c>
      <c r="Q387" t="n">
        <v>0</v>
      </c>
      <c r="R387" s="2" t="inlineStr"/>
    </row>
    <row r="388" ht="15" customHeight="1">
      <c r="A388" t="inlineStr">
        <is>
          <t>A 21390-2024</t>
        </is>
      </c>
      <c r="B388" s="1" t="n">
        <v>45441.30899305556</v>
      </c>
      <c r="C388" s="1" t="n">
        <v>46190</v>
      </c>
      <c r="D388" t="inlineStr">
        <is>
          <t>ÖREBRO LÄN</t>
        </is>
      </c>
      <c r="E388" t="inlineStr">
        <is>
          <t>LINDESBERG</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21392-2024</t>
        </is>
      </c>
      <c r="B389" s="1" t="n">
        <v>45441.30998842593</v>
      </c>
      <c r="C389" s="1" t="n">
        <v>46190</v>
      </c>
      <c r="D389" t="inlineStr">
        <is>
          <t>ÖREBRO LÄN</t>
        </is>
      </c>
      <c r="E389" t="inlineStr">
        <is>
          <t>LINDESBERG</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9966-2023</t>
        </is>
      </c>
      <c r="B390" s="1" t="n">
        <v>44979</v>
      </c>
      <c r="C390" s="1" t="n">
        <v>46190</v>
      </c>
      <c r="D390" t="inlineStr">
        <is>
          <t>ÖREBRO LÄN</t>
        </is>
      </c>
      <c r="E390" t="inlineStr">
        <is>
          <t>LINDESBERG</t>
        </is>
      </c>
      <c r="G390" t="n">
        <v>4.1</v>
      </c>
      <c r="H390" t="n">
        <v>0</v>
      </c>
      <c r="I390" t="n">
        <v>0</v>
      </c>
      <c r="J390" t="n">
        <v>0</v>
      </c>
      <c r="K390" t="n">
        <v>0</v>
      </c>
      <c r="L390" t="n">
        <v>0</v>
      </c>
      <c r="M390" t="n">
        <v>0</v>
      </c>
      <c r="N390" t="n">
        <v>0</v>
      </c>
      <c r="O390" t="n">
        <v>0</v>
      </c>
      <c r="P390" t="n">
        <v>0</v>
      </c>
      <c r="Q390" t="n">
        <v>0</v>
      </c>
      <c r="R390" s="2" t="inlineStr"/>
    </row>
    <row r="391" ht="15" customHeight="1">
      <c r="A391" t="inlineStr">
        <is>
          <t>A 6727-2022</t>
        </is>
      </c>
      <c r="B391" s="1" t="n">
        <v>44602.45490740741</v>
      </c>
      <c r="C391" s="1" t="n">
        <v>46190</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25012-2023</t>
        </is>
      </c>
      <c r="B392" s="1" t="n">
        <v>45085</v>
      </c>
      <c r="C392" s="1" t="n">
        <v>46190</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60941-2024</t>
        </is>
      </c>
      <c r="B393" s="1" t="n">
        <v>45645.3712037037</v>
      </c>
      <c r="C393" s="1" t="n">
        <v>46190</v>
      </c>
      <c r="D393" t="inlineStr">
        <is>
          <t>ÖREBRO LÄN</t>
        </is>
      </c>
      <c r="E393" t="inlineStr">
        <is>
          <t>LINDESBERG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13969-2025</t>
        </is>
      </c>
      <c r="B394" s="1" t="n">
        <v>45738.43714120371</v>
      </c>
      <c r="C394" s="1" t="n">
        <v>46190</v>
      </c>
      <c r="D394" t="inlineStr">
        <is>
          <t>ÖREBRO LÄN</t>
        </is>
      </c>
      <c r="E394" t="inlineStr">
        <is>
          <t>LINDESBERG</t>
        </is>
      </c>
      <c r="G394" t="n">
        <v>1.5</v>
      </c>
      <c r="H394" t="n">
        <v>0</v>
      </c>
      <c r="I394" t="n">
        <v>0</v>
      </c>
      <c r="J394" t="n">
        <v>0</v>
      </c>
      <c r="K394" t="n">
        <v>0</v>
      </c>
      <c r="L394" t="n">
        <v>0</v>
      </c>
      <c r="M394" t="n">
        <v>0</v>
      </c>
      <c r="N394" t="n">
        <v>0</v>
      </c>
      <c r="O394" t="n">
        <v>0</v>
      </c>
      <c r="P394" t="n">
        <v>0</v>
      </c>
      <c r="Q394" t="n">
        <v>0</v>
      </c>
      <c r="R394" s="2" t="inlineStr"/>
    </row>
    <row r="395" ht="15" customHeight="1">
      <c r="A395" t="inlineStr">
        <is>
          <t>A 40357-2025</t>
        </is>
      </c>
      <c r="B395" s="1" t="n">
        <v>45895.48927083334</v>
      </c>
      <c r="C395" s="1" t="n">
        <v>46190</v>
      </c>
      <c r="D395" t="inlineStr">
        <is>
          <t>ÖREBRO LÄN</t>
        </is>
      </c>
      <c r="E395" t="inlineStr">
        <is>
          <t>LINDESBERG</t>
        </is>
      </c>
      <c r="F395" t="inlineStr">
        <is>
          <t>Sveaskog</t>
        </is>
      </c>
      <c r="G395" t="n">
        <v>2.7</v>
      </c>
      <c r="H395" t="n">
        <v>0</v>
      </c>
      <c r="I395" t="n">
        <v>0</v>
      </c>
      <c r="J395" t="n">
        <v>0</v>
      </c>
      <c r="K395" t="n">
        <v>0</v>
      </c>
      <c r="L395" t="n">
        <v>0</v>
      </c>
      <c r="M395" t="n">
        <v>0</v>
      </c>
      <c r="N395" t="n">
        <v>0</v>
      </c>
      <c r="O395" t="n">
        <v>0</v>
      </c>
      <c r="P395" t="n">
        <v>0</v>
      </c>
      <c r="Q395" t="n">
        <v>0</v>
      </c>
      <c r="R395" s="2" t="inlineStr"/>
    </row>
    <row r="396" ht="15" customHeight="1">
      <c r="A396" t="inlineStr">
        <is>
          <t>A 28991-2025</t>
        </is>
      </c>
      <c r="B396" s="1" t="n">
        <v>45821.37199074074</v>
      </c>
      <c r="C396" s="1" t="n">
        <v>46190</v>
      </c>
      <c r="D396" t="inlineStr">
        <is>
          <t>ÖREBRO LÄN</t>
        </is>
      </c>
      <c r="E396" t="inlineStr">
        <is>
          <t>LINDESBERG</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56507-2021</t>
        </is>
      </c>
      <c r="B397" s="1" t="n">
        <v>44480.58034722223</v>
      </c>
      <c r="C397" s="1" t="n">
        <v>46190</v>
      </c>
      <c r="D397" t="inlineStr">
        <is>
          <t>ÖREBRO LÄN</t>
        </is>
      </c>
      <c r="E397" t="inlineStr">
        <is>
          <t>LINDESBERG</t>
        </is>
      </c>
      <c r="G397" t="n">
        <v>2.3</v>
      </c>
      <c r="H397" t="n">
        <v>0</v>
      </c>
      <c r="I397" t="n">
        <v>0</v>
      </c>
      <c r="J397" t="n">
        <v>0</v>
      </c>
      <c r="K397" t="n">
        <v>0</v>
      </c>
      <c r="L397" t="n">
        <v>0</v>
      </c>
      <c r="M397" t="n">
        <v>0</v>
      </c>
      <c r="N397" t="n">
        <v>0</v>
      </c>
      <c r="O397" t="n">
        <v>0</v>
      </c>
      <c r="P397" t="n">
        <v>0</v>
      </c>
      <c r="Q397" t="n">
        <v>0</v>
      </c>
      <c r="R397" s="2" t="inlineStr"/>
    </row>
    <row r="398" ht="15" customHeight="1">
      <c r="A398" t="inlineStr">
        <is>
          <t>A 53366-2023</t>
        </is>
      </c>
      <c r="B398" s="1" t="n">
        <v>45229</v>
      </c>
      <c r="C398" s="1" t="n">
        <v>46190</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42430-2024</t>
        </is>
      </c>
      <c r="B399" s="1" t="n">
        <v>45565.40700231482</v>
      </c>
      <c r="C399" s="1" t="n">
        <v>46190</v>
      </c>
      <c r="D399" t="inlineStr">
        <is>
          <t>ÖREBRO LÄN</t>
        </is>
      </c>
      <c r="E399" t="inlineStr">
        <is>
          <t>LINDESBERG</t>
        </is>
      </c>
      <c r="G399" t="n">
        <v>4</v>
      </c>
      <c r="H399" t="n">
        <v>0</v>
      </c>
      <c r="I399" t="n">
        <v>0</v>
      </c>
      <c r="J399" t="n">
        <v>0</v>
      </c>
      <c r="K399" t="n">
        <v>0</v>
      </c>
      <c r="L399" t="n">
        <v>0</v>
      </c>
      <c r="M399" t="n">
        <v>0</v>
      </c>
      <c r="N399" t="n">
        <v>0</v>
      </c>
      <c r="O399" t="n">
        <v>0</v>
      </c>
      <c r="P399" t="n">
        <v>0</v>
      </c>
      <c r="Q399" t="n">
        <v>0</v>
      </c>
      <c r="R399" s="2" t="inlineStr"/>
    </row>
    <row r="400" ht="15" customHeight="1">
      <c r="A400" t="inlineStr">
        <is>
          <t>A 30341-2025</t>
        </is>
      </c>
      <c r="B400" s="1" t="n">
        <v>45827.51862268519</v>
      </c>
      <c r="C400" s="1" t="n">
        <v>46190</v>
      </c>
      <c r="D400" t="inlineStr">
        <is>
          <t>ÖREBRO LÄN</t>
        </is>
      </c>
      <c r="E400" t="inlineStr">
        <is>
          <t>LINDESBERG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1354-2024</t>
        </is>
      </c>
      <c r="B401" s="1" t="n">
        <v>45303</v>
      </c>
      <c r="C401" s="1" t="n">
        <v>46190</v>
      </c>
      <c r="D401" t="inlineStr">
        <is>
          <t>ÖREBRO LÄN</t>
        </is>
      </c>
      <c r="E401" t="inlineStr">
        <is>
          <t>LINDESBERG</t>
        </is>
      </c>
      <c r="G401" t="n">
        <v>2.1</v>
      </c>
      <c r="H401" t="n">
        <v>0</v>
      </c>
      <c r="I401" t="n">
        <v>0</v>
      </c>
      <c r="J401" t="n">
        <v>0</v>
      </c>
      <c r="K401" t="n">
        <v>0</v>
      </c>
      <c r="L401" t="n">
        <v>0</v>
      </c>
      <c r="M401" t="n">
        <v>0</v>
      </c>
      <c r="N401" t="n">
        <v>0</v>
      </c>
      <c r="O401" t="n">
        <v>0</v>
      </c>
      <c r="P401" t="n">
        <v>0</v>
      </c>
      <c r="Q401" t="n">
        <v>0</v>
      </c>
      <c r="R401" s="2" t="inlineStr"/>
    </row>
    <row r="402" ht="15" customHeight="1">
      <c r="A402" t="inlineStr">
        <is>
          <t>A 27001-2024</t>
        </is>
      </c>
      <c r="B402" s="1" t="n">
        <v>45471.38995370371</v>
      </c>
      <c r="C402" s="1" t="n">
        <v>46190</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47069-2023</t>
        </is>
      </c>
      <c r="B403" s="1" t="n">
        <v>45201</v>
      </c>
      <c r="C403" s="1" t="n">
        <v>46190</v>
      </c>
      <c r="D403" t="inlineStr">
        <is>
          <t>ÖREBRO LÄN</t>
        </is>
      </c>
      <c r="E403" t="inlineStr">
        <is>
          <t>LINDESBERG</t>
        </is>
      </c>
      <c r="F403" t="inlineStr">
        <is>
          <t>Sveaskog</t>
        </is>
      </c>
      <c r="G403" t="n">
        <v>9.4</v>
      </c>
      <c r="H403" t="n">
        <v>0</v>
      </c>
      <c r="I403" t="n">
        <v>0</v>
      </c>
      <c r="J403" t="n">
        <v>0</v>
      </c>
      <c r="K403" t="n">
        <v>0</v>
      </c>
      <c r="L403" t="n">
        <v>0</v>
      </c>
      <c r="M403" t="n">
        <v>0</v>
      </c>
      <c r="N403" t="n">
        <v>0</v>
      </c>
      <c r="O403" t="n">
        <v>0</v>
      </c>
      <c r="P403" t="n">
        <v>0</v>
      </c>
      <c r="Q403" t="n">
        <v>0</v>
      </c>
      <c r="R403" s="2" t="inlineStr"/>
    </row>
    <row r="404" ht="15" customHeight="1">
      <c r="A404" t="inlineStr">
        <is>
          <t>A 47074-2023</t>
        </is>
      </c>
      <c r="B404" s="1" t="n">
        <v>45201.60283564815</v>
      </c>
      <c r="C404" s="1" t="n">
        <v>46190</v>
      </c>
      <c r="D404" t="inlineStr">
        <is>
          <t>ÖREBRO LÄN</t>
        </is>
      </c>
      <c r="E404" t="inlineStr">
        <is>
          <t>LINDESBERG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4997-2024</t>
        </is>
      </c>
      <c r="B405" s="1" t="n">
        <v>45329</v>
      </c>
      <c r="C405" s="1" t="n">
        <v>46190</v>
      </c>
      <c r="D405" t="inlineStr">
        <is>
          <t>ÖREBRO LÄN</t>
        </is>
      </c>
      <c r="E405" t="inlineStr">
        <is>
          <t>LINDESBERG</t>
        </is>
      </c>
      <c r="F405" t="inlineStr">
        <is>
          <t>BillerudKorsnäs AB</t>
        </is>
      </c>
      <c r="G405" t="n">
        <v>3</v>
      </c>
      <c r="H405" t="n">
        <v>0</v>
      </c>
      <c r="I405" t="n">
        <v>0</v>
      </c>
      <c r="J405" t="n">
        <v>0</v>
      </c>
      <c r="K405" t="n">
        <v>0</v>
      </c>
      <c r="L405" t="n">
        <v>0</v>
      </c>
      <c r="M405" t="n">
        <v>0</v>
      </c>
      <c r="N405" t="n">
        <v>0</v>
      </c>
      <c r="O405" t="n">
        <v>0</v>
      </c>
      <c r="P405" t="n">
        <v>0</v>
      </c>
      <c r="Q405" t="n">
        <v>0</v>
      </c>
      <c r="R405" s="2" t="inlineStr"/>
    </row>
    <row r="406" ht="15" customHeight="1">
      <c r="A406" t="inlineStr">
        <is>
          <t>A 33284-2024</t>
        </is>
      </c>
      <c r="B406" s="1" t="n">
        <v>45518.71721064814</v>
      </c>
      <c r="C406" s="1" t="n">
        <v>46190</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26067-2022</t>
        </is>
      </c>
      <c r="B407" s="1" t="n">
        <v>44734.64337962963</v>
      </c>
      <c r="C407" s="1" t="n">
        <v>46190</v>
      </c>
      <c r="D407" t="inlineStr">
        <is>
          <t>ÖREBRO LÄN</t>
        </is>
      </c>
      <c r="E407" t="inlineStr">
        <is>
          <t>LINDESBERG</t>
        </is>
      </c>
      <c r="G407" t="n">
        <v>3.1</v>
      </c>
      <c r="H407" t="n">
        <v>0</v>
      </c>
      <c r="I407" t="n">
        <v>0</v>
      </c>
      <c r="J407" t="n">
        <v>0</v>
      </c>
      <c r="K407" t="n">
        <v>0</v>
      </c>
      <c r="L407" t="n">
        <v>0</v>
      </c>
      <c r="M407" t="n">
        <v>0</v>
      </c>
      <c r="N407" t="n">
        <v>0</v>
      </c>
      <c r="O407" t="n">
        <v>0</v>
      </c>
      <c r="P407" t="n">
        <v>0</v>
      </c>
      <c r="Q407" t="n">
        <v>0</v>
      </c>
      <c r="R407" s="2" t="inlineStr"/>
    </row>
    <row r="408" ht="15" customHeight="1">
      <c r="A408" t="inlineStr">
        <is>
          <t>A 59395-2022</t>
        </is>
      </c>
      <c r="B408" s="1" t="n">
        <v>44906.73321759259</v>
      </c>
      <c r="C408" s="1" t="n">
        <v>46190</v>
      </c>
      <c r="D408" t="inlineStr">
        <is>
          <t>ÖREBRO LÄN</t>
        </is>
      </c>
      <c r="E408" t="inlineStr">
        <is>
          <t>LINDESBERG</t>
        </is>
      </c>
      <c r="G408" t="n">
        <v>4.3</v>
      </c>
      <c r="H408" t="n">
        <v>0</v>
      </c>
      <c r="I408" t="n">
        <v>0</v>
      </c>
      <c r="J408" t="n">
        <v>0</v>
      </c>
      <c r="K408" t="n">
        <v>0</v>
      </c>
      <c r="L408" t="n">
        <v>0</v>
      </c>
      <c r="M408" t="n">
        <v>0</v>
      </c>
      <c r="N408" t="n">
        <v>0</v>
      </c>
      <c r="O408" t="n">
        <v>0</v>
      </c>
      <c r="P408" t="n">
        <v>0</v>
      </c>
      <c r="Q408" t="n">
        <v>0</v>
      </c>
      <c r="R408" s="2" t="inlineStr"/>
    </row>
    <row r="409" ht="15" customHeight="1">
      <c r="A409" t="inlineStr">
        <is>
          <t>A 30340-2025</t>
        </is>
      </c>
      <c r="B409" s="1" t="n">
        <v>45827.51753472222</v>
      </c>
      <c r="C409" s="1" t="n">
        <v>46190</v>
      </c>
      <c r="D409" t="inlineStr">
        <is>
          <t>ÖREBRO LÄN</t>
        </is>
      </c>
      <c r="E409" t="inlineStr">
        <is>
          <t>LINDESBERG</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38696-2024</t>
        </is>
      </c>
      <c r="B410" s="1" t="n">
        <v>45547.36590277778</v>
      </c>
      <c r="C410" s="1" t="n">
        <v>46190</v>
      </c>
      <c r="D410" t="inlineStr">
        <is>
          <t>ÖREBRO LÄN</t>
        </is>
      </c>
      <c r="E410" t="inlineStr">
        <is>
          <t>LINDESBERG</t>
        </is>
      </c>
      <c r="G410" t="n">
        <v>2</v>
      </c>
      <c r="H410" t="n">
        <v>0</v>
      </c>
      <c r="I410" t="n">
        <v>0</v>
      </c>
      <c r="J410" t="n">
        <v>0</v>
      </c>
      <c r="K410" t="n">
        <v>0</v>
      </c>
      <c r="L410" t="n">
        <v>0</v>
      </c>
      <c r="M410" t="n">
        <v>0</v>
      </c>
      <c r="N410" t="n">
        <v>0</v>
      </c>
      <c r="O410" t="n">
        <v>0</v>
      </c>
      <c r="P410" t="n">
        <v>0</v>
      </c>
      <c r="Q410" t="n">
        <v>0</v>
      </c>
      <c r="R410" s="2" t="inlineStr"/>
    </row>
    <row r="411" ht="15" customHeight="1">
      <c r="A411" t="inlineStr">
        <is>
          <t>A 19043-2023</t>
        </is>
      </c>
      <c r="B411" s="1" t="n">
        <v>45047.7181712963</v>
      </c>
      <c r="C411" s="1" t="n">
        <v>46190</v>
      </c>
      <c r="D411" t="inlineStr">
        <is>
          <t>ÖREBRO LÄN</t>
        </is>
      </c>
      <c r="E411" t="inlineStr">
        <is>
          <t>LINDESBERG</t>
        </is>
      </c>
      <c r="G411" t="n">
        <v>2.6</v>
      </c>
      <c r="H411" t="n">
        <v>0</v>
      </c>
      <c r="I411" t="n">
        <v>0</v>
      </c>
      <c r="J411" t="n">
        <v>0</v>
      </c>
      <c r="K411" t="n">
        <v>0</v>
      </c>
      <c r="L411" t="n">
        <v>0</v>
      </c>
      <c r="M411" t="n">
        <v>0</v>
      </c>
      <c r="N411" t="n">
        <v>0</v>
      </c>
      <c r="O411" t="n">
        <v>0</v>
      </c>
      <c r="P411" t="n">
        <v>0</v>
      </c>
      <c r="Q411" t="n">
        <v>0</v>
      </c>
      <c r="R411" s="2" t="inlineStr"/>
    </row>
    <row r="412" ht="15" customHeight="1">
      <c r="A412" t="inlineStr">
        <is>
          <t>A 19219-2023</t>
        </is>
      </c>
      <c r="B412" s="1" t="n">
        <v>45048</v>
      </c>
      <c r="C412" s="1" t="n">
        <v>46190</v>
      </c>
      <c r="D412" t="inlineStr">
        <is>
          <t>ÖREBRO LÄN</t>
        </is>
      </c>
      <c r="E412" t="inlineStr">
        <is>
          <t>LINDESBERG</t>
        </is>
      </c>
      <c r="G412" t="n">
        <v>1</v>
      </c>
      <c r="H412" t="n">
        <v>0</v>
      </c>
      <c r="I412" t="n">
        <v>0</v>
      </c>
      <c r="J412" t="n">
        <v>0</v>
      </c>
      <c r="K412" t="n">
        <v>0</v>
      </c>
      <c r="L412" t="n">
        <v>0</v>
      </c>
      <c r="M412" t="n">
        <v>0</v>
      </c>
      <c r="N412" t="n">
        <v>0</v>
      </c>
      <c r="O412" t="n">
        <v>0</v>
      </c>
      <c r="P412" t="n">
        <v>0</v>
      </c>
      <c r="Q412" t="n">
        <v>0</v>
      </c>
      <c r="R412" s="2" t="inlineStr"/>
    </row>
    <row r="413" ht="15" customHeight="1">
      <c r="A413" t="inlineStr">
        <is>
          <t>A 1742-2022</t>
        </is>
      </c>
      <c r="B413" s="1" t="n">
        <v>44574.50425925926</v>
      </c>
      <c r="C413" s="1" t="n">
        <v>46190</v>
      </c>
      <c r="D413" t="inlineStr">
        <is>
          <t>ÖREBRO LÄN</t>
        </is>
      </c>
      <c r="E413" t="inlineStr">
        <is>
          <t>LINDESBERG</t>
        </is>
      </c>
      <c r="G413" t="n">
        <v>0.9</v>
      </c>
      <c r="H413" t="n">
        <v>0</v>
      </c>
      <c r="I413" t="n">
        <v>0</v>
      </c>
      <c r="J413" t="n">
        <v>0</v>
      </c>
      <c r="K413" t="n">
        <v>0</v>
      </c>
      <c r="L413" t="n">
        <v>0</v>
      </c>
      <c r="M413" t="n">
        <v>0</v>
      </c>
      <c r="N413" t="n">
        <v>0</v>
      </c>
      <c r="O413" t="n">
        <v>0</v>
      </c>
      <c r="P413" t="n">
        <v>0</v>
      </c>
      <c r="Q413" t="n">
        <v>0</v>
      </c>
      <c r="R413" s="2" t="inlineStr"/>
    </row>
    <row r="414" ht="15" customHeight="1">
      <c r="A414" t="inlineStr">
        <is>
          <t>A 41343-2021</t>
        </is>
      </c>
      <c r="B414" s="1" t="n">
        <v>44424.61709490741</v>
      </c>
      <c r="C414" s="1" t="n">
        <v>46190</v>
      </c>
      <c r="D414" t="inlineStr">
        <is>
          <t>ÖREBRO LÄN</t>
        </is>
      </c>
      <c r="E414" t="inlineStr">
        <is>
          <t>LINDESBERG</t>
        </is>
      </c>
      <c r="G414" t="n">
        <v>8.9</v>
      </c>
      <c r="H414" t="n">
        <v>0</v>
      </c>
      <c r="I414" t="n">
        <v>0</v>
      </c>
      <c r="J414" t="n">
        <v>0</v>
      </c>
      <c r="K414" t="n">
        <v>0</v>
      </c>
      <c r="L414" t="n">
        <v>0</v>
      </c>
      <c r="M414" t="n">
        <v>0</v>
      </c>
      <c r="N414" t="n">
        <v>0</v>
      </c>
      <c r="O414" t="n">
        <v>0</v>
      </c>
      <c r="P414" t="n">
        <v>0</v>
      </c>
      <c r="Q414" t="n">
        <v>0</v>
      </c>
      <c r="R414" s="2" t="inlineStr"/>
    </row>
    <row r="415" ht="15" customHeight="1">
      <c r="A415" t="inlineStr">
        <is>
          <t>A 30339-2025</t>
        </is>
      </c>
      <c r="B415" s="1" t="n">
        <v>45827.51628472222</v>
      </c>
      <c r="C415" s="1" t="n">
        <v>46190</v>
      </c>
      <c r="D415" t="inlineStr">
        <is>
          <t>ÖREBRO LÄN</t>
        </is>
      </c>
      <c r="E415" t="inlineStr">
        <is>
          <t>LINDESBERG</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43416-2024</t>
        </is>
      </c>
      <c r="B416" s="1" t="n">
        <v>45568.62625</v>
      </c>
      <c r="C416" s="1" t="n">
        <v>46190</v>
      </c>
      <c r="D416" t="inlineStr">
        <is>
          <t>ÖREBRO LÄN</t>
        </is>
      </c>
      <c r="E416" t="inlineStr">
        <is>
          <t>LINDESBERG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34029-2024</t>
        </is>
      </c>
      <c r="B417" s="1" t="n">
        <v>45523</v>
      </c>
      <c r="C417" s="1" t="n">
        <v>46190</v>
      </c>
      <c r="D417" t="inlineStr">
        <is>
          <t>ÖREBRO LÄN</t>
        </is>
      </c>
      <c r="E417" t="inlineStr">
        <is>
          <t>LINDESBERG</t>
        </is>
      </c>
      <c r="G417" t="n">
        <v>1.9</v>
      </c>
      <c r="H417" t="n">
        <v>0</v>
      </c>
      <c r="I417" t="n">
        <v>0</v>
      </c>
      <c r="J417" t="n">
        <v>0</v>
      </c>
      <c r="K417" t="n">
        <v>0</v>
      </c>
      <c r="L417" t="n">
        <v>0</v>
      </c>
      <c r="M417" t="n">
        <v>0</v>
      </c>
      <c r="N417" t="n">
        <v>0</v>
      </c>
      <c r="O417" t="n">
        <v>0</v>
      </c>
      <c r="P417" t="n">
        <v>0</v>
      </c>
      <c r="Q417" t="n">
        <v>0</v>
      </c>
      <c r="R417" s="2" t="inlineStr"/>
    </row>
    <row r="418" ht="15" customHeight="1">
      <c r="A418" t="inlineStr">
        <is>
          <t>A 10654-2023</t>
        </is>
      </c>
      <c r="B418" s="1" t="n">
        <v>44984</v>
      </c>
      <c r="C418" s="1" t="n">
        <v>46190</v>
      </c>
      <c r="D418" t="inlineStr">
        <is>
          <t>ÖREBRO LÄN</t>
        </is>
      </c>
      <c r="E418" t="inlineStr">
        <is>
          <t>LINDESBERG</t>
        </is>
      </c>
      <c r="G418" t="n">
        <v>1.2</v>
      </c>
      <c r="H418" t="n">
        <v>0</v>
      </c>
      <c r="I418" t="n">
        <v>0</v>
      </c>
      <c r="J418" t="n">
        <v>0</v>
      </c>
      <c r="K418" t="n">
        <v>0</v>
      </c>
      <c r="L418" t="n">
        <v>0</v>
      </c>
      <c r="M418" t="n">
        <v>0</v>
      </c>
      <c r="N418" t="n">
        <v>0</v>
      </c>
      <c r="O418" t="n">
        <v>0</v>
      </c>
      <c r="P418" t="n">
        <v>0</v>
      </c>
      <c r="Q418" t="n">
        <v>0</v>
      </c>
      <c r="R418" s="2" t="inlineStr"/>
    </row>
    <row r="419" ht="15" customHeight="1">
      <c r="A419" t="inlineStr">
        <is>
          <t>A 63125-2023</t>
        </is>
      </c>
      <c r="B419" s="1" t="n">
        <v>45273</v>
      </c>
      <c r="C419" s="1" t="n">
        <v>46190</v>
      </c>
      <c r="D419" t="inlineStr">
        <is>
          <t>ÖREBRO LÄN</t>
        </is>
      </c>
      <c r="E419" t="inlineStr">
        <is>
          <t>LINDESBERG</t>
        </is>
      </c>
      <c r="G419" t="n">
        <v>1.7</v>
      </c>
      <c r="H419" t="n">
        <v>0</v>
      </c>
      <c r="I419" t="n">
        <v>0</v>
      </c>
      <c r="J419" t="n">
        <v>0</v>
      </c>
      <c r="K419" t="n">
        <v>0</v>
      </c>
      <c r="L419" t="n">
        <v>0</v>
      </c>
      <c r="M419" t="n">
        <v>0</v>
      </c>
      <c r="N419" t="n">
        <v>0</v>
      </c>
      <c r="O419" t="n">
        <v>0</v>
      </c>
      <c r="P419" t="n">
        <v>0</v>
      </c>
      <c r="Q419" t="n">
        <v>0</v>
      </c>
      <c r="R419" s="2" t="inlineStr"/>
    </row>
    <row r="420" ht="15" customHeight="1">
      <c r="A420" t="inlineStr">
        <is>
          <t>A 52928-2024</t>
        </is>
      </c>
      <c r="B420" s="1" t="n">
        <v>45610</v>
      </c>
      <c r="C420" s="1" t="n">
        <v>46190</v>
      </c>
      <c r="D420" t="inlineStr">
        <is>
          <t>ÖREBRO LÄN</t>
        </is>
      </c>
      <c r="E420" t="inlineStr">
        <is>
          <t>LINDESBERG</t>
        </is>
      </c>
      <c r="G420" t="n">
        <v>8.6</v>
      </c>
      <c r="H420" t="n">
        <v>0</v>
      </c>
      <c r="I420" t="n">
        <v>0</v>
      </c>
      <c r="J420" t="n">
        <v>0</v>
      </c>
      <c r="K420" t="n">
        <v>0</v>
      </c>
      <c r="L420" t="n">
        <v>0</v>
      </c>
      <c r="M420" t="n">
        <v>0</v>
      </c>
      <c r="N420" t="n">
        <v>0</v>
      </c>
      <c r="O420" t="n">
        <v>0</v>
      </c>
      <c r="P420" t="n">
        <v>0</v>
      </c>
      <c r="Q420" t="n">
        <v>0</v>
      </c>
      <c r="R420" s="2" t="inlineStr"/>
    </row>
    <row r="421" ht="15" customHeight="1">
      <c r="A421" t="inlineStr">
        <is>
          <t>A 73500-2021</t>
        </is>
      </c>
      <c r="B421" s="1" t="n">
        <v>44551</v>
      </c>
      <c r="C421" s="1" t="n">
        <v>46190</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31018-2025</t>
        </is>
      </c>
      <c r="B422" s="1" t="n">
        <v>45832.51255787037</v>
      </c>
      <c r="C422" s="1" t="n">
        <v>46190</v>
      </c>
      <c r="D422" t="inlineStr">
        <is>
          <t>ÖREBRO LÄN</t>
        </is>
      </c>
      <c r="E422" t="inlineStr">
        <is>
          <t>LINDESBERG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14454-2024</t>
        </is>
      </c>
      <c r="B423" s="1" t="n">
        <v>45394.51289351852</v>
      </c>
      <c r="C423" s="1" t="n">
        <v>46190</v>
      </c>
      <c r="D423" t="inlineStr">
        <is>
          <t>ÖREBRO LÄN</t>
        </is>
      </c>
      <c r="E423" t="inlineStr">
        <is>
          <t>LINDESBERG</t>
        </is>
      </c>
      <c r="G423" t="n">
        <v>1.9</v>
      </c>
      <c r="H423" t="n">
        <v>0</v>
      </c>
      <c r="I423" t="n">
        <v>0</v>
      </c>
      <c r="J423" t="n">
        <v>0</v>
      </c>
      <c r="K423" t="n">
        <v>0</v>
      </c>
      <c r="L423" t="n">
        <v>0</v>
      </c>
      <c r="M423" t="n">
        <v>0</v>
      </c>
      <c r="N423" t="n">
        <v>0</v>
      </c>
      <c r="O423" t="n">
        <v>0</v>
      </c>
      <c r="P423" t="n">
        <v>0</v>
      </c>
      <c r="Q423" t="n">
        <v>0</v>
      </c>
      <c r="R423" s="2" t="inlineStr"/>
    </row>
    <row r="424" ht="15" customHeight="1">
      <c r="A424" t="inlineStr">
        <is>
          <t>A 16864-2022</t>
        </is>
      </c>
      <c r="B424" s="1" t="n">
        <v>44675</v>
      </c>
      <c r="C424" s="1" t="n">
        <v>46190</v>
      </c>
      <c r="D424" t="inlineStr">
        <is>
          <t>ÖREBRO LÄN</t>
        </is>
      </c>
      <c r="E424" t="inlineStr">
        <is>
          <t>LINDESBERG</t>
        </is>
      </c>
      <c r="F424" t="inlineStr">
        <is>
          <t>Kyrkan</t>
        </is>
      </c>
      <c r="G424" t="n">
        <v>1.7</v>
      </c>
      <c r="H424" t="n">
        <v>0</v>
      </c>
      <c r="I424" t="n">
        <v>0</v>
      </c>
      <c r="J424" t="n">
        <v>0</v>
      </c>
      <c r="K424" t="n">
        <v>0</v>
      </c>
      <c r="L424" t="n">
        <v>0</v>
      </c>
      <c r="M424" t="n">
        <v>0</v>
      </c>
      <c r="N424" t="n">
        <v>0</v>
      </c>
      <c r="O424" t="n">
        <v>0</v>
      </c>
      <c r="P424" t="n">
        <v>0</v>
      </c>
      <c r="Q424" t="n">
        <v>0</v>
      </c>
      <c r="R424" s="2" t="inlineStr"/>
    </row>
    <row r="425" ht="15" customHeight="1">
      <c r="A425" t="inlineStr">
        <is>
          <t>A 31085-2025</t>
        </is>
      </c>
      <c r="B425" s="1" t="n">
        <v>45832.5902662037</v>
      </c>
      <c r="C425" s="1" t="n">
        <v>46190</v>
      </c>
      <c r="D425" t="inlineStr">
        <is>
          <t>ÖREBRO LÄN</t>
        </is>
      </c>
      <c r="E425" t="inlineStr">
        <is>
          <t>LINDESBERG</t>
        </is>
      </c>
      <c r="F425" t="inlineStr">
        <is>
          <t>Sveaskog</t>
        </is>
      </c>
      <c r="G425" t="n">
        <v>0.3</v>
      </c>
      <c r="H425" t="n">
        <v>0</v>
      </c>
      <c r="I425" t="n">
        <v>0</v>
      </c>
      <c r="J425" t="n">
        <v>0</v>
      </c>
      <c r="K425" t="n">
        <v>0</v>
      </c>
      <c r="L425" t="n">
        <v>0</v>
      </c>
      <c r="M425" t="n">
        <v>0</v>
      </c>
      <c r="N425" t="n">
        <v>0</v>
      </c>
      <c r="O425" t="n">
        <v>0</v>
      </c>
      <c r="P425" t="n">
        <v>0</v>
      </c>
      <c r="Q425" t="n">
        <v>0</v>
      </c>
      <c r="R425" s="2" t="inlineStr"/>
    </row>
    <row r="426" ht="15" customHeight="1">
      <c r="A426" t="inlineStr">
        <is>
          <t>A 31003-2025</t>
        </is>
      </c>
      <c r="B426" s="1" t="n">
        <v>45832.49579861111</v>
      </c>
      <c r="C426" s="1" t="n">
        <v>46190</v>
      </c>
      <c r="D426" t="inlineStr">
        <is>
          <t>ÖREBRO LÄN</t>
        </is>
      </c>
      <c r="E426" t="inlineStr">
        <is>
          <t>LINDESBERG</t>
        </is>
      </c>
      <c r="F426" t="inlineStr">
        <is>
          <t>Sveaskog</t>
        </is>
      </c>
      <c r="G426" t="n">
        <v>0.5</v>
      </c>
      <c r="H426" t="n">
        <v>0</v>
      </c>
      <c r="I426" t="n">
        <v>0</v>
      </c>
      <c r="J426" t="n">
        <v>0</v>
      </c>
      <c r="K426" t="n">
        <v>0</v>
      </c>
      <c r="L426" t="n">
        <v>0</v>
      </c>
      <c r="M426" t="n">
        <v>0</v>
      </c>
      <c r="N426" t="n">
        <v>0</v>
      </c>
      <c r="O426" t="n">
        <v>0</v>
      </c>
      <c r="P426" t="n">
        <v>0</v>
      </c>
      <c r="Q426" t="n">
        <v>0</v>
      </c>
      <c r="R426" s="2" t="inlineStr"/>
    </row>
    <row r="427" ht="15" customHeight="1">
      <c r="A427" t="inlineStr">
        <is>
          <t>A 31014-2025</t>
        </is>
      </c>
      <c r="B427" s="1" t="n">
        <v>45832.51028935185</v>
      </c>
      <c r="C427" s="1" t="n">
        <v>46190</v>
      </c>
      <c r="D427" t="inlineStr">
        <is>
          <t>ÖREBRO LÄN</t>
        </is>
      </c>
      <c r="E427" t="inlineStr">
        <is>
          <t>LINDESBERG</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32284-2025</t>
        </is>
      </c>
      <c r="B428" s="1" t="n">
        <v>45835.68443287037</v>
      </c>
      <c r="C428" s="1" t="n">
        <v>46190</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54860-2024</t>
        </is>
      </c>
      <c r="B429" s="1" t="n">
        <v>45618.59219907408</v>
      </c>
      <c r="C429" s="1" t="n">
        <v>46190</v>
      </c>
      <c r="D429" t="inlineStr">
        <is>
          <t>ÖREBRO LÄN</t>
        </is>
      </c>
      <c r="E429" t="inlineStr">
        <is>
          <t>LINDESBERG</t>
        </is>
      </c>
      <c r="F429" t="inlineStr">
        <is>
          <t>Sveaskog</t>
        </is>
      </c>
      <c r="G429" t="n">
        <v>0.3</v>
      </c>
      <c r="H429" t="n">
        <v>0</v>
      </c>
      <c r="I429" t="n">
        <v>0</v>
      </c>
      <c r="J429" t="n">
        <v>0</v>
      </c>
      <c r="K429" t="n">
        <v>0</v>
      </c>
      <c r="L429" t="n">
        <v>0</v>
      </c>
      <c r="M429" t="n">
        <v>0</v>
      </c>
      <c r="N429" t="n">
        <v>0</v>
      </c>
      <c r="O429" t="n">
        <v>0</v>
      </c>
      <c r="P429" t="n">
        <v>0</v>
      </c>
      <c r="Q429" t="n">
        <v>0</v>
      </c>
      <c r="R429" s="2" t="inlineStr"/>
    </row>
    <row r="430" ht="15" customHeight="1">
      <c r="A430" t="inlineStr">
        <is>
          <t>A 11953-2024</t>
        </is>
      </c>
      <c r="B430" s="1" t="n">
        <v>45376.70292824074</v>
      </c>
      <c r="C430" s="1" t="n">
        <v>46190</v>
      </c>
      <c r="D430" t="inlineStr">
        <is>
          <t>ÖREBRO LÄN</t>
        </is>
      </c>
      <c r="E430" t="inlineStr">
        <is>
          <t>LINDESBERG</t>
        </is>
      </c>
      <c r="G430" t="n">
        <v>5.7</v>
      </c>
      <c r="H430" t="n">
        <v>0</v>
      </c>
      <c r="I430" t="n">
        <v>0</v>
      </c>
      <c r="J430" t="n">
        <v>0</v>
      </c>
      <c r="K430" t="n">
        <v>0</v>
      </c>
      <c r="L430" t="n">
        <v>0</v>
      </c>
      <c r="M430" t="n">
        <v>0</v>
      </c>
      <c r="N430" t="n">
        <v>0</v>
      </c>
      <c r="O430" t="n">
        <v>0</v>
      </c>
      <c r="P430" t="n">
        <v>0</v>
      </c>
      <c r="Q430" t="n">
        <v>0</v>
      </c>
      <c r="R430" s="2" t="inlineStr"/>
    </row>
    <row r="431" ht="15" customHeight="1">
      <c r="A431" t="inlineStr">
        <is>
          <t>A 50170-2022</t>
        </is>
      </c>
      <c r="B431" s="1" t="n">
        <v>44865.600625</v>
      </c>
      <c r="C431" s="1" t="n">
        <v>46190</v>
      </c>
      <c r="D431" t="inlineStr">
        <is>
          <t>ÖREBRO LÄN</t>
        </is>
      </c>
      <c r="E431" t="inlineStr">
        <is>
          <t>LINDESBERG</t>
        </is>
      </c>
      <c r="G431" t="n">
        <v>2.1</v>
      </c>
      <c r="H431" t="n">
        <v>0</v>
      </c>
      <c r="I431" t="n">
        <v>0</v>
      </c>
      <c r="J431" t="n">
        <v>0</v>
      </c>
      <c r="K431" t="n">
        <v>0</v>
      </c>
      <c r="L431" t="n">
        <v>0</v>
      </c>
      <c r="M431" t="n">
        <v>0</v>
      </c>
      <c r="N431" t="n">
        <v>0</v>
      </c>
      <c r="O431" t="n">
        <v>0</v>
      </c>
      <c r="P431" t="n">
        <v>0</v>
      </c>
      <c r="Q431" t="n">
        <v>0</v>
      </c>
      <c r="R431" s="2" t="inlineStr"/>
    </row>
    <row r="432" ht="15" customHeight="1">
      <c r="A432" t="inlineStr">
        <is>
          <t>A 8612-2024</t>
        </is>
      </c>
      <c r="B432" s="1" t="n">
        <v>45355.70009259259</v>
      </c>
      <c r="C432" s="1" t="n">
        <v>46190</v>
      </c>
      <c r="D432" t="inlineStr">
        <is>
          <t>ÖREBRO LÄN</t>
        </is>
      </c>
      <c r="E432" t="inlineStr">
        <is>
          <t>LINDESBERG</t>
        </is>
      </c>
      <c r="G432" t="n">
        <v>4.5</v>
      </c>
      <c r="H432" t="n">
        <v>0</v>
      </c>
      <c r="I432" t="n">
        <v>0</v>
      </c>
      <c r="J432" t="n">
        <v>0</v>
      </c>
      <c r="K432" t="n">
        <v>0</v>
      </c>
      <c r="L432" t="n">
        <v>0</v>
      </c>
      <c r="M432" t="n">
        <v>0</v>
      </c>
      <c r="N432" t="n">
        <v>0</v>
      </c>
      <c r="O432" t="n">
        <v>0</v>
      </c>
      <c r="P432" t="n">
        <v>0</v>
      </c>
      <c r="Q432" t="n">
        <v>0</v>
      </c>
      <c r="R432" s="2" t="inlineStr"/>
    </row>
    <row r="433" ht="15" customHeight="1">
      <c r="A433" t="inlineStr">
        <is>
          <t>A 7126-2025</t>
        </is>
      </c>
      <c r="B433" s="1" t="n">
        <v>45702</v>
      </c>
      <c r="C433" s="1" t="n">
        <v>46190</v>
      </c>
      <c r="D433" t="inlineStr">
        <is>
          <t>ÖREBRO LÄN</t>
        </is>
      </c>
      <c r="E433" t="inlineStr">
        <is>
          <t>LINDESBERG</t>
        </is>
      </c>
      <c r="G433" t="n">
        <v>1.3</v>
      </c>
      <c r="H433" t="n">
        <v>0</v>
      </c>
      <c r="I433" t="n">
        <v>0</v>
      </c>
      <c r="J433" t="n">
        <v>0</v>
      </c>
      <c r="K433" t="n">
        <v>0</v>
      </c>
      <c r="L433" t="n">
        <v>0</v>
      </c>
      <c r="M433" t="n">
        <v>0</v>
      </c>
      <c r="N433" t="n">
        <v>0</v>
      </c>
      <c r="O433" t="n">
        <v>0</v>
      </c>
      <c r="P433" t="n">
        <v>0</v>
      </c>
      <c r="Q433" t="n">
        <v>0</v>
      </c>
      <c r="R433" s="2" t="inlineStr"/>
    </row>
    <row r="434" ht="15" customHeight="1">
      <c r="A434" t="inlineStr">
        <is>
          <t>A 28469-2023</t>
        </is>
      </c>
      <c r="B434" s="1" t="n">
        <v>45103</v>
      </c>
      <c r="C434" s="1" t="n">
        <v>46190</v>
      </c>
      <c r="D434" t="inlineStr">
        <is>
          <t>ÖREBRO LÄN</t>
        </is>
      </c>
      <c r="E434" t="inlineStr">
        <is>
          <t>LINDESBERG</t>
        </is>
      </c>
      <c r="G434" t="n">
        <v>0.3</v>
      </c>
      <c r="H434" t="n">
        <v>0</v>
      </c>
      <c r="I434" t="n">
        <v>0</v>
      </c>
      <c r="J434" t="n">
        <v>0</v>
      </c>
      <c r="K434" t="n">
        <v>0</v>
      </c>
      <c r="L434" t="n">
        <v>0</v>
      </c>
      <c r="M434" t="n">
        <v>0</v>
      </c>
      <c r="N434" t="n">
        <v>0</v>
      </c>
      <c r="O434" t="n">
        <v>0</v>
      </c>
      <c r="P434" t="n">
        <v>0</v>
      </c>
      <c r="Q434" t="n">
        <v>0</v>
      </c>
      <c r="R434" s="2" t="inlineStr"/>
    </row>
    <row r="435" ht="15" customHeight="1">
      <c r="A435" t="inlineStr">
        <is>
          <t>A 32727-2024</t>
        </is>
      </c>
      <c r="B435" s="1" t="n">
        <v>45516.4221412037</v>
      </c>
      <c r="C435" s="1" t="n">
        <v>46190</v>
      </c>
      <c r="D435" t="inlineStr">
        <is>
          <t>ÖREBRO LÄN</t>
        </is>
      </c>
      <c r="E435" t="inlineStr">
        <is>
          <t>LINDESBERG</t>
        </is>
      </c>
      <c r="F435" t="inlineStr">
        <is>
          <t>Sveaskog</t>
        </is>
      </c>
      <c r="G435" t="n">
        <v>2.3</v>
      </c>
      <c r="H435" t="n">
        <v>0</v>
      </c>
      <c r="I435" t="n">
        <v>0</v>
      </c>
      <c r="J435" t="n">
        <v>0</v>
      </c>
      <c r="K435" t="n">
        <v>0</v>
      </c>
      <c r="L435" t="n">
        <v>0</v>
      </c>
      <c r="M435" t="n">
        <v>0</v>
      </c>
      <c r="N435" t="n">
        <v>0</v>
      </c>
      <c r="O435" t="n">
        <v>0</v>
      </c>
      <c r="P435" t="n">
        <v>0</v>
      </c>
      <c r="Q435" t="n">
        <v>0</v>
      </c>
      <c r="R435" s="2" t="inlineStr"/>
    </row>
    <row r="436" ht="15" customHeight="1">
      <c r="A436" t="inlineStr">
        <is>
          <t>A 72706-2021</t>
        </is>
      </c>
      <c r="B436" s="1" t="n">
        <v>44546.67222222222</v>
      </c>
      <c r="C436" s="1" t="n">
        <v>46190</v>
      </c>
      <c r="D436" t="inlineStr">
        <is>
          <t>ÖREBRO LÄN</t>
        </is>
      </c>
      <c r="E436" t="inlineStr">
        <is>
          <t>LINDESBERG</t>
        </is>
      </c>
      <c r="G436" t="n">
        <v>1.7</v>
      </c>
      <c r="H436" t="n">
        <v>0</v>
      </c>
      <c r="I436" t="n">
        <v>0</v>
      </c>
      <c r="J436" t="n">
        <v>0</v>
      </c>
      <c r="K436" t="n">
        <v>0</v>
      </c>
      <c r="L436" t="n">
        <v>0</v>
      </c>
      <c r="M436" t="n">
        <v>0</v>
      </c>
      <c r="N436" t="n">
        <v>0</v>
      </c>
      <c r="O436" t="n">
        <v>0</v>
      </c>
      <c r="P436" t="n">
        <v>0</v>
      </c>
      <c r="Q436" t="n">
        <v>0</v>
      </c>
      <c r="R436" s="2" t="inlineStr"/>
    </row>
    <row r="437" ht="15" customHeight="1">
      <c r="A437" t="inlineStr">
        <is>
          <t>A 9961-2023</t>
        </is>
      </c>
      <c r="B437" s="1" t="n">
        <v>44979</v>
      </c>
      <c r="C437" s="1" t="n">
        <v>46190</v>
      </c>
      <c r="D437" t="inlineStr">
        <is>
          <t>ÖREBRO LÄN</t>
        </is>
      </c>
      <c r="E437" t="inlineStr">
        <is>
          <t>LINDESBERG</t>
        </is>
      </c>
      <c r="G437" t="n">
        <v>4.8</v>
      </c>
      <c r="H437" t="n">
        <v>0</v>
      </c>
      <c r="I437" t="n">
        <v>0</v>
      </c>
      <c r="J437" t="n">
        <v>0</v>
      </c>
      <c r="K437" t="n">
        <v>0</v>
      </c>
      <c r="L437" t="n">
        <v>0</v>
      </c>
      <c r="M437" t="n">
        <v>0</v>
      </c>
      <c r="N437" t="n">
        <v>0</v>
      </c>
      <c r="O437" t="n">
        <v>0</v>
      </c>
      <c r="P437" t="n">
        <v>0</v>
      </c>
      <c r="Q437" t="n">
        <v>0</v>
      </c>
      <c r="R437" s="2" t="inlineStr"/>
    </row>
    <row r="438" ht="15" customHeight="1">
      <c r="A438" t="inlineStr">
        <is>
          <t>A 45481-2023</t>
        </is>
      </c>
      <c r="B438" s="1" t="n">
        <v>45194</v>
      </c>
      <c r="C438" s="1" t="n">
        <v>46190</v>
      </c>
      <c r="D438" t="inlineStr">
        <is>
          <t>ÖREBRO LÄN</t>
        </is>
      </c>
      <c r="E438" t="inlineStr">
        <is>
          <t>LINDESBERG</t>
        </is>
      </c>
      <c r="G438" t="n">
        <v>2.1</v>
      </c>
      <c r="H438" t="n">
        <v>0</v>
      </c>
      <c r="I438" t="n">
        <v>0</v>
      </c>
      <c r="J438" t="n">
        <v>0</v>
      </c>
      <c r="K438" t="n">
        <v>0</v>
      </c>
      <c r="L438" t="n">
        <v>0</v>
      </c>
      <c r="M438" t="n">
        <v>0</v>
      </c>
      <c r="N438" t="n">
        <v>0</v>
      </c>
      <c r="O438" t="n">
        <v>0</v>
      </c>
      <c r="P438" t="n">
        <v>0</v>
      </c>
      <c r="Q438" t="n">
        <v>0</v>
      </c>
      <c r="R438" s="2" t="inlineStr"/>
    </row>
    <row r="439" ht="15" customHeight="1">
      <c r="A439" t="inlineStr">
        <is>
          <t>A 59766-2022</t>
        </is>
      </c>
      <c r="B439" s="1" t="n">
        <v>44908.49152777778</v>
      </c>
      <c r="C439" s="1" t="n">
        <v>46190</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27013-2024</t>
        </is>
      </c>
      <c r="B440" s="1" t="n">
        <v>45471.40384259259</v>
      </c>
      <c r="C440" s="1" t="n">
        <v>46190</v>
      </c>
      <c r="D440" t="inlineStr">
        <is>
          <t>ÖREBRO LÄN</t>
        </is>
      </c>
      <c r="E440" t="inlineStr">
        <is>
          <t>LINDESBERG</t>
        </is>
      </c>
      <c r="G440" t="n">
        <v>5.2</v>
      </c>
      <c r="H440" t="n">
        <v>0</v>
      </c>
      <c r="I440" t="n">
        <v>0</v>
      </c>
      <c r="J440" t="n">
        <v>0</v>
      </c>
      <c r="K440" t="n">
        <v>0</v>
      </c>
      <c r="L440" t="n">
        <v>0</v>
      </c>
      <c r="M440" t="n">
        <v>0</v>
      </c>
      <c r="N440" t="n">
        <v>0</v>
      </c>
      <c r="O440" t="n">
        <v>0</v>
      </c>
      <c r="P440" t="n">
        <v>0</v>
      </c>
      <c r="Q440" t="n">
        <v>0</v>
      </c>
      <c r="R440" s="2" t="inlineStr"/>
    </row>
    <row r="441" ht="15" customHeight="1">
      <c r="A441" t="inlineStr">
        <is>
          <t>A 41889-2025</t>
        </is>
      </c>
      <c r="B441" s="1" t="n">
        <v>45903.37475694445</v>
      </c>
      <c r="C441" s="1" t="n">
        <v>46190</v>
      </c>
      <c r="D441" t="inlineStr">
        <is>
          <t>ÖREBRO LÄN</t>
        </is>
      </c>
      <c r="E441" t="inlineStr">
        <is>
          <t>LINDESBERG</t>
        </is>
      </c>
      <c r="F441" t="inlineStr">
        <is>
          <t>Sveaskog</t>
        </is>
      </c>
      <c r="G441" t="n">
        <v>7.7</v>
      </c>
      <c r="H441" t="n">
        <v>0</v>
      </c>
      <c r="I441" t="n">
        <v>0</v>
      </c>
      <c r="J441" t="n">
        <v>0</v>
      </c>
      <c r="K441" t="n">
        <v>0</v>
      </c>
      <c r="L441" t="n">
        <v>0</v>
      </c>
      <c r="M441" t="n">
        <v>0</v>
      </c>
      <c r="N441" t="n">
        <v>0</v>
      </c>
      <c r="O441" t="n">
        <v>0</v>
      </c>
      <c r="P441" t="n">
        <v>0</v>
      </c>
      <c r="Q441" t="n">
        <v>0</v>
      </c>
      <c r="R441" s="2" t="inlineStr"/>
    </row>
    <row r="442" ht="15" customHeight="1">
      <c r="A442" t="inlineStr">
        <is>
          <t>A 34104-2025</t>
        </is>
      </c>
      <c r="B442" s="1" t="n">
        <v>45845.49216435185</v>
      </c>
      <c r="C442" s="1" t="n">
        <v>46190</v>
      </c>
      <c r="D442" t="inlineStr">
        <is>
          <t>ÖREBRO LÄN</t>
        </is>
      </c>
      <c r="E442" t="inlineStr">
        <is>
          <t>LINDESBERG</t>
        </is>
      </c>
      <c r="G442" t="n">
        <v>1</v>
      </c>
      <c r="H442" t="n">
        <v>0</v>
      </c>
      <c r="I442" t="n">
        <v>0</v>
      </c>
      <c r="J442" t="n">
        <v>0</v>
      </c>
      <c r="K442" t="n">
        <v>0</v>
      </c>
      <c r="L442" t="n">
        <v>0</v>
      </c>
      <c r="M442" t="n">
        <v>0</v>
      </c>
      <c r="N442" t="n">
        <v>0</v>
      </c>
      <c r="O442" t="n">
        <v>0</v>
      </c>
      <c r="P442" t="n">
        <v>0</v>
      </c>
      <c r="Q442" t="n">
        <v>0</v>
      </c>
      <c r="R442" s="2" t="inlineStr"/>
    </row>
    <row r="443" ht="15" customHeight="1">
      <c r="A443" t="inlineStr">
        <is>
          <t>A 33574-2024</t>
        </is>
      </c>
      <c r="B443" s="1" t="n">
        <v>45520.32887731482</v>
      </c>
      <c r="C443" s="1" t="n">
        <v>46190</v>
      </c>
      <c r="D443" t="inlineStr">
        <is>
          <t>ÖREBRO LÄN</t>
        </is>
      </c>
      <c r="E443" t="inlineStr">
        <is>
          <t>LINDESBERG</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5047-2023</t>
        </is>
      </c>
      <c r="B444" s="1" t="n">
        <v>44958.58982638889</v>
      </c>
      <c r="C444" s="1" t="n">
        <v>46190</v>
      </c>
      <c r="D444" t="inlineStr">
        <is>
          <t>ÖREBRO LÄN</t>
        </is>
      </c>
      <c r="E444" t="inlineStr">
        <is>
          <t>LINDESBERG</t>
        </is>
      </c>
      <c r="G444" t="n">
        <v>2</v>
      </c>
      <c r="H444" t="n">
        <v>0</v>
      </c>
      <c r="I444" t="n">
        <v>0</v>
      </c>
      <c r="J444" t="n">
        <v>0</v>
      </c>
      <c r="K444" t="n">
        <v>0</v>
      </c>
      <c r="L444" t="n">
        <v>0</v>
      </c>
      <c r="M444" t="n">
        <v>0</v>
      </c>
      <c r="N444" t="n">
        <v>0</v>
      </c>
      <c r="O444" t="n">
        <v>0</v>
      </c>
      <c r="P444" t="n">
        <v>0</v>
      </c>
      <c r="Q444" t="n">
        <v>0</v>
      </c>
      <c r="R444" s="2" t="inlineStr"/>
    </row>
    <row r="445" ht="15" customHeight="1">
      <c r="A445" t="inlineStr">
        <is>
          <t>A 34097-2025</t>
        </is>
      </c>
      <c r="B445" s="1" t="n">
        <v>45845.4855787037</v>
      </c>
      <c r="C445" s="1" t="n">
        <v>46190</v>
      </c>
      <c r="D445" t="inlineStr">
        <is>
          <t>ÖREBRO LÄN</t>
        </is>
      </c>
      <c r="E445" t="inlineStr">
        <is>
          <t>LINDESBERG</t>
        </is>
      </c>
      <c r="G445" t="n">
        <v>1.2</v>
      </c>
      <c r="H445" t="n">
        <v>0</v>
      </c>
      <c r="I445" t="n">
        <v>0</v>
      </c>
      <c r="J445" t="n">
        <v>0</v>
      </c>
      <c r="K445" t="n">
        <v>0</v>
      </c>
      <c r="L445" t="n">
        <v>0</v>
      </c>
      <c r="M445" t="n">
        <v>0</v>
      </c>
      <c r="N445" t="n">
        <v>0</v>
      </c>
      <c r="O445" t="n">
        <v>0</v>
      </c>
      <c r="P445" t="n">
        <v>0</v>
      </c>
      <c r="Q445" t="n">
        <v>0</v>
      </c>
      <c r="R445" s="2" t="inlineStr"/>
    </row>
    <row r="446" ht="15" customHeight="1">
      <c r="A446" t="inlineStr">
        <is>
          <t>A 27134-2024</t>
        </is>
      </c>
      <c r="B446" s="1" t="n">
        <v>45471.52878472222</v>
      </c>
      <c r="C446" s="1" t="n">
        <v>46190</v>
      </c>
      <c r="D446" t="inlineStr">
        <is>
          <t>ÖREBRO LÄN</t>
        </is>
      </c>
      <c r="E446" t="inlineStr">
        <is>
          <t>LINDESBERG</t>
        </is>
      </c>
      <c r="G446" t="n">
        <v>0.7</v>
      </c>
      <c r="H446" t="n">
        <v>0</v>
      </c>
      <c r="I446" t="n">
        <v>0</v>
      </c>
      <c r="J446" t="n">
        <v>0</v>
      </c>
      <c r="K446" t="n">
        <v>0</v>
      </c>
      <c r="L446" t="n">
        <v>0</v>
      </c>
      <c r="M446" t="n">
        <v>0</v>
      </c>
      <c r="N446" t="n">
        <v>0</v>
      </c>
      <c r="O446" t="n">
        <v>0</v>
      </c>
      <c r="P446" t="n">
        <v>0</v>
      </c>
      <c r="Q446" t="n">
        <v>0</v>
      </c>
      <c r="R446" s="2" t="inlineStr"/>
    </row>
    <row r="447" ht="15" customHeight="1">
      <c r="A447" t="inlineStr">
        <is>
          <t>A 18590-2023</t>
        </is>
      </c>
      <c r="B447" s="1" t="n">
        <v>45043.40300925926</v>
      </c>
      <c r="C447" s="1" t="n">
        <v>46190</v>
      </c>
      <c r="D447" t="inlineStr">
        <is>
          <t>ÖREBRO LÄN</t>
        </is>
      </c>
      <c r="E447" t="inlineStr">
        <is>
          <t>LINDESBERG</t>
        </is>
      </c>
      <c r="G447" t="n">
        <v>2.4</v>
      </c>
      <c r="H447" t="n">
        <v>0</v>
      </c>
      <c r="I447" t="n">
        <v>0</v>
      </c>
      <c r="J447" t="n">
        <v>0</v>
      </c>
      <c r="K447" t="n">
        <v>0</v>
      </c>
      <c r="L447" t="n">
        <v>0</v>
      </c>
      <c r="M447" t="n">
        <v>0</v>
      </c>
      <c r="N447" t="n">
        <v>0</v>
      </c>
      <c r="O447" t="n">
        <v>0</v>
      </c>
      <c r="P447" t="n">
        <v>0</v>
      </c>
      <c r="Q447" t="n">
        <v>0</v>
      </c>
      <c r="R447" s="2" t="inlineStr"/>
    </row>
    <row r="448" ht="15" customHeight="1">
      <c r="A448" t="inlineStr">
        <is>
          <t>A 36121-2023</t>
        </is>
      </c>
      <c r="B448" s="1" t="n">
        <v>45148</v>
      </c>
      <c r="C448" s="1" t="n">
        <v>46190</v>
      </c>
      <c r="D448" t="inlineStr">
        <is>
          <t>ÖREBRO LÄN</t>
        </is>
      </c>
      <c r="E448" t="inlineStr">
        <is>
          <t>LINDESBERG</t>
        </is>
      </c>
      <c r="G448" t="n">
        <v>7.1</v>
      </c>
      <c r="H448" t="n">
        <v>0</v>
      </c>
      <c r="I448" t="n">
        <v>0</v>
      </c>
      <c r="J448" t="n">
        <v>0</v>
      </c>
      <c r="K448" t="n">
        <v>0</v>
      </c>
      <c r="L448" t="n">
        <v>0</v>
      </c>
      <c r="M448" t="n">
        <v>0</v>
      </c>
      <c r="N448" t="n">
        <v>0</v>
      </c>
      <c r="O448" t="n">
        <v>0</v>
      </c>
      <c r="P448" t="n">
        <v>0</v>
      </c>
      <c r="Q448" t="n">
        <v>0</v>
      </c>
      <c r="R448" s="2" t="inlineStr"/>
    </row>
    <row r="449" ht="15" customHeight="1">
      <c r="A449" t="inlineStr">
        <is>
          <t>A 36280-2023</t>
        </is>
      </c>
      <c r="B449" s="1" t="n">
        <v>45152.34586805556</v>
      </c>
      <c r="C449" s="1" t="n">
        <v>46190</v>
      </c>
      <c r="D449" t="inlineStr">
        <is>
          <t>ÖREBRO LÄN</t>
        </is>
      </c>
      <c r="E449" t="inlineStr">
        <is>
          <t>LINDESBERG</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5784-2025</t>
        </is>
      </c>
      <c r="B450" s="1" t="n">
        <v>45694</v>
      </c>
      <c r="C450" s="1" t="n">
        <v>46190</v>
      </c>
      <c r="D450" t="inlineStr">
        <is>
          <t>ÖREBRO LÄN</t>
        </is>
      </c>
      <c r="E450" t="inlineStr">
        <is>
          <t>LINDESBERG</t>
        </is>
      </c>
      <c r="F450" t="inlineStr">
        <is>
          <t>Allmännings- och besparingsskogar</t>
        </is>
      </c>
      <c r="G450" t="n">
        <v>1.6</v>
      </c>
      <c r="H450" t="n">
        <v>0</v>
      </c>
      <c r="I450" t="n">
        <v>0</v>
      </c>
      <c r="J450" t="n">
        <v>0</v>
      </c>
      <c r="K450" t="n">
        <v>0</v>
      </c>
      <c r="L450" t="n">
        <v>0</v>
      </c>
      <c r="M450" t="n">
        <v>0</v>
      </c>
      <c r="N450" t="n">
        <v>0</v>
      </c>
      <c r="O450" t="n">
        <v>0</v>
      </c>
      <c r="P450" t="n">
        <v>0</v>
      </c>
      <c r="Q450" t="n">
        <v>0</v>
      </c>
      <c r="R450" s="2" t="inlineStr"/>
    </row>
    <row r="451" ht="15" customHeight="1">
      <c r="A451" t="inlineStr">
        <is>
          <t>A 44449-2023</t>
        </is>
      </c>
      <c r="B451" s="1" t="n">
        <v>45189.38135416667</v>
      </c>
      <c r="C451" s="1" t="n">
        <v>46190</v>
      </c>
      <c r="D451" t="inlineStr">
        <is>
          <t>ÖREBRO LÄN</t>
        </is>
      </c>
      <c r="E451" t="inlineStr">
        <is>
          <t>LINDESBERG</t>
        </is>
      </c>
      <c r="G451" t="n">
        <v>13.7</v>
      </c>
      <c r="H451" t="n">
        <v>0</v>
      </c>
      <c r="I451" t="n">
        <v>0</v>
      </c>
      <c r="J451" t="n">
        <v>0</v>
      </c>
      <c r="K451" t="n">
        <v>0</v>
      </c>
      <c r="L451" t="n">
        <v>0</v>
      </c>
      <c r="M451" t="n">
        <v>0</v>
      </c>
      <c r="N451" t="n">
        <v>0</v>
      </c>
      <c r="O451" t="n">
        <v>0</v>
      </c>
      <c r="P451" t="n">
        <v>0</v>
      </c>
      <c r="Q451" t="n">
        <v>0</v>
      </c>
      <c r="R451" s="2" t="inlineStr"/>
    </row>
    <row r="452" ht="15" customHeight="1">
      <c r="A452" t="inlineStr">
        <is>
          <t>A 2103-2022</t>
        </is>
      </c>
      <c r="B452" s="1" t="n">
        <v>44577.81121527778</v>
      </c>
      <c r="C452" s="1" t="n">
        <v>46190</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16448-2025</t>
        </is>
      </c>
      <c r="B453" s="1" t="n">
        <v>45751.5056712963</v>
      </c>
      <c r="C453" s="1" t="n">
        <v>46190</v>
      </c>
      <c r="D453" t="inlineStr">
        <is>
          <t>ÖREBRO LÄN</t>
        </is>
      </c>
      <c r="E453" t="inlineStr">
        <is>
          <t>LINDESBERG</t>
        </is>
      </c>
      <c r="G453" t="n">
        <v>20.1</v>
      </c>
      <c r="H453" t="n">
        <v>0</v>
      </c>
      <c r="I453" t="n">
        <v>0</v>
      </c>
      <c r="J453" t="n">
        <v>0</v>
      </c>
      <c r="K453" t="n">
        <v>0</v>
      </c>
      <c r="L453" t="n">
        <v>0</v>
      </c>
      <c r="M453" t="n">
        <v>0</v>
      </c>
      <c r="N453" t="n">
        <v>0</v>
      </c>
      <c r="O453" t="n">
        <v>0</v>
      </c>
      <c r="P453" t="n">
        <v>0</v>
      </c>
      <c r="Q453" t="n">
        <v>0</v>
      </c>
      <c r="R453" s="2" t="inlineStr"/>
    </row>
    <row r="454" ht="15" customHeight="1">
      <c r="A454" t="inlineStr">
        <is>
          <t>A 54432-2023</t>
        </is>
      </c>
      <c r="B454" s="1" t="n">
        <v>45233.42121527778</v>
      </c>
      <c r="C454" s="1" t="n">
        <v>46190</v>
      </c>
      <c r="D454" t="inlineStr">
        <is>
          <t>ÖREBRO LÄN</t>
        </is>
      </c>
      <c r="E454" t="inlineStr">
        <is>
          <t>LINDESBERG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24916-2022</t>
        </is>
      </c>
      <c r="B455" s="1" t="n">
        <v>44728</v>
      </c>
      <c r="C455" s="1" t="n">
        <v>46190</v>
      </c>
      <c r="D455" t="inlineStr">
        <is>
          <t>ÖREBRO LÄN</t>
        </is>
      </c>
      <c r="E455" t="inlineStr">
        <is>
          <t>LINDESBERG</t>
        </is>
      </c>
      <c r="G455" t="n">
        <v>8.1</v>
      </c>
      <c r="H455" t="n">
        <v>0</v>
      </c>
      <c r="I455" t="n">
        <v>0</v>
      </c>
      <c r="J455" t="n">
        <v>0</v>
      </c>
      <c r="K455" t="n">
        <v>0</v>
      </c>
      <c r="L455" t="n">
        <v>0</v>
      </c>
      <c r="M455" t="n">
        <v>0</v>
      </c>
      <c r="N455" t="n">
        <v>0</v>
      </c>
      <c r="O455" t="n">
        <v>0</v>
      </c>
      <c r="P455" t="n">
        <v>0</v>
      </c>
      <c r="Q455" t="n">
        <v>0</v>
      </c>
      <c r="R455" s="2" t="inlineStr"/>
    </row>
    <row r="456" ht="15" customHeight="1">
      <c r="A456" t="inlineStr">
        <is>
          <t>A 5677-2025</t>
        </is>
      </c>
      <c r="B456" s="1" t="n">
        <v>45694</v>
      </c>
      <c r="C456" s="1" t="n">
        <v>46190</v>
      </c>
      <c r="D456" t="inlineStr">
        <is>
          <t>ÖREBRO LÄN</t>
        </is>
      </c>
      <c r="E456" t="inlineStr">
        <is>
          <t>LINDESBERG</t>
        </is>
      </c>
      <c r="G456" t="n">
        <v>1.6</v>
      </c>
      <c r="H456" t="n">
        <v>0</v>
      </c>
      <c r="I456" t="n">
        <v>0</v>
      </c>
      <c r="J456" t="n">
        <v>0</v>
      </c>
      <c r="K456" t="n">
        <v>0</v>
      </c>
      <c r="L456" t="n">
        <v>0</v>
      </c>
      <c r="M456" t="n">
        <v>0</v>
      </c>
      <c r="N456" t="n">
        <v>0</v>
      </c>
      <c r="O456" t="n">
        <v>0</v>
      </c>
      <c r="P456" t="n">
        <v>0</v>
      </c>
      <c r="Q456" t="n">
        <v>0</v>
      </c>
      <c r="R456" s="2" t="inlineStr"/>
    </row>
    <row r="457" ht="15" customHeight="1">
      <c r="A457" t="inlineStr">
        <is>
          <t>A 33424-2024</t>
        </is>
      </c>
      <c r="B457" s="1" t="n">
        <v>45519.51627314815</v>
      </c>
      <c r="C457" s="1" t="n">
        <v>46190</v>
      </c>
      <c r="D457" t="inlineStr">
        <is>
          <t>ÖREBRO LÄN</t>
        </is>
      </c>
      <c r="E457" t="inlineStr">
        <is>
          <t>LINDESBERG</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57911-2022</t>
        </is>
      </c>
      <c r="B458" s="1" t="n">
        <v>44900.36149305556</v>
      </c>
      <c r="C458" s="1" t="n">
        <v>46190</v>
      </c>
      <c r="D458" t="inlineStr">
        <is>
          <t>ÖREBRO LÄN</t>
        </is>
      </c>
      <c r="E458" t="inlineStr">
        <is>
          <t>LINDESBERG</t>
        </is>
      </c>
      <c r="G458" t="n">
        <v>4.9</v>
      </c>
      <c r="H458" t="n">
        <v>0</v>
      </c>
      <c r="I458" t="n">
        <v>0</v>
      </c>
      <c r="J458" t="n">
        <v>0</v>
      </c>
      <c r="K458" t="n">
        <v>0</v>
      </c>
      <c r="L458" t="n">
        <v>0</v>
      </c>
      <c r="M458" t="n">
        <v>0</v>
      </c>
      <c r="N458" t="n">
        <v>0</v>
      </c>
      <c r="O458" t="n">
        <v>0</v>
      </c>
      <c r="P458" t="n">
        <v>0</v>
      </c>
      <c r="Q458" t="n">
        <v>0</v>
      </c>
      <c r="R458" s="2" t="inlineStr"/>
    </row>
    <row r="459" ht="15" customHeight="1">
      <c r="A459" t="inlineStr">
        <is>
          <t>A 1681-2025</t>
        </is>
      </c>
      <c r="B459" s="1" t="n">
        <v>45670.69458333333</v>
      </c>
      <c r="C459" s="1" t="n">
        <v>46190</v>
      </c>
      <c r="D459" t="inlineStr">
        <is>
          <t>ÖREBRO LÄN</t>
        </is>
      </c>
      <c r="E459" t="inlineStr">
        <is>
          <t>LINDESBERG</t>
        </is>
      </c>
      <c r="G459" t="n">
        <v>1.9</v>
      </c>
      <c r="H459" t="n">
        <v>0</v>
      </c>
      <c r="I459" t="n">
        <v>0</v>
      </c>
      <c r="J459" t="n">
        <v>0</v>
      </c>
      <c r="K459" t="n">
        <v>0</v>
      </c>
      <c r="L459" t="n">
        <v>0</v>
      </c>
      <c r="M459" t="n">
        <v>0</v>
      </c>
      <c r="N459" t="n">
        <v>0</v>
      </c>
      <c r="O459" t="n">
        <v>0</v>
      </c>
      <c r="P459" t="n">
        <v>0</v>
      </c>
      <c r="Q459" t="n">
        <v>0</v>
      </c>
      <c r="R459" s="2" t="inlineStr"/>
    </row>
    <row r="460" ht="15" customHeight="1">
      <c r="A460" t="inlineStr">
        <is>
          <t>A 42630-2025</t>
        </is>
      </c>
      <c r="B460" s="1" t="n">
        <v>45905.89143518519</v>
      </c>
      <c r="C460" s="1" t="n">
        <v>46190</v>
      </c>
      <c r="D460" t="inlineStr">
        <is>
          <t>ÖREBRO LÄN</t>
        </is>
      </c>
      <c r="E460" t="inlineStr">
        <is>
          <t>LINDESBERG</t>
        </is>
      </c>
      <c r="F460" t="inlineStr">
        <is>
          <t>Sveaskog</t>
        </is>
      </c>
      <c r="G460" t="n">
        <v>9.9</v>
      </c>
      <c r="H460" t="n">
        <v>0</v>
      </c>
      <c r="I460" t="n">
        <v>0</v>
      </c>
      <c r="J460" t="n">
        <v>0</v>
      </c>
      <c r="K460" t="n">
        <v>0</v>
      </c>
      <c r="L460" t="n">
        <v>0</v>
      </c>
      <c r="M460" t="n">
        <v>0</v>
      </c>
      <c r="N460" t="n">
        <v>0</v>
      </c>
      <c r="O460" t="n">
        <v>0</v>
      </c>
      <c r="P460" t="n">
        <v>0</v>
      </c>
      <c r="Q460" t="n">
        <v>0</v>
      </c>
      <c r="R460" s="2" t="inlineStr"/>
    </row>
    <row r="461" ht="15" customHeight="1">
      <c r="A461" t="inlineStr">
        <is>
          <t>A 9436-2023</t>
        </is>
      </c>
      <c r="B461" s="1" t="n">
        <v>44981</v>
      </c>
      <c r="C461" s="1" t="n">
        <v>46190</v>
      </c>
      <c r="D461" t="inlineStr">
        <is>
          <t>ÖREBRO LÄN</t>
        </is>
      </c>
      <c r="E461" t="inlineStr">
        <is>
          <t>LINDESBERG</t>
        </is>
      </c>
      <c r="G461" t="n">
        <v>2.8</v>
      </c>
      <c r="H461" t="n">
        <v>0</v>
      </c>
      <c r="I461" t="n">
        <v>0</v>
      </c>
      <c r="J461" t="n">
        <v>0</v>
      </c>
      <c r="K461" t="n">
        <v>0</v>
      </c>
      <c r="L461" t="n">
        <v>0</v>
      </c>
      <c r="M461" t="n">
        <v>0</v>
      </c>
      <c r="N461" t="n">
        <v>0</v>
      </c>
      <c r="O461" t="n">
        <v>0</v>
      </c>
      <c r="P461" t="n">
        <v>0</v>
      </c>
      <c r="Q461" t="n">
        <v>0</v>
      </c>
      <c r="R461" s="2" t="inlineStr"/>
    </row>
    <row r="462" ht="15" customHeight="1">
      <c r="A462" t="inlineStr">
        <is>
          <t>A 28032-2023</t>
        </is>
      </c>
      <c r="B462" s="1" t="n">
        <v>45099</v>
      </c>
      <c r="C462" s="1" t="n">
        <v>46190</v>
      </c>
      <c r="D462" t="inlineStr">
        <is>
          <t>ÖREBRO LÄN</t>
        </is>
      </c>
      <c r="E462" t="inlineStr">
        <is>
          <t>LINDESBERG</t>
        </is>
      </c>
      <c r="F462" t="inlineStr">
        <is>
          <t>Kyrkan</t>
        </is>
      </c>
      <c r="G462" t="n">
        <v>0.7</v>
      </c>
      <c r="H462" t="n">
        <v>0</v>
      </c>
      <c r="I462" t="n">
        <v>0</v>
      </c>
      <c r="J462" t="n">
        <v>0</v>
      </c>
      <c r="K462" t="n">
        <v>0</v>
      </c>
      <c r="L462" t="n">
        <v>0</v>
      </c>
      <c r="M462" t="n">
        <v>0</v>
      </c>
      <c r="N462" t="n">
        <v>0</v>
      </c>
      <c r="O462" t="n">
        <v>0</v>
      </c>
      <c r="P462" t="n">
        <v>0</v>
      </c>
      <c r="Q462" t="n">
        <v>0</v>
      </c>
      <c r="R462" s="2" t="inlineStr"/>
    </row>
    <row r="463" ht="15" customHeight="1">
      <c r="A463" t="inlineStr">
        <is>
          <t>A 42631-2025</t>
        </is>
      </c>
      <c r="B463" s="1" t="n">
        <v>45905.89236111111</v>
      </c>
      <c r="C463" s="1" t="n">
        <v>46190</v>
      </c>
      <c r="D463" t="inlineStr">
        <is>
          <t>ÖREBRO LÄN</t>
        </is>
      </c>
      <c r="E463" t="inlineStr">
        <is>
          <t>LINDESBERG</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62608-2021</t>
        </is>
      </c>
      <c r="B464" s="1" t="n">
        <v>44503</v>
      </c>
      <c r="C464" s="1" t="n">
        <v>46190</v>
      </c>
      <c r="D464" t="inlineStr">
        <is>
          <t>ÖREBRO LÄN</t>
        </is>
      </c>
      <c r="E464" t="inlineStr">
        <is>
          <t>LINDESBERG</t>
        </is>
      </c>
      <c r="G464" t="n">
        <v>1.4</v>
      </c>
      <c r="H464" t="n">
        <v>0</v>
      </c>
      <c r="I464" t="n">
        <v>0</v>
      </c>
      <c r="J464" t="n">
        <v>0</v>
      </c>
      <c r="K464" t="n">
        <v>0</v>
      </c>
      <c r="L464" t="n">
        <v>0</v>
      </c>
      <c r="M464" t="n">
        <v>0</v>
      </c>
      <c r="N464" t="n">
        <v>0</v>
      </c>
      <c r="O464" t="n">
        <v>0</v>
      </c>
      <c r="P464" t="n">
        <v>0</v>
      </c>
      <c r="Q464" t="n">
        <v>0</v>
      </c>
      <c r="R464" s="2" t="inlineStr"/>
    </row>
    <row r="465" ht="15" customHeight="1">
      <c r="A465" t="inlineStr">
        <is>
          <t>A 73860-2021</t>
        </is>
      </c>
      <c r="B465" s="1" t="n">
        <v>44553.35407407407</v>
      </c>
      <c r="C465" s="1" t="n">
        <v>46190</v>
      </c>
      <c r="D465" t="inlineStr">
        <is>
          <t>ÖREBRO LÄN</t>
        </is>
      </c>
      <c r="E465" t="inlineStr">
        <is>
          <t>LINDESBERG</t>
        </is>
      </c>
      <c r="G465" t="n">
        <v>12.7</v>
      </c>
      <c r="H465" t="n">
        <v>0</v>
      </c>
      <c r="I465" t="n">
        <v>0</v>
      </c>
      <c r="J465" t="n">
        <v>0</v>
      </c>
      <c r="K465" t="n">
        <v>0</v>
      </c>
      <c r="L465" t="n">
        <v>0</v>
      </c>
      <c r="M465" t="n">
        <v>0</v>
      </c>
      <c r="N465" t="n">
        <v>0</v>
      </c>
      <c r="O465" t="n">
        <v>0</v>
      </c>
      <c r="P465" t="n">
        <v>0</v>
      </c>
      <c r="Q465" t="n">
        <v>0</v>
      </c>
      <c r="R465" s="2" t="inlineStr"/>
    </row>
    <row r="466" ht="15" customHeight="1">
      <c r="A466" t="inlineStr">
        <is>
          <t>A 3803-2023</t>
        </is>
      </c>
      <c r="B466" s="1" t="n">
        <v>44951.5830324074</v>
      </c>
      <c r="C466" s="1" t="n">
        <v>46190</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36747-2024</t>
        </is>
      </c>
      <c r="B467" s="1" t="n">
        <v>45538.34193287037</v>
      </c>
      <c r="C467" s="1" t="n">
        <v>46190</v>
      </c>
      <c r="D467" t="inlineStr">
        <is>
          <t>ÖREBRO LÄN</t>
        </is>
      </c>
      <c r="E467" t="inlineStr">
        <is>
          <t>LINDESBERG</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13305-2023</t>
        </is>
      </c>
      <c r="B468" s="1" t="n">
        <v>45005.35967592592</v>
      </c>
      <c r="C468" s="1" t="n">
        <v>46190</v>
      </c>
      <c r="D468" t="inlineStr">
        <is>
          <t>ÖREBRO LÄN</t>
        </is>
      </c>
      <c r="E468" t="inlineStr">
        <is>
          <t>LINDESBERG</t>
        </is>
      </c>
      <c r="G468" t="n">
        <v>5.5</v>
      </c>
      <c r="H468" t="n">
        <v>0</v>
      </c>
      <c r="I468" t="n">
        <v>0</v>
      </c>
      <c r="J468" t="n">
        <v>0</v>
      </c>
      <c r="K468" t="n">
        <v>0</v>
      </c>
      <c r="L468" t="n">
        <v>0</v>
      </c>
      <c r="M468" t="n">
        <v>0</v>
      </c>
      <c r="N468" t="n">
        <v>0</v>
      </c>
      <c r="O468" t="n">
        <v>0</v>
      </c>
      <c r="P468" t="n">
        <v>0</v>
      </c>
      <c r="Q468" t="n">
        <v>0</v>
      </c>
      <c r="R468" s="2" t="inlineStr"/>
    </row>
    <row r="469" ht="15" customHeight="1">
      <c r="A469" t="inlineStr">
        <is>
          <t>A 13368-2023</t>
        </is>
      </c>
      <c r="B469" s="1" t="n">
        <v>45005.47820601852</v>
      </c>
      <c r="C469" s="1" t="n">
        <v>46190</v>
      </c>
      <c r="D469" t="inlineStr">
        <is>
          <t>ÖREBRO LÄN</t>
        </is>
      </c>
      <c r="E469" t="inlineStr">
        <is>
          <t>LINDESBERG</t>
        </is>
      </c>
      <c r="F469" t="inlineStr">
        <is>
          <t>Kommuner</t>
        </is>
      </c>
      <c r="G469" t="n">
        <v>0.7</v>
      </c>
      <c r="H469" t="n">
        <v>0</v>
      </c>
      <c r="I469" t="n">
        <v>0</v>
      </c>
      <c r="J469" t="n">
        <v>0</v>
      </c>
      <c r="K469" t="n">
        <v>0</v>
      </c>
      <c r="L469" t="n">
        <v>0</v>
      </c>
      <c r="M469" t="n">
        <v>0</v>
      </c>
      <c r="N469" t="n">
        <v>0</v>
      </c>
      <c r="O469" t="n">
        <v>0</v>
      </c>
      <c r="P469" t="n">
        <v>0</v>
      </c>
      <c r="Q469" t="n">
        <v>0</v>
      </c>
      <c r="R469" s="2" t="inlineStr"/>
    </row>
    <row r="470" ht="15" customHeight="1">
      <c r="A470" t="inlineStr">
        <is>
          <t>A 56912-2024</t>
        </is>
      </c>
      <c r="B470" s="1" t="n">
        <v>45628.59233796296</v>
      </c>
      <c r="C470" s="1" t="n">
        <v>46190</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15750-2024</t>
        </is>
      </c>
      <c r="B471" s="1" t="n">
        <v>45404.55601851852</v>
      </c>
      <c r="C471" s="1" t="n">
        <v>46190</v>
      </c>
      <c r="D471" t="inlineStr">
        <is>
          <t>ÖREBRO LÄN</t>
        </is>
      </c>
      <c r="E471" t="inlineStr">
        <is>
          <t>LINDESBERG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47304-2024</t>
        </is>
      </c>
      <c r="B472" s="1" t="n">
        <v>45587</v>
      </c>
      <c r="C472" s="1" t="n">
        <v>46190</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33507-2023</t>
        </is>
      </c>
      <c r="B473" s="1" t="n">
        <v>45131</v>
      </c>
      <c r="C473" s="1" t="n">
        <v>46190</v>
      </c>
      <c r="D473" t="inlineStr">
        <is>
          <t>ÖREBRO LÄN</t>
        </is>
      </c>
      <c r="E473" t="inlineStr">
        <is>
          <t>LINDESBERG</t>
        </is>
      </c>
      <c r="G473" t="n">
        <v>3.2</v>
      </c>
      <c r="H473" t="n">
        <v>0</v>
      </c>
      <c r="I473" t="n">
        <v>0</v>
      </c>
      <c r="J473" t="n">
        <v>0</v>
      </c>
      <c r="K473" t="n">
        <v>0</v>
      </c>
      <c r="L473" t="n">
        <v>0</v>
      </c>
      <c r="M473" t="n">
        <v>0</v>
      </c>
      <c r="N473" t="n">
        <v>0</v>
      </c>
      <c r="O473" t="n">
        <v>0</v>
      </c>
      <c r="P473" t="n">
        <v>0</v>
      </c>
      <c r="Q473" t="n">
        <v>0</v>
      </c>
      <c r="R473" s="2" t="inlineStr"/>
    </row>
    <row r="474" ht="15" customHeight="1">
      <c r="A474" t="inlineStr">
        <is>
          <t>A 24030-2023</t>
        </is>
      </c>
      <c r="B474" s="1" t="n">
        <v>45078.82620370371</v>
      </c>
      <c r="C474" s="1" t="n">
        <v>46190</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37843-2025</t>
        </is>
      </c>
      <c r="B475" s="1" t="n">
        <v>45881.43759259259</v>
      </c>
      <c r="C475" s="1" t="n">
        <v>46190</v>
      </c>
      <c r="D475" t="inlineStr">
        <is>
          <t>ÖREBRO LÄN</t>
        </is>
      </c>
      <c r="E475" t="inlineStr">
        <is>
          <t>LINDESBERG</t>
        </is>
      </c>
      <c r="G475" t="n">
        <v>5.2</v>
      </c>
      <c r="H475" t="n">
        <v>0</v>
      </c>
      <c r="I475" t="n">
        <v>0</v>
      </c>
      <c r="J475" t="n">
        <v>0</v>
      </c>
      <c r="K475" t="n">
        <v>0</v>
      </c>
      <c r="L475" t="n">
        <v>0</v>
      </c>
      <c r="M475" t="n">
        <v>0</v>
      </c>
      <c r="N475" t="n">
        <v>0</v>
      </c>
      <c r="O475" t="n">
        <v>0</v>
      </c>
      <c r="P475" t="n">
        <v>0</v>
      </c>
      <c r="Q475" t="n">
        <v>0</v>
      </c>
      <c r="R475" s="2" t="inlineStr"/>
    </row>
    <row r="476" ht="15" customHeight="1">
      <c r="A476" t="inlineStr">
        <is>
          <t>A 72698-2021</t>
        </is>
      </c>
      <c r="B476" s="1" t="n">
        <v>44546.6679050926</v>
      </c>
      <c r="C476" s="1" t="n">
        <v>46190</v>
      </c>
      <c r="D476" t="inlineStr">
        <is>
          <t>ÖREBRO LÄN</t>
        </is>
      </c>
      <c r="E476" t="inlineStr">
        <is>
          <t>LINDESBERG</t>
        </is>
      </c>
      <c r="G476" t="n">
        <v>1.6</v>
      </c>
      <c r="H476" t="n">
        <v>0</v>
      </c>
      <c r="I476" t="n">
        <v>0</v>
      </c>
      <c r="J476" t="n">
        <v>0</v>
      </c>
      <c r="K476" t="n">
        <v>0</v>
      </c>
      <c r="L476" t="n">
        <v>0</v>
      </c>
      <c r="M476" t="n">
        <v>0</v>
      </c>
      <c r="N476" t="n">
        <v>0</v>
      </c>
      <c r="O476" t="n">
        <v>0</v>
      </c>
      <c r="P476" t="n">
        <v>0</v>
      </c>
      <c r="Q476" t="n">
        <v>0</v>
      </c>
      <c r="R476" s="2" t="inlineStr"/>
    </row>
    <row r="477" ht="15" customHeight="1">
      <c r="A477" t="inlineStr">
        <is>
          <t>A 19110-2025</t>
        </is>
      </c>
      <c r="B477" s="1" t="n">
        <v>45768.49947916667</v>
      </c>
      <c r="C477" s="1" t="n">
        <v>46190</v>
      </c>
      <c r="D477" t="inlineStr">
        <is>
          <t>ÖREBRO LÄN</t>
        </is>
      </c>
      <c r="E477" t="inlineStr">
        <is>
          <t>LINDESBERG</t>
        </is>
      </c>
      <c r="G477" t="n">
        <v>2.6</v>
      </c>
      <c r="H477" t="n">
        <v>0</v>
      </c>
      <c r="I477" t="n">
        <v>0</v>
      </c>
      <c r="J477" t="n">
        <v>0</v>
      </c>
      <c r="K477" t="n">
        <v>0</v>
      </c>
      <c r="L477" t="n">
        <v>0</v>
      </c>
      <c r="M477" t="n">
        <v>0</v>
      </c>
      <c r="N477" t="n">
        <v>0</v>
      </c>
      <c r="O477" t="n">
        <v>0</v>
      </c>
      <c r="P477" t="n">
        <v>0</v>
      </c>
      <c r="Q477" t="n">
        <v>0</v>
      </c>
      <c r="R477" s="2" t="inlineStr"/>
    </row>
    <row r="478" ht="15" customHeight="1">
      <c r="A478" t="inlineStr">
        <is>
          <t>A 21986-2023</t>
        </is>
      </c>
      <c r="B478" s="1" t="n">
        <v>45068</v>
      </c>
      <c r="C478" s="1" t="n">
        <v>46190</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46678-2023</t>
        </is>
      </c>
      <c r="B479" s="1" t="n">
        <v>45194</v>
      </c>
      <c r="C479" s="1" t="n">
        <v>46190</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23579-2022</t>
        </is>
      </c>
      <c r="B480" s="1" t="n">
        <v>44721.52627314815</v>
      </c>
      <c r="C480" s="1" t="n">
        <v>46190</v>
      </c>
      <c r="D480" t="inlineStr">
        <is>
          <t>ÖREBRO LÄN</t>
        </is>
      </c>
      <c r="E480" t="inlineStr">
        <is>
          <t>LINDESBERG</t>
        </is>
      </c>
      <c r="G480" t="n">
        <v>0.7</v>
      </c>
      <c r="H480" t="n">
        <v>0</v>
      </c>
      <c r="I480" t="n">
        <v>0</v>
      </c>
      <c r="J480" t="n">
        <v>0</v>
      </c>
      <c r="K480" t="n">
        <v>0</v>
      </c>
      <c r="L480" t="n">
        <v>0</v>
      </c>
      <c r="M480" t="n">
        <v>0</v>
      </c>
      <c r="N480" t="n">
        <v>0</v>
      </c>
      <c r="O480" t="n">
        <v>0</v>
      </c>
      <c r="P480" t="n">
        <v>0</v>
      </c>
      <c r="Q480" t="n">
        <v>0</v>
      </c>
      <c r="R480" s="2" t="inlineStr"/>
    </row>
    <row r="481" ht="15" customHeight="1">
      <c r="A481" t="inlineStr">
        <is>
          <t>A 53054-2022</t>
        </is>
      </c>
      <c r="B481" s="1" t="n">
        <v>44876.35706018518</v>
      </c>
      <c r="C481" s="1" t="n">
        <v>46190</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36253-2024</t>
        </is>
      </c>
      <c r="B482" s="1" t="n">
        <v>45534.54032407407</v>
      </c>
      <c r="C482" s="1" t="n">
        <v>46190</v>
      </c>
      <c r="D482" t="inlineStr">
        <is>
          <t>ÖREBRO LÄN</t>
        </is>
      </c>
      <c r="E482" t="inlineStr">
        <is>
          <t>LINDESBERG</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44010-2023</t>
        </is>
      </c>
      <c r="B483" s="1" t="n">
        <v>45188</v>
      </c>
      <c r="C483" s="1" t="n">
        <v>46190</v>
      </c>
      <c r="D483" t="inlineStr">
        <is>
          <t>ÖREBRO LÄN</t>
        </is>
      </c>
      <c r="E483" t="inlineStr">
        <is>
          <t>LINDESBERG</t>
        </is>
      </c>
      <c r="G483" t="n">
        <v>2.3</v>
      </c>
      <c r="H483" t="n">
        <v>0</v>
      </c>
      <c r="I483" t="n">
        <v>0</v>
      </c>
      <c r="J483" t="n">
        <v>0</v>
      </c>
      <c r="K483" t="n">
        <v>0</v>
      </c>
      <c r="L483" t="n">
        <v>0</v>
      </c>
      <c r="M483" t="n">
        <v>0</v>
      </c>
      <c r="N483" t="n">
        <v>0</v>
      </c>
      <c r="O483" t="n">
        <v>0</v>
      </c>
      <c r="P483" t="n">
        <v>0</v>
      </c>
      <c r="Q483" t="n">
        <v>0</v>
      </c>
      <c r="R483" s="2" t="inlineStr"/>
    </row>
    <row r="484" ht="15" customHeight="1">
      <c r="A484" t="inlineStr">
        <is>
          <t>A 20467-2023</t>
        </is>
      </c>
      <c r="B484" s="1" t="n">
        <v>45057</v>
      </c>
      <c r="C484" s="1" t="n">
        <v>46190</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35140-2023</t>
        </is>
      </c>
      <c r="B485" s="1" t="n">
        <v>45145</v>
      </c>
      <c r="C485" s="1" t="n">
        <v>46190</v>
      </c>
      <c r="D485" t="inlineStr">
        <is>
          <t>ÖREBRO LÄN</t>
        </is>
      </c>
      <c r="E485" t="inlineStr">
        <is>
          <t>LINDESBERG</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30514-2025</t>
        </is>
      </c>
      <c r="B486" s="1" t="n">
        <v>45831</v>
      </c>
      <c r="C486" s="1" t="n">
        <v>46190</v>
      </c>
      <c r="D486" t="inlineStr">
        <is>
          <t>ÖREBRO LÄN</t>
        </is>
      </c>
      <c r="E486" t="inlineStr">
        <is>
          <t>LINDESBERG</t>
        </is>
      </c>
      <c r="G486" t="n">
        <v>1.6</v>
      </c>
      <c r="H486" t="n">
        <v>0</v>
      </c>
      <c r="I486" t="n">
        <v>0</v>
      </c>
      <c r="J486" t="n">
        <v>0</v>
      </c>
      <c r="K486" t="n">
        <v>0</v>
      </c>
      <c r="L486" t="n">
        <v>0</v>
      </c>
      <c r="M486" t="n">
        <v>0</v>
      </c>
      <c r="N486" t="n">
        <v>0</v>
      </c>
      <c r="O486" t="n">
        <v>0</v>
      </c>
      <c r="P486" t="n">
        <v>0</v>
      </c>
      <c r="Q486" t="n">
        <v>0</v>
      </c>
      <c r="R486" s="2" t="inlineStr"/>
    </row>
    <row r="487" ht="15" customHeight="1">
      <c r="A487" t="inlineStr">
        <is>
          <t>A 45173-2024</t>
        </is>
      </c>
      <c r="B487" s="1" t="n">
        <v>45575.65721064815</v>
      </c>
      <c r="C487" s="1" t="n">
        <v>46190</v>
      </c>
      <c r="D487" t="inlineStr">
        <is>
          <t>ÖREBRO LÄN</t>
        </is>
      </c>
      <c r="E487" t="inlineStr">
        <is>
          <t>LINDESBERG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30512-2025</t>
        </is>
      </c>
      <c r="B488" s="1" t="n">
        <v>45831</v>
      </c>
      <c r="C488" s="1" t="n">
        <v>46190</v>
      </c>
      <c r="D488" t="inlineStr">
        <is>
          <t>ÖREBRO LÄN</t>
        </is>
      </c>
      <c r="E488" t="inlineStr">
        <is>
          <t>LINDESBERG</t>
        </is>
      </c>
      <c r="G488" t="n">
        <v>4.5</v>
      </c>
      <c r="H488" t="n">
        <v>0</v>
      </c>
      <c r="I488" t="n">
        <v>0</v>
      </c>
      <c r="J488" t="n">
        <v>0</v>
      </c>
      <c r="K488" t="n">
        <v>0</v>
      </c>
      <c r="L488" t="n">
        <v>0</v>
      </c>
      <c r="M488" t="n">
        <v>0</v>
      </c>
      <c r="N488" t="n">
        <v>0</v>
      </c>
      <c r="O488" t="n">
        <v>0</v>
      </c>
      <c r="P488" t="n">
        <v>0</v>
      </c>
      <c r="Q488" t="n">
        <v>0</v>
      </c>
      <c r="R488" s="2" t="inlineStr"/>
    </row>
    <row r="489" ht="15" customHeight="1">
      <c r="A489" t="inlineStr">
        <is>
          <t>A 55255-2025</t>
        </is>
      </c>
      <c r="B489" s="1" t="n">
        <v>45968.63695601852</v>
      </c>
      <c r="C489" s="1" t="n">
        <v>46190</v>
      </c>
      <c r="D489" t="inlineStr">
        <is>
          <t>ÖREBRO LÄN</t>
        </is>
      </c>
      <c r="E489" t="inlineStr">
        <is>
          <t>LINDESBERG</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38762-2021</t>
        </is>
      </c>
      <c r="B490" s="1" t="n">
        <v>44410.61837962963</v>
      </c>
      <c r="C490" s="1" t="n">
        <v>46190</v>
      </c>
      <c r="D490" t="inlineStr">
        <is>
          <t>ÖREBRO LÄN</t>
        </is>
      </c>
      <c r="E490" t="inlineStr">
        <is>
          <t>LINDESBERG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43847-2025</t>
        </is>
      </c>
      <c r="B491" s="1" t="n">
        <v>45912.63751157407</v>
      </c>
      <c r="C491" s="1" t="n">
        <v>46190</v>
      </c>
      <c r="D491" t="inlineStr">
        <is>
          <t>ÖREBRO LÄN</t>
        </is>
      </c>
      <c r="E491" t="inlineStr">
        <is>
          <t>LINDESBERG</t>
        </is>
      </c>
      <c r="F491" t="inlineStr">
        <is>
          <t>Sveaskog</t>
        </is>
      </c>
      <c r="G491" t="n">
        <v>3.4</v>
      </c>
      <c r="H491" t="n">
        <v>0</v>
      </c>
      <c r="I491" t="n">
        <v>0</v>
      </c>
      <c r="J491" t="n">
        <v>0</v>
      </c>
      <c r="K491" t="n">
        <v>0</v>
      </c>
      <c r="L491" t="n">
        <v>0</v>
      </c>
      <c r="M491" t="n">
        <v>0</v>
      </c>
      <c r="N491" t="n">
        <v>0</v>
      </c>
      <c r="O491" t="n">
        <v>0</v>
      </c>
      <c r="P491" t="n">
        <v>0</v>
      </c>
      <c r="Q491" t="n">
        <v>0</v>
      </c>
      <c r="R491" s="2" t="inlineStr"/>
    </row>
    <row r="492" ht="15" customHeight="1">
      <c r="A492" t="inlineStr">
        <is>
          <t>A 55490-2025</t>
        </is>
      </c>
      <c r="B492" s="1" t="n">
        <v>45971.57659722222</v>
      </c>
      <c r="C492" s="1" t="n">
        <v>46190</v>
      </c>
      <c r="D492" t="inlineStr">
        <is>
          <t>ÖREBRO LÄN</t>
        </is>
      </c>
      <c r="E492" t="inlineStr">
        <is>
          <t>LINDESBERG</t>
        </is>
      </c>
      <c r="G492" t="n">
        <v>1.1</v>
      </c>
      <c r="H492" t="n">
        <v>0</v>
      </c>
      <c r="I492" t="n">
        <v>0</v>
      </c>
      <c r="J492" t="n">
        <v>0</v>
      </c>
      <c r="K492" t="n">
        <v>0</v>
      </c>
      <c r="L492" t="n">
        <v>0</v>
      </c>
      <c r="M492" t="n">
        <v>0</v>
      </c>
      <c r="N492" t="n">
        <v>0</v>
      </c>
      <c r="O492" t="n">
        <v>0</v>
      </c>
      <c r="P492" t="n">
        <v>0</v>
      </c>
      <c r="Q492" t="n">
        <v>0</v>
      </c>
      <c r="R492" s="2" t="inlineStr"/>
    </row>
    <row r="493" ht="15" customHeight="1">
      <c r="A493" t="inlineStr">
        <is>
          <t>A 39419-2023</t>
        </is>
      </c>
      <c r="B493" s="1" t="n">
        <v>45166.68493055556</v>
      </c>
      <c r="C493" s="1" t="n">
        <v>46190</v>
      </c>
      <c r="D493" t="inlineStr">
        <is>
          <t>ÖREBRO LÄN</t>
        </is>
      </c>
      <c r="E493" t="inlineStr">
        <is>
          <t>LINDESBERG</t>
        </is>
      </c>
      <c r="F493" t="inlineStr">
        <is>
          <t>Sveaskog</t>
        </is>
      </c>
      <c r="G493" t="n">
        <v>0.4</v>
      </c>
      <c r="H493" t="n">
        <v>0</v>
      </c>
      <c r="I493" t="n">
        <v>0</v>
      </c>
      <c r="J493" t="n">
        <v>0</v>
      </c>
      <c r="K493" t="n">
        <v>0</v>
      </c>
      <c r="L493" t="n">
        <v>0</v>
      </c>
      <c r="M493" t="n">
        <v>0</v>
      </c>
      <c r="N493" t="n">
        <v>0</v>
      </c>
      <c r="O493" t="n">
        <v>0</v>
      </c>
      <c r="P493" t="n">
        <v>0</v>
      </c>
      <c r="Q493" t="n">
        <v>0</v>
      </c>
      <c r="R493" s="2" t="inlineStr"/>
    </row>
    <row r="494" ht="15" customHeight="1">
      <c r="A494" t="inlineStr">
        <is>
          <t>A 6470-2024</t>
        </is>
      </c>
      <c r="B494" s="1" t="n">
        <v>45338</v>
      </c>
      <c r="C494" s="1" t="n">
        <v>46190</v>
      </c>
      <c r="D494" t="inlineStr">
        <is>
          <t>ÖREBRO LÄN</t>
        </is>
      </c>
      <c r="E494" t="inlineStr">
        <is>
          <t>LINDESBERG</t>
        </is>
      </c>
      <c r="G494" t="n">
        <v>1.2</v>
      </c>
      <c r="H494" t="n">
        <v>0</v>
      </c>
      <c r="I494" t="n">
        <v>0</v>
      </c>
      <c r="J494" t="n">
        <v>0</v>
      </c>
      <c r="K494" t="n">
        <v>0</v>
      </c>
      <c r="L494" t="n">
        <v>0</v>
      </c>
      <c r="M494" t="n">
        <v>0</v>
      </c>
      <c r="N494" t="n">
        <v>0</v>
      </c>
      <c r="O494" t="n">
        <v>0</v>
      </c>
      <c r="P494" t="n">
        <v>0</v>
      </c>
      <c r="Q494" t="n">
        <v>0</v>
      </c>
      <c r="R494" s="2" t="inlineStr"/>
    </row>
    <row r="495" ht="15" customHeight="1">
      <c r="A495" t="inlineStr">
        <is>
          <t>A 45978-2021</t>
        </is>
      </c>
      <c r="B495" s="1" t="n">
        <v>44441.70047453704</v>
      </c>
      <c r="C495" s="1" t="n">
        <v>46190</v>
      </c>
      <c r="D495" t="inlineStr">
        <is>
          <t>ÖREBRO LÄN</t>
        </is>
      </c>
      <c r="E495" t="inlineStr">
        <is>
          <t>LINDESBERG</t>
        </is>
      </c>
      <c r="G495" t="n">
        <v>4.4</v>
      </c>
      <c r="H495" t="n">
        <v>0</v>
      </c>
      <c r="I495" t="n">
        <v>0</v>
      </c>
      <c r="J495" t="n">
        <v>0</v>
      </c>
      <c r="K495" t="n">
        <v>0</v>
      </c>
      <c r="L495" t="n">
        <v>0</v>
      </c>
      <c r="M495" t="n">
        <v>0</v>
      </c>
      <c r="N495" t="n">
        <v>0</v>
      </c>
      <c r="O495" t="n">
        <v>0</v>
      </c>
      <c r="P495" t="n">
        <v>0</v>
      </c>
      <c r="Q495" t="n">
        <v>0</v>
      </c>
      <c r="R495" s="2" t="inlineStr"/>
    </row>
    <row r="496" ht="15" customHeight="1">
      <c r="A496" t="inlineStr">
        <is>
          <t>A 11218-2025</t>
        </is>
      </c>
      <c r="B496" s="1" t="n">
        <v>45726.33763888889</v>
      </c>
      <c r="C496" s="1" t="n">
        <v>46190</v>
      </c>
      <c r="D496" t="inlineStr">
        <is>
          <t>ÖREBRO LÄN</t>
        </is>
      </c>
      <c r="E496" t="inlineStr">
        <is>
          <t>LINDESBERG</t>
        </is>
      </c>
      <c r="G496" t="n">
        <v>0.4</v>
      </c>
      <c r="H496" t="n">
        <v>0</v>
      </c>
      <c r="I496" t="n">
        <v>0</v>
      </c>
      <c r="J496" t="n">
        <v>0</v>
      </c>
      <c r="K496" t="n">
        <v>0</v>
      </c>
      <c r="L496" t="n">
        <v>0</v>
      </c>
      <c r="M496" t="n">
        <v>0</v>
      </c>
      <c r="N496" t="n">
        <v>0</v>
      </c>
      <c r="O496" t="n">
        <v>0</v>
      </c>
      <c r="P496" t="n">
        <v>0</v>
      </c>
      <c r="Q496" t="n">
        <v>0</v>
      </c>
      <c r="R496" s="2" t="inlineStr"/>
    </row>
    <row r="497" ht="15" customHeight="1">
      <c r="A497" t="inlineStr">
        <is>
          <t>A 11220-2025</t>
        </is>
      </c>
      <c r="B497" s="1" t="n">
        <v>45726.34090277777</v>
      </c>
      <c r="C497" s="1" t="n">
        <v>46190</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56306-2025</t>
        </is>
      </c>
      <c r="B498" s="1" t="n">
        <v>45974.61217592593</v>
      </c>
      <c r="C498" s="1" t="n">
        <v>46190</v>
      </c>
      <c r="D498" t="inlineStr">
        <is>
          <t>ÖREBRO LÄN</t>
        </is>
      </c>
      <c r="E498" t="inlineStr">
        <is>
          <t>LINDESBERG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56308-2025</t>
        </is>
      </c>
      <c r="B499" s="1" t="n">
        <v>45974.61344907407</v>
      </c>
      <c r="C499" s="1" t="n">
        <v>46190</v>
      </c>
      <c r="D499" t="inlineStr">
        <is>
          <t>ÖREBRO LÄN</t>
        </is>
      </c>
      <c r="E499" t="inlineStr">
        <is>
          <t>LINDESBERG</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36859-2025</t>
        </is>
      </c>
      <c r="B500" s="1" t="n">
        <v>45874.40503472222</v>
      </c>
      <c r="C500" s="1" t="n">
        <v>46190</v>
      </c>
      <c r="D500" t="inlineStr">
        <is>
          <t>ÖREBRO LÄN</t>
        </is>
      </c>
      <c r="E500" t="inlineStr">
        <is>
          <t>LINDESBERG</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56232-2025</t>
        </is>
      </c>
      <c r="B501" s="1" t="n">
        <v>45974.53239583333</v>
      </c>
      <c r="C501" s="1" t="n">
        <v>46190</v>
      </c>
      <c r="D501" t="inlineStr">
        <is>
          <t>ÖREBRO LÄN</t>
        </is>
      </c>
      <c r="E501" t="inlineStr">
        <is>
          <t>LINDESBERG</t>
        </is>
      </c>
      <c r="G501" t="n">
        <v>3.2</v>
      </c>
      <c r="H501" t="n">
        <v>0</v>
      </c>
      <c r="I501" t="n">
        <v>0</v>
      </c>
      <c r="J501" t="n">
        <v>0</v>
      </c>
      <c r="K501" t="n">
        <v>0</v>
      </c>
      <c r="L501" t="n">
        <v>0</v>
      </c>
      <c r="M501" t="n">
        <v>0</v>
      </c>
      <c r="N501" t="n">
        <v>0</v>
      </c>
      <c r="O501" t="n">
        <v>0</v>
      </c>
      <c r="P501" t="n">
        <v>0</v>
      </c>
      <c r="Q501" t="n">
        <v>0</v>
      </c>
      <c r="R501" s="2" t="inlineStr"/>
    </row>
    <row r="502" ht="15" customHeight="1">
      <c r="A502" t="inlineStr">
        <is>
          <t>A 37616-2023</t>
        </is>
      </c>
      <c r="B502" s="1" t="n">
        <v>45159.44525462963</v>
      </c>
      <c r="C502" s="1" t="n">
        <v>46190</v>
      </c>
      <c r="D502" t="inlineStr">
        <is>
          <t>ÖREBRO LÄN</t>
        </is>
      </c>
      <c r="E502" t="inlineStr">
        <is>
          <t>LINDESBERG</t>
        </is>
      </c>
      <c r="G502" t="n">
        <v>5.3</v>
      </c>
      <c r="H502" t="n">
        <v>0</v>
      </c>
      <c r="I502" t="n">
        <v>0</v>
      </c>
      <c r="J502" t="n">
        <v>0</v>
      </c>
      <c r="K502" t="n">
        <v>0</v>
      </c>
      <c r="L502" t="n">
        <v>0</v>
      </c>
      <c r="M502" t="n">
        <v>0</v>
      </c>
      <c r="N502" t="n">
        <v>0</v>
      </c>
      <c r="O502" t="n">
        <v>0</v>
      </c>
      <c r="P502" t="n">
        <v>0</v>
      </c>
      <c r="Q502" t="n">
        <v>0</v>
      </c>
      <c r="R502" s="2" t="inlineStr"/>
    </row>
    <row r="503" ht="15" customHeight="1">
      <c r="A503" t="inlineStr">
        <is>
          <t>A 28562-2023</t>
        </is>
      </c>
      <c r="B503" s="1" t="n">
        <v>45103.53614583334</v>
      </c>
      <c r="C503" s="1" t="n">
        <v>46190</v>
      </c>
      <c r="D503" t="inlineStr">
        <is>
          <t>ÖREBRO LÄN</t>
        </is>
      </c>
      <c r="E503" t="inlineStr">
        <is>
          <t>LINDESBERG</t>
        </is>
      </c>
      <c r="G503" t="n">
        <v>2</v>
      </c>
      <c r="H503" t="n">
        <v>0</v>
      </c>
      <c r="I503" t="n">
        <v>0</v>
      </c>
      <c r="J503" t="n">
        <v>0</v>
      </c>
      <c r="K503" t="n">
        <v>0</v>
      </c>
      <c r="L503" t="n">
        <v>0</v>
      </c>
      <c r="M503" t="n">
        <v>0</v>
      </c>
      <c r="N503" t="n">
        <v>0</v>
      </c>
      <c r="O503" t="n">
        <v>0</v>
      </c>
      <c r="P503" t="n">
        <v>0</v>
      </c>
      <c r="Q503" t="n">
        <v>0</v>
      </c>
      <c r="R503" s="2" t="inlineStr"/>
    </row>
    <row r="504" ht="15" customHeight="1">
      <c r="A504" t="inlineStr">
        <is>
          <t>A 37497-2025</t>
        </is>
      </c>
      <c r="B504" s="1" t="n">
        <v>45877.64431712963</v>
      </c>
      <c r="C504" s="1" t="n">
        <v>46190</v>
      </c>
      <c r="D504" t="inlineStr">
        <is>
          <t>ÖREBRO LÄN</t>
        </is>
      </c>
      <c r="E504" t="inlineStr">
        <is>
          <t>LINDESBERG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56226-2025</t>
        </is>
      </c>
      <c r="B505" s="1" t="n">
        <v>45974.51283564815</v>
      </c>
      <c r="C505" s="1" t="n">
        <v>46190</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21016-2023</t>
        </is>
      </c>
      <c r="B506" s="1" t="n">
        <v>45061.53414351852</v>
      </c>
      <c r="C506" s="1" t="n">
        <v>46190</v>
      </c>
      <c r="D506" t="inlineStr">
        <is>
          <t>ÖREBRO LÄN</t>
        </is>
      </c>
      <c r="E506" t="inlineStr">
        <is>
          <t>LINDESBERG</t>
        </is>
      </c>
      <c r="G506" t="n">
        <v>8.1</v>
      </c>
      <c r="H506" t="n">
        <v>0</v>
      </c>
      <c r="I506" t="n">
        <v>0</v>
      </c>
      <c r="J506" t="n">
        <v>0</v>
      </c>
      <c r="K506" t="n">
        <v>0</v>
      </c>
      <c r="L506" t="n">
        <v>0</v>
      </c>
      <c r="M506" t="n">
        <v>0</v>
      </c>
      <c r="N506" t="n">
        <v>0</v>
      </c>
      <c r="O506" t="n">
        <v>0</v>
      </c>
      <c r="P506" t="n">
        <v>0</v>
      </c>
      <c r="Q506" t="n">
        <v>0</v>
      </c>
      <c r="R506" s="2" t="inlineStr"/>
    </row>
    <row r="507" ht="15" customHeight="1">
      <c r="A507" t="inlineStr">
        <is>
          <t>A 37301-2025</t>
        </is>
      </c>
      <c r="B507" s="1" t="n">
        <v>45876.59166666667</v>
      </c>
      <c r="C507" s="1" t="n">
        <v>46190</v>
      </c>
      <c r="D507" t="inlineStr">
        <is>
          <t>ÖREBRO LÄN</t>
        </is>
      </c>
      <c r="E507" t="inlineStr">
        <is>
          <t>LINDESBERG</t>
        </is>
      </c>
      <c r="G507" t="n">
        <v>1.4</v>
      </c>
      <c r="H507" t="n">
        <v>0</v>
      </c>
      <c r="I507" t="n">
        <v>0</v>
      </c>
      <c r="J507" t="n">
        <v>0</v>
      </c>
      <c r="K507" t="n">
        <v>0</v>
      </c>
      <c r="L507" t="n">
        <v>0</v>
      </c>
      <c r="M507" t="n">
        <v>0</v>
      </c>
      <c r="N507" t="n">
        <v>0</v>
      </c>
      <c r="O507" t="n">
        <v>0</v>
      </c>
      <c r="P507" t="n">
        <v>0</v>
      </c>
      <c r="Q507" t="n">
        <v>0</v>
      </c>
      <c r="R507" s="2" t="inlineStr"/>
    </row>
    <row r="508" ht="15" customHeight="1">
      <c r="A508" t="inlineStr">
        <is>
          <t>A 37837-2025</t>
        </is>
      </c>
      <c r="B508" s="1" t="n">
        <v>45881.42791666667</v>
      </c>
      <c r="C508" s="1" t="n">
        <v>46190</v>
      </c>
      <c r="D508" t="inlineStr">
        <is>
          <t>ÖREBRO LÄN</t>
        </is>
      </c>
      <c r="E508" t="inlineStr">
        <is>
          <t>LINDESBERG</t>
        </is>
      </c>
      <c r="G508" t="n">
        <v>1.3</v>
      </c>
      <c r="H508" t="n">
        <v>0</v>
      </c>
      <c r="I508" t="n">
        <v>0</v>
      </c>
      <c r="J508" t="n">
        <v>0</v>
      </c>
      <c r="K508" t="n">
        <v>0</v>
      </c>
      <c r="L508" t="n">
        <v>0</v>
      </c>
      <c r="M508" t="n">
        <v>0</v>
      </c>
      <c r="N508" t="n">
        <v>0</v>
      </c>
      <c r="O508" t="n">
        <v>0</v>
      </c>
      <c r="P508" t="n">
        <v>0</v>
      </c>
      <c r="Q508" t="n">
        <v>0</v>
      </c>
      <c r="R508" s="2" t="inlineStr"/>
    </row>
    <row r="509" ht="15" customHeight="1">
      <c r="A509" t="inlineStr">
        <is>
          <t>A 37602-2025</t>
        </is>
      </c>
      <c r="B509" s="1" t="n">
        <v>45880</v>
      </c>
      <c r="C509" s="1" t="n">
        <v>46190</v>
      </c>
      <c r="D509" t="inlineStr">
        <is>
          <t>ÖREBRO LÄN</t>
        </is>
      </c>
      <c r="E509" t="inlineStr">
        <is>
          <t>LINDESBERG</t>
        </is>
      </c>
      <c r="G509" t="n">
        <v>1</v>
      </c>
      <c r="H509" t="n">
        <v>0</v>
      </c>
      <c r="I509" t="n">
        <v>0</v>
      </c>
      <c r="J509" t="n">
        <v>0</v>
      </c>
      <c r="K509" t="n">
        <v>0</v>
      </c>
      <c r="L509" t="n">
        <v>0</v>
      </c>
      <c r="M509" t="n">
        <v>0</v>
      </c>
      <c r="N509" t="n">
        <v>0</v>
      </c>
      <c r="O509" t="n">
        <v>0</v>
      </c>
      <c r="P509" t="n">
        <v>0</v>
      </c>
      <c r="Q509" t="n">
        <v>0</v>
      </c>
      <c r="R509" s="2" t="inlineStr"/>
    </row>
    <row r="510" ht="15" customHeight="1">
      <c r="A510" t="inlineStr">
        <is>
          <t>A 64084-2023</t>
        </is>
      </c>
      <c r="B510" s="1" t="n">
        <v>45279</v>
      </c>
      <c r="C510" s="1" t="n">
        <v>46190</v>
      </c>
      <c r="D510" t="inlineStr">
        <is>
          <t>ÖREBRO LÄN</t>
        </is>
      </c>
      <c r="E510" t="inlineStr">
        <is>
          <t>LINDESBERG</t>
        </is>
      </c>
      <c r="G510" t="n">
        <v>2.1</v>
      </c>
      <c r="H510" t="n">
        <v>0</v>
      </c>
      <c r="I510" t="n">
        <v>0</v>
      </c>
      <c r="J510" t="n">
        <v>0</v>
      </c>
      <c r="K510" t="n">
        <v>0</v>
      </c>
      <c r="L510" t="n">
        <v>0</v>
      </c>
      <c r="M510" t="n">
        <v>0</v>
      </c>
      <c r="N510" t="n">
        <v>0</v>
      </c>
      <c r="O510" t="n">
        <v>0</v>
      </c>
      <c r="P510" t="n">
        <v>0</v>
      </c>
      <c r="Q510" t="n">
        <v>0</v>
      </c>
      <c r="R510" s="2" t="inlineStr"/>
    </row>
    <row r="511" ht="15" customHeight="1">
      <c r="A511" t="inlineStr">
        <is>
          <t>A 37625-2025</t>
        </is>
      </c>
      <c r="B511" s="1" t="n">
        <v>45880.46056712963</v>
      </c>
      <c r="C511" s="1" t="n">
        <v>46190</v>
      </c>
      <c r="D511" t="inlineStr">
        <is>
          <t>ÖREBRO LÄN</t>
        </is>
      </c>
      <c r="E511" t="inlineStr">
        <is>
          <t>LINDESBERG</t>
        </is>
      </c>
      <c r="G511" t="n">
        <v>12.5</v>
      </c>
      <c r="H511" t="n">
        <v>0</v>
      </c>
      <c r="I511" t="n">
        <v>0</v>
      </c>
      <c r="J511" t="n">
        <v>0</v>
      </c>
      <c r="K511" t="n">
        <v>0</v>
      </c>
      <c r="L511" t="n">
        <v>0</v>
      </c>
      <c r="M511" t="n">
        <v>0</v>
      </c>
      <c r="N511" t="n">
        <v>0</v>
      </c>
      <c r="O511" t="n">
        <v>0</v>
      </c>
      <c r="P511" t="n">
        <v>0</v>
      </c>
      <c r="Q511" t="n">
        <v>0</v>
      </c>
      <c r="R511" s="2" t="inlineStr"/>
    </row>
    <row r="512" ht="15" customHeight="1">
      <c r="A512" t="inlineStr">
        <is>
          <t>A 33886-2024</t>
        </is>
      </c>
      <c r="B512" s="1" t="n">
        <v>45523.31621527778</v>
      </c>
      <c r="C512" s="1" t="n">
        <v>46190</v>
      </c>
      <c r="D512" t="inlineStr">
        <is>
          <t>ÖREBRO LÄN</t>
        </is>
      </c>
      <c r="E512" t="inlineStr">
        <is>
          <t>LINDESBERG</t>
        </is>
      </c>
      <c r="G512" t="n">
        <v>1.3</v>
      </c>
      <c r="H512" t="n">
        <v>0</v>
      </c>
      <c r="I512" t="n">
        <v>0</v>
      </c>
      <c r="J512" t="n">
        <v>0</v>
      </c>
      <c r="K512" t="n">
        <v>0</v>
      </c>
      <c r="L512" t="n">
        <v>0</v>
      </c>
      <c r="M512" t="n">
        <v>0</v>
      </c>
      <c r="N512" t="n">
        <v>0</v>
      </c>
      <c r="O512" t="n">
        <v>0</v>
      </c>
      <c r="P512" t="n">
        <v>0</v>
      </c>
      <c r="Q512" t="n">
        <v>0</v>
      </c>
      <c r="R512" s="2" t="inlineStr"/>
    </row>
    <row r="513" ht="15" customHeight="1">
      <c r="A513" t="inlineStr">
        <is>
          <t>A 43046-2022</t>
        </is>
      </c>
      <c r="B513" s="1" t="n">
        <v>44833</v>
      </c>
      <c r="C513" s="1" t="n">
        <v>46190</v>
      </c>
      <c r="D513" t="inlineStr">
        <is>
          <t>ÖREBRO LÄN</t>
        </is>
      </c>
      <c r="E513" t="inlineStr">
        <is>
          <t>LINDESBERG</t>
        </is>
      </c>
      <c r="G513" t="n">
        <v>0.9</v>
      </c>
      <c r="H513" t="n">
        <v>0</v>
      </c>
      <c r="I513" t="n">
        <v>0</v>
      </c>
      <c r="J513" t="n">
        <v>0</v>
      </c>
      <c r="K513" t="n">
        <v>0</v>
      </c>
      <c r="L513" t="n">
        <v>0</v>
      </c>
      <c r="M513" t="n">
        <v>0</v>
      </c>
      <c r="N513" t="n">
        <v>0</v>
      </c>
      <c r="O513" t="n">
        <v>0</v>
      </c>
      <c r="P513" t="n">
        <v>0</v>
      </c>
      <c r="Q513" t="n">
        <v>0</v>
      </c>
      <c r="R513" s="2" t="inlineStr"/>
    </row>
    <row r="514" ht="15" customHeight="1">
      <c r="A514" t="inlineStr">
        <is>
          <t>A 62866-2023</t>
        </is>
      </c>
      <c r="B514" s="1" t="n">
        <v>45272.36168981482</v>
      </c>
      <c r="C514" s="1" t="n">
        <v>46190</v>
      </c>
      <c r="D514" t="inlineStr">
        <is>
          <t>ÖREBRO LÄN</t>
        </is>
      </c>
      <c r="E514" t="inlineStr">
        <is>
          <t>LINDESBERG</t>
        </is>
      </c>
      <c r="G514" t="n">
        <v>14.5</v>
      </c>
      <c r="H514" t="n">
        <v>0</v>
      </c>
      <c r="I514" t="n">
        <v>0</v>
      </c>
      <c r="J514" t="n">
        <v>0</v>
      </c>
      <c r="K514" t="n">
        <v>0</v>
      </c>
      <c r="L514" t="n">
        <v>0</v>
      </c>
      <c r="M514" t="n">
        <v>0</v>
      </c>
      <c r="N514" t="n">
        <v>0</v>
      </c>
      <c r="O514" t="n">
        <v>0</v>
      </c>
      <c r="P514" t="n">
        <v>0</v>
      </c>
      <c r="Q514" t="n">
        <v>0</v>
      </c>
      <c r="R514" s="2" t="inlineStr"/>
    </row>
    <row r="515" ht="15" customHeight="1">
      <c r="A515" t="inlineStr">
        <is>
          <t>A 37553-2025</t>
        </is>
      </c>
      <c r="B515" s="1" t="n">
        <v>45880.3172337963</v>
      </c>
      <c r="C515" s="1" t="n">
        <v>46190</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6-2023</t>
        </is>
      </c>
      <c r="B516" s="1" t="n">
        <v>44927.72487268518</v>
      </c>
      <c r="C516" s="1" t="n">
        <v>46190</v>
      </c>
      <c r="D516" t="inlineStr">
        <is>
          <t>ÖREBRO LÄN</t>
        </is>
      </c>
      <c r="E516" t="inlineStr">
        <is>
          <t>LINDESBERG</t>
        </is>
      </c>
      <c r="G516" t="n">
        <v>2.8</v>
      </c>
      <c r="H516" t="n">
        <v>0</v>
      </c>
      <c r="I516" t="n">
        <v>0</v>
      </c>
      <c r="J516" t="n">
        <v>0</v>
      </c>
      <c r="K516" t="n">
        <v>0</v>
      </c>
      <c r="L516" t="n">
        <v>0</v>
      </c>
      <c r="M516" t="n">
        <v>0</v>
      </c>
      <c r="N516" t="n">
        <v>0</v>
      </c>
      <c r="O516" t="n">
        <v>0</v>
      </c>
      <c r="P516" t="n">
        <v>0</v>
      </c>
      <c r="Q516" t="n">
        <v>0</v>
      </c>
      <c r="R516" s="2" t="inlineStr"/>
    </row>
    <row r="517" ht="15" customHeight="1">
      <c r="A517" t="inlineStr">
        <is>
          <t>A 57299-2025</t>
        </is>
      </c>
      <c r="B517" s="1" t="n">
        <v>45979.81347222222</v>
      </c>
      <c r="C517" s="1" t="n">
        <v>46190</v>
      </c>
      <c r="D517" t="inlineStr">
        <is>
          <t>ÖREBRO LÄN</t>
        </is>
      </c>
      <c r="E517" t="inlineStr">
        <is>
          <t>LINDESBERG</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57317-2025</t>
        </is>
      </c>
      <c r="B518" s="1" t="n">
        <v>45980.01226851852</v>
      </c>
      <c r="C518" s="1" t="n">
        <v>46190</v>
      </c>
      <c r="D518" t="inlineStr">
        <is>
          <t>ÖREBRO LÄN</t>
        </is>
      </c>
      <c r="E518" t="inlineStr">
        <is>
          <t>LINDESBERG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57300-2025</t>
        </is>
      </c>
      <c r="B519" s="1" t="n">
        <v>45979.81403935186</v>
      </c>
      <c r="C519" s="1" t="n">
        <v>46190</v>
      </c>
      <c r="D519" t="inlineStr">
        <is>
          <t>ÖREBRO LÄN</t>
        </is>
      </c>
      <c r="E519" t="inlineStr">
        <is>
          <t>LINDESBERG</t>
        </is>
      </c>
      <c r="F519" t="inlineStr">
        <is>
          <t>Sveaskog</t>
        </is>
      </c>
      <c r="G519" t="n">
        <v>4.9</v>
      </c>
      <c r="H519" t="n">
        <v>0</v>
      </c>
      <c r="I519" t="n">
        <v>0</v>
      </c>
      <c r="J519" t="n">
        <v>0</v>
      </c>
      <c r="K519" t="n">
        <v>0</v>
      </c>
      <c r="L519" t="n">
        <v>0</v>
      </c>
      <c r="M519" t="n">
        <v>0</v>
      </c>
      <c r="N519" t="n">
        <v>0</v>
      </c>
      <c r="O519" t="n">
        <v>0</v>
      </c>
      <c r="P519" t="n">
        <v>0</v>
      </c>
      <c r="Q519" t="n">
        <v>0</v>
      </c>
      <c r="R519" s="2" t="inlineStr"/>
    </row>
    <row r="520" ht="15" customHeight="1">
      <c r="A520" t="inlineStr">
        <is>
          <t>A 57359-2025</t>
        </is>
      </c>
      <c r="B520" s="1" t="n">
        <v>45980.36866898148</v>
      </c>
      <c r="C520" s="1" t="n">
        <v>46190</v>
      </c>
      <c r="D520" t="inlineStr">
        <is>
          <t>ÖREBRO LÄN</t>
        </is>
      </c>
      <c r="E520" t="inlineStr">
        <is>
          <t>LINDESBERG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57361-2025</t>
        </is>
      </c>
      <c r="B521" s="1" t="n">
        <v>45980.36988425926</v>
      </c>
      <c r="C521" s="1" t="n">
        <v>46190</v>
      </c>
      <c r="D521" t="inlineStr">
        <is>
          <t>ÖREBRO LÄN</t>
        </is>
      </c>
      <c r="E521" t="inlineStr">
        <is>
          <t>LINDESBERG</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57313-2025</t>
        </is>
      </c>
      <c r="B522" s="1" t="n">
        <v>45979.97458333334</v>
      </c>
      <c r="C522" s="1" t="n">
        <v>46190</v>
      </c>
      <c r="D522" t="inlineStr">
        <is>
          <t>ÖREBRO LÄN</t>
        </is>
      </c>
      <c r="E522" t="inlineStr">
        <is>
          <t>LINDESBERG</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57314-2025</t>
        </is>
      </c>
      <c r="B523" s="1" t="n">
        <v>45980.00710648148</v>
      </c>
      <c r="C523" s="1" t="n">
        <v>46190</v>
      </c>
      <c r="D523" t="inlineStr">
        <is>
          <t>ÖREBRO LÄN</t>
        </is>
      </c>
      <c r="E523" t="inlineStr">
        <is>
          <t>LINDESBERG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57315-2025</t>
        </is>
      </c>
      <c r="B524" s="1" t="n">
        <v>45980.00753472222</v>
      </c>
      <c r="C524" s="1" t="n">
        <v>46190</v>
      </c>
      <c r="D524" t="inlineStr">
        <is>
          <t>ÖREBRO LÄN</t>
        </is>
      </c>
      <c r="E524" t="inlineStr">
        <is>
          <t>LINDESBERG</t>
        </is>
      </c>
      <c r="F524" t="inlineStr">
        <is>
          <t>Sveaskog</t>
        </is>
      </c>
      <c r="G524" t="n">
        <v>2.5</v>
      </c>
      <c r="H524" t="n">
        <v>0</v>
      </c>
      <c r="I524" t="n">
        <v>0</v>
      </c>
      <c r="J524" t="n">
        <v>0</v>
      </c>
      <c r="K524" t="n">
        <v>0</v>
      </c>
      <c r="L524" t="n">
        <v>0</v>
      </c>
      <c r="M524" t="n">
        <v>0</v>
      </c>
      <c r="N524" t="n">
        <v>0</v>
      </c>
      <c r="O524" t="n">
        <v>0</v>
      </c>
      <c r="P524" t="n">
        <v>0</v>
      </c>
      <c r="Q524" t="n">
        <v>0</v>
      </c>
      <c r="R524" s="2" t="inlineStr"/>
    </row>
    <row r="525" ht="15" customHeight="1">
      <c r="A525" t="inlineStr">
        <is>
          <t>A 57316-2025</t>
        </is>
      </c>
      <c r="B525" s="1" t="n">
        <v>45980.0115625</v>
      </c>
      <c r="C525" s="1" t="n">
        <v>46190</v>
      </c>
      <c r="D525" t="inlineStr">
        <is>
          <t>ÖREBRO LÄN</t>
        </is>
      </c>
      <c r="E525" t="inlineStr">
        <is>
          <t>LINDESBERG</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57320-2025</t>
        </is>
      </c>
      <c r="B526" s="1" t="n">
        <v>45980.01553240741</v>
      </c>
      <c r="C526" s="1" t="n">
        <v>46190</v>
      </c>
      <c r="D526" t="inlineStr">
        <is>
          <t>ÖREBRO LÄN</t>
        </is>
      </c>
      <c r="E526" t="inlineStr">
        <is>
          <t>LINDESBERG</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57363-2025</t>
        </is>
      </c>
      <c r="B527" s="1" t="n">
        <v>45980.3716087963</v>
      </c>
      <c r="C527" s="1" t="n">
        <v>46190</v>
      </c>
      <c r="D527" t="inlineStr">
        <is>
          <t>ÖREBRO LÄN</t>
        </is>
      </c>
      <c r="E527" t="inlineStr">
        <is>
          <t>LINDESBERG</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63508-2023</t>
        </is>
      </c>
      <c r="B528" s="1" t="n">
        <v>45274</v>
      </c>
      <c r="C528" s="1" t="n">
        <v>46190</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36136-2023</t>
        </is>
      </c>
      <c r="B529" s="1" t="n">
        <v>45149</v>
      </c>
      <c r="C529" s="1" t="n">
        <v>46190</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34025-2024</t>
        </is>
      </c>
      <c r="B530" s="1" t="n">
        <v>45523.58565972222</v>
      </c>
      <c r="C530" s="1" t="n">
        <v>46190</v>
      </c>
      <c r="D530" t="inlineStr">
        <is>
          <t>ÖREBRO LÄN</t>
        </is>
      </c>
      <c r="E530" t="inlineStr">
        <is>
          <t>LINDESBERG</t>
        </is>
      </c>
      <c r="G530" t="n">
        <v>1.3</v>
      </c>
      <c r="H530" t="n">
        <v>0</v>
      </c>
      <c r="I530" t="n">
        <v>0</v>
      </c>
      <c r="J530" t="n">
        <v>0</v>
      </c>
      <c r="K530" t="n">
        <v>0</v>
      </c>
      <c r="L530" t="n">
        <v>0</v>
      </c>
      <c r="M530" t="n">
        <v>0</v>
      </c>
      <c r="N530" t="n">
        <v>0</v>
      </c>
      <c r="O530" t="n">
        <v>0</v>
      </c>
      <c r="P530" t="n">
        <v>0</v>
      </c>
      <c r="Q530" t="n">
        <v>0</v>
      </c>
      <c r="R530" s="2" t="inlineStr"/>
    </row>
    <row r="531" ht="15" customHeight="1">
      <c r="A531" t="inlineStr">
        <is>
          <t>A 19077-2025</t>
        </is>
      </c>
      <c r="B531" s="1" t="n">
        <v>45766.33309027777</v>
      </c>
      <c r="C531" s="1" t="n">
        <v>46190</v>
      </c>
      <c r="D531" t="inlineStr">
        <is>
          <t>ÖREBRO LÄN</t>
        </is>
      </c>
      <c r="E531" t="inlineStr">
        <is>
          <t>LINDESBERG</t>
        </is>
      </c>
      <c r="G531" t="n">
        <v>0</v>
      </c>
      <c r="H531" t="n">
        <v>0</v>
      </c>
      <c r="I531" t="n">
        <v>0</v>
      </c>
      <c r="J531" t="n">
        <v>0</v>
      </c>
      <c r="K531" t="n">
        <v>0</v>
      </c>
      <c r="L531" t="n">
        <v>0</v>
      </c>
      <c r="M531" t="n">
        <v>0</v>
      </c>
      <c r="N531" t="n">
        <v>0</v>
      </c>
      <c r="O531" t="n">
        <v>0</v>
      </c>
      <c r="P531" t="n">
        <v>0</v>
      </c>
      <c r="Q531" t="n">
        <v>0</v>
      </c>
      <c r="R531" s="2" t="inlineStr"/>
    </row>
    <row r="532" ht="15" customHeight="1">
      <c r="A532" t="inlineStr">
        <is>
          <t>A 13884-2023</t>
        </is>
      </c>
      <c r="B532" s="1" t="n">
        <v>45007</v>
      </c>
      <c r="C532" s="1" t="n">
        <v>46190</v>
      </c>
      <c r="D532" t="inlineStr">
        <is>
          <t>ÖREBRO LÄN</t>
        </is>
      </c>
      <c r="E532" t="inlineStr">
        <is>
          <t>LINDESBERG</t>
        </is>
      </c>
      <c r="F532" t="inlineStr">
        <is>
          <t>Kommuner</t>
        </is>
      </c>
      <c r="G532" t="n">
        <v>7.7</v>
      </c>
      <c r="H532" t="n">
        <v>0</v>
      </c>
      <c r="I532" t="n">
        <v>0</v>
      </c>
      <c r="J532" t="n">
        <v>0</v>
      </c>
      <c r="K532" t="n">
        <v>0</v>
      </c>
      <c r="L532" t="n">
        <v>0</v>
      </c>
      <c r="M532" t="n">
        <v>0</v>
      </c>
      <c r="N532" t="n">
        <v>0</v>
      </c>
      <c r="O532" t="n">
        <v>0</v>
      </c>
      <c r="P532" t="n">
        <v>0</v>
      </c>
      <c r="Q532" t="n">
        <v>0</v>
      </c>
      <c r="R532" s="2" t="inlineStr"/>
    </row>
    <row r="533" ht="15" customHeight="1">
      <c r="A533" t="inlineStr">
        <is>
          <t>A 50275-2024</t>
        </is>
      </c>
      <c r="B533" s="1" t="n">
        <v>45600.60071759259</v>
      </c>
      <c r="C533" s="1" t="n">
        <v>46190</v>
      </c>
      <c r="D533" t="inlineStr">
        <is>
          <t>ÖREBRO LÄN</t>
        </is>
      </c>
      <c r="E533" t="inlineStr">
        <is>
          <t>LINDESBERG</t>
        </is>
      </c>
      <c r="G533" t="n">
        <v>4.3</v>
      </c>
      <c r="H533" t="n">
        <v>0</v>
      </c>
      <c r="I533" t="n">
        <v>0</v>
      </c>
      <c r="J533" t="n">
        <v>0</v>
      </c>
      <c r="K533" t="n">
        <v>0</v>
      </c>
      <c r="L533" t="n">
        <v>0</v>
      </c>
      <c r="M533" t="n">
        <v>0</v>
      </c>
      <c r="N533" t="n">
        <v>0</v>
      </c>
      <c r="O533" t="n">
        <v>0</v>
      </c>
      <c r="P533" t="n">
        <v>0</v>
      </c>
      <c r="Q533" t="n">
        <v>0</v>
      </c>
      <c r="R533" s="2" t="inlineStr"/>
    </row>
    <row r="534" ht="15" customHeight="1">
      <c r="A534" t="inlineStr">
        <is>
          <t>A 17463-2023</t>
        </is>
      </c>
      <c r="B534" s="1" t="n">
        <v>45036</v>
      </c>
      <c r="C534" s="1" t="n">
        <v>46190</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36001-2021</t>
        </is>
      </c>
      <c r="B535" s="1" t="n">
        <v>44389</v>
      </c>
      <c r="C535" s="1" t="n">
        <v>46190</v>
      </c>
      <c r="D535" t="inlineStr">
        <is>
          <t>ÖREBRO LÄN</t>
        </is>
      </c>
      <c r="E535" t="inlineStr">
        <is>
          <t>LINDESBERG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33280-2024</t>
        </is>
      </c>
      <c r="B536" s="1" t="n">
        <v>45518.71048611111</v>
      </c>
      <c r="C536" s="1" t="n">
        <v>46190</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33281-2024</t>
        </is>
      </c>
      <c r="B537" s="1" t="n">
        <v>45518.71202546296</v>
      </c>
      <c r="C537" s="1" t="n">
        <v>46190</v>
      </c>
      <c r="D537" t="inlineStr">
        <is>
          <t>ÖREBRO LÄN</t>
        </is>
      </c>
      <c r="E537" t="inlineStr">
        <is>
          <t>LINDESBERG</t>
        </is>
      </c>
      <c r="G537" t="n">
        <v>2</v>
      </c>
      <c r="H537" t="n">
        <v>0</v>
      </c>
      <c r="I537" t="n">
        <v>0</v>
      </c>
      <c r="J537" t="n">
        <v>0</v>
      </c>
      <c r="K537" t="n">
        <v>0</v>
      </c>
      <c r="L537" t="n">
        <v>0</v>
      </c>
      <c r="M537" t="n">
        <v>0</v>
      </c>
      <c r="N537" t="n">
        <v>0</v>
      </c>
      <c r="O537" t="n">
        <v>0</v>
      </c>
      <c r="P537" t="n">
        <v>0</v>
      </c>
      <c r="Q537" t="n">
        <v>0</v>
      </c>
      <c r="R537" s="2" t="inlineStr"/>
    </row>
    <row r="538" ht="15" customHeight="1">
      <c r="A538" t="inlineStr">
        <is>
          <t>A 33283-2024</t>
        </is>
      </c>
      <c r="B538" s="1" t="n">
        <v>45518.71591435185</v>
      </c>
      <c r="C538" s="1" t="n">
        <v>46190</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39140-2024</t>
        </is>
      </c>
      <c r="B539" s="1" t="n">
        <v>45548</v>
      </c>
      <c r="C539" s="1" t="n">
        <v>46190</v>
      </c>
      <c r="D539" t="inlineStr">
        <is>
          <t>ÖREBRO LÄN</t>
        </is>
      </c>
      <c r="E539" t="inlineStr">
        <is>
          <t>LINDESBERG</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46404-2025</t>
        </is>
      </c>
      <c r="B540" s="1" t="n">
        <v>45925.56173611111</v>
      </c>
      <c r="C540" s="1" t="n">
        <v>46190</v>
      </c>
      <c r="D540" t="inlineStr">
        <is>
          <t>ÖREBRO LÄN</t>
        </is>
      </c>
      <c r="E540" t="inlineStr">
        <is>
          <t>LINDESBERG</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46484-2025</t>
        </is>
      </c>
      <c r="B541" s="1" t="n">
        <v>45925.70290509259</v>
      </c>
      <c r="C541" s="1" t="n">
        <v>46190</v>
      </c>
      <c r="D541" t="inlineStr">
        <is>
          <t>ÖREBRO LÄN</t>
        </is>
      </c>
      <c r="E541" t="inlineStr">
        <is>
          <t>LINDESBERG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60400-2025</t>
        </is>
      </c>
      <c r="B542" s="1" t="n">
        <v>45995</v>
      </c>
      <c r="C542" s="1" t="n">
        <v>46190</v>
      </c>
      <c r="D542" t="inlineStr">
        <is>
          <t>ÖREBRO LÄN</t>
        </is>
      </c>
      <c r="E542" t="inlineStr">
        <is>
          <t>LINDESBERG</t>
        </is>
      </c>
      <c r="G542" t="n">
        <v>11.2</v>
      </c>
      <c r="H542" t="n">
        <v>0</v>
      </c>
      <c r="I542" t="n">
        <v>0</v>
      </c>
      <c r="J542" t="n">
        <v>0</v>
      </c>
      <c r="K542" t="n">
        <v>0</v>
      </c>
      <c r="L542" t="n">
        <v>0</v>
      </c>
      <c r="M542" t="n">
        <v>0</v>
      </c>
      <c r="N542" t="n">
        <v>0</v>
      </c>
      <c r="O542" t="n">
        <v>0</v>
      </c>
      <c r="P542" t="n">
        <v>0</v>
      </c>
      <c r="Q542" t="n">
        <v>0</v>
      </c>
      <c r="R542" s="2" t="inlineStr"/>
    </row>
    <row r="543" ht="15" customHeight="1">
      <c r="A543" t="inlineStr">
        <is>
          <t>A 32928-2023</t>
        </is>
      </c>
      <c r="B543" s="1" t="n">
        <v>45125.41458333333</v>
      </c>
      <c r="C543" s="1" t="n">
        <v>46190</v>
      </c>
      <c r="D543" t="inlineStr">
        <is>
          <t>ÖREBRO LÄN</t>
        </is>
      </c>
      <c r="E543" t="inlineStr">
        <is>
          <t>LINDESBERG</t>
        </is>
      </c>
      <c r="G543" t="n">
        <v>4.8</v>
      </c>
      <c r="H543" t="n">
        <v>0</v>
      </c>
      <c r="I543" t="n">
        <v>0</v>
      </c>
      <c r="J543" t="n">
        <v>0</v>
      </c>
      <c r="K543" t="n">
        <v>0</v>
      </c>
      <c r="L543" t="n">
        <v>0</v>
      </c>
      <c r="M543" t="n">
        <v>0</v>
      </c>
      <c r="N543" t="n">
        <v>0</v>
      </c>
      <c r="O543" t="n">
        <v>0</v>
      </c>
      <c r="P543" t="n">
        <v>0</v>
      </c>
      <c r="Q543" t="n">
        <v>0</v>
      </c>
      <c r="R543" s="2" t="inlineStr"/>
    </row>
    <row r="544" ht="15" customHeight="1">
      <c r="A544" t="inlineStr">
        <is>
          <t>A 32994-2023</t>
        </is>
      </c>
      <c r="B544" s="1" t="n">
        <v>45113</v>
      </c>
      <c r="C544" s="1" t="n">
        <v>46190</v>
      </c>
      <c r="D544" t="inlineStr">
        <is>
          <t>ÖREBRO LÄN</t>
        </is>
      </c>
      <c r="E544" t="inlineStr">
        <is>
          <t>LINDESBERG</t>
        </is>
      </c>
      <c r="G544" t="n">
        <v>2.3</v>
      </c>
      <c r="H544" t="n">
        <v>0</v>
      </c>
      <c r="I544" t="n">
        <v>0</v>
      </c>
      <c r="J544" t="n">
        <v>0</v>
      </c>
      <c r="K544" t="n">
        <v>0</v>
      </c>
      <c r="L544" t="n">
        <v>0</v>
      </c>
      <c r="M544" t="n">
        <v>0</v>
      </c>
      <c r="N544" t="n">
        <v>0</v>
      </c>
      <c r="O544" t="n">
        <v>0</v>
      </c>
      <c r="P544" t="n">
        <v>0</v>
      </c>
      <c r="Q544" t="n">
        <v>0</v>
      </c>
      <c r="R544" s="2" t="inlineStr"/>
    </row>
    <row r="545" ht="15" customHeight="1">
      <c r="A545" t="inlineStr">
        <is>
          <t>A 60450-2025</t>
        </is>
      </c>
      <c r="B545" s="1" t="n">
        <v>45995</v>
      </c>
      <c r="C545" s="1" t="n">
        <v>46190</v>
      </c>
      <c r="D545" t="inlineStr">
        <is>
          <t>ÖREBRO LÄN</t>
        </is>
      </c>
      <c r="E545" t="inlineStr">
        <is>
          <t>LINDESBERG</t>
        </is>
      </c>
      <c r="G545" t="n">
        <v>4.1</v>
      </c>
      <c r="H545" t="n">
        <v>0</v>
      </c>
      <c r="I545" t="n">
        <v>0</v>
      </c>
      <c r="J545" t="n">
        <v>0</v>
      </c>
      <c r="K545" t="n">
        <v>0</v>
      </c>
      <c r="L545" t="n">
        <v>0</v>
      </c>
      <c r="M545" t="n">
        <v>0</v>
      </c>
      <c r="N545" t="n">
        <v>0</v>
      </c>
      <c r="O545" t="n">
        <v>0</v>
      </c>
      <c r="P545" t="n">
        <v>0</v>
      </c>
      <c r="Q545" t="n">
        <v>0</v>
      </c>
      <c r="R545" s="2" t="inlineStr"/>
    </row>
    <row r="546" ht="15" customHeight="1">
      <c r="A546" t="inlineStr">
        <is>
          <t>A 45062-2022</t>
        </is>
      </c>
      <c r="B546" s="1" t="n">
        <v>44841</v>
      </c>
      <c r="C546" s="1" t="n">
        <v>46190</v>
      </c>
      <c r="D546" t="inlineStr">
        <is>
          <t>ÖREBRO LÄN</t>
        </is>
      </c>
      <c r="E546" t="inlineStr">
        <is>
          <t>LINDESBERG</t>
        </is>
      </c>
      <c r="G546" t="n">
        <v>2</v>
      </c>
      <c r="H546" t="n">
        <v>0</v>
      </c>
      <c r="I546" t="n">
        <v>0</v>
      </c>
      <c r="J546" t="n">
        <v>0</v>
      </c>
      <c r="K546" t="n">
        <v>0</v>
      </c>
      <c r="L546" t="n">
        <v>0</v>
      </c>
      <c r="M546" t="n">
        <v>0</v>
      </c>
      <c r="N546" t="n">
        <v>0</v>
      </c>
      <c r="O546" t="n">
        <v>0</v>
      </c>
      <c r="P546" t="n">
        <v>0</v>
      </c>
      <c r="Q546" t="n">
        <v>0</v>
      </c>
      <c r="R546" s="2" t="inlineStr"/>
    </row>
    <row r="547" ht="15" customHeight="1">
      <c r="A547" t="inlineStr">
        <is>
          <t>A 21012-2023</t>
        </is>
      </c>
      <c r="B547" s="1" t="n">
        <v>45061.52474537037</v>
      </c>
      <c r="C547" s="1" t="n">
        <v>46190</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40456-2023</t>
        </is>
      </c>
      <c r="B548" s="1" t="n">
        <v>45170</v>
      </c>
      <c r="C548" s="1" t="n">
        <v>46190</v>
      </c>
      <c r="D548" t="inlineStr">
        <is>
          <t>ÖREBRO LÄN</t>
        </is>
      </c>
      <c r="E548" t="inlineStr">
        <is>
          <t>LINDESBERG</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47678-2025</t>
        </is>
      </c>
      <c r="B549" s="1" t="n">
        <v>45931.57967592592</v>
      </c>
      <c r="C549" s="1" t="n">
        <v>46190</v>
      </c>
      <c r="D549" t="inlineStr">
        <is>
          <t>ÖREBRO LÄN</t>
        </is>
      </c>
      <c r="E549" t="inlineStr">
        <is>
          <t>LINDESBERG</t>
        </is>
      </c>
      <c r="G549" t="n">
        <v>0.6</v>
      </c>
      <c r="H549" t="n">
        <v>0</v>
      </c>
      <c r="I549" t="n">
        <v>0</v>
      </c>
      <c r="J549" t="n">
        <v>0</v>
      </c>
      <c r="K549" t="n">
        <v>0</v>
      </c>
      <c r="L549" t="n">
        <v>0</v>
      </c>
      <c r="M549" t="n">
        <v>0</v>
      </c>
      <c r="N549" t="n">
        <v>0</v>
      </c>
      <c r="O549" t="n">
        <v>0</v>
      </c>
      <c r="P549" t="n">
        <v>0</v>
      </c>
      <c r="Q549" t="n">
        <v>0</v>
      </c>
      <c r="R549" s="2" t="inlineStr"/>
    </row>
    <row r="550" ht="15" customHeight="1">
      <c r="A550" t="inlineStr">
        <is>
          <t>A 42282-2024</t>
        </is>
      </c>
      <c r="B550" s="1" t="n">
        <v>45562.61158564815</v>
      </c>
      <c r="C550" s="1" t="n">
        <v>46190</v>
      </c>
      <c r="D550" t="inlineStr">
        <is>
          <t>ÖREBRO LÄN</t>
        </is>
      </c>
      <c r="E550" t="inlineStr">
        <is>
          <t>LINDESBERG</t>
        </is>
      </c>
      <c r="G550" t="n">
        <v>0.8</v>
      </c>
      <c r="H550" t="n">
        <v>0</v>
      </c>
      <c r="I550" t="n">
        <v>0</v>
      </c>
      <c r="J550" t="n">
        <v>0</v>
      </c>
      <c r="K550" t="n">
        <v>0</v>
      </c>
      <c r="L550" t="n">
        <v>0</v>
      </c>
      <c r="M550" t="n">
        <v>0</v>
      </c>
      <c r="N550" t="n">
        <v>0</v>
      </c>
      <c r="O550" t="n">
        <v>0</v>
      </c>
      <c r="P550" t="n">
        <v>0</v>
      </c>
      <c r="Q550" t="n">
        <v>0</v>
      </c>
      <c r="R550" s="2" t="inlineStr"/>
    </row>
    <row r="551" ht="15" customHeight="1">
      <c r="A551" t="inlineStr">
        <is>
          <t>A 32262-2021</t>
        </is>
      </c>
      <c r="B551" s="1" t="n">
        <v>44371.47609953704</v>
      </c>
      <c r="C551" s="1" t="n">
        <v>46190</v>
      </c>
      <c r="D551" t="inlineStr">
        <is>
          <t>ÖREBRO LÄN</t>
        </is>
      </c>
      <c r="E551" t="inlineStr">
        <is>
          <t>LINDESBERG</t>
        </is>
      </c>
      <c r="G551" t="n">
        <v>0.9</v>
      </c>
      <c r="H551" t="n">
        <v>0</v>
      </c>
      <c r="I551" t="n">
        <v>0</v>
      </c>
      <c r="J551" t="n">
        <v>0</v>
      </c>
      <c r="K551" t="n">
        <v>0</v>
      </c>
      <c r="L551" t="n">
        <v>0</v>
      </c>
      <c r="M551" t="n">
        <v>0</v>
      </c>
      <c r="N551" t="n">
        <v>0</v>
      </c>
      <c r="O551" t="n">
        <v>0</v>
      </c>
      <c r="P551" t="n">
        <v>0</v>
      </c>
      <c r="Q551" t="n">
        <v>0</v>
      </c>
      <c r="R551" s="2" t="inlineStr"/>
    </row>
    <row r="552" ht="15" customHeight="1">
      <c r="A552" t="inlineStr">
        <is>
          <t>A 47676-2025</t>
        </is>
      </c>
      <c r="B552" s="1" t="n">
        <v>45931.57756944445</v>
      </c>
      <c r="C552" s="1" t="n">
        <v>46190</v>
      </c>
      <c r="D552" t="inlineStr">
        <is>
          <t>ÖREBRO LÄN</t>
        </is>
      </c>
      <c r="E552" t="inlineStr">
        <is>
          <t>LINDESBERG</t>
        </is>
      </c>
      <c r="G552" t="n">
        <v>0.8</v>
      </c>
      <c r="H552" t="n">
        <v>0</v>
      </c>
      <c r="I552" t="n">
        <v>0</v>
      </c>
      <c r="J552" t="n">
        <v>0</v>
      </c>
      <c r="K552" t="n">
        <v>0</v>
      </c>
      <c r="L552" t="n">
        <v>0</v>
      </c>
      <c r="M552" t="n">
        <v>0</v>
      </c>
      <c r="N552" t="n">
        <v>0</v>
      </c>
      <c r="O552" t="n">
        <v>0</v>
      </c>
      <c r="P552" t="n">
        <v>0</v>
      </c>
      <c r="Q552" t="n">
        <v>0</v>
      </c>
      <c r="R552" s="2" t="inlineStr"/>
    </row>
    <row r="553" ht="15" customHeight="1">
      <c r="A553" t="inlineStr">
        <is>
          <t>A 27576-2024</t>
        </is>
      </c>
      <c r="B553" s="1" t="n">
        <v>45474.65005787037</v>
      </c>
      <c r="C553" s="1" t="n">
        <v>46190</v>
      </c>
      <c r="D553" t="inlineStr">
        <is>
          <t>ÖREBRO LÄN</t>
        </is>
      </c>
      <c r="E553" t="inlineStr">
        <is>
          <t>LINDESBERG</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32099-2024</t>
        </is>
      </c>
      <c r="B554" s="1" t="n">
        <v>45511.40297453704</v>
      </c>
      <c r="C554" s="1" t="n">
        <v>46190</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61761-2025</t>
        </is>
      </c>
      <c r="B555" s="1" t="n">
        <v>46002.62465277778</v>
      </c>
      <c r="C555" s="1" t="n">
        <v>46190</v>
      </c>
      <c r="D555" t="inlineStr">
        <is>
          <t>ÖREBRO LÄN</t>
        </is>
      </c>
      <c r="E555" t="inlineStr">
        <is>
          <t>LINDESBERG</t>
        </is>
      </c>
      <c r="G555" t="n">
        <v>3.8</v>
      </c>
      <c r="H555" t="n">
        <v>0</v>
      </c>
      <c r="I555" t="n">
        <v>0</v>
      </c>
      <c r="J555" t="n">
        <v>0</v>
      </c>
      <c r="K555" t="n">
        <v>0</v>
      </c>
      <c r="L555" t="n">
        <v>0</v>
      </c>
      <c r="M555" t="n">
        <v>0</v>
      </c>
      <c r="N555" t="n">
        <v>0</v>
      </c>
      <c r="O555" t="n">
        <v>0</v>
      </c>
      <c r="P555" t="n">
        <v>0</v>
      </c>
      <c r="Q555" t="n">
        <v>0</v>
      </c>
      <c r="R555" s="2" t="inlineStr"/>
    </row>
    <row r="556" ht="15" customHeight="1">
      <c r="A556" t="inlineStr">
        <is>
          <t>A 8836-2023</t>
        </is>
      </c>
      <c r="B556" s="1" t="n">
        <v>44978</v>
      </c>
      <c r="C556" s="1" t="n">
        <v>46190</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61745-2025</t>
        </is>
      </c>
      <c r="B557" s="1" t="n">
        <v>46002.60324074074</v>
      </c>
      <c r="C557" s="1" t="n">
        <v>46190</v>
      </c>
      <c r="D557" t="inlineStr">
        <is>
          <t>ÖREBRO LÄN</t>
        </is>
      </c>
      <c r="E557" t="inlineStr">
        <is>
          <t>LINDESBERG</t>
        </is>
      </c>
      <c r="G557" t="n">
        <v>1.8</v>
      </c>
      <c r="H557" t="n">
        <v>0</v>
      </c>
      <c r="I557" t="n">
        <v>0</v>
      </c>
      <c r="J557" t="n">
        <v>0</v>
      </c>
      <c r="K557" t="n">
        <v>0</v>
      </c>
      <c r="L557" t="n">
        <v>0</v>
      </c>
      <c r="M557" t="n">
        <v>0</v>
      </c>
      <c r="N557" t="n">
        <v>0</v>
      </c>
      <c r="O557" t="n">
        <v>0</v>
      </c>
      <c r="P557" t="n">
        <v>0</v>
      </c>
      <c r="Q557" t="n">
        <v>0</v>
      </c>
      <c r="R557" s="2" t="inlineStr"/>
    </row>
    <row r="558" ht="15" customHeight="1">
      <c r="A558" t="inlineStr">
        <is>
          <t>A 61758-2025</t>
        </is>
      </c>
      <c r="B558" s="1" t="n">
        <v>46002.61762731482</v>
      </c>
      <c r="C558" s="1" t="n">
        <v>46190</v>
      </c>
      <c r="D558" t="inlineStr">
        <is>
          <t>ÖREBRO LÄN</t>
        </is>
      </c>
      <c r="E558" t="inlineStr">
        <is>
          <t>LINDESBERG</t>
        </is>
      </c>
      <c r="G558" t="n">
        <v>1.8</v>
      </c>
      <c r="H558" t="n">
        <v>0</v>
      </c>
      <c r="I558" t="n">
        <v>0</v>
      </c>
      <c r="J558" t="n">
        <v>0</v>
      </c>
      <c r="K558" t="n">
        <v>0</v>
      </c>
      <c r="L558" t="n">
        <v>0</v>
      </c>
      <c r="M558" t="n">
        <v>0</v>
      </c>
      <c r="N558" t="n">
        <v>0</v>
      </c>
      <c r="O558" t="n">
        <v>0</v>
      </c>
      <c r="P558" t="n">
        <v>0</v>
      </c>
      <c r="Q558" t="n">
        <v>0</v>
      </c>
      <c r="R558" s="2" t="inlineStr"/>
    </row>
    <row r="559" ht="15" customHeight="1">
      <c r="A559" t="inlineStr">
        <is>
          <t>A 5772-2023</t>
        </is>
      </c>
      <c r="B559" s="1" t="n">
        <v>44963.37709490741</v>
      </c>
      <c r="C559" s="1" t="n">
        <v>46190</v>
      </c>
      <c r="D559" t="inlineStr">
        <is>
          <t>ÖREBRO LÄN</t>
        </is>
      </c>
      <c r="E559" t="inlineStr">
        <is>
          <t>LINDESBERG</t>
        </is>
      </c>
      <c r="G559" t="n">
        <v>3</v>
      </c>
      <c r="H559" t="n">
        <v>0</v>
      </c>
      <c r="I559" t="n">
        <v>0</v>
      </c>
      <c r="J559" t="n">
        <v>0</v>
      </c>
      <c r="K559" t="n">
        <v>0</v>
      </c>
      <c r="L559" t="n">
        <v>0</v>
      </c>
      <c r="M559" t="n">
        <v>0</v>
      </c>
      <c r="N559" t="n">
        <v>0</v>
      </c>
      <c r="O559" t="n">
        <v>0</v>
      </c>
      <c r="P559" t="n">
        <v>0</v>
      </c>
      <c r="Q559" t="n">
        <v>0</v>
      </c>
      <c r="R559" s="2" t="inlineStr"/>
    </row>
    <row r="560" ht="15" customHeight="1">
      <c r="A560" t="inlineStr">
        <is>
          <t>A 58050-2025</t>
        </is>
      </c>
      <c r="B560" s="1" t="n">
        <v>45982</v>
      </c>
      <c r="C560" s="1" t="n">
        <v>46190</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58056-2025</t>
        </is>
      </c>
      <c r="B561" s="1" t="n">
        <v>45982</v>
      </c>
      <c r="C561" s="1" t="n">
        <v>46190</v>
      </c>
      <c r="D561" t="inlineStr">
        <is>
          <t>ÖREBRO LÄN</t>
        </is>
      </c>
      <c r="E561" t="inlineStr">
        <is>
          <t>LINDESBERG</t>
        </is>
      </c>
      <c r="G561" t="n">
        <v>0.9</v>
      </c>
      <c r="H561" t="n">
        <v>0</v>
      </c>
      <c r="I561" t="n">
        <v>0</v>
      </c>
      <c r="J561" t="n">
        <v>0</v>
      </c>
      <c r="K561" t="n">
        <v>0</v>
      </c>
      <c r="L561" t="n">
        <v>0</v>
      </c>
      <c r="M561" t="n">
        <v>0</v>
      </c>
      <c r="N561" t="n">
        <v>0</v>
      </c>
      <c r="O561" t="n">
        <v>0</v>
      </c>
      <c r="P561" t="n">
        <v>0</v>
      </c>
      <c r="Q561" t="n">
        <v>0</v>
      </c>
      <c r="R561" s="2" t="inlineStr"/>
    </row>
    <row r="562" ht="15" customHeight="1">
      <c r="A562" t="inlineStr">
        <is>
          <t>A 36024-2021</t>
        </is>
      </c>
      <c r="B562" s="1" t="n">
        <v>44389</v>
      </c>
      <c r="C562" s="1" t="n">
        <v>46190</v>
      </c>
      <c r="D562" t="inlineStr">
        <is>
          <t>ÖREBRO LÄN</t>
        </is>
      </c>
      <c r="E562" t="inlineStr">
        <is>
          <t>LINDESBERG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13472-2023</t>
        </is>
      </c>
      <c r="B563" s="1" t="n">
        <v>45005</v>
      </c>
      <c r="C563" s="1" t="n">
        <v>46190</v>
      </c>
      <c r="D563" t="inlineStr">
        <is>
          <t>ÖREBRO LÄN</t>
        </is>
      </c>
      <c r="E563" t="inlineStr">
        <is>
          <t>LINDESBERG</t>
        </is>
      </c>
      <c r="G563" t="n">
        <v>2.5</v>
      </c>
      <c r="H563" t="n">
        <v>0</v>
      </c>
      <c r="I563" t="n">
        <v>0</v>
      </c>
      <c r="J563" t="n">
        <v>0</v>
      </c>
      <c r="K563" t="n">
        <v>0</v>
      </c>
      <c r="L563" t="n">
        <v>0</v>
      </c>
      <c r="M563" t="n">
        <v>0</v>
      </c>
      <c r="N563" t="n">
        <v>0</v>
      </c>
      <c r="O563" t="n">
        <v>0</v>
      </c>
      <c r="P563" t="n">
        <v>0</v>
      </c>
      <c r="Q563" t="n">
        <v>0</v>
      </c>
      <c r="R563" s="2" t="inlineStr"/>
    </row>
    <row r="564" ht="15" customHeight="1">
      <c r="A564" t="inlineStr">
        <is>
          <t>A 63083-2025</t>
        </is>
      </c>
      <c r="B564" s="1" t="n">
        <v>46009.67175925926</v>
      </c>
      <c r="C564" s="1" t="n">
        <v>46190</v>
      </c>
      <c r="D564" t="inlineStr">
        <is>
          <t>ÖREBRO LÄN</t>
        </is>
      </c>
      <c r="E564" t="inlineStr">
        <is>
          <t>LINDESBERG</t>
        </is>
      </c>
      <c r="G564" t="n">
        <v>0.7</v>
      </c>
      <c r="H564" t="n">
        <v>0</v>
      </c>
      <c r="I564" t="n">
        <v>0</v>
      </c>
      <c r="J564" t="n">
        <v>0</v>
      </c>
      <c r="K564" t="n">
        <v>0</v>
      </c>
      <c r="L564" t="n">
        <v>0</v>
      </c>
      <c r="M564" t="n">
        <v>0</v>
      </c>
      <c r="N564" t="n">
        <v>0</v>
      </c>
      <c r="O564" t="n">
        <v>0</v>
      </c>
      <c r="P564" t="n">
        <v>0</v>
      </c>
      <c r="Q564" t="n">
        <v>0</v>
      </c>
      <c r="R564" s="2" t="inlineStr"/>
    </row>
    <row r="565" ht="15" customHeight="1">
      <c r="A565" t="inlineStr">
        <is>
          <t>A 17087-2023</t>
        </is>
      </c>
      <c r="B565" s="1" t="n">
        <v>45034.5174537037</v>
      </c>
      <c r="C565" s="1" t="n">
        <v>46190</v>
      </c>
      <c r="D565" t="inlineStr">
        <is>
          <t>ÖREBRO LÄN</t>
        </is>
      </c>
      <c r="E565" t="inlineStr">
        <is>
          <t>LINDESBERG</t>
        </is>
      </c>
      <c r="G565" t="n">
        <v>2.7</v>
      </c>
      <c r="H565" t="n">
        <v>0</v>
      </c>
      <c r="I565" t="n">
        <v>0</v>
      </c>
      <c r="J565" t="n">
        <v>0</v>
      </c>
      <c r="K565" t="n">
        <v>0</v>
      </c>
      <c r="L565" t="n">
        <v>0</v>
      </c>
      <c r="M565" t="n">
        <v>0</v>
      </c>
      <c r="N565" t="n">
        <v>0</v>
      </c>
      <c r="O565" t="n">
        <v>0</v>
      </c>
      <c r="P565" t="n">
        <v>0</v>
      </c>
      <c r="Q565" t="n">
        <v>0</v>
      </c>
      <c r="R565" s="2" t="inlineStr"/>
    </row>
    <row r="566" ht="15" customHeight="1">
      <c r="A566" t="inlineStr">
        <is>
          <t>A 63526-2025</t>
        </is>
      </c>
      <c r="B566" s="1" t="n">
        <v>46013</v>
      </c>
      <c r="C566" s="1" t="n">
        <v>46190</v>
      </c>
      <c r="D566" t="inlineStr">
        <is>
          <t>ÖREBRO LÄN</t>
        </is>
      </c>
      <c r="E566" t="inlineStr">
        <is>
          <t>LINDESBERG</t>
        </is>
      </c>
      <c r="G566" t="n">
        <v>1.7</v>
      </c>
      <c r="H566" t="n">
        <v>0</v>
      </c>
      <c r="I566" t="n">
        <v>0</v>
      </c>
      <c r="J566" t="n">
        <v>0</v>
      </c>
      <c r="K566" t="n">
        <v>0</v>
      </c>
      <c r="L566" t="n">
        <v>0</v>
      </c>
      <c r="M566" t="n">
        <v>0</v>
      </c>
      <c r="N566" t="n">
        <v>0</v>
      </c>
      <c r="O566" t="n">
        <v>0</v>
      </c>
      <c r="P566" t="n">
        <v>0</v>
      </c>
      <c r="Q566" t="n">
        <v>0</v>
      </c>
      <c r="R566" s="2" t="inlineStr"/>
    </row>
    <row r="567" ht="15" customHeight="1">
      <c r="A567" t="inlineStr">
        <is>
          <t>A 46484-2024</t>
        </is>
      </c>
      <c r="B567" s="1" t="n">
        <v>45582.57542824074</v>
      </c>
      <c r="C567" s="1" t="n">
        <v>46190</v>
      </c>
      <c r="D567" t="inlineStr">
        <is>
          <t>ÖREBRO LÄN</t>
        </is>
      </c>
      <c r="E567" t="inlineStr">
        <is>
          <t>LINDESBERG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48620-2025</t>
        </is>
      </c>
      <c r="B568" s="1" t="n">
        <v>45936.49210648148</v>
      </c>
      <c r="C568" s="1" t="n">
        <v>46190</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41576-2021</t>
        </is>
      </c>
      <c r="B569" s="1" t="n">
        <v>44425</v>
      </c>
      <c r="C569" s="1" t="n">
        <v>46190</v>
      </c>
      <c r="D569" t="inlineStr">
        <is>
          <t>ÖREBRO LÄN</t>
        </is>
      </c>
      <c r="E569" t="inlineStr">
        <is>
          <t>LINDESBERG</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48618-2025</t>
        </is>
      </c>
      <c r="B570" s="1" t="n">
        <v>45936.49026620371</v>
      </c>
      <c r="C570" s="1" t="n">
        <v>46190</v>
      </c>
      <c r="D570" t="inlineStr">
        <is>
          <t>ÖREBRO LÄN</t>
        </is>
      </c>
      <c r="E570" t="inlineStr">
        <is>
          <t>LINDESBERG</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48867-2025</t>
        </is>
      </c>
      <c r="B571" s="1" t="n">
        <v>45937.4484837963</v>
      </c>
      <c r="C571" s="1" t="n">
        <v>46190</v>
      </c>
      <c r="D571" t="inlineStr">
        <is>
          <t>ÖREBRO LÄN</t>
        </is>
      </c>
      <c r="E571" t="inlineStr">
        <is>
          <t>LINDESBERG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58741-2024</t>
        </is>
      </c>
      <c r="B572" s="1" t="n">
        <v>45635.69581018519</v>
      </c>
      <c r="C572" s="1" t="n">
        <v>46190</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49133-2025</t>
        </is>
      </c>
      <c r="B573" s="1" t="n">
        <v>45937.92319444445</v>
      </c>
      <c r="C573" s="1" t="n">
        <v>46190</v>
      </c>
      <c r="D573" t="inlineStr">
        <is>
          <t>ÖREBRO LÄN</t>
        </is>
      </c>
      <c r="E573" t="inlineStr">
        <is>
          <t>LINDESBERG</t>
        </is>
      </c>
      <c r="G573" t="n">
        <v>5</v>
      </c>
      <c r="H573" t="n">
        <v>0</v>
      </c>
      <c r="I573" t="n">
        <v>0</v>
      </c>
      <c r="J573" t="n">
        <v>0</v>
      </c>
      <c r="K573" t="n">
        <v>0</v>
      </c>
      <c r="L573" t="n">
        <v>0</v>
      </c>
      <c r="M573" t="n">
        <v>0</v>
      </c>
      <c r="N573" t="n">
        <v>0</v>
      </c>
      <c r="O573" t="n">
        <v>0</v>
      </c>
      <c r="P573" t="n">
        <v>0</v>
      </c>
      <c r="Q573" t="n">
        <v>0</v>
      </c>
      <c r="R573" s="2" t="inlineStr"/>
    </row>
    <row r="574" ht="15" customHeight="1">
      <c r="A574" t="inlineStr">
        <is>
          <t>A 27702-2025</t>
        </is>
      </c>
      <c r="B574" s="1" t="n">
        <v>45813</v>
      </c>
      <c r="C574" s="1" t="n">
        <v>46190</v>
      </c>
      <c r="D574" t="inlineStr">
        <is>
          <t>ÖREBRO LÄN</t>
        </is>
      </c>
      <c r="E574" t="inlineStr">
        <is>
          <t>LINDESBERG</t>
        </is>
      </c>
      <c r="G574" t="n">
        <v>1.4</v>
      </c>
      <c r="H574" t="n">
        <v>0</v>
      </c>
      <c r="I574" t="n">
        <v>0</v>
      </c>
      <c r="J574" t="n">
        <v>0</v>
      </c>
      <c r="K574" t="n">
        <v>0</v>
      </c>
      <c r="L574" t="n">
        <v>0</v>
      </c>
      <c r="M574" t="n">
        <v>0</v>
      </c>
      <c r="N574" t="n">
        <v>0</v>
      </c>
      <c r="O574" t="n">
        <v>0</v>
      </c>
      <c r="P574" t="n">
        <v>0</v>
      </c>
      <c r="Q574" t="n">
        <v>0</v>
      </c>
      <c r="R574" s="2" t="inlineStr"/>
    </row>
    <row r="575" ht="15" customHeight="1">
      <c r="A575" t="inlineStr">
        <is>
          <t>A 48993-2025</t>
        </is>
      </c>
      <c r="B575" s="1" t="n">
        <v>45937.58590277778</v>
      </c>
      <c r="C575" s="1" t="n">
        <v>46190</v>
      </c>
      <c r="D575" t="inlineStr">
        <is>
          <t>ÖREBRO LÄN</t>
        </is>
      </c>
      <c r="E575" t="inlineStr">
        <is>
          <t>LINDESBERG</t>
        </is>
      </c>
      <c r="F575" t="inlineStr">
        <is>
          <t>Kyrkan</t>
        </is>
      </c>
      <c r="G575" t="n">
        <v>4</v>
      </c>
      <c r="H575" t="n">
        <v>0</v>
      </c>
      <c r="I575" t="n">
        <v>0</v>
      </c>
      <c r="J575" t="n">
        <v>0</v>
      </c>
      <c r="K575" t="n">
        <v>0</v>
      </c>
      <c r="L575" t="n">
        <v>0</v>
      </c>
      <c r="M575" t="n">
        <v>0</v>
      </c>
      <c r="N575" t="n">
        <v>0</v>
      </c>
      <c r="O575" t="n">
        <v>0</v>
      </c>
      <c r="P575" t="n">
        <v>0</v>
      </c>
      <c r="Q575" t="n">
        <v>0</v>
      </c>
      <c r="R575" s="2" t="inlineStr"/>
    </row>
    <row r="576" ht="15" customHeight="1">
      <c r="A576" t="inlineStr">
        <is>
          <t>A 26967-2022</t>
        </is>
      </c>
      <c r="B576" s="1" t="n">
        <v>44740.66997685185</v>
      </c>
      <c r="C576" s="1" t="n">
        <v>46190</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49183-2025</t>
        </is>
      </c>
      <c r="B577" s="1" t="n">
        <v>45938.39741898148</v>
      </c>
      <c r="C577" s="1" t="n">
        <v>46190</v>
      </c>
      <c r="D577" t="inlineStr">
        <is>
          <t>ÖREBRO LÄN</t>
        </is>
      </c>
      <c r="E577" t="inlineStr">
        <is>
          <t>LINDESBERG</t>
        </is>
      </c>
      <c r="G577" t="n">
        <v>4.4</v>
      </c>
      <c r="H577" t="n">
        <v>0</v>
      </c>
      <c r="I577" t="n">
        <v>0</v>
      </c>
      <c r="J577" t="n">
        <v>0</v>
      </c>
      <c r="K577" t="n">
        <v>0</v>
      </c>
      <c r="L577" t="n">
        <v>0</v>
      </c>
      <c r="M577" t="n">
        <v>0</v>
      </c>
      <c r="N577" t="n">
        <v>0</v>
      </c>
      <c r="O577" t="n">
        <v>0</v>
      </c>
      <c r="P577" t="n">
        <v>0</v>
      </c>
      <c r="Q577" t="n">
        <v>0</v>
      </c>
      <c r="R577" s="2" t="inlineStr"/>
    </row>
    <row r="578" ht="15" customHeight="1">
      <c r="A578" t="inlineStr">
        <is>
          <t>A 49707-2025</t>
        </is>
      </c>
      <c r="B578" s="1" t="n">
        <v>45939.67951388889</v>
      </c>
      <c r="C578" s="1" t="n">
        <v>46190</v>
      </c>
      <c r="D578" t="inlineStr">
        <is>
          <t>ÖREBRO LÄN</t>
        </is>
      </c>
      <c r="E578" t="inlineStr">
        <is>
          <t>LINDESBERG</t>
        </is>
      </c>
      <c r="F578" t="inlineStr">
        <is>
          <t>Kommuner</t>
        </is>
      </c>
      <c r="G578" t="n">
        <v>0.6</v>
      </c>
      <c r="H578" t="n">
        <v>0</v>
      </c>
      <c r="I578" t="n">
        <v>0</v>
      </c>
      <c r="J578" t="n">
        <v>0</v>
      </c>
      <c r="K578" t="n">
        <v>0</v>
      </c>
      <c r="L578" t="n">
        <v>0</v>
      </c>
      <c r="M578" t="n">
        <v>0</v>
      </c>
      <c r="N578" t="n">
        <v>0</v>
      </c>
      <c r="O578" t="n">
        <v>0</v>
      </c>
      <c r="P578" t="n">
        <v>0</v>
      </c>
      <c r="Q578" t="n">
        <v>0</v>
      </c>
      <c r="R578" s="2" t="inlineStr"/>
    </row>
    <row r="579" ht="15" customHeight="1">
      <c r="A579" t="inlineStr">
        <is>
          <t>A 43066-2021</t>
        </is>
      </c>
      <c r="B579" s="1" t="n">
        <v>44431</v>
      </c>
      <c r="C579" s="1" t="n">
        <v>46190</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610-2026</t>
        </is>
      </c>
      <c r="B580" s="1" t="n">
        <v>46029</v>
      </c>
      <c r="C580" s="1" t="n">
        <v>46190</v>
      </c>
      <c r="D580" t="inlineStr">
        <is>
          <t>ÖREBRO LÄN</t>
        </is>
      </c>
      <c r="E580" t="inlineStr">
        <is>
          <t>LINDESBERG</t>
        </is>
      </c>
      <c r="G580" t="n">
        <v>0.8</v>
      </c>
      <c r="H580" t="n">
        <v>0</v>
      </c>
      <c r="I580" t="n">
        <v>0</v>
      </c>
      <c r="J580" t="n">
        <v>0</v>
      </c>
      <c r="K580" t="n">
        <v>0</v>
      </c>
      <c r="L580" t="n">
        <v>0</v>
      </c>
      <c r="M580" t="n">
        <v>0</v>
      </c>
      <c r="N580" t="n">
        <v>0</v>
      </c>
      <c r="O580" t="n">
        <v>0</v>
      </c>
      <c r="P580" t="n">
        <v>0</v>
      </c>
      <c r="Q580" t="n">
        <v>0</v>
      </c>
      <c r="R580" s="2" t="inlineStr"/>
    </row>
    <row r="581" ht="15" customHeight="1">
      <c r="A581" t="inlineStr">
        <is>
          <t>A 45428-2023</t>
        </is>
      </c>
      <c r="B581" s="1" t="n">
        <v>45194</v>
      </c>
      <c r="C581" s="1" t="n">
        <v>46190</v>
      </c>
      <c r="D581" t="inlineStr">
        <is>
          <t>ÖREBRO LÄN</t>
        </is>
      </c>
      <c r="E581" t="inlineStr">
        <is>
          <t>LINDESBERG</t>
        </is>
      </c>
      <c r="G581" t="n">
        <v>7.7</v>
      </c>
      <c r="H581" t="n">
        <v>0</v>
      </c>
      <c r="I581" t="n">
        <v>0</v>
      </c>
      <c r="J581" t="n">
        <v>0</v>
      </c>
      <c r="K581" t="n">
        <v>0</v>
      </c>
      <c r="L581" t="n">
        <v>0</v>
      </c>
      <c r="M581" t="n">
        <v>0</v>
      </c>
      <c r="N581" t="n">
        <v>0</v>
      </c>
      <c r="O581" t="n">
        <v>0</v>
      </c>
      <c r="P581" t="n">
        <v>0</v>
      </c>
      <c r="Q581" t="n">
        <v>0</v>
      </c>
      <c r="R581" s="2" t="inlineStr"/>
    </row>
    <row r="582" ht="15" customHeight="1">
      <c r="A582" t="inlineStr">
        <is>
          <t>A 49946-2025</t>
        </is>
      </c>
      <c r="B582" s="1" t="n">
        <v>45940.69862268519</v>
      </c>
      <c r="C582" s="1" t="n">
        <v>46190</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53897-2024</t>
        </is>
      </c>
      <c r="B583" s="1" t="n">
        <v>45615.69570601852</v>
      </c>
      <c r="C583" s="1" t="n">
        <v>46190</v>
      </c>
      <c r="D583" t="inlineStr">
        <is>
          <t>ÖREBRO LÄN</t>
        </is>
      </c>
      <c r="E583" t="inlineStr">
        <is>
          <t>LINDESBERG</t>
        </is>
      </c>
      <c r="G583" t="n">
        <v>1.1</v>
      </c>
      <c r="H583" t="n">
        <v>0</v>
      </c>
      <c r="I583" t="n">
        <v>0</v>
      </c>
      <c r="J583" t="n">
        <v>0</v>
      </c>
      <c r="K583" t="n">
        <v>0</v>
      </c>
      <c r="L583" t="n">
        <v>0</v>
      </c>
      <c r="M583" t="n">
        <v>0</v>
      </c>
      <c r="N583" t="n">
        <v>0</v>
      </c>
      <c r="O583" t="n">
        <v>0</v>
      </c>
      <c r="P583" t="n">
        <v>0</v>
      </c>
      <c r="Q583" t="n">
        <v>0</v>
      </c>
      <c r="R583" s="2" t="inlineStr"/>
    </row>
    <row r="584" ht="15" customHeight="1">
      <c r="A584" t="inlineStr">
        <is>
          <t>A 49943-2025</t>
        </is>
      </c>
      <c r="B584" s="1" t="n">
        <v>45940.69521990741</v>
      </c>
      <c r="C584" s="1" t="n">
        <v>46190</v>
      </c>
      <c r="D584" t="inlineStr">
        <is>
          <t>ÖREBRO LÄN</t>
        </is>
      </c>
      <c r="E584" t="inlineStr">
        <is>
          <t>LINDESBERG</t>
        </is>
      </c>
      <c r="F584" t="inlineStr">
        <is>
          <t>Sveaskog</t>
        </is>
      </c>
      <c r="G584" t="n">
        <v>1.3</v>
      </c>
      <c r="H584" t="n">
        <v>0</v>
      </c>
      <c r="I584" t="n">
        <v>0</v>
      </c>
      <c r="J584" t="n">
        <v>0</v>
      </c>
      <c r="K584" t="n">
        <v>0</v>
      </c>
      <c r="L584" t="n">
        <v>0</v>
      </c>
      <c r="M584" t="n">
        <v>0</v>
      </c>
      <c r="N584" t="n">
        <v>0</v>
      </c>
      <c r="O584" t="n">
        <v>0</v>
      </c>
      <c r="P584" t="n">
        <v>0</v>
      </c>
      <c r="Q584" t="n">
        <v>0</v>
      </c>
      <c r="R584" s="2" t="inlineStr"/>
    </row>
    <row r="585" ht="15" customHeight="1">
      <c r="A585" t="inlineStr">
        <is>
          <t>A 911-2026</t>
        </is>
      </c>
      <c r="B585" s="1" t="n">
        <v>46030.47725694445</v>
      </c>
      <c r="C585" s="1" t="n">
        <v>46190</v>
      </c>
      <c r="D585" t="inlineStr">
        <is>
          <t>ÖREBRO LÄN</t>
        </is>
      </c>
      <c r="E585" t="inlineStr">
        <is>
          <t>LINDESBERG</t>
        </is>
      </c>
      <c r="G585" t="n">
        <v>1.6</v>
      </c>
      <c r="H585" t="n">
        <v>0</v>
      </c>
      <c r="I585" t="n">
        <v>0</v>
      </c>
      <c r="J585" t="n">
        <v>0</v>
      </c>
      <c r="K585" t="n">
        <v>0</v>
      </c>
      <c r="L585" t="n">
        <v>0</v>
      </c>
      <c r="M585" t="n">
        <v>0</v>
      </c>
      <c r="N585" t="n">
        <v>0</v>
      </c>
      <c r="O585" t="n">
        <v>0</v>
      </c>
      <c r="P585" t="n">
        <v>0</v>
      </c>
      <c r="Q585" t="n">
        <v>0</v>
      </c>
      <c r="R585" s="2" t="inlineStr"/>
    </row>
    <row r="586" ht="15" customHeight="1">
      <c r="A586" t="inlineStr">
        <is>
          <t>A 56907-2024</t>
        </is>
      </c>
      <c r="B586" s="1" t="n">
        <v>45628.58975694444</v>
      </c>
      <c r="C586" s="1" t="n">
        <v>46190</v>
      </c>
      <c r="D586" t="inlineStr">
        <is>
          <t>ÖREBRO LÄN</t>
        </is>
      </c>
      <c r="E586" t="inlineStr">
        <is>
          <t>LINDESBERG</t>
        </is>
      </c>
      <c r="G586" t="n">
        <v>1.1</v>
      </c>
      <c r="H586" t="n">
        <v>0</v>
      </c>
      <c r="I586" t="n">
        <v>0</v>
      </c>
      <c r="J586" t="n">
        <v>0</v>
      </c>
      <c r="K586" t="n">
        <v>0</v>
      </c>
      <c r="L586" t="n">
        <v>0</v>
      </c>
      <c r="M586" t="n">
        <v>0</v>
      </c>
      <c r="N586" t="n">
        <v>0</v>
      </c>
      <c r="O586" t="n">
        <v>0</v>
      </c>
      <c r="P586" t="n">
        <v>0</v>
      </c>
      <c r="Q586" t="n">
        <v>0</v>
      </c>
      <c r="R586" s="2" t="inlineStr"/>
    </row>
    <row r="587" ht="15" customHeight="1">
      <c r="A587" t="inlineStr">
        <is>
          <t>A 49944-2025</t>
        </is>
      </c>
      <c r="B587" s="1" t="n">
        <v>45940.69643518519</v>
      </c>
      <c r="C587" s="1" t="n">
        <v>46190</v>
      </c>
      <c r="D587" t="inlineStr">
        <is>
          <t>ÖREBRO LÄN</t>
        </is>
      </c>
      <c r="E587" t="inlineStr">
        <is>
          <t>LINDESBERG</t>
        </is>
      </c>
      <c r="F587" t="inlineStr">
        <is>
          <t>Sveaskog</t>
        </is>
      </c>
      <c r="G587" t="n">
        <v>2.6</v>
      </c>
      <c r="H587" t="n">
        <v>0</v>
      </c>
      <c r="I587" t="n">
        <v>0</v>
      </c>
      <c r="J587" t="n">
        <v>0</v>
      </c>
      <c r="K587" t="n">
        <v>0</v>
      </c>
      <c r="L587" t="n">
        <v>0</v>
      </c>
      <c r="M587" t="n">
        <v>0</v>
      </c>
      <c r="N587" t="n">
        <v>0</v>
      </c>
      <c r="O587" t="n">
        <v>0</v>
      </c>
      <c r="P587" t="n">
        <v>0</v>
      </c>
      <c r="Q587" t="n">
        <v>0</v>
      </c>
      <c r="R587" s="2" t="inlineStr"/>
    </row>
    <row r="588" ht="15" customHeight="1">
      <c r="A588" t="inlineStr">
        <is>
          <t>A 49947-2025</t>
        </is>
      </c>
      <c r="B588" s="1" t="n">
        <v>45940.70018518518</v>
      </c>
      <c r="C588" s="1" t="n">
        <v>46190</v>
      </c>
      <c r="D588" t="inlineStr">
        <is>
          <t>ÖREBRO LÄN</t>
        </is>
      </c>
      <c r="E588" t="inlineStr">
        <is>
          <t>LINDESBERG</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50072-2025</t>
        </is>
      </c>
      <c r="B589" s="1" t="n">
        <v>45943.45966435185</v>
      </c>
      <c r="C589" s="1" t="n">
        <v>46190</v>
      </c>
      <c r="D589" t="inlineStr">
        <is>
          <t>ÖREBRO LÄN</t>
        </is>
      </c>
      <c r="E589" t="inlineStr">
        <is>
          <t>LINDESBERG</t>
        </is>
      </c>
      <c r="G589" t="n">
        <v>1.5</v>
      </c>
      <c r="H589" t="n">
        <v>0</v>
      </c>
      <c r="I589" t="n">
        <v>0</v>
      </c>
      <c r="J589" t="n">
        <v>0</v>
      </c>
      <c r="K589" t="n">
        <v>0</v>
      </c>
      <c r="L589" t="n">
        <v>0</v>
      </c>
      <c r="M589" t="n">
        <v>0</v>
      </c>
      <c r="N589" t="n">
        <v>0</v>
      </c>
      <c r="O589" t="n">
        <v>0</v>
      </c>
      <c r="P589" t="n">
        <v>0</v>
      </c>
      <c r="Q589" t="n">
        <v>0</v>
      </c>
      <c r="R589" s="2" t="inlineStr"/>
    </row>
    <row r="590" ht="15" customHeight="1">
      <c r="A590" t="inlineStr">
        <is>
          <t>A 50086-2025</t>
        </is>
      </c>
      <c r="B590" s="1" t="n">
        <v>45943.47649305555</v>
      </c>
      <c r="C590" s="1" t="n">
        <v>46190</v>
      </c>
      <c r="D590" t="inlineStr">
        <is>
          <t>ÖREBRO LÄN</t>
        </is>
      </c>
      <c r="E590" t="inlineStr">
        <is>
          <t>LINDESBERG</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2556-2026</t>
        </is>
      </c>
      <c r="B591" s="1" t="n">
        <v>46035</v>
      </c>
      <c r="C591" s="1" t="n">
        <v>46190</v>
      </c>
      <c r="D591" t="inlineStr">
        <is>
          <t>ÖREBRO LÄN</t>
        </is>
      </c>
      <c r="E591" t="inlineStr">
        <is>
          <t>LINDESBERG</t>
        </is>
      </c>
      <c r="G591" t="n">
        <v>3.4</v>
      </c>
      <c r="H591" t="n">
        <v>0</v>
      </c>
      <c r="I591" t="n">
        <v>0</v>
      </c>
      <c r="J591" t="n">
        <v>0</v>
      </c>
      <c r="K591" t="n">
        <v>0</v>
      </c>
      <c r="L591" t="n">
        <v>0</v>
      </c>
      <c r="M591" t="n">
        <v>0</v>
      </c>
      <c r="N591" t="n">
        <v>0</v>
      </c>
      <c r="O591" t="n">
        <v>0</v>
      </c>
      <c r="P591" t="n">
        <v>0</v>
      </c>
      <c r="Q591" t="n">
        <v>0</v>
      </c>
      <c r="R591" s="2" t="inlineStr"/>
    </row>
    <row r="592" ht="15" customHeight="1">
      <c r="A592" t="inlineStr">
        <is>
          <t>A 50073-2025</t>
        </is>
      </c>
      <c r="B592" s="1" t="n">
        <v>45943.4603125</v>
      </c>
      <c r="C592" s="1" t="n">
        <v>46190</v>
      </c>
      <c r="D592" t="inlineStr">
        <is>
          <t>ÖREBRO LÄN</t>
        </is>
      </c>
      <c r="E592" t="inlineStr">
        <is>
          <t>LINDESBERG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17242-2025</t>
        </is>
      </c>
      <c r="B593" s="1" t="n">
        <v>45756.49009259259</v>
      </c>
      <c r="C593" s="1" t="n">
        <v>46190</v>
      </c>
      <c r="D593" t="inlineStr">
        <is>
          <t>ÖREBRO LÄN</t>
        </is>
      </c>
      <c r="E593" t="inlineStr">
        <is>
          <t>LINDESBERG</t>
        </is>
      </c>
      <c r="G593" t="n">
        <v>7.3</v>
      </c>
      <c r="H593" t="n">
        <v>0</v>
      </c>
      <c r="I593" t="n">
        <v>0</v>
      </c>
      <c r="J593" t="n">
        <v>0</v>
      </c>
      <c r="K593" t="n">
        <v>0</v>
      </c>
      <c r="L593" t="n">
        <v>0</v>
      </c>
      <c r="M593" t="n">
        <v>0</v>
      </c>
      <c r="N593" t="n">
        <v>0</v>
      </c>
      <c r="O593" t="n">
        <v>0</v>
      </c>
      <c r="P593" t="n">
        <v>0</v>
      </c>
      <c r="Q593" t="n">
        <v>0</v>
      </c>
      <c r="R593" s="2" t="inlineStr"/>
    </row>
    <row r="594" ht="15" customHeight="1">
      <c r="A594" t="inlineStr">
        <is>
          <t>A 1749-2026</t>
        </is>
      </c>
      <c r="B594" s="1" t="n">
        <v>46034.65601851852</v>
      </c>
      <c r="C594" s="1" t="n">
        <v>46190</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7119-2025</t>
        </is>
      </c>
      <c r="B595" s="1" t="n">
        <v>45702</v>
      </c>
      <c r="C595" s="1" t="n">
        <v>46190</v>
      </c>
      <c r="D595" t="inlineStr">
        <is>
          <t>ÖREBRO LÄN</t>
        </is>
      </c>
      <c r="E595" t="inlineStr">
        <is>
          <t>LINDESBERG</t>
        </is>
      </c>
      <c r="G595" t="n">
        <v>0.9</v>
      </c>
      <c r="H595" t="n">
        <v>0</v>
      </c>
      <c r="I595" t="n">
        <v>0</v>
      </c>
      <c r="J595" t="n">
        <v>0</v>
      </c>
      <c r="K595" t="n">
        <v>0</v>
      </c>
      <c r="L595" t="n">
        <v>0</v>
      </c>
      <c r="M595" t="n">
        <v>0</v>
      </c>
      <c r="N595" t="n">
        <v>0</v>
      </c>
      <c r="O595" t="n">
        <v>0</v>
      </c>
      <c r="P595" t="n">
        <v>0</v>
      </c>
      <c r="Q595" t="n">
        <v>0</v>
      </c>
      <c r="R595" s="2" t="inlineStr"/>
    </row>
    <row r="596" ht="15" customHeight="1">
      <c r="A596" t="inlineStr">
        <is>
          <t>A 45060-2024</t>
        </is>
      </c>
      <c r="B596" s="1" t="n">
        <v>45575.55570601852</v>
      </c>
      <c r="C596" s="1" t="n">
        <v>46190</v>
      </c>
      <c r="D596" t="inlineStr">
        <is>
          <t>ÖREBRO LÄN</t>
        </is>
      </c>
      <c r="E596" t="inlineStr">
        <is>
          <t>LINDESBERG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2704-2026</t>
        </is>
      </c>
      <c r="B597" s="1" t="n">
        <v>46037.69133101852</v>
      </c>
      <c r="C597" s="1" t="n">
        <v>46190</v>
      </c>
      <c r="D597" t="inlineStr">
        <is>
          <t>ÖREBRO LÄN</t>
        </is>
      </c>
      <c r="E597" t="inlineStr">
        <is>
          <t>LINDESBERG</t>
        </is>
      </c>
      <c r="G597" t="n">
        <v>1.9</v>
      </c>
      <c r="H597" t="n">
        <v>0</v>
      </c>
      <c r="I597" t="n">
        <v>0</v>
      </c>
      <c r="J597" t="n">
        <v>0</v>
      </c>
      <c r="K597" t="n">
        <v>0</v>
      </c>
      <c r="L597" t="n">
        <v>0</v>
      </c>
      <c r="M597" t="n">
        <v>0</v>
      </c>
      <c r="N597" t="n">
        <v>0</v>
      </c>
      <c r="O597" t="n">
        <v>0</v>
      </c>
      <c r="P597" t="n">
        <v>0</v>
      </c>
      <c r="Q597" t="n">
        <v>0</v>
      </c>
      <c r="R597" s="2" t="inlineStr"/>
    </row>
    <row r="598" ht="15" customHeight="1">
      <c r="A598" t="inlineStr">
        <is>
          <t>A 3315-2026</t>
        </is>
      </c>
      <c r="B598" s="1" t="n">
        <v>46041.68443287037</v>
      </c>
      <c r="C598" s="1" t="n">
        <v>46190</v>
      </c>
      <c r="D598" t="inlineStr">
        <is>
          <t>ÖREBRO LÄN</t>
        </is>
      </c>
      <c r="E598" t="inlineStr">
        <is>
          <t>LINDESBERG</t>
        </is>
      </c>
      <c r="G598" t="n">
        <v>7.6</v>
      </c>
      <c r="H598" t="n">
        <v>0</v>
      </c>
      <c r="I598" t="n">
        <v>0</v>
      </c>
      <c r="J598" t="n">
        <v>0</v>
      </c>
      <c r="K598" t="n">
        <v>0</v>
      </c>
      <c r="L598" t="n">
        <v>0</v>
      </c>
      <c r="M598" t="n">
        <v>0</v>
      </c>
      <c r="N598" t="n">
        <v>0</v>
      </c>
      <c r="O598" t="n">
        <v>0</v>
      </c>
      <c r="P598" t="n">
        <v>0</v>
      </c>
      <c r="Q598" t="n">
        <v>0</v>
      </c>
      <c r="R598" s="2" t="inlineStr"/>
    </row>
    <row r="599" ht="15" customHeight="1">
      <c r="A599" t="inlineStr">
        <is>
          <t>A 2969-2026</t>
        </is>
      </c>
      <c r="B599" s="1" t="n">
        <v>46038.61912037037</v>
      </c>
      <c r="C599" s="1" t="n">
        <v>46190</v>
      </c>
      <c r="D599" t="inlineStr">
        <is>
          <t>ÖREBRO LÄN</t>
        </is>
      </c>
      <c r="E599" t="inlineStr">
        <is>
          <t>LINDESBERG</t>
        </is>
      </c>
      <c r="G599" t="n">
        <v>2.6</v>
      </c>
      <c r="H599" t="n">
        <v>0</v>
      </c>
      <c r="I599" t="n">
        <v>0</v>
      </c>
      <c r="J599" t="n">
        <v>0</v>
      </c>
      <c r="K599" t="n">
        <v>0</v>
      </c>
      <c r="L599" t="n">
        <v>0</v>
      </c>
      <c r="M599" t="n">
        <v>0</v>
      </c>
      <c r="N599" t="n">
        <v>0</v>
      </c>
      <c r="O599" t="n">
        <v>0</v>
      </c>
      <c r="P599" t="n">
        <v>0</v>
      </c>
      <c r="Q599" t="n">
        <v>0</v>
      </c>
      <c r="R599" s="2" t="inlineStr"/>
    </row>
    <row r="600" ht="15" customHeight="1">
      <c r="A600" t="inlineStr">
        <is>
          <t>A 50972-2023</t>
        </is>
      </c>
      <c r="B600" s="1" t="n">
        <v>45218</v>
      </c>
      <c r="C600" s="1" t="n">
        <v>46190</v>
      </c>
      <c r="D600" t="inlineStr">
        <is>
          <t>ÖREBRO LÄN</t>
        </is>
      </c>
      <c r="E600" t="inlineStr">
        <is>
          <t>LINDESBERG</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2902-2026</t>
        </is>
      </c>
      <c r="B601" s="1" t="n">
        <v>46038.55849537037</v>
      </c>
      <c r="C601" s="1" t="n">
        <v>46190</v>
      </c>
      <c r="D601" t="inlineStr">
        <is>
          <t>ÖREBRO LÄN</t>
        </is>
      </c>
      <c r="E601" t="inlineStr">
        <is>
          <t>LINDESBERG</t>
        </is>
      </c>
      <c r="G601" t="n">
        <v>2.1</v>
      </c>
      <c r="H601" t="n">
        <v>0</v>
      </c>
      <c r="I601" t="n">
        <v>0</v>
      </c>
      <c r="J601" t="n">
        <v>0</v>
      </c>
      <c r="K601" t="n">
        <v>0</v>
      </c>
      <c r="L601" t="n">
        <v>0</v>
      </c>
      <c r="M601" t="n">
        <v>0</v>
      </c>
      <c r="N601" t="n">
        <v>0</v>
      </c>
      <c r="O601" t="n">
        <v>0</v>
      </c>
      <c r="P601" t="n">
        <v>0</v>
      </c>
      <c r="Q601" t="n">
        <v>0</v>
      </c>
      <c r="R601" s="2" t="inlineStr"/>
    </row>
    <row r="602" ht="15" customHeight="1">
      <c r="A602" t="inlineStr">
        <is>
          <t>A 51172-2025</t>
        </is>
      </c>
      <c r="B602" s="1" t="n">
        <v>45947.60508101852</v>
      </c>
      <c r="C602" s="1" t="n">
        <v>46190</v>
      </c>
      <c r="D602" t="inlineStr">
        <is>
          <t>ÖREBRO LÄN</t>
        </is>
      </c>
      <c r="E602" t="inlineStr">
        <is>
          <t>LINDESBERG</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2929-2026</t>
        </is>
      </c>
      <c r="B603" s="1" t="n">
        <v>46038.58241898148</v>
      </c>
      <c r="C603" s="1" t="n">
        <v>46190</v>
      </c>
      <c r="D603" t="inlineStr">
        <is>
          <t>ÖREBRO LÄN</t>
        </is>
      </c>
      <c r="E603" t="inlineStr">
        <is>
          <t>LINDESBERG</t>
        </is>
      </c>
      <c r="G603" t="n">
        <v>1.8</v>
      </c>
      <c r="H603" t="n">
        <v>0</v>
      </c>
      <c r="I603" t="n">
        <v>0</v>
      </c>
      <c r="J603" t="n">
        <v>0</v>
      </c>
      <c r="K603" t="n">
        <v>0</v>
      </c>
      <c r="L603" t="n">
        <v>0</v>
      </c>
      <c r="M603" t="n">
        <v>0</v>
      </c>
      <c r="N603" t="n">
        <v>0</v>
      </c>
      <c r="O603" t="n">
        <v>0</v>
      </c>
      <c r="P603" t="n">
        <v>0</v>
      </c>
      <c r="Q603" t="n">
        <v>0</v>
      </c>
      <c r="R603" s="2" t="inlineStr"/>
    </row>
    <row r="604" ht="15" customHeight="1">
      <c r="A604" t="inlineStr">
        <is>
          <t>A 50933-2025</t>
        </is>
      </c>
      <c r="B604" s="1" t="n">
        <v>45946.68859953704</v>
      </c>
      <c r="C604" s="1" t="n">
        <v>46190</v>
      </c>
      <c r="D604" t="inlineStr">
        <is>
          <t>ÖREBRO LÄN</t>
        </is>
      </c>
      <c r="E604" t="inlineStr">
        <is>
          <t>LINDESBERG</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2949-2026</t>
        </is>
      </c>
      <c r="B605" s="1" t="n">
        <v>46038.59640046296</v>
      </c>
      <c r="C605" s="1" t="n">
        <v>46190</v>
      </c>
      <c r="D605" t="inlineStr">
        <is>
          <t>ÖREBRO LÄN</t>
        </is>
      </c>
      <c r="E605" t="inlineStr">
        <is>
          <t>LINDESBERG</t>
        </is>
      </c>
      <c r="G605" t="n">
        <v>4</v>
      </c>
      <c r="H605" t="n">
        <v>0</v>
      </c>
      <c r="I605" t="n">
        <v>0</v>
      </c>
      <c r="J605" t="n">
        <v>0</v>
      </c>
      <c r="K605" t="n">
        <v>0</v>
      </c>
      <c r="L605" t="n">
        <v>0</v>
      </c>
      <c r="M605" t="n">
        <v>0</v>
      </c>
      <c r="N605" t="n">
        <v>0</v>
      </c>
      <c r="O605" t="n">
        <v>0</v>
      </c>
      <c r="P605" t="n">
        <v>0</v>
      </c>
      <c r="Q605" t="n">
        <v>0</v>
      </c>
      <c r="R605" s="2" t="inlineStr"/>
    </row>
    <row r="606" ht="15" customHeight="1">
      <c r="A606" t="inlineStr">
        <is>
          <t>A 2859-2026</t>
        </is>
      </c>
      <c r="B606" s="1" t="n">
        <v>46038.49269675926</v>
      </c>
      <c r="C606" s="1" t="n">
        <v>46190</v>
      </c>
      <c r="D606" t="inlineStr">
        <is>
          <t>ÖREBRO LÄN</t>
        </is>
      </c>
      <c r="E606" t="inlineStr">
        <is>
          <t>LINDESBERG</t>
        </is>
      </c>
      <c r="G606" t="n">
        <v>2.1</v>
      </c>
      <c r="H606" t="n">
        <v>0</v>
      </c>
      <c r="I606" t="n">
        <v>0</v>
      </c>
      <c r="J606" t="n">
        <v>0</v>
      </c>
      <c r="K606" t="n">
        <v>0</v>
      </c>
      <c r="L606" t="n">
        <v>0</v>
      </c>
      <c r="M606" t="n">
        <v>0</v>
      </c>
      <c r="N606" t="n">
        <v>0</v>
      </c>
      <c r="O606" t="n">
        <v>0</v>
      </c>
      <c r="P606" t="n">
        <v>0</v>
      </c>
      <c r="Q606" t="n">
        <v>0</v>
      </c>
      <c r="R606" s="2" t="inlineStr"/>
    </row>
    <row r="607" ht="15" customHeight="1">
      <c r="A607" t="inlineStr">
        <is>
          <t>A 2958-2026</t>
        </is>
      </c>
      <c r="B607" s="1" t="n">
        <v>46038.61067129629</v>
      </c>
      <c r="C607" s="1" t="n">
        <v>46190</v>
      </c>
      <c r="D607" t="inlineStr">
        <is>
          <t>ÖREBRO LÄN</t>
        </is>
      </c>
      <c r="E607" t="inlineStr">
        <is>
          <t>LINDESBERG</t>
        </is>
      </c>
      <c r="G607" t="n">
        <v>5.8</v>
      </c>
      <c r="H607" t="n">
        <v>0</v>
      </c>
      <c r="I607" t="n">
        <v>0</v>
      </c>
      <c r="J607" t="n">
        <v>0</v>
      </c>
      <c r="K607" t="n">
        <v>0</v>
      </c>
      <c r="L607" t="n">
        <v>0</v>
      </c>
      <c r="M607" t="n">
        <v>0</v>
      </c>
      <c r="N607" t="n">
        <v>0</v>
      </c>
      <c r="O607" t="n">
        <v>0</v>
      </c>
      <c r="P607" t="n">
        <v>0</v>
      </c>
      <c r="Q607" t="n">
        <v>0</v>
      </c>
      <c r="R607" s="2" t="inlineStr"/>
    </row>
    <row r="608" ht="15" customHeight="1">
      <c r="A608" t="inlineStr">
        <is>
          <t>A 50765-2025</t>
        </is>
      </c>
      <c r="B608" s="1" t="n">
        <v>45946.44216435185</v>
      </c>
      <c r="C608" s="1" t="n">
        <v>46190</v>
      </c>
      <c r="D608" t="inlineStr">
        <is>
          <t>ÖREBRO LÄN</t>
        </is>
      </c>
      <c r="E608" t="inlineStr">
        <is>
          <t>LINDESBERG</t>
        </is>
      </c>
      <c r="F608" t="inlineStr">
        <is>
          <t>Sveaskog</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3660-2026</t>
        </is>
      </c>
      <c r="B609" s="1" t="n">
        <v>46043.38744212963</v>
      </c>
      <c r="C609" s="1" t="n">
        <v>46190</v>
      </c>
      <c r="D609" t="inlineStr">
        <is>
          <t>ÖREBRO LÄN</t>
        </is>
      </c>
      <c r="E609" t="inlineStr">
        <is>
          <t>LINDESBERG</t>
        </is>
      </c>
      <c r="G609" t="n">
        <v>3.4</v>
      </c>
      <c r="H609" t="n">
        <v>0</v>
      </c>
      <c r="I609" t="n">
        <v>0</v>
      </c>
      <c r="J609" t="n">
        <v>0</v>
      </c>
      <c r="K609" t="n">
        <v>0</v>
      </c>
      <c r="L609" t="n">
        <v>0</v>
      </c>
      <c r="M609" t="n">
        <v>0</v>
      </c>
      <c r="N609" t="n">
        <v>0</v>
      </c>
      <c r="O609" t="n">
        <v>0</v>
      </c>
      <c r="P609" t="n">
        <v>0</v>
      </c>
      <c r="Q609" t="n">
        <v>0</v>
      </c>
      <c r="R609" s="2" t="inlineStr"/>
    </row>
    <row r="610" ht="15" customHeight="1">
      <c r="A610" t="inlineStr">
        <is>
          <t>A 51030-2025</t>
        </is>
      </c>
      <c r="B610" s="1" t="n">
        <v>45947.40105324074</v>
      </c>
      <c r="C610" s="1" t="n">
        <v>46190</v>
      </c>
      <c r="D610" t="inlineStr">
        <is>
          <t>ÖREBRO LÄN</t>
        </is>
      </c>
      <c r="E610" t="inlineStr">
        <is>
          <t>LINDESBERG</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50225-2021</t>
        </is>
      </c>
      <c r="B611" s="1" t="n">
        <v>44457</v>
      </c>
      <c r="C611" s="1" t="n">
        <v>46190</v>
      </c>
      <c r="D611" t="inlineStr">
        <is>
          <t>ÖREBRO LÄN</t>
        </is>
      </c>
      <c r="E611" t="inlineStr">
        <is>
          <t>LINDESBERG</t>
        </is>
      </c>
      <c r="G611" t="n">
        <v>2.5</v>
      </c>
      <c r="H611" t="n">
        <v>0</v>
      </c>
      <c r="I611" t="n">
        <v>0</v>
      </c>
      <c r="J611" t="n">
        <v>0</v>
      </c>
      <c r="K611" t="n">
        <v>0</v>
      </c>
      <c r="L611" t="n">
        <v>0</v>
      </c>
      <c r="M611" t="n">
        <v>0</v>
      </c>
      <c r="N611" t="n">
        <v>0</v>
      </c>
      <c r="O611" t="n">
        <v>0</v>
      </c>
      <c r="P611" t="n">
        <v>0</v>
      </c>
      <c r="Q611" t="n">
        <v>0</v>
      </c>
      <c r="R611" s="2" t="inlineStr"/>
    </row>
    <row r="612" ht="15" customHeight="1">
      <c r="A612" t="inlineStr">
        <is>
          <t>A 3659-2026</t>
        </is>
      </c>
      <c r="B612" s="1" t="n">
        <v>46043</v>
      </c>
      <c r="C612" s="1" t="n">
        <v>46190</v>
      </c>
      <c r="D612" t="inlineStr">
        <is>
          <t>ÖREBRO LÄN</t>
        </is>
      </c>
      <c r="E612" t="inlineStr">
        <is>
          <t>LINDESBERG</t>
        </is>
      </c>
      <c r="G612" t="n">
        <v>1.1</v>
      </c>
      <c r="H612" t="n">
        <v>0</v>
      </c>
      <c r="I612" t="n">
        <v>0</v>
      </c>
      <c r="J612" t="n">
        <v>0</v>
      </c>
      <c r="K612" t="n">
        <v>0</v>
      </c>
      <c r="L612" t="n">
        <v>0</v>
      </c>
      <c r="M612" t="n">
        <v>0</v>
      </c>
      <c r="N612" t="n">
        <v>0</v>
      </c>
      <c r="O612" t="n">
        <v>0</v>
      </c>
      <c r="P612" t="n">
        <v>0</v>
      </c>
      <c r="Q612" t="n">
        <v>0</v>
      </c>
      <c r="R612" s="2" t="inlineStr"/>
    </row>
    <row r="613" ht="15" customHeight="1">
      <c r="A613" t="inlineStr">
        <is>
          <t>A 50936-2025</t>
        </is>
      </c>
      <c r="B613" s="1" t="n">
        <v>45946.69616898148</v>
      </c>
      <c r="C613" s="1" t="n">
        <v>46190</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48244-2024</t>
        </is>
      </c>
      <c r="B614" s="1" t="n">
        <v>45590.39471064815</v>
      </c>
      <c r="C614" s="1" t="n">
        <v>46190</v>
      </c>
      <c r="D614" t="inlineStr">
        <is>
          <t>ÖREBRO LÄN</t>
        </is>
      </c>
      <c r="E614" t="inlineStr">
        <is>
          <t>LINDESBERG</t>
        </is>
      </c>
      <c r="G614" t="n">
        <v>1.1</v>
      </c>
      <c r="H614" t="n">
        <v>0</v>
      </c>
      <c r="I614" t="n">
        <v>0</v>
      </c>
      <c r="J614" t="n">
        <v>0</v>
      </c>
      <c r="K614" t="n">
        <v>0</v>
      </c>
      <c r="L614" t="n">
        <v>0</v>
      </c>
      <c r="M614" t="n">
        <v>0</v>
      </c>
      <c r="N614" t="n">
        <v>0</v>
      </c>
      <c r="O614" t="n">
        <v>0</v>
      </c>
      <c r="P614" t="n">
        <v>0</v>
      </c>
      <c r="Q614" t="n">
        <v>0</v>
      </c>
      <c r="R614" s="2" t="inlineStr"/>
    </row>
    <row r="615" ht="15" customHeight="1">
      <c r="A615" t="inlineStr">
        <is>
          <t>A 20210-2024</t>
        </is>
      </c>
      <c r="B615" s="1" t="n">
        <v>45434.65854166666</v>
      </c>
      <c r="C615" s="1" t="n">
        <v>46190</v>
      </c>
      <c r="D615" t="inlineStr">
        <is>
          <t>ÖREBRO LÄN</t>
        </is>
      </c>
      <c r="E615" t="inlineStr">
        <is>
          <t>LINDESBERG</t>
        </is>
      </c>
      <c r="G615" t="n">
        <v>5.5</v>
      </c>
      <c r="H615" t="n">
        <v>0</v>
      </c>
      <c r="I615" t="n">
        <v>0</v>
      </c>
      <c r="J615" t="n">
        <v>0</v>
      </c>
      <c r="K615" t="n">
        <v>0</v>
      </c>
      <c r="L615" t="n">
        <v>0</v>
      </c>
      <c r="M615" t="n">
        <v>0</v>
      </c>
      <c r="N615" t="n">
        <v>0</v>
      </c>
      <c r="O615" t="n">
        <v>0</v>
      </c>
      <c r="P615" t="n">
        <v>0</v>
      </c>
      <c r="Q615" t="n">
        <v>0</v>
      </c>
      <c r="R615" s="2" t="inlineStr"/>
    </row>
    <row r="616" ht="15" customHeight="1">
      <c r="A616" t="inlineStr">
        <is>
          <t>A 3951-2026</t>
        </is>
      </c>
      <c r="B616" s="1" t="n">
        <v>46044</v>
      </c>
      <c r="C616" s="1" t="n">
        <v>46190</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24352-2023</t>
        </is>
      </c>
      <c r="B617" s="1" t="n">
        <v>45082.31421296296</v>
      </c>
      <c r="C617" s="1" t="n">
        <v>46190</v>
      </c>
      <c r="D617" t="inlineStr">
        <is>
          <t>ÖREBRO LÄN</t>
        </is>
      </c>
      <c r="E617" t="inlineStr">
        <is>
          <t>LINDESBERG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52117-2025</t>
        </is>
      </c>
      <c r="B618" s="1" t="n">
        <v>45952.70765046297</v>
      </c>
      <c r="C618" s="1" t="n">
        <v>46190</v>
      </c>
      <c r="D618" t="inlineStr">
        <is>
          <t>ÖREBRO LÄN</t>
        </is>
      </c>
      <c r="E618" t="inlineStr">
        <is>
          <t>LINDESBERG</t>
        </is>
      </c>
      <c r="G618" t="n">
        <v>4.6</v>
      </c>
      <c r="H618" t="n">
        <v>0</v>
      </c>
      <c r="I618" t="n">
        <v>0</v>
      </c>
      <c r="J618" t="n">
        <v>0</v>
      </c>
      <c r="K618" t="n">
        <v>0</v>
      </c>
      <c r="L618" t="n">
        <v>0</v>
      </c>
      <c r="M618" t="n">
        <v>0</v>
      </c>
      <c r="N618" t="n">
        <v>0</v>
      </c>
      <c r="O618" t="n">
        <v>0</v>
      </c>
      <c r="P618" t="n">
        <v>0</v>
      </c>
      <c r="Q618" t="n">
        <v>0</v>
      </c>
      <c r="R618" s="2" t="inlineStr"/>
    </row>
    <row r="619" ht="15" customHeight="1">
      <c r="A619" t="inlineStr">
        <is>
          <t>A 52103-2025</t>
        </is>
      </c>
      <c r="B619" s="1" t="n">
        <v>45952.68439814815</v>
      </c>
      <c r="C619" s="1" t="n">
        <v>46190</v>
      </c>
      <c r="D619" t="inlineStr">
        <is>
          <t>ÖREBRO LÄN</t>
        </is>
      </c>
      <c r="E619" t="inlineStr">
        <is>
          <t>LINDESBERG</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5235-2026</t>
        </is>
      </c>
      <c r="B620" s="1" t="n">
        <v>46049.84017361111</v>
      </c>
      <c r="C620" s="1" t="n">
        <v>46190</v>
      </c>
      <c r="D620" t="inlineStr">
        <is>
          <t>ÖREBRO LÄN</t>
        </is>
      </c>
      <c r="E620" t="inlineStr">
        <is>
          <t>LINDESBERG</t>
        </is>
      </c>
      <c r="G620" t="n">
        <v>4.8</v>
      </c>
      <c r="H620" t="n">
        <v>0</v>
      </c>
      <c r="I620" t="n">
        <v>0</v>
      </c>
      <c r="J620" t="n">
        <v>0</v>
      </c>
      <c r="K620" t="n">
        <v>0</v>
      </c>
      <c r="L620" t="n">
        <v>0</v>
      </c>
      <c r="M620" t="n">
        <v>0</v>
      </c>
      <c r="N620" t="n">
        <v>0</v>
      </c>
      <c r="O620" t="n">
        <v>0</v>
      </c>
      <c r="P620" t="n">
        <v>0</v>
      </c>
      <c r="Q620" t="n">
        <v>0</v>
      </c>
      <c r="R620" s="2" t="inlineStr"/>
    </row>
    <row r="621" ht="15" customHeight="1">
      <c r="A621" t="inlineStr">
        <is>
          <t>A 52104-2025</t>
        </is>
      </c>
      <c r="B621" s="1" t="n">
        <v>45952.68524305556</v>
      </c>
      <c r="C621" s="1" t="n">
        <v>46190</v>
      </c>
      <c r="D621" t="inlineStr">
        <is>
          <t>ÖREBRO LÄN</t>
        </is>
      </c>
      <c r="E621" t="inlineStr">
        <is>
          <t>LINDESBERG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22824-2023</t>
        </is>
      </c>
      <c r="B622" s="1" t="n">
        <v>45072</v>
      </c>
      <c r="C622" s="1" t="n">
        <v>46190</v>
      </c>
      <c r="D622" t="inlineStr">
        <is>
          <t>ÖREBRO LÄN</t>
        </is>
      </c>
      <c r="E622" t="inlineStr">
        <is>
          <t>LINDESBERG</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5715-2026</t>
        </is>
      </c>
      <c r="B623" s="1" t="n">
        <v>46051.53563657407</v>
      </c>
      <c r="C623" s="1" t="n">
        <v>46190</v>
      </c>
      <c r="D623" t="inlineStr">
        <is>
          <t>ÖREBRO LÄN</t>
        </is>
      </c>
      <c r="E623" t="inlineStr">
        <is>
          <t>LINDESBERG</t>
        </is>
      </c>
      <c r="G623" t="n">
        <v>0.7</v>
      </c>
      <c r="H623" t="n">
        <v>0</v>
      </c>
      <c r="I623" t="n">
        <v>0</v>
      </c>
      <c r="J623" t="n">
        <v>0</v>
      </c>
      <c r="K623" t="n">
        <v>0</v>
      </c>
      <c r="L623" t="n">
        <v>0</v>
      </c>
      <c r="M623" t="n">
        <v>0</v>
      </c>
      <c r="N623" t="n">
        <v>0</v>
      </c>
      <c r="O623" t="n">
        <v>0</v>
      </c>
      <c r="P623" t="n">
        <v>0</v>
      </c>
      <c r="Q623" t="n">
        <v>0</v>
      </c>
      <c r="R623" s="2" t="inlineStr"/>
    </row>
    <row r="624" ht="15" customHeight="1">
      <c r="A624" t="inlineStr">
        <is>
          <t>A 36509-2024</t>
        </is>
      </c>
      <c r="B624" s="1" t="n">
        <v>45537.42240740741</v>
      </c>
      <c r="C624" s="1" t="n">
        <v>46190</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33428-2024</t>
        </is>
      </c>
      <c r="B625" s="1" t="n">
        <v>45519.52319444445</v>
      </c>
      <c r="C625" s="1" t="n">
        <v>46190</v>
      </c>
      <c r="D625" t="inlineStr">
        <is>
          <t>ÖREBRO LÄN</t>
        </is>
      </c>
      <c r="E625" t="inlineStr">
        <is>
          <t>LINDESBERG</t>
        </is>
      </c>
      <c r="F625" t="inlineStr">
        <is>
          <t>Sveaskog</t>
        </is>
      </c>
      <c r="G625" t="n">
        <v>0.2</v>
      </c>
      <c r="H625" t="n">
        <v>0</v>
      </c>
      <c r="I625" t="n">
        <v>0</v>
      </c>
      <c r="J625" t="n">
        <v>0</v>
      </c>
      <c r="K625" t="n">
        <v>0</v>
      </c>
      <c r="L625" t="n">
        <v>0</v>
      </c>
      <c r="M625" t="n">
        <v>0</v>
      </c>
      <c r="N625" t="n">
        <v>0</v>
      </c>
      <c r="O625" t="n">
        <v>0</v>
      </c>
      <c r="P625" t="n">
        <v>0</v>
      </c>
      <c r="Q625" t="n">
        <v>0</v>
      </c>
      <c r="R625" s="2" t="inlineStr"/>
    </row>
    <row r="626" ht="15" customHeight="1">
      <c r="A626" t="inlineStr">
        <is>
          <t>A 17104-2024</t>
        </is>
      </c>
      <c r="B626" s="1" t="n">
        <v>45412.54541666667</v>
      </c>
      <c r="C626" s="1" t="n">
        <v>46190</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6616-2026</t>
        </is>
      </c>
      <c r="B627" s="1" t="n">
        <v>46056.49075231481</v>
      </c>
      <c r="C627" s="1" t="n">
        <v>46190</v>
      </c>
      <c r="D627" t="inlineStr">
        <is>
          <t>ÖREBRO LÄN</t>
        </is>
      </c>
      <c r="E627" t="inlineStr">
        <is>
          <t>LINDESBERG</t>
        </is>
      </c>
      <c r="G627" t="n">
        <v>9</v>
      </c>
      <c r="H627" t="n">
        <v>0</v>
      </c>
      <c r="I627" t="n">
        <v>0</v>
      </c>
      <c r="J627" t="n">
        <v>0</v>
      </c>
      <c r="K627" t="n">
        <v>0</v>
      </c>
      <c r="L627" t="n">
        <v>0</v>
      </c>
      <c r="M627" t="n">
        <v>0</v>
      </c>
      <c r="N627" t="n">
        <v>0</v>
      </c>
      <c r="O627" t="n">
        <v>0</v>
      </c>
      <c r="P627" t="n">
        <v>0</v>
      </c>
      <c r="Q627" t="n">
        <v>0</v>
      </c>
      <c r="R627" s="2" t="inlineStr"/>
    </row>
    <row r="628" ht="15" customHeight="1">
      <c r="A628" t="inlineStr">
        <is>
          <t>A 13350-2024</t>
        </is>
      </c>
      <c r="B628" s="1" t="n">
        <v>45387.24732638889</v>
      </c>
      <c r="C628" s="1" t="n">
        <v>46190</v>
      </c>
      <c r="D628" t="inlineStr">
        <is>
          <t>ÖREBRO LÄN</t>
        </is>
      </c>
      <c r="E628" t="inlineStr">
        <is>
          <t>LINDESBERG</t>
        </is>
      </c>
      <c r="G628" t="n">
        <v>4.1</v>
      </c>
      <c r="H628" t="n">
        <v>0</v>
      </c>
      <c r="I628" t="n">
        <v>0</v>
      </c>
      <c r="J628" t="n">
        <v>0</v>
      </c>
      <c r="K628" t="n">
        <v>0</v>
      </c>
      <c r="L628" t="n">
        <v>0</v>
      </c>
      <c r="M628" t="n">
        <v>0</v>
      </c>
      <c r="N628" t="n">
        <v>0</v>
      </c>
      <c r="O628" t="n">
        <v>0</v>
      </c>
      <c r="P628" t="n">
        <v>0</v>
      </c>
      <c r="Q628" t="n">
        <v>0</v>
      </c>
      <c r="R628" s="2" t="inlineStr"/>
    </row>
    <row r="629" ht="15" customHeight="1">
      <c r="A629" t="inlineStr">
        <is>
          <t>A 13351-2024</t>
        </is>
      </c>
      <c r="B629" s="1" t="n">
        <v>45387.2521875</v>
      </c>
      <c r="C629" s="1" t="n">
        <v>46190</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6989-2026</t>
        </is>
      </c>
      <c r="B630" s="1" t="n">
        <v>46057.60342592592</v>
      </c>
      <c r="C630" s="1" t="n">
        <v>46190</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6524-2026</t>
        </is>
      </c>
      <c r="B631" s="1" t="n">
        <v>46056.40425925926</v>
      </c>
      <c r="C631" s="1" t="n">
        <v>46190</v>
      </c>
      <c r="D631" t="inlineStr">
        <is>
          <t>ÖREBRO LÄN</t>
        </is>
      </c>
      <c r="E631" t="inlineStr">
        <is>
          <t>LINDESBERG</t>
        </is>
      </c>
      <c r="G631" t="n">
        <v>0.6</v>
      </c>
      <c r="H631" t="n">
        <v>0</v>
      </c>
      <c r="I631" t="n">
        <v>0</v>
      </c>
      <c r="J631" t="n">
        <v>0</v>
      </c>
      <c r="K631" t="n">
        <v>0</v>
      </c>
      <c r="L631" t="n">
        <v>0</v>
      </c>
      <c r="M631" t="n">
        <v>0</v>
      </c>
      <c r="N631" t="n">
        <v>0</v>
      </c>
      <c r="O631" t="n">
        <v>0</v>
      </c>
      <c r="P631" t="n">
        <v>0</v>
      </c>
      <c r="Q631" t="n">
        <v>0</v>
      </c>
      <c r="R631" s="2" t="inlineStr"/>
    </row>
    <row r="632" ht="15" customHeight="1">
      <c r="A632" t="inlineStr">
        <is>
          <t>A 52401-2025</t>
        </is>
      </c>
      <c r="B632" s="1" t="n">
        <v>45954.35075231481</v>
      </c>
      <c r="C632" s="1" t="n">
        <v>46190</v>
      </c>
      <c r="D632" t="inlineStr">
        <is>
          <t>ÖREBRO LÄN</t>
        </is>
      </c>
      <c r="E632" t="inlineStr">
        <is>
          <t>LINDESBERG</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52402-2025</t>
        </is>
      </c>
      <c r="B633" s="1" t="n">
        <v>45954.35387731482</v>
      </c>
      <c r="C633" s="1" t="n">
        <v>46190</v>
      </c>
      <c r="D633" t="inlineStr">
        <is>
          <t>ÖREBRO LÄN</t>
        </is>
      </c>
      <c r="E633" t="inlineStr">
        <is>
          <t>LINDESBERG</t>
        </is>
      </c>
      <c r="F633" t="inlineStr">
        <is>
          <t>Sveaskog</t>
        </is>
      </c>
      <c r="G633" t="n">
        <v>2.1</v>
      </c>
      <c r="H633" t="n">
        <v>0</v>
      </c>
      <c r="I633" t="n">
        <v>0</v>
      </c>
      <c r="J633" t="n">
        <v>0</v>
      </c>
      <c r="K633" t="n">
        <v>0</v>
      </c>
      <c r="L633" t="n">
        <v>0</v>
      </c>
      <c r="M633" t="n">
        <v>0</v>
      </c>
      <c r="N633" t="n">
        <v>0</v>
      </c>
      <c r="O633" t="n">
        <v>0</v>
      </c>
      <c r="P633" t="n">
        <v>0</v>
      </c>
      <c r="Q633" t="n">
        <v>0</v>
      </c>
      <c r="R633" s="2" t="inlineStr"/>
    </row>
    <row r="634" ht="15" customHeight="1">
      <c r="A634" t="inlineStr">
        <is>
          <t>A 34838-2023</t>
        </is>
      </c>
      <c r="B634" s="1" t="n">
        <v>45141.76530092592</v>
      </c>
      <c r="C634" s="1" t="n">
        <v>46190</v>
      </c>
      <c r="D634" t="inlineStr">
        <is>
          <t>ÖREBRO LÄN</t>
        </is>
      </c>
      <c r="E634" t="inlineStr">
        <is>
          <t>LINDESBERG</t>
        </is>
      </c>
      <c r="G634" t="n">
        <v>3</v>
      </c>
      <c r="H634" t="n">
        <v>0</v>
      </c>
      <c r="I634" t="n">
        <v>0</v>
      </c>
      <c r="J634" t="n">
        <v>0</v>
      </c>
      <c r="K634" t="n">
        <v>0</v>
      </c>
      <c r="L634" t="n">
        <v>0</v>
      </c>
      <c r="M634" t="n">
        <v>0</v>
      </c>
      <c r="N634" t="n">
        <v>0</v>
      </c>
      <c r="O634" t="n">
        <v>0</v>
      </c>
      <c r="P634" t="n">
        <v>0</v>
      </c>
      <c r="Q634" t="n">
        <v>0</v>
      </c>
      <c r="R634" s="2" t="inlineStr"/>
    </row>
    <row r="635" ht="15" customHeight="1">
      <c r="A635" t="inlineStr">
        <is>
          <t>A 15324-2024</t>
        </is>
      </c>
      <c r="B635" s="1" t="n">
        <v>45400.66995370371</v>
      </c>
      <c r="C635" s="1" t="n">
        <v>46190</v>
      </c>
      <c r="D635" t="inlineStr">
        <is>
          <t>ÖREBRO LÄN</t>
        </is>
      </c>
      <c r="E635" t="inlineStr">
        <is>
          <t>LINDESBERG</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36170-2021</t>
        </is>
      </c>
      <c r="B636" s="1" t="n">
        <v>44389</v>
      </c>
      <c r="C636" s="1" t="n">
        <v>46190</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7202-2026</t>
        </is>
      </c>
      <c r="B637" s="1" t="n">
        <v>46058.52864583334</v>
      </c>
      <c r="C637" s="1" t="n">
        <v>46190</v>
      </c>
      <c r="D637" t="inlineStr">
        <is>
          <t>ÖREBRO LÄN</t>
        </is>
      </c>
      <c r="E637" t="inlineStr">
        <is>
          <t>LINDESBERG</t>
        </is>
      </c>
      <c r="G637" t="n">
        <v>2.8</v>
      </c>
      <c r="H637" t="n">
        <v>0</v>
      </c>
      <c r="I637" t="n">
        <v>0</v>
      </c>
      <c r="J637" t="n">
        <v>0</v>
      </c>
      <c r="K637" t="n">
        <v>0</v>
      </c>
      <c r="L637" t="n">
        <v>0</v>
      </c>
      <c r="M637" t="n">
        <v>0</v>
      </c>
      <c r="N637" t="n">
        <v>0</v>
      </c>
      <c r="O637" t="n">
        <v>0</v>
      </c>
      <c r="P637" t="n">
        <v>0</v>
      </c>
      <c r="Q637" t="n">
        <v>0</v>
      </c>
      <c r="R637" s="2" t="inlineStr"/>
    </row>
    <row r="638" ht="15" customHeight="1">
      <c r="A638" t="inlineStr">
        <is>
          <t>A 7069-2026</t>
        </is>
      </c>
      <c r="B638" s="1" t="n">
        <v>46058.30956018518</v>
      </c>
      <c r="C638" s="1" t="n">
        <v>46190</v>
      </c>
      <c r="D638" t="inlineStr">
        <is>
          <t>ÖREBRO LÄN</t>
        </is>
      </c>
      <c r="E638" t="inlineStr">
        <is>
          <t>LINDESBERG</t>
        </is>
      </c>
      <c r="G638" t="n">
        <v>0.9</v>
      </c>
      <c r="H638" t="n">
        <v>0</v>
      </c>
      <c r="I638" t="n">
        <v>0</v>
      </c>
      <c r="J638" t="n">
        <v>0</v>
      </c>
      <c r="K638" t="n">
        <v>0</v>
      </c>
      <c r="L638" t="n">
        <v>0</v>
      </c>
      <c r="M638" t="n">
        <v>0</v>
      </c>
      <c r="N638" t="n">
        <v>0</v>
      </c>
      <c r="O638" t="n">
        <v>0</v>
      </c>
      <c r="P638" t="n">
        <v>0</v>
      </c>
      <c r="Q638" t="n">
        <v>0</v>
      </c>
      <c r="R638" s="2" t="inlineStr"/>
    </row>
    <row r="639" ht="15" customHeight="1">
      <c r="A639" t="inlineStr">
        <is>
          <t>A 7180-2023</t>
        </is>
      </c>
      <c r="B639" s="1" t="n">
        <v>44970.51849537037</v>
      </c>
      <c r="C639" s="1" t="n">
        <v>46190</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46675-2023</t>
        </is>
      </c>
      <c r="B640" s="1" t="n">
        <v>45194</v>
      </c>
      <c r="C640" s="1" t="n">
        <v>46190</v>
      </c>
      <c r="D640" t="inlineStr">
        <is>
          <t>ÖREBRO LÄN</t>
        </is>
      </c>
      <c r="E640" t="inlineStr">
        <is>
          <t>LINDESBERG</t>
        </is>
      </c>
      <c r="G640" t="n">
        <v>3.8</v>
      </c>
      <c r="H640" t="n">
        <v>0</v>
      </c>
      <c r="I640" t="n">
        <v>0</v>
      </c>
      <c r="J640" t="n">
        <v>0</v>
      </c>
      <c r="K640" t="n">
        <v>0</v>
      </c>
      <c r="L640" t="n">
        <v>0</v>
      </c>
      <c r="M640" t="n">
        <v>0</v>
      </c>
      <c r="N640" t="n">
        <v>0</v>
      </c>
      <c r="O640" t="n">
        <v>0</v>
      </c>
      <c r="P640" t="n">
        <v>0</v>
      </c>
      <c r="Q640" t="n">
        <v>0</v>
      </c>
      <c r="R640" s="2" t="inlineStr"/>
    </row>
    <row r="641" ht="15" customHeight="1">
      <c r="A641" t="inlineStr">
        <is>
          <t>A 50964-2023</t>
        </is>
      </c>
      <c r="B641" s="1" t="n">
        <v>45218.488125</v>
      </c>
      <c r="C641" s="1" t="n">
        <v>46190</v>
      </c>
      <c r="D641" t="inlineStr">
        <is>
          <t>ÖREBRO LÄN</t>
        </is>
      </c>
      <c r="E641" t="inlineStr">
        <is>
          <t>LINDESBERG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50619-2022</t>
        </is>
      </c>
      <c r="B642" s="1" t="n">
        <v>44866.79668981482</v>
      </c>
      <c r="C642" s="1" t="n">
        <v>46190</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36893-2024</t>
        </is>
      </c>
      <c r="B643" s="1" t="n">
        <v>45538</v>
      </c>
      <c r="C643" s="1" t="n">
        <v>46190</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9432-2026</t>
        </is>
      </c>
      <c r="B644" s="1" t="n">
        <v>46071.45568287037</v>
      </c>
      <c r="C644" s="1" t="n">
        <v>46190</v>
      </c>
      <c r="D644" t="inlineStr">
        <is>
          <t>ÖREBRO LÄN</t>
        </is>
      </c>
      <c r="E644" t="inlineStr">
        <is>
          <t>LINDESBERG</t>
        </is>
      </c>
      <c r="G644" t="n">
        <v>1.6</v>
      </c>
      <c r="H644" t="n">
        <v>0</v>
      </c>
      <c r="I644" t="n">
        <v>0</v>
      </c>
      <c r="J644" t="n">
        <v>0</v>
      </c>
      <c r="K644" t="n">
        <v>0</v>
      </c>
      <c r="L644" t="n">
        <v>0</v>
      </c>
      <c r="M644" t="n">
        <v>0</v>
      </c>
      <c r="N644" t="n">
        <v>0</v>
      </c>
      <c r="O644" t="n">
        <v>0</v>
      </c>
      <c r="P644" t="n">
        <v>0</v>
      </c>
      <c r="Q644" t="n">
        <v>0</v>
      </c>
      <c r="R644" s="2" t="inlineStr"/>
    </row>
    <row r="645" ht="15" customHeight="1">
      <c r="A645" t="inlineStr">
        <is>
          <t>A 9577-2026</t>
        </is>
      </c>
      <c r="B645" s="1" t="n">
        <v>46071.67334490741</v>
      </c>
      <c r="C645" s="1" t="n">
        <v>46190</v>
      </c>
      <c r="D645" t="inlineStr">
        <is>
          <t>ÖREBRO LÄN</t>
        </is>
      </c>
      <c r="E645" t="inlineStr">
        <is>
          <t>LINDESBERG</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10111-2022</t>
        </is>
      </c>
      <c r="B646" s="1" t="n">
        <v>44621.85737268518</v>
      </c>
      <c r="C646" s="1" t="n">
        <v>46190</v>
      </c>
      <c r="D646" t="inlineStr">
        <is>
          <t>ÖREBRO LÄN</t>
        </is>
      </c>
      <c r="E646" t="inlineStr">
        <is>
          <t>LINDESBERG</t>
        </is>
      </c>
      <c r="G646" t="n">
        <v>2.4</v>
      </c>
      <c r="H646" t="n">
        <v>0</v>
      </c>
      <c r="I646" t="n">
        <v>0</v>
      </c>
      <c r="J646" t="n">
        <v>0</v>
      </c>
      <c r="K646" t="n">
        <v>0</v>
      </c>
      <c r="L646" t="n">
        <v>0</v>
      </c>
      <c r="M646" t="n">
        <v>0</v>
      </c>
      <c r="N646" t="n">
        <v>0</v>
      </c>
      <c r="O646" t="n">
        <v>0</v>
      </c>
      <c r="P646" t="n">
        <v>0</v>
      </c>
      <c r="Q646" t="n">
        <v>0</v>
      </c>
      <c r="R646" s="2" t="inlineStr"/>
    </row>
    <row r="647" ht="15" customHeight="1">
      <c r="A647" t="inlineStr">
        <is>
          <t>A 14231-2023</t>
        </is>
      </c>
      <c r="B647" s="1" t="n">
        <v>45009.64217592592</v>
      </c>
      <c r="C647" s="1" t="n">
        <v>46190</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54249-2025</t>
        </is>
      </c>
      <c r="B648" s="1" t="n">
        <v>45964.64599537037</v>
      </c>
      <c r="C648" s="1" t="n">
        <v>46190</v>
      </c>
      <c r="D648" t="inlineStr">
        <is>
          <t>ÖREBRO LÄN</t>
        </is>
      </c>
      <c r="E648" t="inlineStr">
        <is>
          <t>LINDESBERG</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484-2022</t>
        </is>
      </c>
      <c r="B649" s="1" t="n">
        <v>44566</v>
      </c>
      <c r="C649" s="1" t="n">
        <v>46190</v>
      </c>
      <c r="D649" t="inlineStr">
        <is>
          <t>ÖREBRO LÄN</t>
        </is>
      </c>
      <c r="E649" t="inlineStr">
        <is>
          <t>LINDESBERG</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54070-2025</t>
        </is>
      </c>
      <c r="B650" s="1" t="n">
        <v>45964.34680555556</v>
      </c>
      <c r="C650" s="1" t="n">
        <v>46190</v>
      </c>
      <c r="D650" t="inlineStr">
        <is>
          <t>ÖREBRO LÄN</t>
        </is>
      </c>
      <c r="E650" t="inlineStr">
        <is>
          <t>LINDESBERG</t>
        </is>
      </c>
      <c r="G650" t="n">
        <v>0.5</v>
      </c>
      <c r="H650" t="n">
        <v>0</v>
      </c>
      <c r="I650" t="n">
        <v>0</v>
      </c>
      <c r="J650" t="n">
        <v>0</v>
      </c>
      <c r="K650" t="n">
        <v>0</v>
      </c>
      <c r="L650" t="n">
        <v>0</v>
      </c>
      <c r="M650" t="n">
        <v>0</v>
      </c>
      <c r="N650" t="n">
        <v>0</v>
      </c>
      <c r="O650" t="n">
        <v>0</v>
      </c>
      <c r="P650" t="n">
        <v>0</v>
      </c>
      <c r="Q650" t="n">
        <v>0</v>
      </c>
      <c r="R650" s="2" t="inlineStr"/>
    </row>
    <row r="651" ht="15" customHeight="1">
      <c r="A651" t="inlineStr">
        <is>
          <t>A 54072-2025</t>
        </is>
      </c>
      <c r="B651" s="1" t="n">
        <v>45964.3550925926</v>
      </c>
      <c r="C651" s="1" t="n">
        <v>46190</v>
      </c>
      <c r="D651" t="inlineStr">
        <is>
          <t>ÖREBRO LÄN</t>
        </is>
      </c>
      <c r="E651" t="inlineStr">
        <is>
          <t>LINDESBERG</t>
        </is>
      </c>
      <c r="G651" t="n">
        <v>1.3</v>
      </c>
      <c r="H651" t="n">
        <v>0</v>
      </c>
      <c r="I651" t="n">
        <v>0</v>
      </c>
      <c r="J651" t="n">
        <v>0</v>
      </c>
      <c r="K651" t="n">
        <v>0</v>
      </c>
      <c r="L651" t="n">
        <v>0</v>
      </c>
      <c r="M651" t="n">
        <v>0</v>
      </c>
      <c r="N651" t="n">
        <v>0</v>
      </c>
      <c r="O651" t="n">
        <v>0</v>
      </c>
      <c r="P651" t="n">
        <v>0</v>
      </c>
      <c r="Q651" t="n">
        <v>0</v>
      </c>
      <c r="R651" s="2" t="inlineStr"/>
    </row>
    <row r="652" ht="15" customHeight="1">
      <c r="A652" t="inlineStr">
        <is>
          <t>A 54250-2025</t>
        </is>
      </c>
      <c r="B652" s="1" t="n">
        <v>45964.64709490741</v>
      </c>
      <c r="C652" s="1" t="n">
        <v>46190</v>
      </c>
      <c r="D652" t="inlineStr">
        <is>
          <t>ÖREBRO LÄN</t>
        </is>
      </c>
      <c r="E652" t="inlineStr">
        <is>
          <t>LINDESBERG</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54251-2025</t>
        </is>
      </c>
      <c r="B653" s="1" t="n">
        <v>45964.64778935185</v>
      </c>
      <c r="C653" s="1" t="n">
        <v>46190</v>
      </c>
      <c r="D653" t="inlineStr">
        <is>
          <t>ÖREBRO LÄN</t>
        </is>
      </c>
      <c r="E653" t="inlineStr">
        <is>
          <t>LINDESBERG</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1395-2025</t>
        </is>
      </c>
      <c r="B654" s="1" t="n">
        <v>45667</v>
      </c>
      <c r="C654" s="1" t="n">
        <v>46190</v>
      </c>
      <c r="D654" t="inlineStr">
        <is>
          <t>ÖREBRO LÄN</t>
        </is>
      </c>
      <c r="E654" t="inlineStr">
        <is>
          <t>LINDESBERG</t>
        </is>
      </c>
      <c r="G654" t="n">
        <v>4.6</v>
      </c>
      <c r="H654" t="n">
        <v>0</v>
      </c>
      <c r="I654" t="n">
        <v>0</v>
      </c>
      <c r="J654" t="n">
        <v>0</v>
      </c>
      <c r="K654" t="n">
        <v>0</v>
      </c>
      <c r="L654" t="n">
        <v>0</v>
      </c>
      <c r="M654" t="n">
        <v>0</v>
      </c>
      <c r="N654" t="n">
        <v>0</v>
      </c>
      <c r="O654" t="n">
        <v>0</v>
      </c>
      <c r="P654" t="n">
        <v>0</v>
      </c>
      <c r="Q654" t="n">
        <v>0</v>
      </c>
      <c r="R654" s="2" t="inlineStr"/>
    </row>
    <row r="655" ht="15" customHeight="1">
      <c r="A655" t="inlineStr">
        <is>
          <t>A 1405-2025</t>
        </is>
      </c>
      <c r="B655" s="1" t="n">
        <v>45667</v>
      </c>
      <c r="C655" s="1" t="n">
        <v>46190</v>
      </c>
      <c r="D655" t="inlineStr">
        <is>
          <t>ÖREBRO LÄN</t>
        </is>
      </c>
      <c r="E655" t="inlineStr">
        <is>
          <t>LINDESBERG</t>
        </is>
      </c>
      <c r="F655" t="inlineStr">
        <is>
          <t>Allmännings- och besparingsskogar</t>
        </is>
      </c>
      <c r="G655" t="n">
        <v>3.1</v>
      </c>
      <c r="H655" t="n">
        <v>0</v>
      </c>
      <c r="I655" t="n">
        <v>0</v>
      </c>
      <c r="J655" t="n">
        <v>0</v>
      </c>
      <c r="K655" t="n">
        <v>0</v>
      </c>
      <c r="L655" t="n">
        <v>0</v>
      </c>
      <c r="M655" t="n">
        <v>0</v>
      </c>
      <c r="N655" t="n">
        <v>0</v>
      </c>
      <c r="O655" t="n">
        <v>0</v>
      </c>
      <c r="P655" t="n">
        <v>0</v>
      </c>
      <c r="Q655" t="n">
        <v>0</v>
      </c>
      <c r="R655" s="2" t="inlineStr"/>
    </row>
    <row r="656" ht="15" customHeight="1">
      <c r="A656" t="inlineStr">
        <is>
          <t>A 45078-2024</t>
        </is>
      </c>
      <c r="B656" s="1" t="n">
        <v>45575.57104166667</v>
      </c>
      <c r="C656" s="1" t="n">
        <v>46190</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6723-2022</t>
        </is>
      </c>
      <c r="B657" s="1" t="n">
        <v>44602.45162037037</v>
      </c>
      <c r="C657" s="1" t="n">
        <v>46190</v>
      </c>
      <c r="D657" t="inlineStr">
        <is>
          <t>ÖREBRO LÄN</t>
        </is>
      </c>
      <c r="E657" t="inlineStr">
        <is>
          <t>LINDESBERG</t>
        </is>
      </c>
      <c r="G657" t="n">
        <v>4.2</v>
      </c>
      <c r="H657" t="n">
        <v>0</v>
      </c>
      <c r="I657" t="n">
        <v>0</v>
      </c>
      <c r="J657" t="n">
        <v>0</v>
      </c>
      <c r="K657" t="n">
        <v>0</v>
      </c>
      <c r="L657" t="n">
        <v>0</v>
      </c>
      <c r="M657" t="n">
        <v>0</v>
      </c>
      <c r="N657" t="n">
        <v>0</v>
      </c>
      <c r="O657" t="n">
        <v>0</v>
      </c>
      <c r="P657" t="n">
        <v>0</v>
      </c>
      <c r="Q657" t="n">
        <v>0</v>
      </c>
      <c r="R657" s="2" t="inlineStr"/>
    </row>
    <row r="658" ht="15" customHeight="1">
      <c r="A658" t="inlineStr">
        <is>
          <t>A 28470-2023</t>
        </is>
      </c>
      <c r="B658" s="1" t="n">
        <v>45103</v>
      </c>
      <c r="C658" s="1" t="n">
        <v>46190</v>
      </c>
      <c r="D658" t="inlineStr">
        <is>
          <t>ÖREBRO LÄN</t>
        </is>
      </c>
      <c r="E658" t="inlineStr">
        <is>
          <t>LINDESBERG</t>
        </is>
      </c>
      <c r="G658" t="n">
        <v>6.7</v>
      </c>
      <c r="H658" t="n">
        <v>0</v>
      </c>
      <c r="I658" t="n">
        <v>0</v>
      </c>
      <c r="J658" t="n">
        <v>0</v>
      </c>
      <c r="K658" t="n">
        <v>0</v>
      </c>
      <c r="L658" t="n">
        <v>0</v>
      </c>
      <c r="M658" t="n">
        <v>0</v>
      </c>
      <c r="N658" t="n">
        <v>0</v>
      </c>
      <c r="O658" t="n">
        <v>0</v>
      </c>
      <c r="P658" t="n">
        <v>0</v>
      </c>
      <c r="Q658" t="n">
        <v>0</v>
      </c>
      <c r="R658" s="2" t="inlineStr"/>
    </row>
    <row r="659" ht="15" customHeight="1">
      <c r="A659" t="inlineStr">
        <is>
          <t>A 32097-2024</t>
        </is>
      </c>
      <c r="B659" s="1" t="n">
        <v>45511.39445601852</v>
      </c>
      <c r="C659" s="1" t="n">
        <v>46190</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26340-2022</t>
        </is>
      </c>
      <c r="B660" s="1" t="n">
        <v>44735.62539351852</v>
      </c>
      <c r="C660" s="1" t="n">
        <v>46190</v>
      </c>
      <c r="D660" t="inlineStr">
        <is>
          <t>ÖREBRO LÄN</t>
        </is>
      </c>
      <c r="E660" t="inlineStr">
        <is>
          <t>LINDESBERG</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30534-2023</t>
        </is>
      </c>
      <c r="B661" s="1" t="n">
        <v>45111</v>
      </c>
      <c r="C661" s="1" t="n">
        <v>46190</v>
      </c>
      <c r="D661" t="inlineStr">
        <is>
          <t>ÖREBRO LÄN</t>
        </is>
      </c>
      <c r="E661" t="inlineStr">
        <is>
          <t>LINDESBERG</t>
        </is>
      </c>
      <c r="G661" t="n">
        <v>0.7</v>
      </c>
      <c r="H661" t="n">
        <v>0</v>
      </c>
      <c r="I661" t="n">
        <v>0</v>
      </c>
      <c r="J661" t="n">
        <v>0</v>
      </c>
      <c r="K661" t="n">
        <v>0</v>
      </c>
      <c r="L661" t="n">
        <v>0</v>
      </c>
      <c r="M661" t="n">
        <v>0</v>
      </c>
      <c r="N661" t="n">
        <v>0</v>
      </c>
      <c r="O661" t="n">
        <v>0</v>
      </c>
      <c r="P661" t="n">
        <v>0</v>
      </c>
      <c r="Q661" t="n">
        <v>0</v>
      </c>
      <c r="R661" s="2" t="inlineStr"/>
    </row>
    <row r="662" ht="15" customHeight="1">
      <c r="A662" t="inlineStr">
        <is>
          <t>A 54705-2022</t>
        </is>
      </c>
      <c r="B662" s="1" t="n">
        <v>44883</v>
      </c>
      <c r="C662" s="1" t="n">
        <v>46190</v>
      </c>
      <c r="D662" t="inlineStr">
        <is>
          <t>ÖREBRO LÄN</t>
        </is>
      </c>
      <c r="E662" t="inlineStr">
        <is>
          <t>LINDESBERG</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59631-2023</t>
        </is>
      </c>
      <c r="B663" s="1" t="n">
        <v>45254.68105324074</v>
      </c>
      <c r="C663" s="1" t="n">
        <v>46190</v>
      </c>
      <c r="D663" t="inlineStr">
        <is>
          <t>ÖREBRO LÄN</t>
        </is>
      </c>
      <c r="E663" t="inlineStr">
        <is>
          <t>LINDESBERG</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34539-2024</t>
        </is>
      </c>
      <c r="B664" s="1" t="n">
        <v>45525.7374537037</v>
      </c>
      <c r="C664" s="1" t="n">
        <v>46190</v>
      </c>
      <c r="D664" t="inlineStr">
        <is>
          <t>ÖREBRO LÄN</t>
        </is>
      </c>
      <c r="E664" t="inlineStr">
        <is>
          <t>LINDESBERG</t>
        </is>
      </c>
      <c r="G664" t="n">
        <v>5.4</v>
      </c>
      <c r="H664" t="n">
        <v>0</v>
      </c>
      <c r="I664" t="n">
        <v>0</v>
      </c>
      <c r="J664" t="n">
        <v>0</v>
      </c>
      <c r="K664" t="n">
        <v>0</v>
      </c>
      <c r="L664" t="n">
        <v>0</v>
      </c>
      <c r="M664" t="n">
        <v>0</v>
      </c>
      <c r="N664" t="n">
        <v>0</v>
      </c>
      <c r="O664" t="n">
        <v>0</v>
      </c>
      <c r="P664" t="n">
        <v>0</v>
      </c>
      <c r="Q664" t="n">
        <v>0</v>
      </c>
      <c r="R664" s="2" t="inlineStr"/>
    </row>
    <row r="665" ht="15" customHeight="1">
      <c r="A665" t="inlineStr">
        <is>
          <t>A 41951-2023</t>
        </is>
      </c>
      <c r="B665" s="1" t="n">
        <v>45177.33991898148</v>
      </c>
      <c r="C665" s="1" t="n">
        <v>46190</v>
      </c>
      <c r="D665" t="inlineStr">
        <is>
          <t>ÖREBRO LÄN</t>
        </is>
      </c>
      <c r="E665" t="inlineStr">
        <is>
          <t>LINDESBERG</t>
        </is>
      </c>
      <c r="F665" t="inlineStr">
        <is>
          <t>Kyrkan</t>
        </is>
      </c>
      <c r="G665" t="n">
        <v>3.3</v>
      </c>
      <c r="H665" t="n">
        <v>0</v>
      </c>
      <c r="I665" t="n">
        <v>0</v>
      </c>
      <c r="J665" t="n">
        <v>0</v>
      </c>
      <c r="K665" t="n">
        <v>0</v>
      </c>
      <c r="L665" t="n">
        <v>0</v>
      </c>
      <c r="M665" t="n">
        <v>0</v>
      </c>
      <c r="N665" t="n">
        <v>0</v>
      </c>
      <c r="O665" t="n">
        <v>0</v>
      </c>
      <c r="P665" t="n">
        <v>0</v>
      </c>
      <c r="Q665" t="n">
        <v>0</v>
      </c>
      <c r="R665" s="2" t="inlineStr"/>
    </row>
    <row r="666" ht="15" customHeight="1">
      <c r="A666" t="inlineStr">
        <is>
          <t>A 58603-2023</t>
        </is>
      </c>
      <c r="B666" s="1" t="n">
        <v>45251</v>
      </c>
      <c r="C666" s="1" t="n">
        <v>46190</v>
      </c>
      <c r="D666" t="inlineStr">
        <is>
          <t>ÖREBRO LÄN</t>
        </is>
      </c>
      <c r="E666" t="inlineStr">
        <is>
          <t>LINDESBERG</t>
        </is>
      </c>
      <c r="G666" t="n">
        <v>1.1</v>
      </c>
      <c r="H666" t="n">
        <v>0</v>
      </c>
      <c r="I666" t="n">
        <v>0</v>
      </c>
      <c r="J666" t="n">
        <v>0</v>
      </c>
      <c r="K666" t="n">
        <v>0</v>
      </c>
      <c r="L666" t="n">
        <v>0</v>
      </c>
      <c r="M666" t="n">
        <v>0</v>
      </c>
      <c r="N666" t="n">
        <v>0</v>
      </c>
      <c r="O666" t="n">
        <v>0</v>
      </c>
      <c r="P666" t="n">
        <v>0</v>
      </c>
      <c r="Q666" t="n">
        <v>0</v>
      </c>
      <c r="R666" s="2" t="inlineStr"/>
    </row>
    <row r="667" ht="15" customHeight="1">
      <c r="A667" t="inlineStr">
        <is>
          <t>A 20387-2026</t>
        </is>
      </c>
      <c r="B667" s="1" t="n">
        <v>46139.71047453704</v>
      </c>
      <c r="C667" s="1" t="n">
        <v>46190</v>
      </c>
      <c r="D667" t="inlineStr">
        <is>
          <t>ÖREBRO LÄN</t>
        </is>
      </c>
      <c r="E667" t="inlineStr">
        <is>
          <t>LINDESBERG</t>
        </is>
      </c>
      <c r="G667" t="n">
        <v>1.2</v>
      </c>
      <c r="H667" t="n">
        <v>0</v>
      </c>
      <c r="I667" t="n">
        <v>0</v>
      </c>
      <c r="J667" t="n">
        <v>0</v>
      </c>
      <c r="K667" t="n">
        <v>0</v>
      </c>
      <c r="L667" t="n">
        <v>0</v>
      </c>
      <c r="M667" t="n">
        <v>0</v>
      </c>
      <c r="N667" t="n">
        <v>0</v>
      </c>
      <c r="O667" t="n">
        <v>0</v>
      </c>
      <c r="P667" t="n">
        <v>0</v>
      </c>
      <c r="Q667" t="n">
        <v>0</v>
      </c>
      <c r="R667" s="2" t="inlineStr"/>
    </row>
    <row r="668" ht="15" customHeight="1">
      <c r="A668" t="inlineStr">
        <is>
          <t>A 14187-2024</t>
        </is>
      </c>
      <c r="B668" s="1" t="n">
        <v>45393.35787037037</v>
      </c>
      <c r="C668" s="1" t="n">
        <v>46190</v>
      </c>
      <c r="D668" t="inlineStr">
        <is>
          <t>ÖREBRO LÄN</t>
        </is>
      </c>
      <c r="E668" t="inlineStr">
        <is>
          <t>LINDESBERG</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18418-2025</t>
        </is>
      </c>
      <c r="B669" s="1" t="n">
        <v>45762.61817129629</v>
      </c>
      <c r="C669" s="1" t="n">
        <v>46190</v>
      </c>
      <c r="D669" t="inlineStr">
        <is>
          <t>ÖREBRO LÄN</t>
        </is>
      </c>
      <c r="E669" t="inlineStr">
        <is>
          <t>LINDESBERG</t>
        </is>
      </c>
      <c r="G669" t="n">
        <v>2.3</v>
      </c>
      <c r="H669" t="n">
        <v>0</v>
      </c>
      <c r="I669" t="n">
        <v>0</v>
      </c>
      <c r="J669" t="n">
        <v>0</v>
      </c>
      <c r="K669" t="n">
        <v>0</v>
      </c>
      <c r="L669" t="n">
        <v>0</v>
      </c>
      <c r="M669" t="n">
        <v>0</v>
      </c>
      <c r="N669" t="n">
        <v>0</v>
      </c>
      <c r="O669" t="n">
        <v>0</v>
      </c>
      <c r="P669" t="n">
        <v>0</v>
      </c>
      <c r="Q669" t="n">
        <v>0</v>
      </c>
      <c r="R669" s="2" t="inlineStr"/>
    </row>
    <row r="670" ht="15" customHeight="1">
      <c r="A670" t="inlineStr">
        <is>
          <t>A 29849-2023</t>
        </is>
      </c>
      <c r="B670" s="1" t="n">
        <v>45107</v>
      </c>
      <c r="C670" s="1" t="n">
        <v>46190</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60105-2022</t>
        </is>
      </c>
      <c r="B671" s="1" t="n">
        <v>44902</v>
      </c>
      <c r="C671" s="1" t="n">
        <v>46190</v>
      </c>
      <c r="D671" t="inlineStr">
        <is>
          <t>ÖREBRO LÄN</t>
        </is>
      </c>
      <c r="E671" t="inlineStr">
        <is>
          <t>LINDESBERG</t>
        </is>
      </c>
      <c r="G671" t="n">
        <v>0.5</v>
      </c>
      <c r="H671" t="n">
        <v>0</v>
      </c>
      <c r="I671" t="n">
        <v>0</v>
      </c>
      <c r="J671" t="n">
        <v>0</v>
      </c>
      <c r="K671" t="n">
        <v>0</v>
      </c>
      <c r="L671" t="n">
        <v>0</v>
      </c>
      <c r="M671" t="n">
        <v>0</v>
      </c>
      <c r="N671" t="n">
        <v>0</v>
      </c>
      <c r="O671" t="n">
        <v>0</v>
      </c>
      <c r="P671" t="n">
        <v>0</v>
      </c>
      <c r="Q671" t="n">
        <v>0</v>
      </c>
      <c r="R671" s="2" t="inlineStr"/>
    </row>
    <row r="672" ht="15" customHeight="1">
      <c r="A672" t="inlineStr">
        <is>
          <t>A 33427-2024</t>
        </is>
      </c>
      <c r="B672" s="1" t="n">
        <v>45519.52232638889</v>
      </c>
      <c r="C672" s="1" t="n">
        <v>46190</v>
      </c>
      <c r="D672" t="inlineStr">
        <is>
          <t>ÖREBRO LÄN</t>
        </is>
      </c>
      <c r="E672" t="inlineStr">
        <is>
          <t>LINDESBERG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14034-2026</t>
        </is>
      </c>
      <c r="B673" s="1" t="n">
        <v>46098.79559027778</v>
      </c>
      <c r="C673" s="1" t="n">
        <v>46190</v>
      </c>
      <c r="D673" t="inlineStr">
        <is>
          <t>ÖREBRO LÄN</t>
        </is>
      </c>
      <c r="E673" t="inlineStr">
        <is>
          <t>LINDESBERG</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29894-2023</t>
        </is>
      </c>
      <c r="B674" s="1" t="n">
        <v>45107</v>
      </c>
      <c r="C674" s="1" t="n">
        <v>46190</v>
      </c>
      <c r="D674" t="inlineStr">
        <is>
          <t>ÖREBRO LÄN</t>
        </is>
      </c>
      <c r="E674" t="inlineStr">
        <is>
          <t>LINDESBERG</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15050-2026</t>
        </is>
      </c>
      <c r="B675" s="1" t="n">
        <v>46104.67331018519</v>
      </c>
      <c r="C675" s="1" t="n">
        <v>46190</v>
      </c>
      <c r="D675" t="inlineStr">
        <is>
          <t>ÖREBRO LÄN</t>
        </is>
      </c>
      <c r="E675" t="inlineStr">
        <is>
          <t>LINDESBERG</t>
        </is>
      </c>
      <c r="F675" t="inlineStr">
        <is>
          <t>Sveaskog</t>
        </is>
      </c>
      <c r="G675" t="n">
        <v>2.9</v>
      </c>
      <c r="H675" t="n">
        <v>0</v>
      </c>
      <c r="I675" t="n">
        <v>0</v>
      </c>
      <c r="J675" t="n">
        <v>0</v>
      </c>
      <c r="K675" t="n">
        <v>0</v>
      </c>
      <c r="L675" t="n">
        <v>0</v>
      </c>
      <c r="M675" t="n">
        <v>0</v>
      </c>
      <c r="N675" t="n">
        <v>0</v>
      </c>
      <c r="O675" t="n">
        <v>0</v>
      </c>
      <c r="P675" t="n">
        <v>0</v>
      </c>
      <c r="Q675" t="n">
        <v>0</v>
      </c>
      <c r="R675" s="2" t="inlineStr"/>
    </row>
    <row r="676" ht="15" customHeight="1">
      <c r="A676" t="inlineStr">
        <is>
          <t>A 14680-2026</t>
        </is>
      </c>
      <c r="B676" s="1" t="n">
        <v>46101.48212962963</v>
      </c>
      <c r="C676" s="1" t="n">
        <v>46190</v>
      </c>
      <c r="D676" t="inlineStr">
        <is>
          <t>ÖREBRO LÄN</t>
        </is>
      </c>
      <c r="E676" t="inlineStr">
        <is>
          <t>LINDESBERG</t>
        </is>
      </c>
      <c r="G676" t="n">
        <v>1</v>
      </c>
      <c r="H676" t="n">
        <v>0</v>
      </c>
      <c r="I676" t="n">
        <v>0</v>
      </c>
      <c r="J676" t="n">
        <v>0</v>
      </c>
      <c r="K676" t="n">
        <v>0</v>
      </c>
      <c r="L676" t="n">
        <v>0</v>
      </c>
      <c r="M676" t="n">
        <v>0</v>
      </c>
      <c r="N676" t="n">
        <v>0</v>
      </c>
      <c r="O676" t="n">
        <v>0</v>
      </c>
      <c r="P676" t="n">
        <v>0</v>
      </c>
      <c r="Q676" t="n">
        <v>0</v>
      </c>
      <c r="R676" s="2" t="inlineStr"/>
    </row>
    <row r="677" ht="15" customHeight="1">
      <c r="A677" t="inlineStr">
        <is>
          <t>A 40306-2022</t>
        </is>
      </c>
      <c r="B677" s="1" t="n">
        <v>44822</v>
      </c>
      <c r="C677" s="1" t="n">
        <v>46190</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63668-2023</t>
        </is>
      </c>
      <c r="B678" s="1" t="n">
        <v>45274</v>
      </c>
      <c r="C678" s="1" t="n">
        <v>46190</v>
      </c>
      <c r="D678" t="inlineStr">
        <is>
          <t>ÖREBRO LÄN</t>
        </is>
      </c>
      <c r="E678" t="inlineStr">
        <is>
          <t>LINDESBERG</t>
        </is>
      </c>
      <c r="G678" t="n">
        <v>0.7</v>
      </c>
      <c r="H678" t="n">
        <v>0</v>
      </c>
      <c r="I678" t="n">
        <v>0</v>
      </c>
      <c r="J678" t="n">
        <v>0</v>
      </c>
      <c r="K678" t="n">
        <v>0</v>
      </c>
      <c r="L678" t="n">
        <v>0</v>
      </c>
      <c r="M678" t="n">
        <v>0</v>
      </c>
      <c r="N678" t="n">
        <v>0</v>
      </c>
      <c r="O678" t="n">
        <v>0</v>
      </c>
      <c r="P678" t="n">
        <v>0</v>
      </c>
      <c r="Q678" t="n">
        <v>0</v>
      </c>
      <c r="R678" s="2" t="inlineStr"/>
    </row>
    <row r="679" ht="15" customHeight="1">
      <c r="A679" t="inlineStr">
        <is>
          <t>A 44675-2021</t>
        </is>
      </c>
      <c r="B679" s="1" t="n">
        <v>44438</v>
      </c>
      <c r="C679" s="1" t="n">
        <v>46190</v>
      </c>
      <c r="D679" t="inlineStr">
        <is>
          <t>ÖREBRO LÄN</t>
        </is>
      </c>
      <c r="E679" t="inlineStr">
        <is>
          <t>LINDESBERG</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16092-2026</t>
        </is>
      </c>
      <c r="B680" s="1" t="n">
        <v>46108</v>
      </c>
      <c r="C680" s="1" t="n">
        <v>46190</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59633-2023</t>
        </is>
      </c>
      <c r="B681" s="1" t="n">
        <v>45254</v>
      </c>
      <c r="C681" s="1" t="n">
        <v>46190</v>
      </c>
      <c r="D681" t="inlineStr">
        <is>
          <t>ÖREBRO LÄN</t>
        </is>
      </c>
      <c r="E681" t="inlineStr">
        <is>
          <t>LINDESBERG</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21796-2026</t>
        </is>
      </c>
      <c r="B682" s="1" t="n">
        <v>46150.42483796296</v>
      </c>
      <c r="C682" s="1" t="n">
        <v>46190</v>
      </c>
      <c r="D682" t="inlineStr">
        <is>
          <t>ÖREBRO LÄN</t>
        </is>
      </c>
      <c r="E682" t="inlineStr">
        <is>
          <t>LINDESBERG</t>
        </is>
      </c>
      <c r="F682" t="inlineStr">
        <is>
          <t>Naturvårdsverket</t>
        </is>
      </c>
      <c r="G682" t="n">
        <v>5.1</v>
      </c>
      <c r="H682" t="n">
        <v>0</v>
      </c>
      <c r="I682" t="n">
        <v>0</v>
      </c>
      <c r="J682" t="n">
        <v>0</v>
      </c>
      <c r="K682" t="n">
        <v>0</v>
      </c>
      <c r="L682" t="n">
        <v>0</v>
      </c>
      <c r="M682" t="n">
        <v>0</v>
      </c>
      <c r="N682" t="n">
        <v>0</v>
      </c>
      <c r="O682" t="n">
        <v>0</v>
      </c>
      <c r="P682" t="n">
        <v>0</v>
      </c>
      <c r="Q682" t="n">
        <v>0</v>
      </c>
      <c r="R682" s="2" t="inlineStr"/>
    </row>
    <row r="683" ht="15" customHeight="1">
      <c r="A683" t="inlineStr">
        <is>
          <t>A 13416-2025</t>
        </is>
      </c>
      <c r="B683" s="1" t="n">
        <v>45736.308125</v>
      </c>
      <c r="C683" s="1" t="n">
        <v>46190</v>
      </c>
      <c r="D683" t="inlineStr">
        <is>
          <t>ÖREBRO LÄN</t>
        </is>
      </c>
      <c r="E683" t="inlineStr">
        <is>
          <t>LINDESBERG</t>
        </is>
      </c>
      <c r="G683" t="n">
        <v>2.2</v>
      </c>
      <c r="H683" t="n">
        <v>0</v>
      </c>
      <c r="I683" t="n">
        <v>0</v>
      </c>
      <c r="J683" t="n">
        <v>0</v>
      </c>
      <c r="K683" t="n">
        <v>0</v>
      </c>
      <c r="L683" t="n">
        <v>0</v>
      </c>
      <c r="M683" t="n">
        <v>0</v>
      </c>
      <c r="N683" t="n">
        <v>0</v>
      </c>
      <c r="O683" t="n">
        <v>0</v>
      </c>
      <c r="P683" t="n">
        <v>0</v>
      </c>
      <c r="Q683" t="n">
        <v>0</v>
      </c>
      <c r="R683" s="2" t="inlineStr"/>
    </row>
    <row r="684" ht="15" customHeight="1">
      <c r="A684" t="inlineStr">
        <is>
          <t>A 16090-2026</t>
        </is>
      </c>
      <c r="B684" s="1" t="n">
        <v>46108</v>
      </c>
      <c r="C684" s="1" t="n">
        <v>46190</v>
      </c>
      <c r="D684" t="inlineStr">
        <is>
          <t>ÖREBRO LÄN</t>
        </is>
      </c>
      <c r="E684" t="inlineStr">
        <is>
          <t>LINDESBERG</t>
        </is>
      </c>
      <c r="G684" t="n">
        <v>4</v>
      </c>
      <c r="H684" t="n">
        <v>0</v>
      </c>
      <c r="I684" t="n">
        <v>0</v>
      </c>
      <c r="J684" t="n">
        <v>0</v>
      </c>
      <c r="K684" t="n">
        <v>0</v>
      </c>
      <c r="L684" t="n">
        <v>0</v>
      </c>
      <c r="M684" t="n">
        <v>0</v>
      </c>
      <c r="N684" t="n">
        <v>0</v>
      </c>
      <c r="O684" t="n">
        <v>0</v>
      </c>
      <c r="P684" t="n">
        <v>0</v>
      </c>
      <c r="Q684" t="n">
        <v>0</v>
      </c>
      <c r="R684" s="2" t="inlineStr"/>
    </row>
    <row r="685" ht="15" customHeight="1">
      <c r="A685" t="inlineStr">
        <is>
          <t>A 16094-2026</t>
        </is>
      </c>
      <c r="B685" s="1" t="n">
        <v>46108</v>
      </c>
      <c r="C685" s="1" t="n">
        <v>46190</v>
      </c>
      <c r="D685" t="inlineStr">
        <is>
          <t>ÖREBRO LÄN</t>
        </is>
      </c>
      <c r="E685" t="inlineStr">
        <is>
          <t>LINDESBERG</t>
        </is>
      </c>
      <c r="G685" t="n">
        <v>3.9</v>
      </c>
      <c r="H685" t="n">
        <v>0</v>
      </c>
      <c r="I685" t="n">
        <v>0</v>
      </c>
      <c r="J685" t="n">
        <v>0</v>
      </c>
      <c r="K685" t="n">
        <v>0</v>
      </c>
      <c r="L685" t="n">
        <v>0</v>
      </c>
      <c r="M685" t="n">
        <v>0</v>
      </c>
      <c r="N685" t="n">
        <v>0</v>
      </c>
      <c r="O685" t="n">
        <v>0</v>
      </c>
      <c r="P685" t="n">
        <v>0</v>
      </c>
      <c r="Q685" t="n">
        <v>0</v>
      </c>
      <c r="R685" s="2" t="inlineStr"/>
    </row>
    <row r="686" ht="15" customHeight="1">
      <c r="A686" t="inlineStr">
        <is>
          <t>A 27051-2023</t>
        </is>
      </c>
      <c r="B686" s="1" t="n">
        <v>45095</v>
      </c>
      <c r="C686" s="1" t="n">
        <v>46190</v>
      </c>
      <c r="D686" t="inlineStr">
        <is>
          <t>ÖREBRO LÄN</t>
        </is>
      </c>
      <c r="E686" t="inlineStr">
        <is>
          <t>LINDESBERG</t>
        </is>
      </c>
      <c r="G686" t="n">
        <v>1.4</v>
      </c>
      <c r="H686" t="n">
        <v>0</v>
      </c>
      <c r="I686" t="n">
        <v>0</v>
      </c>
      <c r="J686" t="n">
        <v>0</v>
      </c>
      <c r="K686" t="n">
        <v>0</v>
      </c>
      <c r="L686" t="n">
        <v>0</v>
      </c>
      <c r="M686" t="n">
        <v>0</v>
      </c>
      <c r="N686" t="n">
        <v>0</v>
      </c>
      <c r="O686" t="n">
        <v>0</v>
      </c>
      <c r="P686" t="n">
        <v>0</v>
      </c>
      <c r="Q686" t="n">
        <v>0</v>
      </c>
      <c r="R686" s="2" t="inlineStr"/>
    </row>
    <row r="687" ht="15" customHeight="1">
      <c r="A687" t="inlineStr">
        <is>
          <t>A 43801-2024</t>
        </is>
      </c>
      <c r="B687" s="1" t="n">
        <v>45571.71736111111</v>
      </c>
      <c r="C687" s="1" t="n">
        <v>46190</v>
      </c>
      <c r="D687" t="inlineStr">
        <is>
          <t>ÖREBRO LÄN</t>
        </is>
      </c>
      <c r="E687" t="inlineStr">
        <is>
          <t>LINDESBERG</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45072-2024</t>
        </is>
      </c>
      <c r="B688" s="1" t="n">
        <v>45575.56686342593</v>
      </c>
      <c r="C688" s="1" t="n">
        <v>46190</v>
      </c>
      <c r="D688" t="inlineStr">
        <is>
          <t>ÖREBRO LÄN</t>
        </is>
      </c>
      <c r="E688" t="inlineStr">
        <is>
          <t>LINDESBERG</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21871-2026</t>
        </is>
      </c>
      <c r="B689" s="1" t="n">
        <v>46150.58001157407</v>
      </c>
      <c r="C689" s="1" t="n">
        <v>46190</v>
      </c>
      <c r="D689" t="inlineStr">
        <is>
          <t>ÖREBRO LÄN</t>
        </is>
      </c>
      <c r="E689" t="inlineStr">
        <is>
          <t>LINDESBERG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45075-2024</t>
        </is>
      </c>
      <c r="B690" s="1" t="n">
        <v>45575.56820601852</v>
      </c>
      <c r="C690" s="1" t="n">
        <v>46190</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61405-2022</t>
        </is>
      </c>
      <c r="B691" s="1" t="n">
        <v>44916</v>
      </c>
      <c r="C691" s="1" t="n">
        <v>46190</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40563-2023</t>
        </is>
      </c>
      <c r="B692" s="1" t="n">
        <v>45170.45921296296</v>
      </c>
      <c r="C692" s="1" t="n">
        <v>46190</v>
      </c>
      <c r="D692" t="inlineStr">
        <is>
          <t>ÖREBRO LÄN</t>
        </is>
      </c>
      <c r="E692" t="inlineStr">
        <is>
          <t>LINDESBERG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38613-2024</t>
        </is>
      </c>
      <c r="B693" s="1" t="n">
        <v>45546.68743055555</v>
      </c>
      <c r="C693" s="1" t="n">
        <v>46190</v>
      </c>
      <c r="D693" t="inlineStr">
        <is>
          <t>ÖREBRO LÄN</t>
        </is>
      </c>
      <c r="E693" t="inlineStr">
        <is>
          <t>LINDESBERG</t>
        </is>
      </c>
      <c r="F693" t="inlineStr">
        <is>
          <t>Kyrkan</t>
        </is>
      </c>
      <c r="G693" t="n">
        <v>1.6</v>
      </c>
      <c r="H693" t="n">
        <v>0</v>
      </c>
      <c r="I693" t="n">
        <v>0</v>
      </c>
      <c r="J693" t="n">
        <v>0</v>
      </c>
      <c r="K693" t="n">
        <v>0</v>
      </c>
      <c r="L693" t="n">
        <v>0</v>
      </c>
      <c r="M693" t="n">
        <v>0</v>
      </c>
      <c r="N693" t="n">
        <v>0</v>
      </c>
      <c r="O693" t="n">
        <v>0</v>
      </c>
      <c r="P693" t="n">
        <v>0</v>
      </c>
      <c r="Q693" t="n">
        <v>0</v>
      </c>
      <c r="R693" s="2" t="inlineStr"/>
    </row>
    <row r="694" ht="15" customHeight="1">
      <c r="A694" t="inlineStr">
        <is>
          <t>A 49358-2023</t>
        </is>
      </c>
      <c r="B694" s="1" t="n">
        <v>45211</v>
      </c>
      <c r="C694" s="1" t="n">
        <v>46190</v>
      </c>
      <c r="D694" t="inlineStr">
        <is>
          <t>ÖREBRO LÄN</t>
        </is>
      </c>
      <c r="E694" t="inlineStr">
        <is>
          <t>LINDESBERG</t>
        </is>
      </c>
      <c r="F694" t="inlineStr">
        <is>
          <t>Sveaskog</t>
        </is>
      </c>
      <c r="G694" t="n">
        <v>4.7</v>
      </c>
      <c r="H694" t="n">
        <v>0</v>
      </c>
      <c r="I694" t="n">
        <v>0</v>
      </c>
      <c r="J694" t="n">
        <v>0</v>
      </c>
      <c r="K694" t="n">
        <v>0</v>
      </c>
      <c r="L694" t="n">
        <v>0</v>
      </c>
      <c r="M694" t="n">
        <v>0</v>
      </c>
      <c r="N694" t="n">
        <v>0</v>
      </c>
      <c r="O694" t="n">
        <v>0</v>
      </c>
      <c r="P694" t="n">
        <v>0</v>
      </c>
      <c r="Q694" t="n">
        <v>0</v>
      </c>
      <c r="R694" s="2" t="inlineStr"/>
    </row>
    <row r="695" ht="15" customHeight="1">
      <c r="A695" t="inlineStr">
        <is>
          <t>A 17010-2026</t>
        </is>
      </c>
      <c r="B695" s="1" t="n">
        <v>46114</v>
      </c>
      <c r="C695" s="1" t="n">
        <v>46190</v>
      </c>
      <c r="D695" t="inlineStr">
        <is>
          <t>ÖREBRO LÄN</t>
        </is>
      </c>
      <c r="E695" t="inlineStr">
        <is>
          <t>LINDESBERG</t>
        </is>
      </c>
      <c r="G695" t="n">
        <v>3.7</v>
      </c>
      <c r="H695" t="n">
        <v>0</v>
      </c>
      <c r="I695" t="n">
        <v>0</v>
      </c>
      <c r="J695" t="n">
        <v>0</v>
      </c>
      <c r="K695" t="n">
        <v>0</v>
      </c>
      <c r="L695" t="n">
        <v>0</v>
      </c>
      <c r="M695" t="n">
        <v>0</v>
      </c>
      <c r="N695" t="n">
        <v>0</v>
      </c>
      <c r="O695" t="n">
        <v>0</v>
      </c>
      <c r="P695" t="n">
        <v>0</v>
      </c>
      <c r="Q695" t="n">
        <v>0</v>
      </c>
      <c r="R695" s="2" t="inlineStr"/>
    </row>
    <row r="696" ht="15" customHeight="1">
      <c r="A696" t="inlineStr">
        <is>
          <t>A 16812-2026</t>
        </is>
      </c>
      <c r="B696" s="1" t="n">
        <v>46113.49563657407</v>
      </c>
      <c r="C696" s="1" t="n">
        <v>46190</v>
      </c>
      <c r="D696" t="inlineStr">
        <is>
          <t>ÖREBRO LÄN</t>
        </is>
      </c>
      <c r="E696" t="inlineStr">
        <is>
          <t>LINDESBERG</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72331-2021</t>
        </is>
      </c>
      <c r="B697" s="1" t="n">
        <v>44544</v>
      </c>
      <c r="C697" s="1" t="n">
        <v>46190</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17013-2026</t>
        </is>
      </c>
      <c r="B698" s="1" t="n">
        <v>46114</v>
      </c>
      <c r="C698" s="1" t="n">
        <v>46190</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3026-2026</t>
        </is>
      </c>
      <c r="B699" s="1" t="n">
        <v>46038</v>
      </c>
      <c r="C699" s="1" t="n">
        <v>46190</v>
      </c>
      <c r="D699" t="inlineStr">
        <is>
          <t>ÖREBRO LÄN</t>
        </is>
      </c>
      <c r="E699" t="inlineStr">
        <is>
          <t>LINDESBERG</t>
        </is>
      </c>
      <c r="G699" t="n">
        <v>10.3</v>
      </c>
      <c r="H699" t="n">
        <v>0</v>
      </c>
      <c r="I699" t="n">
        <v>0</v>
      </c>
      <c r="J699" t="n">
        <v>0</v>
      </c>
      <c r="K699" t="n">
        <v>0</v>
      </c>
      <c r="L699" t="n">
        <v>0</v>
      </c>
      <c r="M699" t="n">
        <v>0</v>
      </c>
      <c r="N699" t="n">
        <v>0</v>
      </c>
      <c r="O699" t="n">
        <v>0</v>
      </c>
      <c r="P699" t="n">
        <v>0</v>
      </c>
      <c r="Q699" t="n">
        <v>0</v>
      </c>
      <c r="R699" s="2" t="inlineStr"/>
    </row>
    <row r="700" ht="15" customHeight="1">
      <c r="A700" t="inlineStr">
        <is>
          <t>A 54663-2021</t>
        </is>
      </c>
      <c r="B700" s="1" t="n">
        <v>44473.6343287037</v>
      </c>
      <c r="C700" s="1" t="n">
        <v>46190</v>
      </c>
      <c r="D700" t="inlineStr">
        <is>
          <t>ÖREBRO LÄN</t>
        </is>
      </c>
      <c r="E700" t="inlineStr">
        <is>
          <t>LINDESBERG</t>
        </is>
      </c>
      <c r="G700" t="n">
        <v>1.2</v>
      </c>
      <c r="H700" t="n">
        <v>0</v>
      </c>
      <c r="I700" t="n">
        <v>0</v>
      </c>
      <c r="J700" t="n">
        <v>0</v>
      </c>
      <c r="K700" t="n">
        <v>0</v>
      </c>
      <c r="L700" t="n">
        <v>0</v>
      </c>
      <c r="M700" t="n">
        <v>0</v>
      </c>
      <c r="N700" t="n">
        <v>0</v>
      </c>
      <c r="O700" t="n">
        <v>0</v>
      </c>
      <c r="P700" t="n">
        <v>0</v>
      </c>
      <c r="Q700" t="n">
        <v>0</v>
      </c>
      <c r="R700" s="2" t="inlineStr"/>
    </row>
    <row r="701" ht="15" customHeight="1">
      <c r="A701" t="inlineStr">
        <is>
          <t>A 22745-2026</t>
        </is>
      </c>
      <c r="B701" s="1" t="n">
        <v>46157.4291087963</v>
      </c>
      <c r="C701" s="1" t="n">
        <v>46190</v>
      </c>
      <c r="D701" t="inlineStr">
        <is>
          <t>ÖREBRO LÄN</t>
        </is>
      </c>
      <c r="E701" t="inlineStr">
        <is>
          <t>LINDESBERG</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22752-2026</t>
        </is>
      </c>
      <c r="B702" s="1" t="n">
        <v>46157.44695601852</v>
      </c>
      <c r="C702" s="1" t="n">
        <v>46190</v>
      </c>
      <c r="D702" t="inlineStr">
        <is>
          <t>ÖREBRO LÄN</t>
        </is>
      </c>
      <c r="E702" t="inlineStr">
        <is>
          <t>LINDESBERG</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22748-2026</t>
        </is>
      </c>
      <c r="B703" s="1" t="n">
        <v>46157.43287037037</v>
      </c>
      <c r="C703" s="1" t="n">
        <v>46190</v>
      </c>
      <c r="D703" t="inlineStr">
        <is>
          <t>ÖREBRO LÄN</t>
        </is>
      </c>
      <c r="E703" t="inlineStr">
        <is>
          <t>LINDESBERG</t>
        </is>
      </c>
      <c r="G703" t="n">
        <v>3.1</v>
      </c>
      <c r="H703" t="n">
        <v>0</v>
      </c>
      <c r="I703" t="n">
        <v>0</v>
      </c>
      <c r="J703" t="n">
        <v>0</v>
      </c>
      <c r="K703" t="n">
        <v>0</v>
      </c>
      <c r="L703" t="n">
        <v>0</v>
      </c>
      <c r="M703" t="n">
        <v>0</v>
      </c>
      <c r="N703" t="n">
        <v>0</v>
      </c>
      <c r="O703" t="n">
        <v>0</v>
      </c>
      <c r="P703" t="n">
        <v>0</v>
      </c>
      <c r="Q703" t="n">
        <v>0</v>
      </c>
      <c r="R703" s="2" t="inlineStr"/>
    </row>
    <row r="704" ht="15" customHeight="1">
      <c r="A704" t="inlineStr">
        <is>
          <t>A 22747-2026</t>
        </is>
      </c>
      <c r="B704" s="1" t="n">
        <v>46157.43127314815</v>
      </c>
      <c r="C704" s="1" t="n">
        <v>46190</v>
      </c>
      <c r="D704" t="inlineStr">
        <is>
          <t>ÖREBRO LÄN</t>
        </is>
      </c>
      <c r="E704" t="inlineStr">
        <is>
          <t>LINDESBERG</t>
        </is>
      </c>
      <c r="G704" t="n">
        <v>4.4</v>
      </c>
      <c r="H704" t="n">
        <v>0</v>
      </c>
      <c r="I704" t="n">
        <v>0</v>
      </c>
      <c r="J704" t="n">
        <v>0</v>
      </c>
      <c r="K704" t="n">
        <v>0</v>
      </c>
      <c r="L704" t="n">
        <v>0</v>
      </c>
      <c r="M704" t="n">
        <v>0</v>
      </c>
      <c r="N704" t="n">
        <v>0</v>
      </c>
      <c r="O704" t="n">
        <v>0</v>
      </c>
      <c r="P704" t="n">
        <v>0</v>
      </c>
      <c r="Q704" t="n">
        <v>0</v>
      </c>
      <c r="R704" s="2" t="inlineStr"/>
    </row>
    <row r="705" ht="15" customHeight="1">
      <c r="A705" t="inlineStr">
        <is>
          <t>A 17158-2026</t>
        </is>
      </c>
      <c r="B705" s="1" t="n">
        <v>46115.55826388889</v>
      </c>
      <c r="C705" s="1" t="n">
        <v>46190</v>
      </c>
      <c r="D705" t="inlineStr">
        <is>
          <t>ÖREBRO LÄN</t>
        </is>
      </c>
      <c r="E705" t="inlineStr">
        <is>
          <t>LINDESBERG</t>
        </is>
      </c>
      <c r="G705" t="n">
        <v>7.8</v>
      </c>
      <c r="H705" t="n">
        <v>0</v>
      </c>
      <c r="I705" t="n">
        <v>0</v>
      </c>
      <c r="J705" t="n">
        <v>0</v>
      </c>
      <c r="K705" t="n">
        <v>0</v>
      </c>
      <c r="L705" t="n">
        <v>0</v>
      </c>
      <c r="M705" t="n">
        <v>0</v>
      </c>
      <c r="N705" t="n">
        <v>0</v>
      </c>
      <c r="O705" t="n">
        <v>0</v>
      </c>
      <c r="P705" t="n">
        <v>0</v>
      </c>
      <c r="Q705" t="n">
        <v>0</v>
      </c>
      <c r="R705" s="2" t="inlineStr"/>
    </row>
    <row r="706" ht="15" customHeight="1">
      <c r="A706" t="inlineStr">
        <is>
          <t>A 57795-2021</t>
        </is>
      </c>
      <c r="B706" s="1" t="n">
        <v>44484</v>
      </c>
      <c r="C706" s="1" t="n">
        <v>46190</v>
      </c>
      <c r="D706" t="inlineStr">
        <is>
          <t>ÖREBRO LÄN</t>
        </is>
      </c>
      <c r="E706" t="inlineStr">
        <is>
          <t>LINDESBERG</t>
        </is>
      </c>
      <c r="G706" t="n">
        <v>39.4</v>
      </c>
      <c r="H706" t="n">
        <v>0</v>
      </c>
      <c r="I706" t="n">
        <v>0</v>
      </c>
      <c r="J706" t="n">
        <v>0</v>
      </c>
      <c r="K706" t="n">
        <v>0</v>
      </c>
      <c r="L706" t="n">
        <v>0</v>
      </c>
      <c r="M706" t="n">
        <v>0</v>
      </c>
      <c r="N706" t="n">
        <v>0</v>
      </c>
      <c r="O706" t="n">
        <v>0</v>
      </c>
      <c r="P706" t="n">
        <v>0</v>
      </c>
      <c r="Q706" t="n">
        <v>0</v>
      </c>
      <c r="R706" s="2" t="inlineStr"/>
    </row>
    <row r="707" ht="15" customHeight="1">
      <c r="A707" t="inlineStr">
        <is>
          <t>A 27031-2024</t>
        </is>
      </c>
      <c r="B707" s="1" t="n">
        <v>45471.42659722222</v>
      </c>
      <c r="C707" s="1" t="n">
        <v>46190</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22861-2026</t>
        </is>
      </c>
      <c r="B708" s="1" t="n">
        <v>46160.4221412037</v>
      </c>
      <c r="C708" s="1" t="n">
        <v>46190</v>
      </c>
      <c r="D708" t="inlineStr">
        <is>
          <t>ÖREBRO LÄN</t>
        </is>
      </c>
      <c r="E708" t="inlineStr">
        <is>
          <t>LINDESBERG</t>
        </is>
      </c>
      <c r="G708" t="n">
        <v>2.3</v>
      </c>
      <c r="H708" t="n">
        <v>0</v>
      </c>
      <c r="I708" t="n">
        <v>0</v>
      </c>
      <c r="J708" t="n">
        <v>0</v>
      </c>
      <c r="K708" t="n">
        <v>0</v>
      </c>
      <c r="L708" t="n">
        <v>0</v>
      </c>
      <c r="M708" t="n">
        <v>0</v>
      </c>
      <c r="N708" t="n">
        <v>0</v>
      </c>
      <c r="O708" t="n">
        <v>0</v>
      </c>
      <c r="P708" t="n">
        <v>0</v>
      </c>
      <c r="Q708" t="n">
        <v>0</v>
      </c>
      <c r="R708" s="2" t="inlineStr"/>
    </row>
    <row r="709" ht="15" customHeight="1">
      <c r="A709" t="inlineStr">
        <is>
          <t>A 22862-2026</t>
        </is>
      </c>
      <c r="B709" s="1" t="n">
        <v>46160.42400462963</v>
      </c>
      <c r="C709" s="1" t="n">
        <v>46190</v>
      </c>
      <c r="D709" t="inlineStr">
        <is>
          <t>ÖREBRO LÄN</t>
        </is>
      </c>
      <c r="E709" t="inlineStr">
        <is>
          <t>LINDESBERG</t>
        </is>
      </c>
      <c r="G709" t="n">
        <v>2.2</v>
      </c>
      <c r="H709" t="n">
        <v>0</v>
      </c>
      <c r="I709" t="n">
        <v>0</v>
      </c>
      <c r="J709" t="n">
        <v>0</v>
      </c>
      <c r="K709" t="n">
        <v>0</v>
      </c>
      <c r="L709" t="n">
        <v>0</v>
      </c>
      <c r="M709" t="n">
        <v>0</v>
      </c>
      <c r="N709" t="n">
        <v>0</v>
      </c>
      <c r="O709" t="n">
        <v>0</v>
      </c>
      <c r="P709" t="n">
        <v>0</v>
      </c>
      <c r="Q709" t="n">
        <v>0</v>
      </c>
      <c r="R709" s="2" t="inlineStr"/>
    </row>
    <row r="710" ht="15" customHeight="1">
      <c r="A710" t="inlineStr">
        <is>
          <t>A 17154-2026</t>
        </is>
      </c>
      <c r="B710" s="1" t="n">
        <v>46115.49298611111</v>
      </c>
      <c r="C710" s="1" t="n">
        <v>46190</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17157-2026</t>
        </is>
      </c>
      <c r="B711" s="1" t="n">
        <v>46115.52068287037</v>
      </c>
      <c r="C711" s="1" t="n">
        <v>46190</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17159-2026</t>
        </is>
      </c>
      <c r="B712" s="1" t="n">
        <v>46115.57298611111</v>
      </c>
      <c r="C712" s="1" t="n">
        <v>46190</v>
      </c>
      <c r="D712" t="inlineStr">
        <is>
          <t>ÖREBRO LÄN</t>
        </is>
      </c>
      <c r="E712" t="inlineStr">
        <is>
          <t>LINDESBERG</t>
        </is>
      </c>
      <c r="G712" t="n">
        <v>1.5</v>
      </c>
      <c r="H712" t="n">
        <v>0</v>
      </c>
      <c r="I712" t="n">
        <v>0</v>
      </c>
      <c r="J712" t="n">
        <v>0</v>
      </c>
      <c r="K712" t="n">
        <v>0</v>
      </c>
      <c r="L712" t="n">
        <v>0</v>
      </c>
      <c r="M712" t="n">
        <v>0</v>
      </c>
      <c r="N712" t="n">
        <v>0</v>
      </c>
      <c r="O712" t="n">
        <v>0</v>
      </c>
      <c r="P712" t="n">
        <v>0</v>
      </c>
      <c r="Q712" t="n">
        <v>0</v>
      </c>
      <c r="R712" s="2" t="inlineStr"/>
    </row>
    <row r="713" ht="15" customHeight="1">
      <c r="A713" t="inlineStr">
        <is>
          <t>A 17155-2026</t>
        </is>
      </c>
      <c r="B713" s="1" t="n">
        <v>46115.50295138889</v>
      </c>
      <c r="C713" s="1" t="n">
        <v>46190</v>
      </c>
      <c r="D713" t="inlineStr">
        <is>
          <t>ÖREBRO LÄN</t>
        </is>
      </c>
      <c r="E713" t="inlineStr">
        <is>
          <t>LINDESBERG</t>
        </is>
      </c>
      <c r="G713" t="n">
        <v>1.4</v>
      </c>
      <c r="H713" t="n">
        <v>0</v>
      </c>
      <c r="I713" t="n">
        <v>0</v>
      </c>
      <c r="J713" t="n">
        <v>0</v>
      </c>
      <c r="K713" t="n">
        <v>0</v>
      </c>
      <c r="L713" t="n">
        <v>0</v>
      </c>
      <c r="M713" t="n">
        <v>0</v>
      </c>
      <c r="N713" t="n">
        <v>0</v>
      </c>
      <c r="O713" t="n">
        <v>0</v>
      </c>
      <c r="P713" t="n">
        <v>0</v>
      </c>
      <c r="Q713" t="n">
        <v>0</v>
      </c>
      <c r="R713" s="2" t="inlineStr"/>
    </row>
    <row r="714" ht="15" customHeight="1">
      <c r="A714" t="inlineStr">
        <is>
          <t>A 17156-2026</t>
        </is>
      </c>
      <c r="B714" s="1" t="n">
        <v>46115.51194444444</v>
      </c>
      <c r="C714" s="1" t="n">
        <v>46190</v>
      </c>
      <c r="D714" t="inlineStr">
        <is>
          <t>ÖREBRO LÄN</t>
        </is>
      </c>
      <c r="E714" t="inlineStr">
        <is>
          <t>LINDESBERG</t>
        </is>
      </c>
      <c r="G714" t="n">
        <v>2.2</v>
      </c>
      <c r="H714" t="n">
        <v>0</v>
      </c>
      <c r="I714" t="n">
        <v>0</v>
      </c>
      <c r="J714" t="n">
        <v>0</v>
      </c>
      <c r="K714" t="n">
        <v>0</v>
      </c>
      <c r="L714" t="n">
        <v>0</v>
      </c>
      <c r="M714" t="n">
        <v>0</v>
      </c>
      <c r="N714" t="n">
        <v>0</v>
      </c>
      <c r="O714" t="n">
        <v>0</v>
      </c>
      <c r="P714" t="n">
        <v>0</v>
      </c>
      <c r="Q714" t="n">
        <v>0</v>
      </c>
      <c r="R714" s="2" t="inlineStr"/>
    </row>
    <row r="715" ht="15" customHeight="1">
      <c r="A715" t="inlineStr">
        <is>
          <t>A 17161-2026</t>
        </is>
      </c>
      <c r="B715" s="1" t="n">
        <v>46115.59534722222</v>
      </c>
      <c r="C715" s="1" t="n">
        <v>46190</v>
      </c>
      <c r="D715" t="inlineStr">
        <is>
          <t>ÖREBRO LÄN</t>
        </is>
      </c>
      <c r="E715" t="inlineStr">
        <is>
          <t>LINDESBERG</t>
        </is>
      </c>
      <c r="G715" t="n">
        <v>3.3</v>
      </c>
      <c r="H715" t="n">
        <v>0</v>
      </c>
      <c r="I715" t="n">
        <v>0</v>
      </c>
      <c r="J715" t="n">
        <v>0</v>
      </c>
      <c r="K715" t="n">
        <v>0</v>
      </c>
      <c r="L715" t="n">
        <v>0</v>
      </c>
      <c r="M715" t="n">
        <v>0</v>
      </c>
      <c r="N715" t="n">
        <v>0</v>
      </c>
      <c r="O715" t="n">
        <v>0</v>
      </c>
      <c r="P715" t="n">
        <v>0</v>
      </c>
      <c r="Q715" t="n">
        <v>0</v>
      </c>
      <c r="R715" s="2" t="inlineStr"/>
    </row>
    <row r="716" ht="15" customHeight="1">
      <c r="A716" t="inlineStr">
        <is>
          <t>A 17162-2026</t>
        </is>
      </c>
      <c r="B716" s="1" t="n">
        <v>46115.60453703703</v>
      </c>
      <c r="C716" s="1" t="n">
        <v>46190</v>
      </c>
      <c r="D716" t="inlineStr">
        <is>
          <t>ÖREBRO LÄN</t>
        </is>
      </c>
      <c r="E716" t="inlineStr">
        <is>
          <t>LINDESBERG</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23187-2026</t>
        </is>
      </c>
      <c r="B717" s="1" t="n">
        <v>46161.69637731482</v>
      </c>
      <c r="C717" s="1" t="n">
        <v>46190</v>
      </c>
      <c r="D717" t="inlineStr">
        <is>
          <t>ÖREBRO LÄN</t>
        </is>
      </c>
      <c r="E717" t="inlineStr">
        <is>
          <t>LINDESBERG</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23174-2026</t>
        </is>
      </c>
      <c r="B718" s="1" t="n">
        <v>46161.67359953704</v>
      </c>
      <c r="C718" s="1" t="n">
        <v>46190</v>
      </c>
      <c r="D718" t="inlineStr">
        <is>
          <t>ÖREBRO LÄN</t>
        </is>
      </c>
      <c r="E718" t="inlineStr">
        <is>
          <t>LINDESBERG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23393-2026</t>
        </is>
      </c>
      <c r="B719" s="1" t="n">
        <v>46162.67203703704</v>
      </c>
      <c r="C719" s="1" t="n">
        <v>46190</v>
      </c>
      <c r="D719" t="inlineStr">
        <is>
          <t>ÖREBRO LÄN</t>
        </is>
      </c>
      <c r="E719" t="inlineStr">
        <is>
          <t>LINDESBERG</t>
        </is>
      </c>
      <c r="F719" t="inlineStr">
        <is>
          <t>Naturvårdsverket</t>
        </is>
      </c>
      <c r="G719" t="n">
        <v>1.9</v>
      </c>
      <c r="H719" t="n">
        <v>0</v>
      </c>
      <c r="I719" t="n">
        <v>0</v>
      </c>
      <c r="J719" t="n">
        <v>0</v>
      </c>
      <c r="K719" t="n">
        <v>0</v>
      </c>
      <c r="L719" t="n">
        <v>0</v>
      </c>
      <c r="M719" t="n">
        <v>0</v>
      </c>
      <c r="N719" t="n">
        <v>0</v>
      </c>
      <c r="O719" t="n">
        <v>0</v>
      </c>
      <c r="P719" t="n">
        <v>0</v>
      </c>
      <c r="Q719" t="n">
        <v>0</v>
      </c>
      <c r="R719" s="2" t="inlineStr"/>
    </row>
    <row r="720" ht="15" customHeight="1">
      <c r="A720" t="inlineStr">
        <is>
          <t>A 23181-2026</t>
        </is>
      </c>
      <c r="B720" s="1" t="n">
        <v>46161.68100694445</v>
      </c>
      <c r="C720" s="1" t="n">
        <v>46190</v>
      </c>
      <c r="D720" t="inlineStr">
        <is>
          <t>ÖREBRO LÄN</t>
        </is>
      </c>
      <c r="E720" t="inlineStr">
        <is>
          <t>LINDESBERG</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23184-2026</t>
        </is>
      </c>
      <c r="B721" s="1" t="n">
        <v>46161.68303240741</v>
      </c>
      <c r="C721" s="1" t="n">
        <v>46190</v>
      </c>
      <c r="D721" t="inlineStr">
        <is>
          <t>ÖREBRO LÄN</t>
        </is>
      </c>
      <c r="E721" t="inlineStr">
        <is>
          <t>LINDESBERG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27130-2024</t>
        </is>
      </c>
      <c r="B722" s="1" t="n">
        <v>45471.52072916667</v>
      </c>
      <c r="C722" s="1" t="n">
        <v>46190</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23190-2026</t>
        </is>
      </c>
      <c r="B723" s="1" t="n">
        <v>46161.6995949074</v>
      </c>
      <c r="C723" s="1" t="n">
        <v>46190</v>
      </c>
      <c r="D723" t="inlineStr">
        <is>
          <t>ÖREBRO LÄN</t>
        </is>
      </c>
      <c r="E723" t="inlineStr">
        <is>
          <t>LINDESBERG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23191-2026</t>
        </is>
      </c>
      <c r="B724" s="1" t="n">
        <v>46161.70207175926</v>
      </c>
      <c r="C724" s="1" t="n">
        <v>46190</v>
      </c>
      <c r="D724" t="inlineStr">
        <is>
          <t>ÖREBRO LÄN</t>
        </is>
      </c>
      <c r="E724" t="inlineStr">
        <is>
          <t>LINDESBERG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23338-2026</t>
        </is>
      </c>
      <c r="B725" s="1" t="n">
        <v>46162.56407407407</v>
      </c>
      <c r="C725" s="1" t="n">
        <v>46190</v>
      </c>
      <c r="D725" t="inlineStr">
        <is>
          <t>ÖREBRO LÄN</t>
        </is>
      </c>
      <c r="E725" t="inlineStr">
        <is>
          <t>LINDESBERG</t>
        </is>
      </c>
      <c r="F725" t="inlineStr">
        <is>
          <t>Naturvårdsverket</t>
        </is>
      </c>
      <c r="G725" t="n">
        <v>2.2</v>
      </c>
      <c r="H725" t="n">
        <v>0</v>
      </c>
      <c r="I725" t="n">
        <v>0</v>
      </c>
      <c r="J725" t="n">
        <v>0</v>
      </c>
      <c r="K725" t="n">
        <v>0</v>
      </c>
      <c r="L725" t="n">
        <v>0</v>
      </c>
      <c r="M725" t="n">
        <v>0</v>
      </c>
      <c r="N725" t="n">
        <v>0</v>
      </c>
      <c r="O725" t="n">
        <v>0</v>
      </c>
      <c r="P725" t="n">
        <v>0</v>
      </c>
      <c r="Q725" t="n">
        <v>0</v>
      </c>
      <c r="R725" s="2" t="inlineStr"/>
    </row>
    <row r="726" ht="15" customHeight="1">
      <c r="A726" t="inlineStr">
        <is>
          <t>A 23173-2026</t>
        </is>
      </c>
      <c r="B726" s="1" t="n">
        <v>46161.67074074074</v>
      </c>
      <c r="C726" s="1" t="n">
        <v>46190</v>
      </c>
      <c r="D726" t="inlineStr">
        <is>
          <t>ÖREBRO LÄN</t>
        </is>
      </c>
      <c r="E726" t="inlineStr">
        <is>
          <t>LINDESBERG</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6161-2025</t>
        </is>
      </c>
      <c r="B727" s="1" t="n">
        <v>45698</v>
      </c>
      <c r="C727" s="1" t="n">
        <v>46190</v>
      </c>
      <c r="D727" t="inlineStr">
        <is>
          <t>ÖREBRO LÄN</t>
        </is>
      </c>
      <c r="E727" t="inlineStr">
        <is>
          <t>LINDESBERG</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6165-2025</t>
        </is>
      </c>
      <c r="B728" s="1" t="n">
        <v>45698</v>
      </c>
      <c r="C728" s="1" t="n">
        <v>46190</v>
      </c>
      <c r="D728" t="inlineStr">
        <is>
          <t>ÖREBRO LÄN</t>
        </is>
      </c>
      <c r="E728" t="inlineStr">
        <is>
          <t>LINDESBERG</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23180-2026</t>
        </is>
      </c>
      <c r="B729" s="1" t="n">
        <v>46161.67895833333</v>
      </c>
      <c r="C729" s="1" t="n">
        <v>46190</v>
      </c>
      <c r="D729" t="inlineStr">
        <is>
          <t>ÖREBRO LÄN</t>
        </is>
      </c>
      <c r="E729" t="inlineStr">
        <is>
          <t>LINDESBERG</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23175-2026</t>
        </is>
      </c>
      <c r="B730" s="1" t="n">
        <v>46161.6755787037</v>
      </c>
      <c r="C730" s="1" t="n">
        <v>46190</v>
      </c>
      <c r="D730" t="inlineStr">
        <is>
          <t>ÖREBRO LÄN</t>
        </is>
      </c>
      <c r="E730" t="inlineStr">
        <is>
          <t>LINDESBERG</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23177-2026</t>
        </is>
      </c>
      <c r="B731" s="1" t="n">
        <v>46161.67731481481</v>
      </c>
      <c r="C731" s="1" t="n">
        <v>46190</v>
      </c>
      <c r="D731" t="inlineStr">
        <is>
          <t>ÖREBRO LÄN</t>
        </is>
      </c>
      <c r="E731" t="inlineStr">
        <is>
          <t>LINDESBERG</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23188-2026</t>
        </is>
      </c>
      <c r="B732" s="1" t="n">
        <v>46161.69788194444</v>
      </c>
      <c r="C732" s="1" t="n">
        <v>46190</v>
      </c>
      <c r="D732" t="inlineStr">
        <is>
          <t>ÖREBRO LÄN</t>
        </is>
      </c>
      <c r="E732" t="inlineStr">
        <is>
          <t>LINDESBERG</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44664-2023</t>
        </is>
      </c>
      <c r="B733" s="1" t="n">
        <v>45189</v>
      </c>
      <c r="C733" s="1" t="n">
        <v>46190</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11366-2024</t>
        </is>
      </c>
      <c r="B734" s="1" t="n">
        <v>45372.40246527778</v>
      </c>
      <c r="C734" s="1" t="n">
        <v>46190</v>
      </c>
      <c r="D734" t="inlineStr">
        <is>
          <t>ÖREBRO LÄN</t>
        </is>
      </c>
      <c r="E734" t="inlineStr">
        <is>
          <t>LINDESBERG</t>
        </is>
      </c>
      <c r="G734" t="n">
        <v>4.4</v>
      </c>
      <c r="H734" t="n">
        <v>0</v>
      </c>
      <c r="I734" t="n">
        <v>0</v>
      </c>
      <c r="J734" t="n">
        <v>0</v>
      </c>
      <c r="K734" t="n">
        <v>0</v>
      </c>
      <c r="L734" t="n">
        <v>0</v>
      </c>
      <c r="M734" t="n">
        <v>0</v>
      </c>
      <c r="N734" t="n">
        <v>0</v>
      </c>
      <c r="O734" t="n">
        <v>0</v>
      </c>
      <c r="P734" t="n">
        <v>0</v>
      </c>
      <c r="Q734" t="n">
        <v>0</v>
      </c>
      <c r="R734" s="2" t="inlineStr"/>
    </row>
    <row r="735" ht="15" customHeight="1">
      <c r="A735" t="inlineStr">
        <is>
          <t>A 24270-2023</t>
        </is>
      </c>
      <c r="B735" s="1" t="n">
        <v>45079</v>
      </c>
      <c r="C735" s="1" t="n">
        <v>46190</v>
      </c>
      <c r="D735" t="inlineStr">
        <is>
          <t>ÖREBRO LÄN</t>
        </is>
      </c>
      <c r="E735" t="inlineStr">
        <is>
          <t>LINDESBERG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24271-2023</t>
        </is>
      </c>
      <c r="B736" s="1" t="n">
        <v>45079</v>
      </c>
      <c r="C736" s="1" t="n">
        <v>46190</v>
      </c>
      <c r="D736" t="inlineStr">
        <is>
          <t>ÖREBRO LÄN</t>
        </is>
      </c>
      <c r="E736" t="inlineStr">
        <is>
          <t>LINDESBERG</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25046-2024</t>
        </is>
      </c>
      <c r="B737" s="1" t="n">
        <v>45462</v>
      </c>
      <c r="C737" s="1" t="n">
        <v>46190</v>
      </c>
      <c r="D737" t="inlineStr">
        <is>
          <t>ÖREBRO LÄN</t>
        </is>
      </c>
      <c r="E737" t="inlineStr">
        <is>
          <t>LINDESBERG</t>
        </is>
      </c>
      <c r="G737" t="n">
        <v>4.1</v>
      </c>
      <c r="H737" t="n">
        <v>0</v>
      </c>
      <c r="I737" t="n">
        <v>0</v>
      </c>
      <c r="J737" t="n">
        <v>0</v>
      </c>
      <c r="K737" t="n">
        <v>0</v>
      </c>
      <c r="L737" t="n">
        <v>0</v>
      </c>
      <c r="M737" t="n">
        <v>0</v>
      </c>
      <c r="N737" t="n">
        <v>0</v>
      </c>
      <c r="O737" t="n">
        <v>0</v>
      </c>
      <c r="P737" t="n">
        <v>0</v>
      </c>
      <c r="Q737" t="n">
        <v>0</v>
      </c>
      <c r="R737" s="2" t="inlineStr"/>
    </row>
    <row r="738" ht="15" customHeight="1">
      <c r="A738" t="inlineStr">
        <is>
          <t>A 17663-2026</t>
        </is>
      </c>
      <c r="B738" s="1" t="n">
        <v>46121.57420138889</v>
      </c>
      <c r="C738" s="1" t="n">
        <v>46190</v>
      </c>
      <c r="D738" t="inlineStr">
        <is>
          <t>ÖREBRO LÄN</t>
        </is>
      </c>
      <c r="E738" t="inlineStr">
        <is>
          <t>LINDESBERG</t>
        </is>
      </c>
      <c r="G738" t="n">
        <v>3.2</v>
      </c>
      <c r="H738" t="n">
        <v>0</v>
      </c>
      <c r="I738" t="n">
        <v>0</v>
      </c>
      <c r="J738" t="n">
        <v>0</v>
      </c>
      <c r="K738" t="n">
        <v>0</v>
      </c>
      <c r="L738" t="n">
        <v>0</v>
      </c>
      <c r="M738" t="n">
        <v>0</v>
      </c>
      <c r="N738" t="n">
        <v>0</v>
      </c>
      <c r="O738" t="n">
        <v>0</v>
      </c>
      <c r="P738" t="n">
        <v>0</v>
      </c>
      <c r="Q738" t="n">
        <v>0</v>
      </c>
      <c r="R738" s="2" t="inlineStr"/>
    </row>
    <row r="739" ht="15" customHeight="1">
      <c r="A739" t="inlineStr">
        <is>
          <t>A 45038-2024</t>
        </is>
      </c>
      <c r="B739" s="1" t="n">
        <v>45575.53331018519</v>
      </c>
      <c r="C739" s="1" t="n">
        <v>46190</v>
      </c>
      <c r="D739" t="inlineStr">
        <is>
          <t>ÖREBRO LÄN</t>
        </is>
      </c>
      <c r="E739" t="inlineStr">
        <is>
          <t>LINDESBERG</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23910-2026</t>
        </is>
      </c>
      <c r="B740" s="1" t="n">
        <v>46167.49278935185</v>
      </c>
      <c r="C740" s="1" t="n">
        <v>46190</v>
      </c>
      <c r="D740" t="inlineStr">
        <is>
          <t>ÖREBRO LÄN</t>
        </is>
      </c>
      <c r="E740" t="inlineStr">
        <is>
          <t>LINDESBERG</t>
        </is>
      </c>
      <c r="F740" t="inlineStr">
        <is>
          <t>Naturvårdsverket</t>
        </is>
      </c>
      <c r="G740" t="n">
        <v>2.7</v>
      </c>
      <c r="H740" t="n">
        <v>0</v>
      </c>
      <c r="I740" t="n">
        <v>0</v>
      </c>
      <c r="J740" t="n">
        <v>0</v>
      </c>
      <c r="K740" t="n">
        <v>0</v>
      </c>
      <c r="L740" t="n">
        <v>0</v>
      </c>
      <c r="M740" t="n">
        <v>0</v>
      </c>
      <c r="N740" t="n">
        <v>0</v>
      </c>
      <c r="O740" t="n">
        <v>0</v>
      </c>
      <c r="P740" t="n">
        <v>0</v>
      </c>
      <c r="Q740" t="n">
        <v>0</v>
      </c>
      <c r="R740" s="2" t="inlineStr"/>
    </row>
    <row r="741" ht="15" customHeight="1">
      <c r="A741" t="inlineStr">
        <is>
          <t>A 18220-2026</t>
        </is>
      </c>
      <c r="B741" s="1" t="n">
        <v>46126.30818287037</v>
      </c>
      <c r="C741" s="1" t="n">
        <v>46190</v>
      </c>
      <c r="D741" t="inlineStr">
        <is>
          <t>ÖREBRO LÄN</t>
        </is>
      </c>
      <c r="E741" t="inlineStr">
        <is>
          <t>LINDESBERG</t>
        </is>
      </c>
      <c r="G741" t="n">
        <v>5.7</v>
      </c>
      <c r="H741" t="n">
        <v>0</v>
      </c>
      <c r="I741" t="n">
        <v>0</v>
      </c>
      <c r="J741" t="n">
        <v>0</v>
      </c>
      <c r="K741" t="n">
        <v>0</v>
      </c>
      <c r="L741" t="n">
        <v>0</v>
      </c>
      <c r="M741" t="n">
        <v>0</v>
      </c>
      <c r="N741" t="n">
        <v>0</v>
      </c>
      <c r="O741" t="n">
        <v>0</v>
      </c>
      <c r="P741" t="n">
        <v>0</v>
      </c>
      <c r="Q741" t="n">
        <v>0</v>
      </c>
      <c r="R741" s="2" t="inlineStr"/>
    </row>
    <row r="742" ht="15" customHeight="1">
      <c r="A742" t="inlineStr">
        <is>
          <t>A 21468-2024</t>
        </is>
      </c>
      <c r="B742" s="1" t="n">
        <v>45441.48670138889</v>
      </c>
      <c r="C742" s="1" t="n">
        <v>46190</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23912-2026</t>
        </is>
      </c>
      <c r="B743" s="1" t="n">
        <v>46167.49552083333</v>
      </c>
      <c r="C743" s="1" t="n">
        <v>46190</v>
      </c>
      <c r="D743" t="inlineStr">
        <is>
          <t>ÖREBRO LÄN</t>
        </is>
      </c>
      <c r="E743" t="inlineStr">
        <is>
          <t>LINDESBERG</t>
        </is>
      </c>
      <c r="F743" t="inlineStr">
        <is>
          <t>Naturvårdsverket</t>
        </is>
      </c>
      <c r="G743" t="n">
        <v>5.5</v>
      </c>
      <c r="H743" t="n">
        <v>0</v>
      </c>
      <c r="I743" t="n">
        <v>0</v>
      </c>
      <c r="J743" t="n">
        <v>0</v>
      </c>
      <c r="K743" t="n">
        <v>0</v>
      </c>
      <c r="L743" t="n">
        <v>0</v>
      </c>
      <c r="M743" t="n">
        <v>0</v>
      </c>
      <c r="N743" t="n">
        <v>0</v>
      </c>
      <c r="O743" t="n">
        <v>0</v>
      </c>
      <c r="P743" t="n">
        <v>0</v>
      </c>
      <c r="Q743" t="n">
        <v>0</v>
      </c>
      <c r="R743" s="2" t="inlineStr"/>
    </row>
    <row r="744" ht="15" customHeight="1">
      <c r="A744" t="inlineStr">
        <is>
          <t>A 23914-2026</t>
        </is>
      </c>
      <c r="B744" s="1" t="n">
        <v>46167.50077546296</v>
      </c>
      <c r="C744" s="1" t="n">
        <v>46190</v>
      </c>
      <c r="D744" t="inlineStr">
        <is>
          <t>ÖREBRO LÄN</t>
        </is>
      </c>
      <c r="E744" t="inlineStr">
        <is>
          <t>LINDESBERG</t>
        </is>
      </c>
      <c r="F744" t="inlineStr">
        <is>
          <t>Naturvårdsverket</t>
        </is>
      </c>
      <c r="G744" t="n">
        <v>3</v>
      </c>
      <c r="H744" t="n">
        <v>0</v>
      </c>
      <c r="I744" t="n">
        <v>0</v>
      </c>
      <c r="J744" t="n">
        <v>0</v>
      </c>
      <c r="K744" t="n">
        <v>0</v>
      </c>
      <c r="L744" t="n">
        <v>0</v>
      </c>
      <c r="M744" t="n">
        <v>0</v>
      </c>
      <c r="N744" t="n">
        <v>0</v>
      </c>
      <c r="O744" t="n">
        <v>0</v>
      </c>
      <c r="P744" t="n">
        <v>0</v>
      </c>
      <c r="Q744" t="n">
        <v>0</v>
      </c>
      <c r="R744" s="2" t="inlineStr"/>
    </row>
    <row r="745" ht="15" customHeight="1">
      <c r="A745" t="inlineStr">
        <is>
          <t>A 40038-2024</t>
        </is>
      </c>
      <c r="B745" s="1" t="n">
        <v>45553</v>
      </c>
      <c r="C745" s="1" t="n">
        <v>46190</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12276-2025</t>
        </is>
      </c>
      <c r="B746" s="1" t="n">
        <v>45729.65061342593</v>
      </c>
      <c r="C746" s="1" t="n">
        <v>46190</v>
      </c>
      <c r="D746" t="inlineStr">
        <is>
          <t>ÖREBRO LÄN</t>
        </is>
      </c>
      <c r="E746" t="inlineStr">
        <is>
          <t>LINDESBERG</t>
        </is>
      </c>
      <c r="G746" t="n">
        <v>7.6</v>
      </c>
      <c r="H746" t="n">
        <v>0</v>
      </c>
      <c r="I746" t="n">
        <v>0</v>
      </c>
      <c r="J746" t="n">
        <v>0</v>
      </c>
      <c r="K746" t="n">
        <v>0</v>
      </c>
      <c r="L746" t="n">
        <v>0</v>
      </c>
      <c r="M746" t="n">
        <v>0</v>
      </c>
      <c r="N746" t="n">
        <v>0</v>
      </c>
      <c r="O746" t="n">
        <v>0</v>
      </c>
      <c r="P746" t="n">
        <v>0</v>
      </c>
      <c r="Q746" t="n">
        <v>0</v>
      </c>
      <c r="R746" s="2" t="inlineStr"/>
    </row>
    <row r="747" ht="15" customHeight="1">
      <c r="A747" t="inlineStr">
        <is>
          <t>A 18061-2026</t>
        </is>
      </c>
      <c r="B747" s="1" t="n">
        <v>46125.46030092592</v>
      </c>
      <c r="C747" s="1" t="n">
        <v>46190</v>
      </c>
      <c r="D747" t="inlineStr">
        <is>
          <t>ÖREBRO LÄN</t>
        </is>
      </c>
      <c r="E747" t="inlineStr">
        <is>
          <t>LINDESBERG</t>
        </is>
      </c>
      <c r="G747" t="n">
        <v>0.7</v>
      </c>
      <c r="H747" t="n">
        <v>0</v>
      </c>
      <c r="I747" t="n">
        <v>0</v>
      </c>
      <c r="J747" t="n">
        <v>0</v>
      </c>
      <c r="K747" t="n">
        <v>0</v>
      </c>
      <c r="L747" t="n">
        <v>0</v>
      </c>
      <c r="M747" t="n">
        <v>0</v>
      </c>
      <c r="N747" t="n">
        <v>0</v>
      </c>
      <c r="O747" t="n">
        <v>0</v>
      </c>
      <c r="P747" t="n">
        <v>0</v>
      </c>
      <c r="Q747" t="n">
        <v>0</v>
      </c>
      <c r="R747" s="2" t="inlineStr"/>
    </row>
    <row r="748" ht="15" customHeight="1">
      <c r="A748" t="inlineStr">
        <is>
          <t>A 18636-2026</t>
        </is>
      </c>
      <c r="B748" s="1" t="n">
        <v>46128.31521990741</v>
      </c>
      <c r="C748" s="1" t="n">
        <v>46190</v>
      </c>
      <c r="D748" t="inlineStr">
        <is>
          <t>ÖREBRO LÄN</t>
        </is>
      </c>
      <c r="E748" t="inlineStr">
        <is>
          <t>LINDESBERG</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14028-2023</t>
        </is>
      </c>
      <c r="B749" s="1" t="n">
        <v>45008</v>
      </c>
      <c r="C749" s="1" t="n">
        <v>46190</v>
      </c>
      <c r="D749" t="inlineStr">
        <is>
          <t>ÖREBRO LÄN</t>
        </is>
      </c>
      <c r="E749" t="inlineStr">
        <is>
          <t>LINDESBERG</t>
        </is>
      </c>
      <c r="F749" t="inlineStr">
        <is>
          <t>Kyrkan</t>
        </is>
      </c>
      <c r="G749" t="n">
        <v>1.1</v>
      </c>
      <c r="H749" t="n">
        <v>0</v>
      </c>
      <c r="I749" t="n">
        <v>0</v>
      </c>
      <c r="J749" t="n">
        <v>0</v>
      </c>
      <c r="K749" t="n">
        <v>0</v>
      </c>
      <c r="L749" t="n">
        <v>0</v>
      </c>
      <c r="M749" t="n">
        <v>0</v>
      </c>
      <c r="N749" t="n">
        <v>0</v>
      </c>
      <c r="O749" t="n">
        <v>0</v>
      </c>
      <c r="P749" t="n">
        <v>0</v>
      </c>
      <c r="Q749" t="n">
        <v>0</v>
      </c>
      <c r="R749" s="2" t="inlineStr"/>
    </row>
    <row r="750" ht="15" customHeight="1">
      <c r="A750" t="inlineStr">
        <is>
          <t>A 31024-2023</t>
        </is>
      </c>
      <c r="B750" s="1" t="n">
        <v>45113</v>
      </c>
      <c r="C750" s="1" t="n">
        <v>46190</v>
      </c>
      <c r="D750" t="inlineStr">
        <is>
          <t>ÖREBRO LÄN</t>
        </is>
      </c>
      <c r="E750" t="inlineStr">
        <is>
          <t>LINDESBERG</t>
        </is>
      </c>
      <c r="G750" t="n">
        <v>5.1</v>
      </c>
      <c r="H750" t="n">
        <v>0</v>
      </c>
      <c r="I750" t="n">
        <v>0</v>
      </c>
      <c r="J750" t="n">
        <v>0</v>
      </c>
      <c r="K750" t="n">
        <v>0</v>
      </c>
      <c r="L750" t="n">
        <v>0</v>
      </c>
      <c r="M750" t="n">
        <v>0</v>
      </c>
      <c r="N750" t="n">
        <v>0</v>
      </c>
      <c r="O750" t="n">
        <v>0</v>
      </c>
      <c r="P750" t="n">
        <v>0</v>
      </c>
      <c r="Q750" t="n">
        <v>0</v>
      </c>
      <c r="R750" s="2" t="inlineStr"/>
    </row>
    <row r="751" ht="15" customHeight="1">
      <c r="A751" t="inlineStr">
        <is>
          <t>A 18640-2026</t>
        </is>
      </c>
      <c r="B751" s="1" t="n">
        <v>46128.32461805556</v>
      </c>
      <c r="C751" s="1" t="n">
        <v>46190</v>
      </c>
      <c r="D751" t="inlineStr">
        <is>
          <t>ÖREBRO LÄN</t>
        </is>
      </c>
      <c r="E751" t="inlineStr">
        <is>
          <t>LINDESBERG</t>
        </is>
      </c>
      <c r="F751" t="inlineStr">
        <is>
          <t>Sveaskog</t>
        </is>
      </c>
      <c r="G751" t="n">
        <v>0.3</v>
      </c>
      <c r="H751" t="n">
        <v>0</v>
      </c>
      <c r="I751" t="n">
        <v>0</v>
      </c>
      <c r="J751" t="n">
        <v>0</v>
      </c>
      <c r="K751" t="n">
        <v>0</v>
      </c>
      <c r="L751" t="n">
        <v>0</v>
      </c>
      <c r="M751" t="n">
        <v>0</v>
      </c>
      <c r="N751" t="n">
        <v>0</v>
      </c>
      <c r="O751" t="n">
        <v>0</v>
      </c>
      <c r="P751" t="n">
        <v>0</v>
      </c>
      <c r="Q751" t="n">
        <v>0</v>
      </c>
      <c r="R751" s="2" t="inlineStr"/>
    </row>
    <row r="752" ht="15" customHeight="1">
      <c r="A752" t="inlineStr">
        <is>
          <t>A 18634-2026</t>
        </is>
      </c>
      <c r="B752" s="1" t="n">
        <v>46128.31271990741</v>
      </c>
      <c r="C752" s="1" t="n">
        <v>46190</v>
      </c>
      <c r="D752" t="inlineStr">
        <is>
          <t>ÖREBRO LÄN</t>
        </is>
      </c>
      <c r="E752" t="inlineStr">
        <is>
          <t>LINDESBERG</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24565-2026</t>
        </is>
      </c>
      <c r="B753" s="1" t="n">
        <v>46170.61527777778</v>
      </c>
      <c r="C753" s="1" t="n">
        <v>46190</v>
      </c>
      <c r="D753" t="inlineStr">
        <is>
          <t>ÖREBRO LÄN</t>
        </is>
      </c>
      <c r="E753" t="inlineStr">
        <is>
          <t>LINDESBERG</t>
        </is>
      </c>
      <c r="F753" t="inlineStr">
        <is>
          <t>Kommuner</t>
        </is>
      </c>
      <c r="G753" t="n">
        <v>2.6</v>
      </c>
      <c r="H753" t="n">
        <v>0</v>
      </c>
      <c r="I753" t="n">
        <v>0</v>
      </c>
      <c r="J753" t="n">
        <v>0</v>
      </c>
      <c r="K753" t="n">
        <v>0</v>
      </c>
      <c r="L753" t="n">
        <v>0</v>
      </c>
      <c r="M753" t="n">
        <v>0</v>
      </c>
      <c r="N753" t="n">
        <v>0</v>
      </c>
      <c r="O753" t="n">
        <v>0</v>
      </c>
      <c r="P753" t="n">
        <v>0</v>
      </c>
      <c r="Q753" t="n">
        <v>0</v>
      </c>
      <c r="R753" s="2" t="inlineStr"/>
    </row>
    <row r="754" ht="15" customHeight="1">
      <c r="A754" t="inlineStr">
        <is>
          <t>A 18637-2026</t>
        </is>
      </c>
      <c r="B754" s="1" t="n">
        <v>46128.31604166667</v>
      </c>
      <c r="C754" s="1" t="n">
        <v>46190</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27052-2023</t>
        </is>
      </c>
      <c r="B755" s="1" t="n">
        <v>45095</v>
      </c>
      <c r="C755" s="1" t="n">
        <v>46190</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24601-2026</t>
        </is>
      </c>
      <c r="B756" s="1" t="n">
        <v>46170.86826388889</v>
      </c>
      <c r="C756" s="1" t="n">
        <v>46190</v>
      </c>
      <c r="D756" t="inlineStr">
        <is>
          <t>ÖREBRO LÄN</t>
        </is>
      </c>
      <c r="E756" t="inlineStr">
        <is>
          <t>LINDESBERG</t>
        </is>
      </c>
      <c r="G756" t="n">
        <v>2.7</v>
      </c>
      <c r="H756" t="n">
        <v>0</v>
      </c>
      <c r="I756" t="n">
        <v>0</v>
      </c>
      <c r="J756" t="n">
        <v>0</v>
      </c>
      <c r="K756" t="n">
        <v>0</v>
      </c>
      <c r="L756" t="n">
        <v>0</v>
      </c>
      <c r="M756" t="n">
        <v>0</v>
      </c>
      <c r="N756" t="n">
        <v>0</v>
      </c>
      <c r="O756" t="n">
        <v>0</v>
      </c>
      <c r="P756" t="n">
        <v>0</v>
      </c>
      <c r="Q756" t="n">
        <v>0</v>
      </c>
      <c r="R756" s="2" t="inlineStr"/>
    </row>
    <row r="757" ht="15" customHeight="1">
      <c r="A757" t="inlineStr">
        <is>
          <t>A 12053-2024</t>
        </is>
      </c>
      <c r="B757" s="1" t="n">
        <v>45377.48265046296</v>
      </c>
      <c r="C757" s="1" t="n">
        <v>46190</v>
      </c>
      <c r="D757" t="inlineStr">
        <is>
          <t>ÖREBRO LÄN</t>
        </is>
      </c>
      <c r="E757" t="inlineStr">
        <is>
          <t>LINDESBERG</t>
        </is>
      </c>
      <c r="G757" t="n">
        <v>1.7</v>
      </c>
      <c r="H757" t="n">
        <v>0</v>
      </c>
      <c r="I757" t="n">
        <v>0</v>
      </c>
      <c r="J757" t="n">
        <v>0</v>
      </c>
      <c r="K757" t="n">
        <v>0</v>
      </c>
      <c r="L757" t="n">
        <v>0</v>
      </c>
      <c r="M757" t="n">
        <v>0</v>
      </c>
      <c r="N757" t="n">
        <v>0</v>
      </c>
      <c r="O757" t="n">
        <v>0</v>
      </c>
      <c r="P757" t="n">
        <v>0</v>
      </c>
      <c r="Q757" t="n">
        <v>0</v>
      </c>
      <c r="R757" s="2" t="inlineStr"/>
    </row>
    <row r="758" ht="15" customHeight="1">
      <c r="A758" t="inlineStr">
        <is>
          <t>A 24600-2026</t>
        </is>
      </c>
      <c r="B758" s="1" t="n">
        <v>46170.85934027778</v>
      </c>
      <c r="C758" s="1" t="n">
        <v>46190</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24638-2026</t>
        </is>
      </c>
      <c r="B759" s="1" t="n">
        <v>46171.40025462963</v>
      </c>
      <c r="C759" s="1" t="n">
        <v>46190</v>
      </c>
      <c r="D759" t="inlineStr">
        <is>
          <t>ÖREBRO LÄN</t>
        </is>
      </c>
      <c r="E759" t="inlineStr">
        <is>
          <t>LINDESBERG</t>
        </is>
      </c>
      <c r="G759" t="n">
        <v>2.8</v>
      </c>
      <c r="H759" t="n">
        <v>0</v>
      </c>
      <c r="I759" t="n">
        <v>0</v>
      </c>
      <c r="J759" t="n">
        <v>0</v>
      </c>
      <c r="K759" t="n">
        <v>0</v>
      </c>
      <c r="L759" t="n">
        <v>0</v>
      </c>
      <c r="M759" t="n">
        <v>0</v>
      </c>
      <c r="N759" t="n">
        <v>0</v>
      </c>
      <c r="O759" t="n">
        <v>0</v>
      </c>
      <c r="P759" t="n">
        <v>0</v>
      </c>
      <c r="Q759" t="n">
        <v>0</v>
      </c>
      <c r="R759" s="2" t="inlineStr"/>
    </row>
    <row r="760" ht="15" customHeight="1">
      <c r="A760" t="inlineStr">
        <is>
          <t>A 626-2025</t>
        </is>
      </c>
      <c r="B760" s="1" t="n">
        <v>45664</v>
      </c>
      <c r="C760" s="1" t="n">
        <v>46190</v>
      </c>
      <c r="D760" t="inlineStr">
        <is>
          <t>ÖREBRO LÄN</t>
        </is>
      </c>
      <c r="E760" t="inlineStr">
        <is>
          <t>LINDESBERG</t>
        </is>
      </c>
      <c r="G760" t="n">
        <v>0.5</v>
      </c>
      <c r="H760" t="n">
        <v>0</v>
      </c>
      <c r="I760" t="n">
        <v>0</v>
      </c>
      <c r="J760" t="n">
        <v>0</v>
      </c>
      <c r="K760" t="n">
        <v>0</v>
      </c>
      <c r="L760" t="n">
        <v>0</v>
      </c>
      <c r="M760" t="n">
        <v>0</v>
      </c>
      <c r="N760" t="n">
        <v>0</v>
      </c>
      <c r="O760" t="n">
        <v>0</v>
      </c>
      <c r="P760" t="n">
        <v>0</v>
      </c>
      <c r="Q760" t="n">
        <v>0</v>
      </c>
      <c r="R760" s="2" t="inlineStr"/>
    </row>
    <row r="761" ht="15" customHeight="1">
      <c r="A761" t="inlineStr">
        <is>
          <t>A 63686-2023</t>
        </is>
      </c>
      <c r="B761" s="1" t="n">
        <v>45274</v>
      </c>
      <c r="C761" s="1" t="n">
        <v>46190</v>
      </c>
      <c r="D761" t="inlineStr">
        <is>
          <t>ÖREBRO LÄN</t>
        </is>
      </c>
      <c r="E761" t="inlineStr">
        <is>
          <t>LINDESBERG</t>
        </is>
      </c>
      <c r="G761" t="n">
        <v>0.9</v>
      </c>
      <c r="H761" t="n">
        <v>0</v>
      </c>
      <c r="I761" t="n">
        <v>0</v>
      </c>
      <c r="J761" t="n">
        <v>0</v>
      </c>
      <c r="K761" t="n">
        <v>0</v>
      </c>
      <c r="L761" t="n">
        <v>0</v>
      </c>
      <c r="M761" t="n">
        <v>0</v>
      </c>
      <c r="N761" t="n">
        <v>0</v>
      </c>
      <c r="O761" t="n">
        <v>0</v>
      </c>
      <c r="P761" t="n">
        <v>0</v>
      </c>
      <c r="Q761" t="n">
        <v>0</v>
      </c>
      <c r="R761" s="2" t="inlineStr"/>
    </row>
    <row r="762" ht="15" customHeight="1">
      <c r="A762" t="inlineStr">
        <is>
          <t>A 25117-2026</t>
        </is>
      </c>
      <c r="B762" s="1" t="n">
        <v>46175.369375</v>
      </c>
      <c r="C762" s="1" t="n">
        <v>46190</v>
      </c>
      <c r="D762" t="inlineStr">
        <is>
          <t>ÖREBRO LÄN</t>
        </is>
      </c>
      <c r="E762" t="inlineStr">
        <is>
          <t>LINDESBERG</t>
        </is>
      </c>
      <c r="F762" t="inlineStr">
        <is>
          <t>Sveaskog</t>
        </is>
      </c>
      <c r="G762" t="n">
        <v>3.9</v>
      </c>
      <c r="H762" t="n">
        <v>0</v>
      </c>
      <c r="I762" t="n">
        <v>0</v>
      </c>
      <c r="J762" t="n">
        <v>0</v>
      </c>
      <c r="K762" t="n">
        <v>0</v>
      </c>
      <c r="L762" t="n">
        <v>0</v>
      </c>
      <c r="M762" t="n">
        <v>0</v>
      </c>
      <c r="N762" t="n">
        <v>0</v>
      </c>
      <c r="O762" t="n">
        <v>0</v>
      </c>
      <c r="P762" t="n">
        <v>0</v>
      </c>
      <c r="Q762" t="n">
        <v>0</v>
      </c>
      <c r="R762" s="2" t="inlineStr"/>
    </row>
    <row r="763" ht="15" customHeight="1">
      <c r="A763" t="inlineStr">
        <is>
          <t>A 64365-2023</t>
        </is>
      </c>
      <c r="B763" s="1" t="n">
        <v>45280</v>
      </c>
      <c r="C763" s="1" t="n">
        <v>46190</v>
      </c>
      <c r="D763" t="inlineStr">
        <is>
          <t>ÖREBRO LÄN</t>
        </is>
      </c>
      <c r="E763" t="inlineStr">
        <is>
          <t>LINDESBERG</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24975-2026</t>
        </is>
      </c>
      <c r="B764" s="1" t="n">
        <v>46174.58402777778</v>
      </c>
      <c r="C764" s="1" t="n">
        <v>46190</v>
      </c>
      <c r="D764" t="inlineStr">
        <is>
          <t>ÖREBRO LÄN</t>
        </is>
      </c>
      <c r="E764" t="inlineStr">
        <is>
          <t>LINDESBERG</t>
        </is>
      </c>
      <c r="G764" t="n">
        <v>1.3</v>
      </c>
      <c r="H764" t="n">
        <v>0</v>
      </c>
      <c r="I764" t="n">
        <v>0</v>
      </c>
      <c r="J764" t="n">
        <v>0</v>
      </c>
      <c r="K764" t="n">
        <v>0</v>
      </c>
      <c r="L764" t="n">
        <v>0</v>
      </c>
      <c r="M764" t="n">
        <v>0</v>
      </c>
      <c r="N764" t="n">
        <v>0</v>
      </c>
      <c r="O764" t="n">
        <v>0</v>
      </c>
      <c r="P764" t="n">
        <v>0</v>
      </c>
      <c r="Q764" t="n">
        <v>0</v>
      </c>
      <c r="R764" s="2" t="inlineStr"/>
    </row>
    <row r="765" ht="15" customHeight="1">
      <c r="A765" t="inlineStr">
        <is>
          <t>A 19292-2026</t>
        </is>
      </c>
      <c r="B765" s="1" t="n">
        <v>46133.32493055556</v>
      </c>
      <c r="C765" s="1" t="n">
        <v>46190</v>
      </c>
      <c r="D765" t="inlineStr">
        <is>
          <t>ÖREBRO LÄN</t>
        </is>
      </c>
      <c r="E765" t="inlineStr">
        <is>
          <t>LINDESBERG</t>
        </is>
      </c>
      <c r="G765" t="n">
        <v>0.4</v>
      </c>
      <c r="H765" t="n">
        <v>0</v>
      </c>
      <c r="I765" t="n">
        <v>0</v>
      </c>
      <c r="J765" t="n">
        <v>0</v>
      </c>
      <c r="K765" t="n">
        <v>0</v>
      </c>
      <c r="L765" t="n">
        <v>0</v>
      </c>
      <c r="M765" t="n">
        <v>0</v>
      </c>
      <c r="N765" t="n">
        <v>0</v>
      </c>
      <c r="O765" t="n">
        <v>0</v>
      </c>
      <c r="P765" t="n">
        <v>0</v>
      </c>
      <c r="Q765" t="n">
        <v>0</v>
      </c>
      <c r="R765" s="2" t="inlineStr"/>
    </row>
    <row r="766" ht="15" customHeight="1">
      <c r="A766" t="inlineStr">
        <is>
          <t>A 25116-2026</t>
        </is>
      </c>
      <c r="B766" s="1" t="n">
        <v>46175.36806712963</v>
      </c>
      <c r="C766" s="1" t="n">
        <v>46190</v>
      </c>
      <c r="D766" t="inlineStr">
        <is>
          <t>ÖREBRO LÄN</t>
        </is>
      </c>
      <c r="E766" t="inlineStr">
        <is>
          <t>LINDESBERG</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25023-2026</t>
        </is>
      </c>
      <c r="B767" s="1" t="n">
        <v>46174.63037037037</v>
      </c>
      <c r="C767" s="1" t="n">
        <v>46190</v>
      </c>
      <c r="D767" t="inlineStr">
        <is>
          <t>ÖREBRO LÄN</t>
        </is>
      </c>
      <c r="E767" t="inlineStr">
        <is>
          <t>LINDESBERG</t>
        </is>
      </c>
      <c r="F767" t="inlineStr">
        <is>
          <t>Kommuner</t>
        </is>
      </c>
      <c r="G767" t="n">
        <v>2.3</v>
      </c>
      <c r="H767" t="n">
        <v>0</v>
      </c>
      <c r="I767" t="n">
        <v>0</v>
      </c>
      <c r="J767" t="n">
        <v>0</v>
      </c>
      <c r="K767" t="n">
        <v>0</v>
      </c>
      <c r="L767" t="n">
        <v>0</v>
      </c>
      <c r="M767" t="n">
        <v>0</v>
      </c>
      <c r="N767" t="n">
        <v>0</v>
      </c>
      <c r="O767" t="n">
        <v>0</v>
      </c>
      <c r="P767" t="n">
        <v>0</v>
      </c>
      <c r="Q767" t="n">
        <v>0</v>
      </c>
      <c r="R767" s="2" t="inlineStr"/>
    </row>
    <row r="768" ht="15" customHeight="1">
      <c r="A768" t="inlineStr">
        <is>
          <t>A 24958-2026</t>
        </is>
      </c>
      <c r="B768" s="1" t="n">
        <v>46174.57133101852</v>
      </c>
      <c r="C768" s="1" t="n">
        <v>46190</v>
      </c>
      <c r="D768" t="inlineStr">
        <is>
          <t>ÖREBRO LÄN</t>
        </is>
      </c>
      <c r="E768" t="inlineStr">
        <is>
          <t>LINDESBERG</t>
        </is>
      </c>
      <c r="G768" t="n">
        <v>4.1</v>
      </c>
      <c r="H768" t="n">
        <v>0</v>
      </c>
      <c r="I768" t="n">
        <v>0</v>
      </c>
      <c r="J768" t="n">
        <v>0</v>
      </c>
      <c r="K768" t="n">
        <v>0</v>
      </c>
      <c r="L768" t="n">
        <v>0</v>
      </c>
      <c r="M768" t="n">
        <v>0</v>
      </c>
      <c r="N768" t="n">
        <v>0</v>
      </c>
      <c r="O768" t="n">
        <v>0</v>
      </c>
      <c r="P768" t="n">
        <v>0</v>
      </c>
      <c r="Q768" t="n">
        <v>0</v>
      </c>
      <c r="R768" s="2" t="inlineStr"/>
    </row>
    <row r="769" ht="15" customHeight="1">
      <c r="A769" t="inlineStr">
        <is>
          <t>A 24970-2026</t>
        </is>
      </c>
      <c r="B769" s="1" t="n">
        <v>46174.5781712963</v>
      </c>
      <c r="C769" s="1" t="n">
        <v>46190</v>
      </c>
      <c r="D769" t="inlineStr">
        <is>
          <t>ÖREBRO LÄN</t>
        </is>
      </c>
      <c r="E769" t="inlineStr">
        <is>
          <t>LINDESBERG</t>
        </is>
      </c>
      <c r="G769" t="n">
        <v>3.3</v>
      </c>
      <c r="H769" t="n">
        <v>0</v>
      </c>
      <c r="I769" t="n">
        <v>0</v>
      </c>
      <c r="J769" t="n">
        <v>0</v>
      </c>
      <c r="K769" t="n">
        <v>0</v>
      </c>
      <c r="L769" t="n">
        <v>0</v>
      </c>
      <c r="M769" t="n">
        <v>0</v>
      </c>
      <c r="N769" t="n">
        <v>0</v>
      </c>
      <c r="O769" t="n">
        <v>0</v>
      </c>
      <c r="P769" t="n">
        <v>0</v>
      </c>
      <c r="Q769" t="n">
        <v>0</v>
      </c>
      <c r="R769" s="2" t="inlineStr"/>
    </row>
    <row r="770" ht="15" customHeight="1">
      <c r="A770" t="inlineStr">
        <is>
          <t>A 24977-2026</t>
        </is>
      </c>
      <c r="B770" s="1" t="n">
        <v>46174.59148148148</v>
      </c>
      <c r="C770" s="1" t="n">
        <v>46190</v>
      </c>
      <c r="D770" t="inlineStr">
        <is>
          <t>ÖREBRO LÄN</t>
        </is>
      </c>
      <c r="E770" t="inlineStr">
        <is>
          <t>LINDESBERG</t>
        </is>
      </c>
      <c r="G770" t="n">
        <v>11.3</v>
      </c>
      <c r="H770" t="n">
        <v>0</v>
      </c>
      <c r="I770" t="n">
        <v>0</v>
      </c>
      <c r="J770" t="n">
        <v>0</v>
      </c>
      <c r="K770" t="n">
        <v>0</v>
      </c>
      <c r="L770" t="n">
        <v>0</v>
      </c>
      <c r="M770" t="n">
        <v>0</v>
      </c>
      <c r="N770" t="n">
        <v>0</v>
      </c>
      <c r="O770" t="n">
        <v>0</v>
      </c>
      <c r="P770" t="n">
        <v>0</v>
      </c>
      <c r="Q770" t="n">
        <v>0</v>
      </c>
      <c r="R770" s="2" t="inlineStr"/>
    </row>
    <row r="771" ht="15" customHeight="1">
      <c r="A771" t="inlineStr">
        <is>
          <t>A 56217-2022</t>
        </is>
      </c>
      <c r="B771" s="1" t="n">
        <v>44890.46174768519</v>
      </c>
      <c r="C771" s="1" t="n">
        <v>46190</v>
      </c>
      <c r="D771" t="inlineStr">
        <is>
          <t>ÖREBRO LÄN</t>
        </is>
      </c>
      <c r="E771" t="inlineStr">
        <is>
          <t>LINDESBERG</t>
        </is>
      </c>
      <c r="G771" t="n">
        <v>6.9</v>
      </c>
      <c r="H771" t="n">
        <v>0</v>
      </c>
      <c r="I771" t="n">
        <v>0</v>
      </c>
      <c r="J771" t="n">
        <v>0</v>
      </c>
      <c r="K771" t="n">
        <v>0</v>
      </c>
      <c r="L771" t="n">
        <v>0</v>
      </c>
      <c r="M771" t="n">
        <v>0</v>
      </c>
      <c r="N771" t="n">
        <v>0</v>
      </c>
      <c r="O771" t="n">
        <v>0</v>
      </c>
      <c r="P771" t="n">
        <v>0</v>
      </c>
      <c r="Q771" t="n">
        <v>0</v>
      </c>
      <c r="R771" s="2" t="inlineStr"/>
    </row>
    <row r="772" ht="15" customHeight="1">
      <c r="A772" t="inlineStr">
        <is>
          <t>A 5550-2024</t>
        </is>
      </c>
      <c r="B772" s="1" t="n">
        <v>45334</v>
      </c>
      <c r="C772" s="1" t="n">
        <v>46190</v>
      </c>
      <c r="D772" t="inlineStr">
        <is>
          <t>ÖREBRO LÄN</t>
        </is>
      </c>
      <c r="E772" t="inlineStr">
        <is>
          <t>LINDESBERG</t>
        </is>
      </c>
      <c r="G772" t="n">
        <v>0.6</v>
      </c>
      <c r="H772" t="n">
        <v>0</v>
      </c>
      <c r="I772" t="n">
        <v>0</v>
      </c>
      <c r="J772" t="n">
        <v>0</v>
      </c>
      <c r="K772" t="n">
        <v>0</v>
      </c>
      <c r="L772" t="n">
        <v>0</v>
      </c>
      <c r="M772" t="n">
        <v>0</v>
      </c>
      <c r="N772" t="n">
        <v>0</v>
      </c>
      <c r="O772" t="n">
        <v>0</v>
      </c>
      <c r="P772" t="n">
        <v>0</v>
      </c>
      <c r="Q772" t="n">
        <v>0</v>
      </c>
      <c r="R772" s="2" t="inlineStr"/>
    </row>
    <row r="773" ht="15" customHeight="1">
      <c r="A773" t="inlineStr">
        <is>
          <t>A 32829-2024</t>
        </is>
      </c>
      <c r="B773" s="1" t="n">
        <v>45516.59447916667</v>
      </c>
      <c r="C773" s="1" t="n">
        <v>46190</v>
      </c>
      <c r="D773" t="inlineStr">
        <is>
          <t>ÖREBRO LÄN</t>
        </is>
      </c>
      <c r="E773" t="inlineStr">
        <is>
          <t>LINDESBERG</t>
        </is>
      </c>
      <c r="G773" t="n">
        <v>1.4</v>
      </c>
      <c r="H773" t="n">
        <v>0</v>
      </c>
      <c r="I773" t="n">
        <v>0</v>
      </c>
      <c r="J773" t="n">
        <v>0</v>
      </c>
      <c r="K773" t="n">
        <v>0</v>
      </c>
      <c r="L773" t="n">
        <v>0</v>
      </c>
      <c r="M773" t="n">
        <v>0</v>
      </c>
      <c r="N773" t="n">
        <v>0</v>
      </c>
      <c r="O773" t="n">
        <v>0</v>
      </c>
      <c r="P773" t="n">
        <v>0</v>
      </c>
      <c r="Q773" t="n">
        <v>0</v>
      </c>
      <c r="R773" s="2" t="inlineStr"/>
    </row>
    <row r="774" ht="15" customHeight="1">
      <c r="A774" t="inlineStr">
        <is>
          <t>A 29350-2022</t>
        </is>
      </c>
      <c r="B774" s="1" t="n">
        <v>44753</v>
      </c>
      <c r="C774" s="1" t="n">
        <v>46190</v>
      </c>
      <c r="D774" t="inlineStr">
        <is>
          <t>ÖREBRO LÄN</t>
        </is>
      </c>
      <c r="E774" t="inlineStr">
        <is>
          <t>LINDESBERG</t>
        </is>
      </c>
      <c r="G774" t="n">
        <v>7.7</v>
      </c>
      <c r="H774" t="n">
        <v>0</v>
      </c>
      <c r="I774" t="n">
        <v>0</v>
      </c>
      <c r="J774" t="n">
        <v>0</v>
      </c>
      <c r="K774" t="n">
        <v>0</v>
      </c>
      <c r="L774" t="n">
        <v>0</v>
      </c>
      <c r="M774" t="n">
        <v>0</v>
      </c>
      <c r="N774" t="n">
        <v>0</v>
      </c>
      <c r="O774" t="n">
        <v>0</v>
      </c>
      <c r="P774" t="n">
        <v>0</v>
      </c>
      <c r="Q774" t="n">
        <v>0</v>
      </c>
      <c r="R774" s="2" t="inlineStr"/>
    </row>
    <row r="775" ht="15" customHeight="1">
      <c r="A775" t="inlineStr">
        <is>
          <t>A 23245-2025</t>
        </is>
      </c>
      <c r="B775" s="1" t="n">
        <v>45791.50862268519</v>
      </c>
      <c r="C775" s="1" t="n">
        <v>46190</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32504-2025</t>
        </is>
      </c>
      <c r="B776" s="1" t="n">
        <v>45838.46456018519</v>
      </c>
      <c r="C776" s="1" t="n">
        <v>46190</v>
      </c>
      <c r="D776" t="inlineStr">
        <is>
          <t>ÖREBRO LÄN</t>
        </is>
      </c>
      <c r="E776" t="inlineStr">
        <is>
          <t>LINDESBERG</t>
        </is>
      </c>
      <c r="F776" t="inlineStr">
        <is>
          <t>Sveaskog</t>
        </is>
      </c>
      <c r="G776" t="n">
        <v>16.9</v>
      </c>
      <c r="H776" t="n">
        <v>0</v>
      </c>
      <c r="I776" t="n">
        <v>0</v>
      </c>
      <c r="J776" t="n">
        <v>0</v>
      </c>
      <c r="K776" t="n">
        <v>0</v>
      </c>
      <c r="L776" t="n">
        <v>0</v>
      </c>
      <c r="M776" t="n">
        <v>0</v>
      </c>
      <c r="N776" t="n">
        <v>0</v>
      </c>
      <c r="O776" t="n">
        <v>0</v>
      </c>
      <c r="P776" t="n">
        <v>0</v>
      </c>
      <c r="Q776" t="n">
        <v>0</v>
      </c>
      <c r="R776" s="2" t="inlineStr"/>
    </row>
    <row r="777" ht="15" customHeight="1">
      <c r="A777" t="inlineStr">
        <is>
          <t>A 48061-2025</t>
        </is>
      </c>
      <c r="B777" s="1" t="n">
        <v>45932.68006944445</v>
      </c>
      <c r="C777" s="1" t="n">
        <v>46190</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40755-2022</t>
        </is>
      </c>
      <c r="B778" s="1" t="n">
        <v>44820</v>
      </c>
      <c r="C778" s="1" t="n">
        <v>46190</v>
      </c>
      <c r="D778" t="inlineStr">
        <is>
          <t>ÖREBRO LÄN</t>
        </is>
      </c>
      <c r="E778" t="inlineStr">
        <is>
          <t>LINDESBERG</t>
        </is>
      </c>
      <c r="G778" t="n">
        <v>3.8</v>
      </c>
      <c r="H778" t="n">
        <v>0</v>
      </c>
      <c r="I778" t="n">
        <v>0</v>
      </c>
      <c r="J778" t="n">
        <v>0</v>
      </c>
      <c r="K778" t="n">
        <v>0</v>
      </c>
      <c r="L778" t="n">
        <v>0</v>
      </c>
      <c r="M778" t="n">
        <v>0</v>
      </c>
      <c r="N778" t="n">
        <v>0</v>
      </c>
      <c r="O778" t="n">
        <v>0</v>
      </c>
      <c r="P778" t="n">
        <v>0</v>
      </c>
      <c r="Q778" t="n">
        <v>0</v>
      </c>
      <c r="R778" s="2" t="inlineStr"/>
    </row>
    <row r="779" ht="15" customHeight="1">
      <c r="A779" t="inlineStr">
        <is>
          <t>A 34434-2023</t>
        </is>
      </c>
      <c r="B779" s="1" t="n">
        <v>45139.63480324074</v>
      </c>
      <c r="C779" s="1" t="n">
        <v>46190</v>
      </c>
      <c r="D779" t="inlineStr">
        <is>
          <t>ÖREBRO LÄN</t>
        </is>
      </c>
      <c r="E779" t="inlineStr">
        <is>
          <t>LINDESBERG</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36754-2024</t>
        </is>
      </c>
      <c r="B780" s="1" t="n">
        <v>45538.34796296297</v>
      </c>
      <c r="C780" s="1" t="n">
        <v>46190</v>
      </c>
      <c r="D780" t="inlineStr">
        <is>
          <t>ÖREBRO LÄN</t>
        </is>
      </c>
      <c r="E780" t="inlineStr">
        <is>
          <t>LINDESBERG</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31221-2025</t>
        </is>
      </c>
      <c r="B781" s="1" t="n">
        <v>45832.76491898148</v>
      </c>
      <c r="C781" s="1" t="n">
        <v>46190</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53510-2024</t>
        </is>
      </c>
      <c r="B782" s="1" t="n">
        <v>45614.5968287037</v>
      </c>
      <c r="C782" s="1" t="n">
        <v>46190</v>
      </c>
      <c r="D782" t="inlineStr">
        <is>
          <t>ÖREBRO LÄN</t>
        </is>
      </c>
      <c r="E782" t="inlineStr">
        <is>
          <t>LINDESBERG</t>
        </is>
      </c>
      <c r="G782" t="n">
        <v>1</v>
      </c>
      <c r="H782" t="n">
        <v>0</v>
      </c>
      <c r="I782" t="n">
        <v>0</v>
      </c>
      <c r="J782" t="n">
        <v>0</v>
      </c>
      <c r="K782" t="n">
        <v>0</v>
      </c>
      <c r="L782" t="n">
        <v>0</v>
      </c>
      <c r="M782" t="n">
        <v>0</v>
      </c>
      <c r="N782" t="n">
        <v>0</v>
      </c>
      <c r="O782" t="n">
        <v>0</v>
      </c>
      <c r="P782" t="n">
        <v>0</v>
      </c>
      <c r="Q782" t="n">
        <v>0</v>
      </c>
      <c r="R782" s="2" t="inlineStr"/>
    </row>
    <row r="783" ht="15" customHeight="1">
      <c r="A783" t="inlineStr">
        <is>
          <t>A 52098-2025</t>
        </is>
      </c>
      <c r="B783" s="1" t="n">
        <v>45952.68001157408</v>
      </c>
      <c r="C783" s="1" t="n">
        <v>46190</v>
      </c>
      <c r="D783" t="inlineStr">
        <is>
          <t>ÖREBRO LÄN</t>
        </is>
      </c>
      <c r="E783" t="inlineStr">
        <is>
          <t>LINDESBERG</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60492-2024</t>
        </is>
      </c>
      <c r="B784" s="1" t="n">
        <v>45642</v>
      </c>
      <c r="C784" s="1" t="n">
        <v>46190</v>
      </c>
      <c r="D784" t="inlineStr">
        <is>
          <t>ÖREBRO LÄN</t>
        </is>
      </c>
      <c r="E784" t="inlineStr">
        <is>
          <t>LINDESBERG</t>
        </is>
      </c>
      <c r="G784" t="n">
        <v>2.6</v>
      </c>
      <c r="H784" t="n">
        <v>0</v>
      </c>
      <c r="I784" t="n">
        <v>0</v>
      </c>
      <c r="J784" t="n">
        <v>0</v>
      </c>
      <c r="K784" t="n">
        <v>0</v>
      </c>
      <c r="L784" t="n">
        <v>0</v>
      </c>
      <c r="M784" t="n">
        <v>0</v>
      </c>
      <c r="N784" t="n">
        <v>0</v>
      </c>
      <c r="O784" t="n">
        <v>0</v>
      </c>
      <c r="P784" t="n">
        <v>0</v>
      </c>
      <c r="Q784" t="n">
        <v>0</v>
      </c>
      <c r="R784" s="2" t="inlineStr"/>
    </row>
    <row r="785" ht="15" customHeight="1">
      <c r="A785" t="inlineStr">
        <is>
          <t>A 31215-2025</t>
        </is>
      </c>
      <c r="B785" s="1" t="n">
        <v>45832.74418981482</v>
      </c>
      <c r="C785" s="1" t="n">
        <v>46190</v>
      </c>
      <c r="D785" t="inlineStr">
        <is>
          <t>ÖREBRO LÄN</t>
        </is>
      </c>
      <c r="E785" t="inlineStr">
        <is>
          <t>LINDESBERG</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26778-2023</t>
        </is>
      </c>
      <c r="B786" s="1" t="n">
        <v>45093.48221064815</v>
      </c>
      <c r="C786" s="1" t="n">
        <v>46190</v>
      </c>
      <c r="D786" t="inlineStr">
        <is>
          <t>ÖREBRO LÄN</t>
        </is>
      </c>
      <c r="E786" t="inlineStr">
        <is>
          <t>LINDESBERG</t>
        </is>
      </c>
      <c r="G786" t="n">
        <v>7.5</v>
      </c>
      <c r="H786" t="n">
        <v>0</v>
      </c>
      <c r="I786" t="n">
        <v>0</v>
      </c>
      <c r="J786" t="n">
        <v>0</v>
      </c>
      <c r="K786" t="n">
        <v>0</v>
      </c>
      <c r="L786" t="n">
        <v>0</v>
      </c>
      <c r="M786" t="n">
        <v>0</v>
      </c>
      <c r="N786" t="n">
        <v>0</v>
      </c>
      <c r="O786" t="n">
        <v>0</v>
      </c>
      <c r="P786" t="n">
        <v>0</v>
      </c>
      <c r="Q786" t="n">
        <v>0</v>
      </c>
      <c r="R786" s="2" t="inlineStr"/>
    </row>
    <row r="787" ht="15" customHeight="1">
      <c r="A787" t="inlineStr">
        <is>
          <t>A 29500-2023</t>
        </is>
      </c>
      <c r="B787" s="1" t="n">
        <v>45106</v>
      </c>
      <c r="C787" s="1" t="n">
        <v>46190</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34093-2022</t>
        </is>
      </c>
      <c r="B788" s="1" t="n">
        <v>44791</v>
      </c>
      <c r="C788" s="1" t="n">
        <v>46190</v>
      </c>
      <c r="D788" t="inlineStr">
        <is>
          <t>ÖREBRO LÄN</t>
        </is>
      </c>
      <c r="E788" t="inlineStr">
        <is>
          <t>LINDESBERG</t>
        </is>
      </c>
      <c r="G788" t="n">
        <v>3.3</v>
      </c>
      <c r="H788" t="n">
        <v>0</v>
      </c>
      <c r="I788" t="n">
        <v>0</v>
      </c>
      <c r="J788" t="n">
        <v>0</v>
      </c>
      <c r="K788" t="n">
        <v>0</v>
      </c>
      <c r="L788" t="n">
        <v>0</v>
      </c>
      <c r="M788" t="n">
        <v>0</v>
      </c>
      <c r="N788" t="n">
        <v>0</v>
      </c>
      <c r="O788" t="n">
        <v>0</v>
      </c>
      <c r="P788" t="n">
        <v>0</v>
      </c>
      <c r="Q788" t="n">
        <v>0</v>
      </c>
      <c r="R788" s="2" t="inlineStr"/>
    </row>
    <row r="789" ht="15" customHeight="1">
      <c r="A789" t="inlineStr">
        <is>
          <t>A 44067-2025</t>
        </is>
      </c>
      <c r="B789" s="1" t="n">
        <v>45915.54439814815</v>
      </c>
      <c r="C789" s="1" t="n">
        <v>46190</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41353-2024</t>
        </is>
      </c>
      <c r="B790" s="1" t="n">
        <v>45559</v>
      </c>
      <c r="C790" s="1" t="n">
        <v>46190</v>
      </c>
      <c r="D790" t="inlineStr">
        <is>
          <t>ÖREBRO LÄN</t>
        </is>
      </c>
      <c r="E790" t="inlineStr">
        <is>
          <t>LINDESBERG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4603-2024</t>
        </is>
      </c>
      <c r="B791" s="1" t="n">
        <v>45328</v>
      </c>
      <c r="C791" s="1" t="n">
        <v>46190</v>
      </c>
      <c r="D791" t="inlineStr">
        <is>
          <t>ÖREBRO LÄN</t>
        </is>
      </c>
      <c r="E791" t="inlineStr">
        <is>
          <t>LINDESBERG</t>
        </is>
      </c>
      <c r="F791" t="inlineStr">
        <is>
          <t>BillerudKorsnäs AB</t>
        </is>
      </c>
      <c r="G791" t="n">
        <v>4.3</v>
      </c>
      <c r="H791" t="n">
        <v>0</v>
      </c>
      <c r="I791" t="n">
        <v>0</v>
      </c>
      <c r="J791" t="n">
        <v>0</v>
      </c>
      <c r="K791" t="n">
        <v>0</v>
      </c>
      <c r="L791" t="n">
        <v>0</v>
      </c>
      <c r="M791" t="n">
        <v>0</v>
      </c>
      <c r="N791" t="n">
        <v>0</v>
      </c>
      <c r="O791" t="n">
        <v>0</v>
      </c>
      <c r="P791" t="n">
        <v>0</v>
      </c>
      <c r="Q791" t="n">
        <v>0</v>
      </c>
      <c r="R791" s="2" t="inlineStr"/>
    </row>
    <row r="792" ht="15" customHeight="1">
      <c r="A792" t="inlineStr">
        <is>
          <t>A 59052-2023</t>
        </is>
      </c>
      <c r="B792" s="1" t="n">
        <v>45252.78021990741</v>
      </c>
      <c r="C792" s="1" t="n">
        <v>46190</v>
      </c>
      <c r="D792" t="inlineStr">
        <is>
          <t>ÖREBRO LÄN</t>
        </is>
      </c>
      <c r="E792" t="inlineStr">
        <is>
          <t>LINDESBERG</t>
        </is>
      </c>
      <c r="G792" t="n">
        <v>4.2</v>
      </c>
      <c r="H792" t="n">
        <v>0</v>
      </c>
      <c r="I792" t="n">
        <v>0</v>
      </c>
      <c r="J792" t="n">
        <v>0</v>
      </c>
      <c r="K792" t="n">
        <v>0</v>
      </c>
      <c r="L792" t="n">
        <v>0</v>
      </c>
      <c r="M792" t="n">
        <v>0</v>
      </c>
      <c r="N792" t="n">
        <v>0</v>
      </c>
      <c r="O792" t="n">
        <v>0</v>
      </c>
      <c r="P792" t="n">
        <v>0</v>
      </c>
      <c r="Q792" t="n">
        <v>0</v>
      </c>
      <c r="R792" s="2" t="inlineStr"/>
    </row>
    <row r="793" ht="15" customHeight="1">
      <c r="A793" t="inlineStr">
        <is>
          <t>A 20970-2026</t>
        </is>
      </c>
      <c r="B793" s="1" t="n">
        <v>46142.56342592592</v>
      </c>
      <c r="C793" s="1" t="n">
        <v>46190</v>
      </c>
      <c r="D793" t="inlineStr">
        <is>
          <t>ÖREBRO LÄN</t>
        </is>
      </c>
      <c r="E793" t="inlineStr">
        <is>
          <t>LINDESBERG</t>
        </is>
      </c>
      <c r="F793" t="inlineStr">
        <is>
          <t>Naturvårdsverket</t>
        </is>
      </c>
      <c r="G793" t="n">
        <v>5</v>
      </c>
      <c r="H793" t="n">
        <v>0</v>
      </c>
      <c r="I793" t="n">
        <v>0</v>
      </c>
      <c r="J793" t="n">
        <v>0</v>
      </c>
      <c r="K793" t="n">
        <v>0</v>
      </c>
      <c r="L793" t="n">
        <v>0</v>
      </c>
      <c r="M793" t="n">
        <v>0</v>
      </c>
      <c r="N793" t="n">
        <v>0</v>
      </c>
      <c r="O793" t="n">
        <v>0</v>
      </c>
      <c r="P793" t="n">
        <v>0</v>
      </c>
      <c r="Q793" t="n">
        <v>0</v>
      </c>
      <c r="R793" s="2" t="inlineStr"/>
    </row>
    <row r="794" ht="15" customHeight="1">
      <c r="A794" t="inlineStr">
        <is>
          <t>A 20971-2026</t>
        </is>
      </c>
      <c r="B794" s="1" t="n">
        <v>46142.56399305556</v>
      </c>
      <c r="C794" s="1" t="n">
        <v>46190</v>
      </c>
      <c r="D794" t="inlineStr">
        <is>
          <t>ÖREBRO LÄN</t>
        </is>
      </c>
      <c r="E794" t="inlineStr">
        <is>
          <t>LINDESBERG</t>
        </is>
      </c>
      <c r="F794" t="inlineStr">
        <is>
          <t>Naturvårdsverket</t>
        </is>
      </c>
      <c r="G794" t="n">
        <v>4.5</v>
      </c>
      <c r="H794" t="n">
        <v>0</v>
      </c>
      <c r="I794" t="n">
        <v>0</v>
      </c>
      <c r="J794" t="n">
        <v>0</v>
      </c>
      <c r="K794" t="n">
        <v>0</v>
      </c>
      <c r="L794" t="n">
        <v>0</v>
      </c>
      <c r="M794" t="n">
        <v>0</v>
      </c>
      <c r="N794" t="n">
        <v>0</v>
      </c>
      <c r="O794" t="n">
        <v>0</v>
      </c>
      <c r="P794" t="n">
        <v>0</v>
      </c>
      <c r="Q794" t="n">
        <v>0</v>
      </c>
      <c r="R794" s="2" t="inlineStr"/>
    </row>
    <row r="795" ht="15" customHeight="1">
      <c r="A795" t="inlineStr">
        <is>
          <t>A 26707-2026</t>
        </is>
      </c>
      <c r="B795" s="1" t="n">
        <v>46184.47827546296</v>
      </c>
      <c r="C795" s="1" t="n">
        <v>46190</v>
      </c>
      <c r="D795" t="inlineStr">
        <is>
          <t>ÖREBRO LÄN</t>
        </is>
      </c>
      <c r="E795" t="inlineStr">
        <is>
          <t>LINDESBERG</t>
        </is>
      </c>
      <c r="G795" t="n">
        <v>3.6</v>
      </c>
      <c r="H795" t="n">
        <v>0</v>
      </c>
      <c r="I795" t="n">
        <v>0</v>
      </c>
      <c r="J795" t="n">
        <v>0</v>
      </c>
      <c r="K795" t="n">
        <v>0</v>
      </c>
      <c r="L795" t="n">
        <v>0</v>
      </c>
      <c r="M795" t="n">
        <v>0</v>
      </c>
      <c r="N795" t="n">
        <v>0</v>
      </c>
      <c r="O795" t="n">
        <v>0</v>
      </c>
      <c r="P795" t="n">
        <v>0</v>
      </c>
      <c r="Q795" t="n">
        <v>0</v>
      </c>
      <c r="R795" s="2" t="inlineStr"/>
    </row>
    <row r="796" ht="15" customHeight="1">
      <c r="A796" t="inlineStr">
        <is>
          <t>A 21084-2026</t>
        </is>
      </c>
      <c r="B796" s="1" t="n">
        <v>46146.43534722222</v>
      </c>
      <c r="C796" s="1" t="n">
        <v>46190</v>
      </c>
      <c r="D796" t="inlineStr">
        <is>
          <t>ÖREBRO LÄN</t>
        </is>
      </c>
      <c r="E796" t="inlineStr">
        <is>
          <t>LINDESBERG</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27432-2026</t>
        </is>
      </c>
      <c r="B797" s="1" t="n">
        <v>46189.44440972222</v>
      </c>
      <c r="C797" s="1" t="n">
        <v>46190</v>
      </c>
      <c r="D797" t="inlineStr">
        <is>
          <t>ÖREBRO LÄN</t>
        </is>
      </c>
      <c r="E797" t="inlineStr">
        <is>
          <t>LINDESBERG</t>
        </is>
      </c>
      <c r="G797" t="n">
        <v>2.4</v>
      </c>
      <c r="H797" t="n">
        <v>0</v>
      </c>
      <c r="I797" t="n">
        <v>0</v>
      </c>
      <c r="J797" t="n">
        <v>0</v>
      </c>
      <c r="K797" t="n">
        <v>0</v>
      </c>
      <c r="L797" t="n">
        <v>0</v>
      </c>
      <c r="M797" t="n">
        <v>0</v>
      </c>
      <c r="N797" t="n">
        <v>0</v>
      </c>
      <c r="O797" t="n">
        <v>0</v>
      </c>
      <c r="P797" t="n">
        <v>0</v>
      </c>
      <c r="Q797" t="n">
        <v>0</v>
      </c>
      <c r="R797" s="2" t="inlineStr"/>
    </row>
    <row r="798" ht="15" customHeight="1">
      <c r="A798" t="inlineStr">
        <is>
          <t>A 27438-2026</t>
        </is>
      </c>
      <c r="B798" s="1" t="n">
        <v>46189.45015046297</v>
      </c>
      <c r="C798" s="1" t="n">
        <v>46190</v>
      </c>
      <c r="D798" t="inlineStr">
        <is>
          <t>ÖREBRO LÄN</t>
        </is>
      </c>
      <c r="E798" t="inlineStr">
        <is>
          <t>LINDESBERG</t>
        </is>
      </c>
      <c r="G798" t="n">
        <v>1</v>
      </c>
      <c r="H798" t="n">
        <v>0</v>
      </c>
      <c r="I798" t="n">
        <v>0</v>
      </c>
      <c r="J798" t="n">
        <v>0</v>
      </c>
      <c r="K798" t="n">
        <v>0</v>
      </c>
      <c r="L798" t="n">
        <v>0</v>
      </c>
      <c r="M798" t="n">
        <v>0</v>
      </c>
      <c r="N798" t="n">
        <v>0</v>
      </c>
      <c r="O798" t="n">
        <v>0</v>
      </c>
      <c r="P798" t="n">
        <v>0</v>
      </c>
      <c r="Q798" t="n">
        <v>0</v>
      </c>
      <c r="R798" s="2" t="inlineStr"/>
    </row>
    <row r="799">
      <c r="A799" t="inlineStr">
        <is>
          <t>A 27501-2026</t>
        </is>
      </c>
      <c r="B799" s="1" t="n">
        <v>46189.64032407408</v>
      </c>
      <c r="C799" s="1" t="n">
        <v>46190</v>
      </c>
      <c r="D799" t="inlineStr">
        <is>
          <t>ÖREBRO LÄN</t>
        </is>
      </c>
      <c r="E799" t="inlineStr">
        <is>
          <t>LINDESBERG</t>
        </is>
      </c>
      <c r="G799" t="n">
        <v>0.6</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2026-06-17T09:23:43Z</dcterms:created>
  <dcterms:modified xmlns:dcterms="http://purl.org/dc/terms/" xmlns:xsi="http://www.w3.org/2001/XMLSchema-instance" xsi:type="dcterms:W3CDTF">2026-06-17T09:23:44Z</dcterms:modified>
</cp:coreProperties>
</file>