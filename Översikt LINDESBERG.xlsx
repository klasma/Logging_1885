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45643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45643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45643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45643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45643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45643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45643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45643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45643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45643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45643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45643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45643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45643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45643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45643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45643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45643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45643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45643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45643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45643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45643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45643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45643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45643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45643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45643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45643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45643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45643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45643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45643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45643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45643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45643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45643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45643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45643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45643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45643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45643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45643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45643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45643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45643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45643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45643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45643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45643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45643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45643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45643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45643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45643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45643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45643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45643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45643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45643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45643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45643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45643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45643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45643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45643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45643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45643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45643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45643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45643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45643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45643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45643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45643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45643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45643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45643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45643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45643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45643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45643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45643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45643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53600-2024</t>
        </is>
      </c>
      <c r="B86" s="1" t="n">
        <v>45614</v>
      </c>
      <c r="C86" s="1" t="n">
        <v>45643</v>
      </c>
      <c r="D86" t="inlineStr">
        <is>
          <t>ÖREBRO LÄN</t>
        </is>
      </c>
      <c r="E86" t="inlineStr">
        <is>
          <t>LINDESBERG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53600-2024 artfynd.xlsx", "A 53600-2024")</f>
        <v/>
      </c>
      <c r="T86">
        <f>HYPERLINK("https://klasma.github.io/Logging_1885/kartor/A 53600-2024 karta.png", "A 53600-2024")</f>
        <v/>
      </c>
      <c r="V86">
        <f>HYPERLINK("https://klasma.github.io/Logging_1885/klagomål/A 53600-2024 FSC-klagomål.docx", "A 53600-2024")</f>
        <v/>
      </c>
      <c r="W86">
        <f>HYPERLINK("https://klasma.github.io/Logging_1885/klagomålsmail/A 53600-2024 FSC-klagomål mail.docx", "A 53600-2024")</f>
        <v/>
      </c>
      <c r="X86">
        <f>HYPERLINK("https://klasma.github.io/Logging_1885/tillsyn/A 53600-2024 tillsynsbegäran.docx", "A 53600-2024")</f>
        <v/>
      </c>
      <c r="Y86">
        <f>HYPERLINK("https://klasma.github.io/Logging_1885/tillsynsmail/A 53600-2024 tillsynsbegäran mail.docx", "A 53600-2024")</f>
        <v/>
      </c>
    </row>
    <row r="87" ht="15" customHeight="1">
      <c r="A87" t="inlineStr">
        <is>
          <t>A 53598-2024</t>
        </is>
      </c>
      <c r="B87" s="1" t="n">
        <v>45614</v>
      </c>
      <c r="C87" s="1" t="n">
        <v>45643</v>
      </c>
      <c r="D87" t="inlineStr">
        <is>
          <t>ÖREBRO LÄN</t>
        </is>
      </c>
      <c r="E87" t="inlineStr">
        <is>
          <t>LINDESBERG</t>
        </is>
      </c>
      <c r="G87" t="n">
        <v>3.1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53598-2024 artfynd.xlsx", "A 53598-2024")</f>
        <v/>
      </c>
      <c r="T87">
        <f>HYPERLINK("https://klasma.github.io/Logging_1885/kartor/A 53598-2024 karta.png", "A 53598-2024")</f>
        <v/>
      </c>
      <c r="V87">
        <f>HYPERLINK("https://klasma.github.io/Logging_1885/klagomål/A 53598-2024 FSC-klagomål.docx", "A 53598-2024")</f>
        <v/>
      </c>
      <c r="W87">
        <f>HYPERLINK("https://klasma.github.io/Logging_1885/klagomålsmail/A 53598-2024 FSC-klagomål mail.docx", "A 53598-2024")</f>
        <v/>
      </c>
      <c r="X87">
        <f>HYPERLINK("https://klasma.github.io/Logging_1885/tillsyn/A 53598-2024 tillsynsbegäran.docx", "A 53598-2024")</f>
        <v/>
      </c>
      <c r="Y87">
        <f>HYPERLINK("https://klasma.github.io/Logging_1885/tillsynsmail/A 53598-2024 tillsynsbegäran mail.docx", "A 53598-2024")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45643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45643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45643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45643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45643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45643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45643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45643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45643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45643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45643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45643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45643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45643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45643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45643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45643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45643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45643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45643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45643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45643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45643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45643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45643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45643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45643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45643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45643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45643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45643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45643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45643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45643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45643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45643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45643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45643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45643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45643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45643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45643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45643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45643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45643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45643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45643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45643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45643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45643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45643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45643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45643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45643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45643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45643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45643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45643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45643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45643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45643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45643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45643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45643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45643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45643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45643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45643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45643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45643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45643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45643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45643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45643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45643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45643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45643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45643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45643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45643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45643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45643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45643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45643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45643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45643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45643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45643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45643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45643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45643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45643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45643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45643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45643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45643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45643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45643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45643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45643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45643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45643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45643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45643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45643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45643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45643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45643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45643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45643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45643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45643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45643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45643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45643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45643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45643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45643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45643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45643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45643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45643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45643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45643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45643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45643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45643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45643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45643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45643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45643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45643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45643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45643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45643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45643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45643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45643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45643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45643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45643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45643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45643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45643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45643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45643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45643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45643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45643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45643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45643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45643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45643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45643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45643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45643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45643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45643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45643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45643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45643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45643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45643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45643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45643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45643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45643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45643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45643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45643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45643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45643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45643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45643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45643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45643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45643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45643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45643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45643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45643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45643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45643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45643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45643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45643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45643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45643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45643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45643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45643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45643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45643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45643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45643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45643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45643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45643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45643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45643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45643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45643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45643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45643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45643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45643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45643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45643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45643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45643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45643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45643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45643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45643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45643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45643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45643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45643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45643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45643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45643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45643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45643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45643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45643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45643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45643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45643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45643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45643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45643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45643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45643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45643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45643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45643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45643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45643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45643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45643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45643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45643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45643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45643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45643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45643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45643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45643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45643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45643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45643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45643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45643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45643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45643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45643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45643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45643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45643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45643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45643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45643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45643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45643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45643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45643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45643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45643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45643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45643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45643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45643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45643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45643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45643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45643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45643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45643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45643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45643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45643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45643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45643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45643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45643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45643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45643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45643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45643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45643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45643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45643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45643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45643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45643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45643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45643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45643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45643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45643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45643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45643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45643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45643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45643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45643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45643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45643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45643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45643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45643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45643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45643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45643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45643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45643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45643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45643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45643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45643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45643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45643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45643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45643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45643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45643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45643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45643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45643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45643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45643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45643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45643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45643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45643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45643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45643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45643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45643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45643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45643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45643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45643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45643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45643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45643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45643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45643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45643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45643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45643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45643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45643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45643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45643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45643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45643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45643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45643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45643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45643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45643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45643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45643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45643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45643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45643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45643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45643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45643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45643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45643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45643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45643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45643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45643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45643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45643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45643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45643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45643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45643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45643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45643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45643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45643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45643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45643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45643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45643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45643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45643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45643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45643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45643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45643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45643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45643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45643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45643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45643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45643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45643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45643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45643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45643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45643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45643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45643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45643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45643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45643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45643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45643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45643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45643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45643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45643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45643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45643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45643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45643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45643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45643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45643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45643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45643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45643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45643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45643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45643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45643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45643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45643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45643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45643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45643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45643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45643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45643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45643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45643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45643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45643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45643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45643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45643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45643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45643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45643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45643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45643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45643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45643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45643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45643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45643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45643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45643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45643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45643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45643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45643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45643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45643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45643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45643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45643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45643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45643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45643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45643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45643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45643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45643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45643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45643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45643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45643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45643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45643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45643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45643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45643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45643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45643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45643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45643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45643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45643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45643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45643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45643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45643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45643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45643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45643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45643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45643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45643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45643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45643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45643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45643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45643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45643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45643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45643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45643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45643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45643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45643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45643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45643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45643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45643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45643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45643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45643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45643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45643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45643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45643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45643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45643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45643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45643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45643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45643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45643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45643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45643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45643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45643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45643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45643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45643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45643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45643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45643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45643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45643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45643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45643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45643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45643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45643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45643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45643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45643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45643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45643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45643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45643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45643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45643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45643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45643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45643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45643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45643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45643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45643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45643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45643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45643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45643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45643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45643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45643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45643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45643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45643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45643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45643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45643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45643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45643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45643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45643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45643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45643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45643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45643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45643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45643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45643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45643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45643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45643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45643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45643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45643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45643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45643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45643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45643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45643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45643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45643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45643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45643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45643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45643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45643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45643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45643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45643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45643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45643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45643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45643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45643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45643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45643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45643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45643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45643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45643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45643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45643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45643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45643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45643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45643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45643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45643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45643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45643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45643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45643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45643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45643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45643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45643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45643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45643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45643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45643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45643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45643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45643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45643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45643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45643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45643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45643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45643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45643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45643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45643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45643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45643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45643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45643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45643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45643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45643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45643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45643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45643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45643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45643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45643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45643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45643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45643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45643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45643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45643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45643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45643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45643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45643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45643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45643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45643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45643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45643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45643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45643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45643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45643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45643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45643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45643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45643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45643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45643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45643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45643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45643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45643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45643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45643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45643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45643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45643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45643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45643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45643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45643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45643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45643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45643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45643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45643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45643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45643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45643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45643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45643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45643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45643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45643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45643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45643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45643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45643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45643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45643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45643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45643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45643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45643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45643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45643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45643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45643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45643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45643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45643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45643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45643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45643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45643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45643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45643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45643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45643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45643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45643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45643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45643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45643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45643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45643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45643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45643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45643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45643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45643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45643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45643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45643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45643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45643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45643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45643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45643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45643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45643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45643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45643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45643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45643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45643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45643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45643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45643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45643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45643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45643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45643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45643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45643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45643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45643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45643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45643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45643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45643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45643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45643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45643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45643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45643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45643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45643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45643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45643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45643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45643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45643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45643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45643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45643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45643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45643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45643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45643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45643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45643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45643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45643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45643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45643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45643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45643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45643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45643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45643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45643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45643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45643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45643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45643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45643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45643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45643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45643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45643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45643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45643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45643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45643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45643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45643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45643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45643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45643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45643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45643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45643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45643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45643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45643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45643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45643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45643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45643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45643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45643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45643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45643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45643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45643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45643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45643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45643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45643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45643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45643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45643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45643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45643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45643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45643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45643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45643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45643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45643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45643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45643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45643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45643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45643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45643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45643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45643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45643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45643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45643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45643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45643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45643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45643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45643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45643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45643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45643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45643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45643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45643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45643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45643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45643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45643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45643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45643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45643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45643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45643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45643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45643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45643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45643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45643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45643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45643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45643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45643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45643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45643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45643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45643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45643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45643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45643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45643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45643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45643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45643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45643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45643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45643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45643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45643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45643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45643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45643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45643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45643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45643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45643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45643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45643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45643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45643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45643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45643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45643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45643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45643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45643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45643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45643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45643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45643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45643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45643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45643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45643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45643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45643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45643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45643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45643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45643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45643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45643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45643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45643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45643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45643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45643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45643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45643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45643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45643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45643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45643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45643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45643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45643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45643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45643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45643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45643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45643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45643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45643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45643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45643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45643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45643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45643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45643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45643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45643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45643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45643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45643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45643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45643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45643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45643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45643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45643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45643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45643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45643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45643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45643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45643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45643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45643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45643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45643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45643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45643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45643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45643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45643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45643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45643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45643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45643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45643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45643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45643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45643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45643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45643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45643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45643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45643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45643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45643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45643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45643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45643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45643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45643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45643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45643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45643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45643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45643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45643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45643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45643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45643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45643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45643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45643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45643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45643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45643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45643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45643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45643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45643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45643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45643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45643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45643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45643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45643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45643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45643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45643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45643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45643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45643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45643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45643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45643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45643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45643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45643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45643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45643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45643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45643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45643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45643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45643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45643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45643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45643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45643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45643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45643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45643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45643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45643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45643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45643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45643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45643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45643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45643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45643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45643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45643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45643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45643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45643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45643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45643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45643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45643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45643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45643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45643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45643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45643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45643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45643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45643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45643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45643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45643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45643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45643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45643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45643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45643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45643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45643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45643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45643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45643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45643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45643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45643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45643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45643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45643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45643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45643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45643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45643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45643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45643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45643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45643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45643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45643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45643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45643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45643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45643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45643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45643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45643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45643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45643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45643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45643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45643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45643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45643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45643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45643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45643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45643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45643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45643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45643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45643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45643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45643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45643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45643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45643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45643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45643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45643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45643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45643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45643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45643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45643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45643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45643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45643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45643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45643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45643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45643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45643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45643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45643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45643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45643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45643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45643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45643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45643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45643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45643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45643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45643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45643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45643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45643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45643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45643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45643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45643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45643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45643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45643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45643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45643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45643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45643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45643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45643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45643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45643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45643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45643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45643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45643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45643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45643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45643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45643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45643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45643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45643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45643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45643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45643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45643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45643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45643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45643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45643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45643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45643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45643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45643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45643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45643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45643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45643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45643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45643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45643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45643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45643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45643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45643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45643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45643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45643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45643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45643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45643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45643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45643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45643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45643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45643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45643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45643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45643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45643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45643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45643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45643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45643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45643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45643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45643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45643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45643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45643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45643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45643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45643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45643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45643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45643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45643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45643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45643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45643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45643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45643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45643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45643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45643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45643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45643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45643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45643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45643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45643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45643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45643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45643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45643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45643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45643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45643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45643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45643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45643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45643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45643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45643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45643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45643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45643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45643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45643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45643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45643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45643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45643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45643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45643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45643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45643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45643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45643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45643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45643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45643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45643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45643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45643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45643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45643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45643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45643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45643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45643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45643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45643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45643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45643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45643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45643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45643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45643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45643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45643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45643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45643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45643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45643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45643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45643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45643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45643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45643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45643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45643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45643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45643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45643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45643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45643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45643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45643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45643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45643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45643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45643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45643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45643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45643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45643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45643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45643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45643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45643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45643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45643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45643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45643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45643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45643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45643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45643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45643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45643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45643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45643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45643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45643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45643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45643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45643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45643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45643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45643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45643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45643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45643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45643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45643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45643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45643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45643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45643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45643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45643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45643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45643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45643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45643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45643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45643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45643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45643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45643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45643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45643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45643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45643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45643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45643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45643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45643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45643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45643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45643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45643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45643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45643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45643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45643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45643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45643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45643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45643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45643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45643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45643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45643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45643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45643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45643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45643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45643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45643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45643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45643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45643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45643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45643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45643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45643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45643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45643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45643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45643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45643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45643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45643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45643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45643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45643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45643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45643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54784-2024</t>
        </is>
      </c>
      <c r="B1540" s="1" t="n">
        <v>45618</v>
      </c>
      <c r="C1540" s="1" t="n">
        <v>45643</v>
      </c>
      <c r="D1540" t="inlineStr">
        <is>
          <t>ÖREBRO LÄN</t>
        </is>
      </c>
      <c r="E1540" t="inlineStr">
        <is>
          <t>LINDESBERG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54793-2024</t>
        </is>
      </c>
      <c r="B1541" s="1" t="n">
        <v>45618</v>
      </c>
      <c r="C1541" s="1" t="n">
        <v>45643</v>
      </c>
      <c r="D1541" t="inlineStr">
        <is>
          <t>ÖREBRO LÄN</t>
        </is>
      </c>
      <c r="E1541" t="inlineStr">
        <is>
          <t>LINDESBERG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54860-2024</t>
        </is>
      </c>
      <c r="B1542" s="1" t="n">
        <v>45618</v>
      </c>
      <c r="C1542" s="1" t="n">
        <v>45643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54864-2024</t>
        </is>
      </c>
      <c r="B1543" s="1" t="n">
        <v>45618</v>
      </c>
      <c r="C1543" s="1" t="n">
        <v>45643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54855-2024</t>
        </is>
      </c>
      <c r="B1544" s="1" t="n">
        <v>45618</v>
      </c>
      <c r="C1544" s="1" t="n">
        <v>45643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54859-2024</t>
        </is>
      </c>
      <c r="B1545" s="1" t="n">
        <v>45618</v>
      </c>
      <c r="C1545" s="1" t="n">
        <v>45643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45643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45643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45643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45643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45643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56816-2024</t>
        </is>
      </c>
      <c r="B1551" s="1" t="n">
        <v>45628</v>
      </c>
      <c r="C1551" s="1" t="n">
        <v>45643</v>
      </c>
      <c r="D1551" t="inlineStr">
        <is>
          <t>ÖREBRO LÄN</t>
        </is>
      </c>
      <c r="E1551" t="inlineStr">
        <is>
          <t>LINDESBERG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45643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45643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45643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45643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58697-2024</t>
        </is>
      </c>
      <c r="B1556" s="1" t="n">
        <v>45635</v>
      </c>
      <c r="C1556" s="1" t="n">
        <v>45643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45643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45643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59926-2024</t>
        </is>
      </c>
      <c r="B1559" s="1" t="n">
        <v>45642</v>
      </c>
      <c r="C1559" s="1" t="n">
        <v>45643</v>
      </c>
      <c r="D1559" t="inlineStr">
        <is>
          <t>ÖREBRO LÄN</t>
        </is>
      </c>
      <c r="E1559" t="inlineStr">
        <is>
          <t>LINDESBERG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60200-2024</t>
        </is>
      </c>
      <c r="B1560" s="1" t="n">
        <v>45642</v>
      </c>
      <c r="C1560" s="1" t="n">
        <v>45643</v>
      </c>
      <c r="D1560" t="inlineStr">
        <is>
          <t>ÖREBRO LÄN</t>
        </is>
      </c>
      <c r="E1560" t="inlineStr">
        <is>
          <t>LINDESBERG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2024-12-17T15:21:57Z</dcterms:created>
  <dcterms:modified xmlns:dcterms="http://purl.org/dc/terms/" xmlns:xsi="http://www.w3.org/2001/XMLSchema-instance" xsi:type="dcterms:W3CDTF">2024-12-17T15:21:58Z</dcterms:modified>
</cp:coreProperties>
</file>