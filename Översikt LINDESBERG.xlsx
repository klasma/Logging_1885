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46195</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46195</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46195</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46195</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46195</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46195</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46195</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34293-2023</t>
        </is>
      </c>
      <c r="B9" s="1" t="n">
        <v>45138</v>
      </c>
      <c r="C9" s="1" t="n">
        <v>46195</v>
      </c>
      <c r="D9" t="inlineStr">
        <is>
          <t>ÖREBRO LÄN</t>
        </is>
      </c>
      <c r="E9" t="inlineStr">
        <is>
          <t>LINDESBERG</t>
        </is>
      </c>
      <c r="F9" t="inlineStr">
        <is>
          <t>Sveaskog</t>
        </is>
      </c>
      <c r="G9" t="n">
        <v>0.5</v>
      </c>
      <c r="H9" t="n">
        <v>4</v>
      </c>
      <c r="I9" t="n">
        <v>3</v>
      </c>
      <c r="J9" t="n">
        <v>5</v>
      </c>
      <c r="K9" t="n">
        <v>1</v>
      </c>
      <c r="L9" t="n">
        <v>0</v>
      </c>
      <c r="M9" t="n">
        <v>0</v>
      </c>
      <c r="N9" t="n">
        <v>0</v>
      </c>
      <c r="O9" t="n">
        <v>6</v>
      </c>
      <c r="P9" t="n">
        <v>1</v>
      </c>
      <c r="Q9" t="n">
        <v>11</v>
      </c>
      <c r="R9" s="2" t="inlineStr">
        <is>
          <t>Knärot
Dropptaggsvamp
Fjällig taggsvamp s.str.
Motaggsvamp
Sotvaxskivling
Svartvit taggsvamp
Korallrot
Sotriska
Vedticka
Fläcknycklar
Revlummer</t>
        </is>
      </c>
      <c r="S9">
        <f>HYPERLINK("https://klasma.github.io/Logging_1885/artfynd/A 34293-2023 artfynd.xlsx", "A 34293-2023")</f>
        <v/>
      </c>
      <c r="T9">
        <f>HYPERLINK("https://klasma.github.io/Logging_1885/kartor/A 34293-2023 karta.png", "A 34293-2023")</f>
        <v/>
      </c>
      <c r="U9">
        <f>HYPERLINK("https://klasma.github.io/Logging_1885/knärot/A 34293-2023 karta knärot.png", "A 34293-2023")</f>
        <v/>
      </c>
      <c r="V9">
        <f>HYPERLINK("https://klasma.github.io/Logging_1885/klagomål/A 34293-2023 FSC-klagomål.docx", "A 34293-2023")</f>
        <v/>
      </c>
      <c r="W9">
        <f>HYPERLINK("https://klasma.github.io/Logging_1885/klagomålsmail/A 34293-2023 FSC-klagomål mail.docx", "A 34293-2023")</f>
        <v/>
      </c>
      <c r="X9">
        <f>HYPERLINK("https://klasma.github.io/Logging_1885/tillsyn/A 34293-2023 tillsynsbegäran.docx", "A 34293-2023")</f>
        <v/>
      </c>
      <c r="Y9">
        <f>HYPERLINK("https://klasma.github.io/Logging_1885/tillsynsmail/A 34293-2023 tillsynsbegäran mail.docx", "A 34293-2023")</f>
        <v/>
      </c>
    </row>
    <row r="10" ht="15" customHeight="1">
      <c r="A10" t="inlineStr">
        <is>
          <t>A 42636-2025</t>
        </is>
      </c>
      <c r="B10" s="1" t="n">
        <v>45905</v>
      </c>
      <c r="C10" s="1" t="n">
        <v>46195</v>
      </c>
      <c r="D10" t="inlineStr">
        <is>
          <t>ÖREBRO LÄN</t>
        </is>
      </c>
      <c r="E10" t="inlineStr">
        <is>
          <t>LINDESBERG</t>
        </is>
      </c>
      <c r="F10" t="inlineStr">
        <is>
          <t>Sveaskog</t>
        </is>
      </c>
      <c r="G10" t="n">
        <v>1.9</v>
      </c>
      <c r="H10" t="n">
        <v>2</v>
      </c>
      <c r="I10" t="n">
        <v>1</v>
      </c>
      <c r="J10" t="n">
        <v>7</v>
      </c>
      <c r="K10" t="n">
        <v>0</v>
      </c>
      <c r="L10" t="n">
        <v>1</v>
      </c>
      <c r="M10" t="n">
        <v>0</v>
      </c>
      <c r="N10" t="n">
        <v>0</v>
      </c>
      <c r="O10" t="n">
        <v>8</v>
      </c>
      <c r="P10" t="n">
        <v>1</v>
      </c>
      <c r="Q10" t="n">
        <v>11</v>
      </c>
      <c r="R10" s="2" t="inlineStr">
        <is>
          <t>Brödtaggsvamp
Dvärgbägarlav
Gransotdyna
Motaggsvamp
Tallticka
Ullticka
Vedskivlav
Violmussling
Vedticka
Järpe
Revlummer</t>
        </is>
      </c>
      <c r="S10">
        <f>HYPERLINK("https://klasma.github.io/Logging_1885/artfynd/A 42636-2025 artfynd.xlsx", "A 42636-2025")</f>
        <v/>
      </c>
      <c r="T10">
        <f>HYPERLINK("https://klasma.github.io/Logging_1885/kartor/A 42636-2025 karta.png", "A 42636-2025")</f>
        <v/>
      </c>
      <c r="U10">
        <f>HYPERLINK("https://klasma.github.io/Logging_1885/knärot/A 42636-2025 karta knärot.png", "A 42636-2025")</f>
        <v/>
      </c>
      <c r="V10">
        <f>HYPERLINK("https://klasma.github.io/Logging_1885/klagomål/A 42636-2025 FSC-klagomål.docx", "A 42636-2025")</f>
        <v/>
      </c>
      <c r="W10">
        <f>HYPERLINK("https://klasma.github.io/Logging_1885/klagomålsmail/A 42636-2025 FSC-klagomål mail.docx", "A 42636-2025")</f>
        <v/>
      </c>
      <c r="X10">
        <f>HYPERLINK("https://klasma.github.io/Logging_1885/tillsyn/A 42636-2025 tillsynsbegäran.docx", "A 42636-2025")</f>
        <v/>
      </c>
      <c r="Y10">
        <f>HYPERLINK("https://klasma.github.io/Logging_1885/tillsynsmail/A 42636-2025 tillsynsbegäran mail.docx", "A 42636-2025")</f>
        <v/>
      </c>
      <c r="Z10">
        <f>HYPERLINK("https://klasma.github.io/Logging_1885/fåglar/A 42636-2025 prioriterade fågelarter.docx", "A 42636-2025")</f>
        <v/>
      </c>
    </row>
    <row r="11" ht="15" customHeight="1">
      <c r="A11" t="inlineStr">
        <is>
          <t>A 8186-2026</t>
        </is>
      </c>
      <c r="B11" s="1" t="n">
        <v>46064</v>
      </c>
      <c r="C11" s="1" t="n">
        <v>46195</v>
      </c>
      <c r="D11" t="inlineStr">
        <is>
          <t>ÖREBRO LÄN</t>
        </is>
      </c>
      <c r="E11" t="inlineStr">
        <is>
          <t>LINDESBERG</t>
        </is>
      </c>
      <c r="G11" t="n">
        <v>2.4</v>
      </c>
      <c r="H11" t="n">
        <v>7</v>
      </c>
      <c r="I11" t="n">
        <v>4</v>
      </c>
      <c r="J11" t="n">
        <v>2</v>
      </c>
      <c r="K11" t="n">
        <v>0</v>
      </c>
      <c r="L11" t="n">
        <v>0</v>
      </c>
      <c r="M11" t="n">
        <v>0</v>
      </c>
      <c r="N11" t="n">
        <v>0</v>
      </c>
      <c r="O11" t="n">
        <v>2</v>
      </c>
      <c r="P11" t="n">
        <v>0</v>
      </c>
      <c r="Q11" t="n">
        <v>11</v>
      </c>
      <c r="R11" s="2" t="inlineStr">
        <is>
          <t>Grönsångare
Järnsparv
Svart trolldruva
Thomsons trägnagare
Tibast
Tvåblad
Ormbär
Grönsiska
Kungsfågel
Svartvit flugsnappare
Ärtsångare</t>
        </is>
      </c>
      <c r="S11">
        <f>HYPERLINK("https://klasma.github.io/Logging_1885/artfynd/A 8186-2026 artfynd.xlsx", "A 8186-2026")</f>
        <v/>
      </c>
      <c r="T11">
        <f>HYPERLINK("https://klasma.github.io/Logging_1885/kartor/A 8186-2026 karta.png", "A 8186-2026")</f>
        <v/>
      </c>
      <c r="V11">
        <f>HYPERLINK("https://klasma.github.io/Logging_1885/klagomål/A 8186-2026 FSC-klagomål.docx", "A 8186-2026")</f>
        <v/>
      </c>
      <c r="W11">
        <f>HYPERLINK("https://klasma.github.io/Logging_1885/klagomålsmail/A 8186-2026 FSC-klagomål mail.docx", "A 8186-2026")</f>
        <v/>
      </c>
      <c r="X11">
        <f>HYPERLINK("https://klasma.github.io/Logging_1885/tillsyn/A 8186-2026 tillsynsbegäran.docx", "A 8186-2026")</f>
        <v/>
      </c>
      <c r="Y11">
        <f>HYPERLINK("https://klasma.github.io/Logging_1885/tillsynsmail/A 8186-2026 tillsynsbegäran mail.docx", "A 8186-2026")</f>
        <v/>
      </c>
      <c r="Z11">
        <f>HYPERLINK("https://klasma.github.io/Logging_1885/fåglar/A 8186-2026 prioriterade fågelarter.docx", "A 8186-2026")</f>
        <v/>
      </c>
    </row>
    <row r="12" ht="15" customHeight="1">
      <c r="A12" t="inlineStr">
        <is>
          <t>A 8195-2026</t>
        </is>
      </c>
      <c r="B12" s="1" t="n">
        <v>46064</v>
      </c>
      <c r="C12" s="1" t="n">
        <v>46195</v>
      </c>
      <c r="D12" t="inlineStr">
        <is>
          <t>ÖREBRO LÄN</t>
        </is>
      </c>
      <c r="E12" t="inlineStr">
        <is>
          <t>LINDESBERG</t>
        </is>
      </c>
      <c r="G12" t="n">
        <v>2.3</v>
      </c>
      <c r="H12" t="n">
        <v>6</v>
      </c>
      <c r="I12" t="n">
        <v>5</v>
      </c>
      <c r="J12" t="n">
        <v>2</v>
      </c>
      <c r="K12" t="n">
        <v>0</v>
      </c>
      <c r="L12" t="n">
        <v>1</v>
      </c>
      <c r="M12" t="n">
        <v>0</v>
      </c>
      <c r="N12" t="n">
        <v>0</v>
      </c>
      <c r="O12" t="n">
        <v>3</v>
      </c>
      <c r="P12" t="n">
        <v>1</v>
      </c>
      <c r="Q12" t="n">
        <v>11</v>
      </c>
      <c r="R12" s="2" t="inlineStr">
        <is>
          <t>Ask
Grönsångare
Järnsparv
Rödgul trumpetsvamp
Svart trolldruva
Tvåblad
Västlig hakmossa
Vätteros
Spillkråka
Kungsfågel
Svartvit flugsnappare</t>
        </is>
      </c>
      <c r="S12">
        <f>HYPERLINK("https://klasma.github.io/Logging_1885/artfynd/A 8195-2026 artfynd.xlsx", "A 8195-2026")</f>
        <v/>
      </c>
      <c r="T12">
        <f>HYPERLINK("https://klasma.github.io/Logging_1885/kartor/A 8195-2026 karta.png", "A 8195-2026")</f>
        <v/>
      </c>
      <c r="V12">
        <f>HYPERLINK("https://klasma.github.io/Logging_1885/klagomål/A 8195-2026 FSC-klagomål.docx", "A 8195-2026")</f>
        <v/>
      </c>
      <c r="W12">
        <f>HYPERLINK("https://klasma.github.io/Logging_1885/klagomålsmail/A 8195-2026 FSC-klagomål mail.docx", "A 8195-2026")</f>
        <v/>
      </c>
      <c r="X12">
        <f>HYPERLINK("https://klasma.github.io/Logging_1885/tillsyn/A 8195-2026 tillsynsbegäran.docx", "A 8195-2026")</f>
        <v/>
      </c>
      <c r="Y12">
        <f>HYPERLINK("https://klasma.github.io/Logging_1885/tillsynsmail/A 8195-2026 tillsynsbegäran mail.docx", "A 8195-2026")</f>
        <v/>
      </c>
      <c r="Z12">
        <f>HYPERLINK("https://klasma.github.io/Logging_1885/fåglar/A 8195-2026 prioriterade fågelarter.docx", "A 8195-2026")</f>
        <v/>
      </c>
    </row>
    <row r="13" ht="15" customHeight="1">
      <c r="A13" t="inlineStr">
        <is>
          <t>A 55016-2025</t>
        </is>
      </c>
      <c r="B13" s="1" t="n">
        <v>45967</v>
      </c>
      <c r="C13" s="1" t="n">
        <v>46195</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46195</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46195</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46195</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34292-2023</t>
        </is>
      </c>
      <c r="B17" s="1" t="n">
        <v>45138</v>
      </c>
      <c r="C17" s="1" t="n">
        <v>46195</v>
      </c>
      <c r="D17" t="inlineStr">
        <is>
          <t>ÖREBRO LÄN</t>
        </is>
      </c>
      <c r="E17" t="inlineStr">
        <is>
          <t>LINDESBERG</t>
        </is>
      </c>
      <c r="F17" t="inlineStr">
        <is>
          <t>Sveaskog</t>
        </is>
      </c>
      <c r="G17" t="n">
        <v>0.2</v>
      </c>
      <c r="H17" t="n">
        <v>2</v>
      </c>
      <c r="I17" t="n">
        <v>2</v>
      </c>
      <c r="J17" t="n">
        <v>4</v>
      </c>
      <c r="K17" t="n">
        <v>1</v>
      </c>
      <c r="L17" t="n">
        <v>0</v>
      </c>
      <c r="M17" t="n">
        <v>0</v>
      </c>
      <c r="N17" t="n">
        <v>0</v>
      </c>
      <c r="O17" t="n">
        <v>5</v>
      </c>
      <c r="P17" t="n">
        <v>1</v>
      </c>
      <c r="Q17" t="n">
        <v>8</v>
      </c>
      <c r="R17" s="2" t="inlineStr">
        <is>
          <t>Knärot
Dropptaggsvamp
Fjällig taggsvamp s.str.
Motaggsvamp
Svartvit taggsvamp
Sotriska
Vedticka
Järpe</t>
        </is>
      </c>
      <c r="S17">
        <f>HYPERLINK("https://klasma.github.io/Logging_1885/artfynd/A 34292-2023 artfynd.xlsx", "A 34292-2023")</f>
        <v/>
      </c>
      <c r="T17">
        <f>HYPERLINK("https://klasma.github.io/Logging_1885/kartor/A 34292-2023 karta.png", "A 34292-2023")</f>
        <v/>
      </c>
      <c r="U17">
        <f>HYPERLINK("https://klasma.github.io/Logging_1885/knärot/A 34292-2023 karta knärot.png", "A 34292-2023")</f>
        <v/>
      </c>
      <c r="V17">
        <f>HYPERLINK("https://klasma.github.io/Logging_1885/klagomål/A 34292-2023 FSC-klagomål.docx", "A 34292-2023")</f>
        <v/>
      </c>
      <c r="W17">
        <f>HYPERLINK("https://klasma.github.io/Logging_1885/klagomålsmail/A 34292-2023 FSC-klagomål mail.docx", "A 34292-2023")</f>
        <v/>
      </c>
      <c r="X17">
        <f>HYPERLINK("https://klasma.github.io/Logging_1885/tillsyn/A 34292-2023 tillsynsbegäran.docx", "A 34292-2023")</f>
        <v/>
      </c>
      <c r="Y17">
        <f>HYPERLINK("https://klasma.github.io/Logging_1885/tillsynsmail/A 34292-2023 tillsynsbegäran mail.docx", "A 34292-2023")</f>
        <v/>
      </c>
      <c r="Z17">
        <f>HYPERLINK("https://klasma.github.io/Logging_1885/fåglar/A 34292-2023 prioriterade fågelarter.docx", "A 34292-2023")</f>
        <v/>
      </c>
    </row>
    <row r="18" ht="15" customHeight="1">
      <c r="A18" t="inlineStr">
        <is>
          <t>A 26749-2025</t>
        </is>
      </c>
      <c r="B18" s="1" t="n">
        <v>45810</v>
      </c>
      <c r="C18" s="1" t="n">
        <v>46195</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46195</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46195</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21467-2026</t>
        </is>
      </c>
      <c r="B21" s="1" t="n">
        <v>46148</v>
      </c>
      <c r="C21" s="1" t="n">
        <v>46195</v>
      </c>
      <c r="D21" t="inlineStr">
        <is>
          <t>ÖREBRO LÄN</t>
        </is>
      </c>
      <c r="E21" t="inlineStr">
        <is>
          <t>LINDESBERG</t>
        </is>
      </c>
      <c r="G21" t="n">
        <v>1.5</v>
      </c>
      <c r="H21" t="n">
        <v>5</v>
      </c>
      <c r="I21" t="n">
        <v>1</v>
      </c>
      <c r="J21" t="n">
        <v>2</v>
      </c>
      <c r="K21" t="n">
        <v>1</v>
      </c>
      <c r="L21" t="n">
        <v>0</v>
      </c>
      <c r="M21" t="n">
        <v>0</v>
      </c>
      <c r="N21" t="n">
        <v>0</v>
      </c>
      <c r="O21" t="n">
        <v>3</v>
      </c>
      <c r="P21" t="n">
        <v>1</v>
      </c>
      <c r="Q21" t="n">
        <v>7</v>
      </c>
      <c r="R21" s="2" t="inlineStr">
        <is>
          <t>Knärot
Grönsångare
Ullticka
Bronshjon
Spillkråka
Grönsiska
Fläcknycklar</t>
        </is>
      </c>
      <c r="S21">
        <f>HYPERLINK("https://klasma.github.io/Logging_1885/artfynd/A 21467-2026 artfynd.xlsx", "A 21467-2026")</f>
        <v/>
      </c>
      <c r="T21">
        <f>HYPERLINK("https://klasma.github.io/Logging_1885/kartor/A 21467-2026 karta.png", "A 21467-2026")</f>
        <v/>
      </c>
      <c r="U21">
        <f>HYPERLINK("https://klasma.github.io/Logging_1885/knärot/A 21467-2026 karta knärot.png", "A 21467-2026")</f>
        <v/>
      </c>
      <c r="V21">
        <f>HYPERLINK("https://klasma.github.io/Logging_1885/klagomål/A 21467-2026 FSC-klagomål.docx", "A 21467-2026")</f>
        <v/>
      </c>
      <c r="W21">
        <f>HYPERLINK("https://klasma.github.io/Logging_1885/klagomålsmail/A 21467-2026 FSC-klagomål mail.docx", "A 21467-2026")</f>
        <v/>
      </c>
      <c r="X21">
        <f>HYPERLINK("https://klasma.github.io/Logging_1885/tillsyn/A 21467-2026 tillsynsbegäran.docx", "A 21467-2026")</f>
        <v/>
      </c>
      <c r="Y21">
        <f>HYPERLINK("https://klasma.github.io/Logging_1885/tillsynsmail/A 21467-2026 tillsynsbegäran mail.docx", "A 21467-2026")</f>
        <v/>
      </c>
      <c r="Z21">
        <f>HYPERLINK("https://klasma.github.io/Logging_1885/fåglar/A 21467-2026 prioriterade fågelarter.docx", "A 21467-2026")</f>
        <v/>
      </c>
    </row>
    <row r="22" ht="15" customHeight="1">
      <c r="A22" t="inlineStr">
        <is>
          <t>A 8189-2026</t>
        </is>
      </c>
      <c r="B22" s="1" t="n">
        <v>46064</v>
      </c>
      <c r="C22" s="1" t="n">
        <v>46195</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15687-2023</t>
        </is>
      </c>
      <c r="B23" s="1" t="n">
        <v>45021</v>
      </c>
      <c r="C23" s="1" t="n">
        <v>46195</v>
      </c>
      <c r="D23" t="inlineStr">
        <is>
          <t>ÖREBRO LÄN</t>
        </is>
      </c>
      <c r="E23" t="inlineStr">
        <is>
          <t>LINDESBERG</t>
        </is>
      </c>
      <c r="G23" t="n">
        <v>1.4</v>
      </c>
      <c r="H23" t="n">
        <v>2</v>
      </c>
      <c r="I23" t="n">
        <v>5</v>
      </c>
      <c r="J23" t="n">
        <v>0</v>
      </c>
      <c r="K23" t="n">
        <v>0</v>
      </c>
      <c r="L23" t="n">
        <v>0</v>
      </c>
      <c r="M23" t="n">
        <v>0</v>
      </c>
      <c r="N23" t="n">
        <v>0</v>
      </c>
      <c r="O23" t="n">
        <v>0</v>
      </c>
      <c r="P23" t="n">
        <v>0</v>
      </c>
      <c r="Q23" t="n">
        <v>6</v>
      </c>
      <c r="R23" s="2" t="inlineStr">
        <is>
          <t>Rödgul trumpetsvamp
Svavelriska
Tibast
Trådticka
Tvåblad
Revlummer</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42633-2025</t>
        </is>
      </c>
      <c r="B24" s="1" t="n">
        <v>45905</v>
      </c>
      <c r="C24" s="1" t="n">
        <v>46195</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43429-2024</t>
        </is>
      </c>
      <c r="B25" s="1" t="n">
        <v>45568</v>
      </c>
      <c r="C25" s="1" t="n">
        <v>46195</v>
      </c>
      <c r="D25" t="inlineStr">
        <is>
          <t>ÖREBRO LÄN</t>
        </is>
      </c>
      <c r="E25" t="inlineStr">
        <is>
          <t>LINDESBERG</t>
        </is>
      </c>
      <c r="F25" t="inlineStr">
        <is>
          <t>Sveaskog</t>
        </is>
      </c>
      <c r="G25" t="n">
        <v>9.699999999999999</v>
      </c>
      <c r="H25" t="n">
        <v>3</v>
      </c>
      <c r="I25" t="n">
        <v>0</v>
      </c>
      <c r="J25" t="n">
        <v>3</v>
      </c>
      <c r="K25" t="n">
        <v>1</v>
      </c>
      <c r="L25" t="n">
        <v>0</v>
      </c>
      <c r="M25" t="n">
        <v>0</v>
      </c>
      <c r="N25" t="n">
        <v>0</v>
      </c>
      <c r="O25" t="n">
        <v>4</v>
      </c>
      <c r="P25" t="n">
        <v>1</v>
      </c>
      <c r="Q25" t="n">
        <v>6</v>
      </c>
      <c r="R25" s="2" t="inlineStr">
        <is>
          <t>Lappuggla
Dropptaggsvamp
Tallfingersvamp
Tallriska
Fiskgjuse
Kungsfågel</t>
        </is>
      </c>
      <c r="S25">
        <f>HYPERLINK("https://klasma.github.io/Logging_1885/artfynd/A 43429-2024 artfynd.xlsx", "A 43429-2024")</f>
        <v/>
      </c>
      <c r="T25">
        <f>HYPERLINK("https://klasma.github.io/Logging_1885/kartor/A 43429-2024 karta.png", "A 43429-2024")</f>
        <v/>
      </c>
      <c r="V25">
        <f>HYPERLINK("https://klasma.github.io/Logging_1885/klagomål/A 43429-2024 FSC-klagomål.docx", "A 43429-2024")</f>
        <v/>
      </c>
      <c r="W25">
        <f>HYPERLINK("https://klasma.github.io/Logging_1885/klagomålsmail/A 43429-2024 FSC-klagomål mail.docx", "A 43429-2024")</f>
        <v/>
      </c>
      <c r="X25">
        <f>HYPERLINK("https://klasma.github.io/Logging_1885/tillsyn/A 43429-2024 tillsynsbegäran.docx", "A 43429-2024")</f>
        <v/>
      </c>
      <c r="Y25">
        <f>HYPERLINK("https://klasma.github.io/Logging_1885/tillsynsmail/A 43429-2024 tillsynsbegäran mail.docx", "A 43429-2024")</f>
        <v/>
      </c>
      <c r="Z25">
        <f>HYPERLINK("https://klasma.github.io/Logging_1885/fåglar/A 43429-2024 prioriterade fågelarter.docx", "A 43429-2024")</f>
        <v/>
      </c>
    </row>
    <row r="26" ht="15" customHeight="1">
      <c r="A26" t="inlineStr">
        <is>
          <t>A 28033-2023</t>
        </is>
      </c>
      <c r="B26" s="1" t="n">
        <v>45099</v>
      </c>
      <c r="C26" s="1" t="n">
        <v>46195</v>
      </c>
      <c r="D26" t="inlineStr">
        <is>
          <t>ÖREBRO LÄN</t>
        </is>
      </c>
      <c r="E26" t="inlineStr">
        <is>
          <t>LINDESBERG</t>
        </is>
      </c>
      <c r="F26" t="inlineStr">
        <is>
          <t>Kyrkan</t>
        </is>
      </c>
      <c r="G26" t="n">
        <v>1.6</v>
      </c>
      <c r="H26" t="n">
        <v>2</v>
      </c>
      <c r="I26" t="n">
        <v>2</v>
      </c>
      <c r="J26" t="n">
        <v>0</v>
      </c>
      <c r="K26" t="n">
        <v>0</v>
      </c>
      <c r="L26" t="n">
        <v>3</v>
      </c>
      <c r="M26" t="n">
        <v>0</v>
      </c>
      <c r="N26" t="n">
        <v>0</v>
      </c>
      <c r="O26" t="n">
        <v>3</v>
      </c>
      <c r="P26" t="n">
        <v>3</v>
      </c>
      <c r="Q26" t="n">
        <v>6</v>
      </c>
      <c r="R26" s="2" t="inlineStr">
        <is>
          <t>Ask
Asknätfjäril
Skogsalm
Svart trolldruva
Tibast
Blåsippa</t>
        </is>
      </c>
      <c r="S26">
        <f>HYPERLINK("https://klasma.github.io/Logging_1885/artfynd/A 28033-2023 artfynd.xlsx", "A 28033-2023")</f>
        <v/>
      </c>
      <c r="T26">
        <f>HYPERLINK("https://klasma.github.io/Logging_1885/kartor/A 28033-2023 karta.png", "A 28033-2023")</f>
        <v/>
      </c>
      <c r="V26">
        <f>HYPERLINK("https://klasma.github.io/Logging_1885/klagomål/A 28033-2023 FSC-klagomål.docx", "A 28033-2023")</f>
        <v/>
      </c>
      <c r="W26">
        <f>HYPERLINK("https://klasma.github.io/Logging_1885/klagomålsmail/A 28033-2023 FSC-klagomål mail.docx", "A 28033-2023")</f>
        <v/>
      </c>
      <c r="X26">
        <f>HYPERLINK("https://klasma.github.io/Logging_1885/tillsyn/A 28033-2023 tillsynsbegäran.docx", "A 28033-2023")</f>
        <v/>
      </c>
      <c r="Y26">
        <f>HYPERLINK("https://klasma.github.io/Logging_1885/tillsynsmail/A 28033-2023 tillsynsbegäran mail.docx", "A 28033-2023")</f>
        <v/>
      </c>
    </row>
    <row r="27" ht="15" customHeight="1">
      <c r="A27" t="inlineStr">
        <is>
          <t>A 54241-2025</t>
        </is>
      </c>
      <c r="B27" s="1" t="n">
        <v>45964</v>
      </c>
      <c r="C27" s="1" t="n">
        <v>46195</v>
      </c>
      <c r="D27" t="inlineStr">
        <is>
          <t>ÖREBRO LÄN</t>
        </is>
      </c>
      <c r="E27" t="inlineStr">
        <is>
          <t>LINDESBERG</t>
        </is>
      </c>
      <c r="G27" t="n">
        <v>4</v>
      </c>
      <c r="H27" t="n">
        <v>4</v>
      </c>
      <c r="I27" t="n">
        <v>1</v>
      </c>
      <c r="J27" t="n">
        <v>2</v>
      </c>
      <c r="K27" t="n">
        <v>1</v>
      </c>
      <c r="L27" t="n">
        <v>0</v>
      </c>
      <c r="M27" t="n">
        <v>0</v>
      </c>
      <c r="N27" t="n">
        <v>0</v>
      </c>
      <c r="O27" t="n">
        <v>3</v>
      </c>
      <c r="P27" t="n">
        <v>1</v>
      </c>
      <c r="Q27" t="n">
        <v>6</v>
      </c>
      <c r="R27" s="2" t="inlineStr">
        <is>
          <t>Knärot
Talltita
Ullticka
Grönpyrola
Spillkråka
Kungsfågel</t>
        </is>
      </c>
      <c r="S27">
        <f>HYPERLINK("https://klasma.github.io/Logging_1885/artfynd/A 54241-2025 artfynd.xlsx", "A 54241-2025")</f>
        <v/>
      </c>
      <c r="T27">
        <f>HYPERLINK("https://klasma.github.io/Logging_1885/kartor/A 54241-2025 karta.png", "A 54241-2025")</f>
        <v/>
      </c>
      <c r="U27">
        <f>HYPERLINK("https://klasma.github.io/Logging_1885/knärot/A 54241-2025 karta knärot.png", "A 54241-2025")</f>
        <v/>
      </c>
      <c r="V27">
        <f>HYPERLINK("https://klasma.github.io/Logging_1885/klagomål/A 54241-2025 FSC-klagomål.docx", "A 54241-2025")</f>
        <v/>
      </c>
      <c r="W27">
        <f>HYPERLINK("https://klasma.github.io/Logging_1885/klagomålsmail/A 54241-2025 FSC-klagomål mail.docx", "A 54241-2025")</f>
        <v/>
      </c>
      <c r="X27">
        <f>HYPERLINK("https://klasma.github.io/Logging_1885/tillsyn/A 54241-2025 tillsynsbegäran.docx", "A 54241-2025")</f>
        <v/>
      </c>
      <c r="Y27">
        <f>HYPERLINK("https://klasma.github.io/Logging_1885/tillsynsmail/A 54241-2025 tillsynsbegäran mail.docx", "A 54241-2025")</f>
        <v/>
      </c>
      <c r="Z27">
        <f>HYPERLINK("https://klasma.github.io/Logging_1885/fåglar/A 54241-2025 prioriterade fågelarter.docx", "A 54241-2025")</f>
        <v/>
      </c>
    </row>
    <row r="28" ht="15" customHeight="1">
      <c r="A28" t="inlineStr">
        <is>
          <t>A 28035-2023</t>
        </is>
      </c>
      <c r="B28" s="1" t="n">
        <v>45099</v>
      </c>
      <c r="C28" s="1" t="n">
        <v>46195</v>
      </c>
      <c r="D28" t="inlineStr">
        <is>
          <t>ÖREBRO LÄN</t>
        </is>
      </c>
      <c r="E28" t="inlineStr">
        <is>
          <t>LINDESBERG</t>
        </is>
      </c>
      <c r="F28" t="inlineStr">
        <is>
          <t>Kyrkan</t>
        </is>
      </c>
      <c r="G28" t="n">
        <v>1.1</v>
      </c>
      <c r="H28" t="n">
        <v>3</v>
      </c>
      <c r="I28" t="n">
        <v>1</v>
      </c>
      <c r="J28" t="n">
        <v>0</v>
      </c>
      <c r="K28" t="n">
        <v>0</v>
      </c>
      <c r="L28" t="n">
        <v>2</v>
      </c>
      <c r="M28" t="n">
        <v>0</v>
      </c>
      <c r="N28" t="n">
        <v>0</v>
      </c>
      <c r="O28" t="n">
        <v>2</v>
      </c>
      <c r="P28" t="n">
        <v>2</v>
      </c>
      <c r="Q28" t="n">
        <v>5</v>
      </c>
      <c r="R28" s="2" t="inlineStr">
        <is>
          <t>Ask
Asknätfjäril
Tibast
Blåsippa
Gullviva</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49945-2025</t>
        </is>
      </c>
      <c r="B29" s="1" t="n">
        <v>45940</v>
      </c>
      <c r="C29" s="1" t="n">
        <v>46195</v>
      </c>
      <c r="D29" t="inlineStr">
        <is>
          <t>ÖREBRO LÄN</t>
        </is>
      </c>
      <c r="E29" t="inlineStr">
        <is>
          <t>LINDESBERG</t>
        </is>
      </c>
      <c r="F29" t="inlineStr">
        <is>
          <t>Sveaskog</t>
        </is>
      </c>
      <c r="G29" t="n">
        <v>2.4</v>
      </c>
      <c r="H29" t="n">
        <v>1</v>
      </c>
      <c r="I29" t="n">
        <v>3</v>
      </c>
      <c r="J29" t="n">
        <v>1</v>
      </c>
      <c r="K29" t="n">
        <v>0</v>
      </c>
      <c r="L29" t="n">
        <v>0</v>
      </c>
      <c r="M29" t="n">
        <v>0</v>
      </c>
      <c r="N29" t="n">
        <v>0</v>
      </c>
      <c r="O29" t="n">
        <v>1</v>
      </c>
      <c r="P29" t="n">
        <v>0</v>
      </c>
      <c r="Q29" t="n">
        <v>5</v>
      </c>
      <c r="R29" s="2" t="inlineStr">
        <is>
          <t>Motaggsvamp
Toppvaxing
Vanlig rörsvepemossa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54332-2021</t>
        </is>
      </c>
      <c r="B30" s="1" t="n">
        <v>44472</v>
      </c>
      <c r="C30" s="1" t="n">
        <v>46195</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33574-2022</t>
        </is>
      </c>
      <c r="B31" s="1" t="n">
        <v>44789</v>
      </c>
      <c r="C31" s="1" t="n">
        <v>46195</v>
      </c>
      <c r="D31" t="inlineStr">
        <is>
          <t>ÖREBRO LÄN</t>
        </is>
      </c>
      <c r="E31" t="inlineStr">
        <is>
          <t>LINDESBERG</t>
        </is>
      </c>
      <c r="G31" t="n">
        <v>11.5</v>
      </c>
      <c r="H31" t="n">
        <v>1</v>
      </c>
      <c r="I31" t="n">
        <v>2</v>
      </c>
      <c r="J31" t="n">
        <v>1</v>
      </c>
      <c r="K31" t="n">
        <v>1</v>
      </c>
      <c r="L31" t="n">
        <v>0</v>
      </c>
      <c r="M31" t="n">
        <v>0</v>
      </c>
      <c r="N31" t="n">
        <v>0</v>
      </c>
      <c r="O31" t="n">
        <v>2</v>
      </c>
      <c r="P31" t="n">
        <v>1</v>
      </c>
      <c r="Q31" t="n">
        <v>4</v>
      </c>
      <c r="R31" s="2" t="inlineStr">
        <is>
          <t>Knärot
Ullticka
Stuplav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54020-2024</t>
        </is>
      </c>
      <c r="B32" s="1" t="n">
        <v>45616</v>
      </c>
      <c r="C32" s="1" t="n">
        <v>46195</v>
      </c>
      <c r="D32" t="inlineStr">
        <is>
          <t>ÖREBRO LÄN</t>
        </is>
      </c>
      <c r="E32" t="inlineStr">
        <is>
          <t>LINDESBERG</t>
        </is>
      </c>
      <c r="G32" t="n">
        <v>2.8</v>
      </c>
      <c r="H32" t="n">
        <v>2</v>
      </c>
      <c r="I32" t="n">
        <v>1</v>
      </c>
      <c r="J32" t="n">
        <v>2</v>
      </c>
      <c r="K32" t="n">
        <v>1</v>
      </c>
      <c r="L32" t="n">
        <v>0</v>
      </c>
      <c r="M32" t="n">
        <v>0</v>
      </c>
      <c r="N32" t="n">
        <v>0</v>
      </c>
      <c r="O32" t="n">
        <v>3</v>
      </c>
      <c r="P32" t="n">
        <v>1</v>
      </c>
      <c r="Q32" t="n">
        <v>4</v>
      </c>
      <c r="R32" s="2" t="inlineStr">
        <is>
          <t>Väddnätfjäril
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20744-2026</t>
        </is>
      </c>
      <c r="B33" s="1" t="n">
        <v>46141</v>
      </c>
      <c r="C33" s="1" t="n">
        <v>46195</v>
      </c>
      <c r="D33" t="inlineStr">
        <is>
          <t>ÖREBRO LÄN</t>
        </is>
      </c>
      <c r="E33" t="inlineStr">
        <is>
          <t>LINDESBERG</t>
        </is>
      </c>
      <c r="G33" t="n">
        <v>3</v>
      </c>
      <c r="H33" t="n">
        <v>3</v>
      </c>
      <c r="I33" t="n">
        <v>0</v>
      </c>
      <c r="J33" t="n">
        <v>1</v>
      </c>
      <c r="K33" t="n">
        <v>0</v>
      </c>
      <c r="L33" t="n">
        <v>1</v>
      </c>
      <c r="M33" t="n">
        <v>0</v>
      </c>
      <c r="N33" t="n">
        <v>0</v>
      </c>
      <c r="O33" t="n">
        <v>2</v>
      </c>
      <c r="P33" t="n">
        <v>1</v>
      </c>
      <c r="Q33" t="n">
        <v>4</v>
      </c>
      <c r="R33" s="2" t="inlineStr">
        <is>
          <t>Asknätfjäril
Vitfläckig guldvinge
Spillkråka
Grönsiska</t>
        </is>
      </c>
      <c r="S33">
        <f>HYPERLINK("https://klasma.github.io/Logging_1885/artfynd/A 20744-2026 artfynd.xlsx", "A 20744-2026")</f>
        <v/>
      </c>
      <c r="T33">
        <f>HYPERLINK("https://klasma.github.io/Logging_1885/kartor/A 20744-2026 karta.png", "A 20744-2026")</f>
        <v/>
      </c>
      <c r="V33">
        <f>HYPERLINK("https://klasma.github.io/Logging_1885/klagomål/A 20744-2026 FSC-klagomål.docx", "A 20744-2026")</f>
        <v/>
      </c>
      <c r="W33">
        <f>HYPERLINK("https://klasma.github.io/Logging_1885/klagomålsmail/A 20744-2026 FSC-klagomål mail.docx", "A 20744-2026")</f>
        <v/>
      </c>
      <c r="X33">
        <f>HYPERLINK("https://klasma.github.io/Logging_1885/tillsyn/A 20744-2026 tillsynsbegäran.docx", "A 20744-2026")</f>
        <v/>
      </c>
      <c r="Y33">
        <f>HYPERLINK("https://klasma.github.io/Logging_1885/tillsynsmail/A 20744-2026 tillsynsbegäran mail.docx", "A 20744-2026")</f>
        <v/>
      </c>
      <c r="Z33">
        <f>HYPERLINK("https://klasma.github.io/Logging_1885/fåglar/A 20744-2026 prioriterade fågelarter.docx", "A 20744-2026")</f>
        <v/>
      </c>
    </row>
    <row r="34" ht="15" customHeight="1">
      <c r="A34" t="inlineStr">
        <is>
          <t>A 48618-2025</t>
        </is>
      </c>
      <c r="B34" s="1" t="n">
        <v>45936</v>
      </c>
      <c r="C34" s="1" t="n">
        <v>46195</v>
      </c>
      <c r="D34" t="inlineStr">
        <is>
          <t>ÖREBRO LÄN</t>
        </is>
      </c>
      <c r="E34" t="inlineStr">
        <is>
          <t>LINDESBERG</t>
        </is>
      </c>
      <c r="F34" t="inlineStr">
        <is>
          <t>Sveaskog</t>
        </is>
      </c>
      <c r="G34" t="n">
        <v>4.2</v>
      </c>
      <c r="H34" t="n">
        <v>1</v>
      </c>
      <c r="I34" t="n">
        <v>0</v>
      </c>
      <c r="J34" t="n">
        <v>3</v>
      </c>
      <c r="K34" t="n">
        <v>0</v>
      </c>
      <c r="L34" t="n">
        <v>0</v>
      </c>
      <c r="M34" t="n">
        <v>0</v>
      </c>
      <c r="N34" t="n">
        <v>0</v>
      </c>
      <c r="O34" t="n">
        <v>3</v>
      </c>
      <c r="P34" t="n">
        <v>0</v>
      </c>
      <c r="Q34" t="n">
        <v>4</v>
      </c>
      <c r="R34" s="2" t="inlineStr">
        <is>
          <t>Dropptaggsvamp
Motaggsvamp
Vedskivlav
Spillkråka</t>
        </is>
      </c>
      <c r="S34">
        <f>HYPERLINK("https://klasma.github.io/Logging_1885/artfynd/A 48618-2025 artfynd.xlsx", "A 48618-2025")</f>
        <v/>
      </c>
      <c r="T34">
        <f>HYPERLINK("https://klasma.github.io/Logging_1885/kartor/A 48618-2025 karta.png", "A 48618-2025")</f>
        <v/>
      </c>
      <c r="V34">
        <f>HYPERLINK("https://klasma.github.io/Logging_1885/klagomål/A 48618-2025 FSC-klagomål.docx", "A 48618-2025")</f>
        <v/>
      </c>
      <c r="W34">
        <f>HYPERLINK("https://klasma.github.io/Logging_1885/klagomålsmail/A 48618-2025 FSC-klagomål mail.docx", "A 48618-2025")</f>
        <v/>
      </c>
      <c r="X34">
        <f>HYPERLINK("https://klasma.github.io/Logging_1885/tillsyn/A 48618-2025 tillsynsbegäran.docx", "A 48618-2025")</f>
        <v/>
      </c>
      <c r="Y34">
        <f>HYPERLINK("https://klasma.github.io/Logging_1885/tillsynsmail/A 48618-2025 tillsynsbegäran mail.docx", "A 48618-2025")</f>
        <v/>
      </c>
      <c r="Z34">
        <f>HYPERLINK("https://klasma.github.io/Logging_1885/fåglar/A 48618-2025 prioriterade fågelarter.docx", "A 48618-2025")</f>
        <v/>
      </c>
    </row>
    <row r="35" ht="15" customHeight="1">
      <c r="A35" t="inlineStr">
        <is>
          <t>A 1475-2025</t>
        </is>
      </c>
      <c r="B35" s="1" t="n">
        <v>45670</v>
      </c>
      <c r="C35" s="1" t="n">
        <v>46195</v>
      </c>
      <c r="D35" t="inlineStr">
        <is>
          <t>ÖREBRO LÄN</t>
        </is>
      </c>
      <c r="E35" t="inlineStr">
        <is>
          <t>LINDESBERG</t>
        </is>
      </c>
      <c r="F35" t="inlineStr">
        <is>
          <t>Sveaskog</t>
        </is>
      </c>
      <c r="G35" t="n">
        <v>0.7</v>
      </c>
      <c r="H35" t="n">
        <v>0</v>
      </c>
      <c r="I35" t="n">
        <v>0</v>
      </c>
      <c r="J35" t="n">
        <v>4</v>
      </c>
      <c r="K35" t="n">
        <v>0</v>
      </c>
      <c r="L35" t="n">
        <v>0</v>
      </c>
      <c r="M35" t="n">
        <v>0</v>
      </c>
      <c r="N35" t="n">
        <v>0</v>
      </c>
      <c r="O35" t="n">
        <v>4</v>
      </c>
      <c r="P35" t="n">
        <v>0</v>
      </c>
      <c r="Q35" t="n">
        <v>4</v>
      </c>
      <c r="R35" s="2" t="inlineStr">
        <is>
          <t>Dropptaggsvamp
Motaggsvamp
Svartvit taggsvamp
Talltaggsvamp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3026-2026</t>
        </is>
      </c>
      <c r="B36" s="1" t="n">
        <v>46038</v>
      </c>
      <c r="C36" s="1" t="n">
        <v>46195</v>
      </c>
      <c r="D36" t="inlineStr">
        <is>
          <t>ÖREBRO LÄN</t>
        </is>
      </c>
      <c r="E36" t="inlineStr">
        <is>
          <t>LINDESBERG</t>
        </is>
      </c>
      <c r="G36" t="n">
        <v>10.3</v>
      </c>
      <c r="H36" t="n">
        <v>0</v>
      </c>
      <c r="I36" t="n">
        <v>0</v>
      </c>
      <c r="J36" t="n">
        <v>3</v>
      </c>
      <c r="K36" t="n">
        <v>1</v>
      </c>
      <c r="L36" t="n">
        <v>0</v>
      </c>
      <c r="M36" t="n">
        <v>0</v>
      </c>
      <c r="N36" t="n">
        <v>0</v>
      </c>
      <c r="O36" t="n">
        <v>4</v>
      </c>
      <c r="P36" t="n">
        <v>1</v>
      </c>
      <c r="Q36" t="n">
        <v>4</v>
      </c>
      <c r="R36" s="2" t="inlineStr">
        <is>
          <t>Gränsticka
Rosenticka
Tallticka
Ullticka</t>
        </is>
      </c>
      <c r="S36">
        <f>HYPERLINK("https://klasma.github.io/Logging_1885/artfynd/A 3026-2026 artfynd.xlsx", "A 3026-2026")</f>
        <v/>
      </c>
      <c r="T36">
        <f>HYPERLINK("https://klasma.github.io/Logging_1885/kartor/A 3026-2026 karta.png", "A 3026-2026")</f>
        <v/>
      </c>
      <c r="V36">
        <f>HYPERLINK("https://klasma.github.io/Logging_1885/klagomål/A 3026-2026 FSC-klagomål.docx", "A 3026-2026")</f>
        <v/>
      </c>
      <c r="W36">
        <f>HYPERLINK("https://klasma.github.io/Logging_1885/klagomålsmail/A 3026-2026 FSC-klagomål mail.docx", "A 3026-2026")</f>
        <v/>
      </c>
      <c r="X36">
        <f>HYPERLINK("https://klasma.github.io/Logging_1885/tillsyn/A 3026-2026 tillsynsbegäran.docx", "A 3026-2026")</f>
        <v/>
      </c>
      <c r="Y36">
        <f>HYPERLINK("https://klasma.github.io/Logging_1885/tillsynsmail/A 3026-2026 tillsynsbegäran mail.docx", "A 3026-2026")</f>
        <v/>
      </c>
    </row>
    <row r="37" ht="15" customHeight="1">
      <c r="A37" t="inlineStr">
        <is>
          <t>A 51851-2025</t>
        </is>
      </c>
      <c r="B37" s="1" t="n">
        <v>45952</v>
      </c>
      <c r="C37" s="1" t="n">
        <v>46195</v>
      </c>
      <c r="D37" t="inlineStr">
        <is>
          <t>ÖREBRO LÄN</t>
        </is>
      </c>
      <c r="E37" t="inlineStr">
        <is>
          <t>LINDESBERG</t>
        </is>
      </c>
      <c r="G37" t="n">
        <v>6.9</v>
      </c>
      <c r="H37" t="n">
        <v>2</v>
      </c>
      <c r="I37" t="n">
        <v>0</v>
      </c>
      <c r="J37" t="n">
        <v>1</v>
      </c>
      <c r="K37" t="n">
        <v>1</v>
      </c>
      <c r="L37" t="n">
        <v>0</v>
      </c>
      <c r="M37" t="n">
        <v>0</v>
      </c>
      <c r="N37" t="n">
        <v>0</v>
      </c>
      <c r="O37" t="n">
        <v>2</v>
      </c>
      <c r="P37" t="n">
        <v>1</v>
      </c>
      <c r="Q37" t="n">
        <v>4</v>
      </c>
      <c r="R37" s="2" t="inlineStr">
        <is>
          <t>Garnlav
Motaggsvamp
Spillkråka
Kungsfågel</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c r="Z37">
        <f>HYPERLINK("https://klasma.github.io/Logging_1885/fåglar/A 51851-2025 prioriterade fågelarter.docx", "A 51851-2025")</f>
        <v/>
      </c>
    </row>
    <row r="38" ht="15" customHeight="1">
      <c r="A38" t="inlineStr">
        <is>
          <t>A 57803-2021</t>
        </is>
      </c>
      <c r="B38" s="1" t="n">
        <v>44484</v>
      </c>
      <c r="C38" s="1" t="n">
        <v>46195</v>
      </c>
      <c r="D38" t="inlineStr">
        <is>
          <t>ÖREBRO LÄN</t>
        </is>
      </c>
      <c r="E38" t="inlineStr">
        <is>
          <t>LINDESBERG</t>
        </is>
      </c>
      <c r="G38" t="n">
        <v>9.4</v>
      </c>
      <c r="H38" t="n">
        <v>2</v>
      </c>
      <c r="I38" t="n">
        <v>0</v>
      </c>
      <c r="J38" t="n">
        <v>2</v>
      </c>
      <c r="K38" t="n">
        <v>0</v>
      </c>
      <c r="L38" t="n">
        <v>0</v>
      </c>
      <c r="M38" t="n">
        <v>0</v>
      </c>
      <c r="N38" t="n">
        <v>0</v>
      </c>
      <c r="O38" t="n">
        <v>2</v>
      </c>
      <c r="P38" t="n">
        <v>0</v>
      </c>
      <c r="Q38" t="n">
        <v>3</v>
      </c>
      <c r="R38" s="2" t="inlineStr">
        <is>
          <t>Motaggsvamp
Talltita
Tjäder</t>
        </is>
      </c>
      <c r="S38">
        <f>HYPERLINK("https://klasma.github.io/Logging_1885/artfynd/A 57803-2021 artfynd.xlsx", "A 57803-2021")</f>
        <v/>
      </c>
      <c r="T38">
        <f>HYPERLINK("https://klasma.github.io/Logging_1885/kartor/A 57803-2021 karta.png", "A 57803-2021")</f>
        <v/>
      </c>
      <c r="V38">
        <f>HYPERLINK("https://klasma.github.io/Logging_1885/klagomål/A 57803-2021 FSC-klagomål.docx", "A 57803-2021")</f>
        <v/>
      </c>
      <c r="W38">
        <f>HYPERLINK("https://klasma.github.io/Logging_1885/klagomålsmail/A 57803-2021 FSC-klagomål mail.docx", "A 57803-2021")</f>
        <v/>
      </c>
      <c r="X38">
        <f>HYPERLINK("https://klasma.github.io/Logging_1885/tillsyn/A 57803-2021 tillsynsbegäran.docx", "A 57803-2021")</f>
        <v/>
      </c>
      <c r="Y38">
        <f>HYPERLINK("https://klasma.github.io/Logging_1885/tillsynsmail/A 57803-2021 tillsynsbegäran mail.docx", "A 57803-2021")</f>
        <v/>
      </c>
      <c r="Z38">
        <f>HYPERLINK("https://klasma.github.io/Logging_1885/fåglar/A 57803-2021 prioriterade fågelarter.docx", "A 57803-2021")</f>
        <v/>
      </c>
    </row>
    <row r="39" ht="15" customHeight="1">
      <c r="A39" t="inlineStr">
        <is>
          <t>A 21986-2023</t>
        </is>
      </c>
      <c r="B39" s="1" t="n">
        <v>45068</v>
      </c>
      <c r="C39" s="1" t="n">
        <v>46195</v>
      </c>
      <c r="D39" t="inlineStr">
        <is>
          <t>ÖREBRO LÄN</t>
        </is>
      </c>
      <c r="E39" t="inlineStr">
        <is>
          <t>LINDESBERG</t>
        </is>
      </c>
      <c r="G39" t="n">
        <v>1.4</v>
      </c>
      <c r="H39" t="n">
        <v>2</v>
      </c>
      <c r="I39" t="n">
        <v>0</v>
      </c>
      <c r="J39" t="n">
        <v>0</v>
      </c>
      <c r="K39" t="n">
        <v>1</v>
      </c>
      <c r="L39" t="n">
        <v>2</v>
      </c>
      <c r="M39" t="n">
        <v>0</v>
      </c>
      <c r="N39" t="n">
        <v>0</v>
      </c>
      <c r="O39" t="n">
        <v>3</v>
      </c>
      <c r="P39" t="n">
        <v>3</v>
      </c>
      <c r="Q39" t="n">
        <v>3</v>
      </c>
      <c r="R39" s="2" t="inlineStr">
        <is>
          <t>Ask
Asknätfjäril
Väddnätfjäril</t>
        </is>
      </c>
      <c r="S39">
        <f>HYPERLINK("https://klasma.github.io/Logging_1885/artfynd/A 21986-2023 artfynd.xlsx", "A 21986-2023")</f>
        <v/>
      </c>
      <c r="T39">
        <f>HYPERLINK("https://klasma.github.io/Logging_1885/kartor/A 21986-2023 karta.png", "A 21986-2023")</f>
        <v/>
      </c>
      <c r="V39">
        <f>HYPERLINK("https://klasma.github.io/Logging_1885/klagomål/A 21986-2023 FSC-klagomål.docx", "A 21986-2023")</f>
        <v/>
      </c>
      <c r="W39">
        <f>HYPERLINK("https://klasma.github.io/Logging_1885/klagomålsmail/A 21986-2023 FSC-klagomål mail.docx", "A 21986-2023")</f>
        <v/>
      </c>
      <c r="X39">
        <f>HYPERLINK("https://klasma.github.io/Logging_1885/tillsyn/A 21986-2023 tillsynsbegäran.docx", "A 21986-2023")</f>
        <v/>
      </c>
      <c r="Y39">
        <f>HYPERLINK("https://klasma.github.io/Logging_1885/tillsynsmail/A 21986-2023 tillsynsbegäran mail.docx", "A 21986-2023")</f>
        <v/>
      </c>
    </row>
    <row r="40" ht="15" customHeight="1">
      <c r="A40" t="inlineStr">
        <is>
          <t>A 50989-2023</t>
        </is>
      </c>
      <c r="B40" s="1" t="n">
        <v>45218</v>
      </c>
      <c r="C40" s="1" t="n">
        <v>46195</v>
      </c>
      <c r="D40" t="inlineStr">
        <is>
          <t>ÖREBRO LÄN</t>
        </is>
      </c>
      <c r="E40" t="inlineStr">
        <is>
          <t>LINDESBERG</t>
        </is>
      </c>
      <c r="F40" t="inlineStr">
        <is>
          <t>Sveaskog</t>
        </is>
      </c>
      <c r="G40" t="n">
        <v>3.4</v>
      </c>
      <c r="H40" t="n">
        <v>0</v>
      </c>
      <c r="I40" t="n">
        <v>0</v>
      </c>
      <c r="J40" t="n">
        <v>3</v>
      </c>
      <c r="K40" t="n">
        <v>0</v>
      </c>
      <c r="L40" t="n">
        <v>0</v>
      </c>
      <c r="M40" t="n">
        <v>0</v>
      </c>
      <c r="N40" t="n">
        <v>0</v>
      </c>
      <c r="O40" t="n">
        <v>3</v>
      </c>
      <c r="P40" t="n">
        <v>0</v>
      </c>
      <c r="Q40" t="n">
        <v>3</v>
      </c>
      <c r="R40" s="2" t="inlineStr">
        <is>
          <t>Dropptaggsvamp
Grantaggsvamp
Svartvit taggsvamp</t>
        </is>
      </c>
      <c r="S40">
        <f>HYPERLINK("https://klasma.github.io/Logging_1885/artfynd/A 50989-2023 artfynd.xlsx", "A 50989-2023")</f>
        <v/>
      </c>
      <c r="T40">
        <f>HYPERLINK("https://klasma.github.io/Logging_1885/kartor/A 50989-2023 karta.png", "A 50989-2023")</f>
        <v/>
      </c>
      <c r="V40">
        <f>HYPERLINK("https://klasma.github.io/Logging_1885/klagomål/A 50989-2023 FSC-klagomål.docx", "A 50989-2023")</f>
        <v/>
      </c>
      <c r="W40">
        <f>HYPERLINK("https://klasma.github.io/Logging_1885/klagomålsmail/A 50989-2023 FSC-klagomål mail.docx", "A 50989-2023")</f>
        <v/>
      </c>
      <c r="X40">
        <f>HYPERLINK("https://klasma.github.io/Logging_1885/tillsyn/A 50989-2023 tillsynsbegäran.docx", "A 50989-2023")</f>
        <v/>
      </c>
      <c r="Y40">
        <f>HYPERLINK("https://klasma.github.io/Logging_1885/tillsynsmail/A 50989-2023 tillsynsbegäran mail.docx", "A 50989-2023")</f>
        <v/>
      </c>
    </row>
    <row r="41" ht="15" customHeight="1">
      <c r="A41" t="inlineStr">
        <is>
          <t>A 57319-2025</t>
        </is>
      </c>
      <c r="B41" s="1" t="n">
        <v>45980</v>
      </c>
      <c r="C41" s="1" t="n">
        <v>46195</v>
      </c>
      <c r="D41" t="inlineStr">
        <is>
          <t>ÖREBRO LÄN</t>
        </is>
      </c>
      <c r="E41" t="inlineStr">
        <is>
          <t>LINDESBERG</t>
        </is>
      </c>
      <c r="F41" t="inlineStr">
        <is>
          <t>Sveaskog</t>
        </is>
      </c>
      <c r="G41" t="n">
        <v>15.3</v>
      </c>
      <c r="H41" t="n">
        <v>1</v>
      </c>
      <c r="I41" t="n">
        <v>1</v>
      </c>
      <c r="J41" t="n">
        <v>2</v>
      </c>
      <c r="K41" t="n">
        <v>0</v>
      </c>
      <c r="L41" t="n">
        <v>0</v>
      </c>
      <c r="M41" t="n">
        <v>0</v>
      </c>
      <c r="N41" t="n">
        <v>0</v>
      </c>
      <c r="O41" t="n">
        <v>2</v>
      </c>
      <c r="P41" t="n">
        <v>0</v>
      </c>
      <c r="Q41" t="n">
        <v>3</v>
      </c>
      <c r="R41" s="2" t="inlineStr">
        <is>
          <t>Dropptaggsvamp
Gropticka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18180-2026</t>
        </is>
      </c>
      <c r="B42" s="1" t="n">
        <v>46125</v>
      </c>
      <c r="C42" s="1" t="n">
        <v>46195</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46195</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20364-2026</t>
        </is>
      </c>
      <c r="B44" s="1" t="n">
        <v>46139</v>
      </c>
      <c r="C44" s="1" t="n">
        <v>46195</v>
      </c>
      <c r="D44" t="inlineStr">
        <is>
          <t>ÖREBRO LÄN</t>
        </is>
      </c>
      <c r="E44" t="inlineStr">
        <is>
          <t>LINDESBERG</t>
        </is>
      </c>
      <c r="G44" t="n">
        <v>8.199999999999999</v>
      </c>
      <c r="H44" t="n">
        <v>2</v>
      </c>
      <c r="I44" t="n">
        <v>1</v>
      </c>
      <c r="J44" t="n">
        <v>1</v>
      </c>
      <c r="K44" t="n">
        <v>0</v>
      </c>
      <c r="L44" t="n">
        <v>0</v>
      </c>
      <c r="M44" t="n">
        <v>0</v>
      </c>
      <c r="N44" t="n">
        <v>0</v>
      </c>
      <c r="O44" t="n">
        <v>1</v>
      </c>
      <c r="P44" t="n">
        <v>0</v>
      </c>
      <c r="Q44" t="n">
        <v>3</v>
      </c>
      <c r="R44" s="2" t="inlineStr">
        <is>
          <t>Tretåig hackspett
Bronshjon
Spillkråka</t>
        </is>
      </c>
      <c r="S44">
        <f>HYPERLINK("https://klasma.github.io/Logging_1885/artfynd/A 20364-2026 artfynd.xlsx", "A 20364-2026")</f>
        <v/>
      </c>
      <c r="T44">
        <f>HYPERLINK("https://klasma.github.io/Logging_1885/kartor/A 20364-2026 karta.png", "A 20364-2026")</f>
        <v/>
      </c>
      <c r="V44">
        <f>HYPERLINK("https://klasma.github.io/Logging_1885/klagomål/A 20364-2026 FSC-klagomål.docx", "A 20364-2026")</f>
        <v/>
      </c>
      <c r="W44">
        <f>HYPERLINK("https://klasma.github.io/Logging_1885/klagomålsmail/A 20364-2026 FSC-klagomål mail.docx", "A 20364-2026")</f>
        <v/>
      </c>
      <c r="X44">
        <f>HYPERLINK("https://klasma.github.io/Logging_1885/tillsyn/A 20364-2026 tillsynsbegäran.docx", "A 20364-2026")</f>
        <v/>
      </c>
      <c r="Y44">
        <f>HYPERLINK("https://klasma.github.io/Logging_1885/tillsynsmail/A 20364-2026 tillsynsbegäran mail.docx", "A 20364-2026")</f>
        <v/>
      </c>
      <c r="Z44">
        <f>HYPERLINK("https://klasma.github.io/Logging_1885/fåglar/A 20364-2026 prioriterade fågelarter.docx", "A 20364-2026")</f>
        <v/>
      </c>
    </row>
    <row r="45" ht="15" customHeight="1">
      <c r="A45" t="inlineStr">
        <is>
          <t>A 43452-2021</t>
        </is>
      </c>
      <c r="B45" s="1" t="n">
        <v>44432</v>
      </c>
      <c r="C45" s="1" t="n">
        <v>46195</v>
      </c>
      <c r="D45" t="inlineStr">
        <is>
          <t>ÖREBRO LÄN</t>
        </is>
      </c>
      <c r="E45" t="inlineStr">
        <is>
          <t>LINDESBERG</t>
        </is>
      </c>
      <c r="F45" t="inlineStr">
        <is>
          <t>Sveaskog</t>
        </is>
      </c>
      <c r="G45" t="n">
        <v>1.1</v>
      </c>
      <c r="H45" t="n">
        <v>1</v>
      </c>
      <c r="I45" t="n">
        <v>1</v>
      </c>
      <c r="J45" t="n">
        <v>0</v>
      </c>
      <c r="K45" t="n">
        <v>1</v>
      </c>
      <c r="L45" t="n">
        <v>0</v>
      </c>
      <c r="M45" t="n">
        <v>0</v>
      </c>
      <c r="N45" t="n">
        <v>0</v>
      </c>
      <c r="O45" t="n">
        <v>1</v>
      </c>
      <c r="P45" t="n">
        <v>1</v>
      </c>
      <c r="Q45" t="n">
        <v>2</v>
      </c>
      <c r="R45" s="2" t="inlineStr">
        <is>
          <t>Knärot
Bågpraktmossa</t>
        </is>
      </c>
      <c r="S45">
        <f>HYPERLINK("https://klasma.github.io/Logging_1885/artfynd/A 43452-2021 artfynd.xlsx", "A 43452-2021")</f>
        <v/>
      </c>
      <c r="T45">
        <f>HYPERLINK("https://klasma.github.io/Logging_1885/kartor/A 43452-2021 karta.png", "A 43452-2021")</f>
        <v/>
      </c>
      <c r="U45">
        <f>HYPERLINK("https://klasma.github.io/Logging_1885/knärot/A 43452-2021 karta knärot.png", "A 43452-2021")</f>
        <v/>
      </c>
      <c r="V45">
        <f>HYPERLINK("https://klasma.github.io/Logging_1885/klagomål/A 43452-2021 FSC-klagomål.docx", "A 43452-2021")</f>
        <v/>
      </c>
      <c r="W45">
        <f>HYPERLINK("https://klasma.github.io/Logging_1885/klagomålsmail/A 43452-2021 FSC-klagomål mail.docx", "A 43452-2021")</f>
        <v/>
      </c>
      <c r="X45">
        <f>HYPERLINK("https://klasma.github.io/Logging_1885/tillsyn/A 43452-2021 tillsynsbegäran.docx", "A 43452-2021")</f>
        <v/>
      </c>
      <c r="Y45">
        <f>HYPERLINK("https://klasma.github.io/Logging_1885/tillsynsmail/A 43452-2021 tillsynsbegäran mail.docx", "A 43452-2021")</f>
        <v/>
      </c>
    </row>
    <row r="46" ht="15" customHeight="1">
      <c r="A46" t="inlineStr">
        <is>
          <t>A 61129-2024</t>
        </is>
      </c>
      <c r="B46" s="1" t="n">
        <v>45645</v>
      </c>
      <c r="C46" s="1" t="n">
        <v>46195</v>
      </c>
      <c r="D46" t="inlineStr">
        <is>
          <t>ÖREBRO LÄN</t>
        </is>
      </c>
      <c r="E46" t="inlineStr">
        <is>
          <t>LINDESBERG</t>
        </is>
      </c>
      <c r="F46" t="inlineStr">
        <is>
          <t>Sveaskog</t>
        </is>
      </c>
      <c r="G46" t="n">
        <v>6.6</v>
      </c>
      <c r="H46" t="n">
        <v>1</v>
      </c>
      <c r="I46" t="n">
        <v>1</v>
      </c>
      <c r="J46" t="n">
        <v>1</v>
      </c>
      <c r="K46" t="n">
        <v>0</v>
      </c>
      <c r="L46" t="n">
        <v>0</v>
      </c>
      <c r="M46" t="n">
        <v>0</v>
      </c>
      <c r="N46" t="n">
        <v>0</v>
      </c>
      <c r="O46" t="n">
        <v>1</v>
      </c>
      <c r="P46" t="n">
        <v>0</v>
      </c>
      <c r="Q46" t="n">
        <v>2</v>
      </c>
      <c r="R46" s="2" t="inlineStr">
        <is>
          <t>Tretåig hackspett
Bollvitmossa</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25012-2023</t>
        </is>
      </c>
      <c r="B47" s="1" t="n">
        <v>45085</v>
      </c>
      <c r="C47" s="1" t="n">
        <v>46195</v>
      </c>
      <c r="D47" t="inlineStr">
        <is>
          <t>ÖREBRO LÄN</t>
        </is>
      </c>
      <c r="E47" t="inlineStr">
        <is>
          <t>LINDESBERG</t>
        </is>
      </c>
      <c r="G47" t="n">
        <v>1.1</v>
      </c>
      <c r="H47" t="n">
        <v>0</v>
      </c>
      <c r="I47" t="n">
        <v>1</v>
      </c>
      <c r="J47" t="n">
        <v>1</v>
      </c>
      <c r="K47" t="n">
        <v>0</v>
      </c>
      <c r="L47" t="n">
        <v>0</v>
      </c>
      <c r="M47" t="n">
        <v>0</v>
      </c>
      <c r="N47" t="n">
        <v>0</v>
      </c>
      <c r="O47" t="n">
        <v>1</v>
      </c>
      <c r="P47" t="n">
        <v>0</v>
      </c>
      <c r="Q47" t="n">
        <v>2</v>
      </c>
      <c r="R47" s="2" t="inlineStr">
        <is>
          <t>Dofttaggsvamp
Kamjordstjärna</t>
        </is>
      </c>
      <c r="S47">
        <f>HYPERLINK("https://klasma.github.io/Logging_1885/artfynd/A 25012-2023 artfynd.xlsx", "A 25012-2023")</f>
        <v/>
      </c>
      <c r="T47">
        <f>HYPERLINK("https://klasma.github.io/Logging_1885/kartor/A 25012-2023 karta.png", "A 25012-2023")</f>
        <v/>
      </c>
      <c r="V47">
        <f>HYPERLINK("https://klasma.github.io/Logging_1885/klagomål/A 25012-2023 FSC-klagomål.docx", "A 25012-2023")</f>
        <v/>
      </c>
      <c r="W47">
        <f>HYPERLINK("https://klasma.github.io/Logging_1885/klagomålsmail/A 25012-2023 FSC-klagomål mail.docx", "A 25012-2023")</f>
        <v/>
      </c>
      <c r="X47">
        <f>HYPERLINK("https://klasma.github.io/Logging_1885/tillsyn/A 25012-2023 tillsynsbegäran.docx", "A 25012-2023")</f>
        <v/>
      </c>
      <c r="Y47">
        <f>HYPERLINK("https://klasma.github.io/Logging_1885/tillsynsmail/A 25012-2023 tillsynsbegäran mail.docx", "A 25012-2023")</f>
        <v/>
      </c>
    </row>
    <row r="48" ht="15" customHeight="1">
      <c r="A48" t="inlineStr">
        <is>
          <t>A 14190-2024</t>
        </is>
      </c>
      <c r="B48" s="1" t="n">
        <v>45393</v>
      </c>
      <c r="C48" s="1" t="n">
        <v>46195</v>
      </c>
      <c r="D48" t="inlineStr">
        <is>
          <t>ÖREBRO LÄN</t>
        </is>
      </c>
      <c r="E48" t="inlineStr">
        <is>
          <t>LINDESBERG</t>
        </is>
      </c>
      <c r="F48" t="inlineStr">
        <is>
          <t>Sveaskog</t>
        </is>
      </c>
      <c r="G48" t="n">
        <v>2.5</v>
      </c>
      <c r="H48" t="n">
        <v>2</v>
      </c>
      <c r="I48" t="n">
        <v>0</v>
      </c>
      <c r="J48" t="n">
        <v>1</v>
      </c>
      <c r="K48" t="n">
        <v>0</v>
      </c>
      <c r="L48" t="n">
        <v>0</v>
      </c>
      <c r="M48" t="n">
        <v>0</v>
      </c>
      <c r="N48" t="n">
        <v>0</v>
      </c>
      <c r="O48" t="n">
        <v>1</v>
      </c>
      <c r="P48" t="n">
        <v>0</v>
      </c>
      <c r="Q48" t="n">
        <v>2</v>
      </c>
      <c r="R48" s="2" t="inlineStr">
        <is>
          <t>Nordfladdermus
Vattenfladdermus</t>
        </is>
      </c>
      <c r="S48">
        <f>HYPERLINK("https://klasma.github.io/Logging_1885/artfynd/A 14190-2024 artfynd.xlsx", "A 14190-2024")</f>
        <v/>
      </c>
      <c r="T48">
        <f>HYPERLINK("https://klasma.github.io/Logging_1885/kartor/A 14190-2024 karta.png", "A 14190-2024")</f>
        <v/>
      </c>
      <c r="V48">
        <f>HYPERLINK("https://klasma.github.io/Logging_1885/klagomål/A 14190-2024 FSC-klagomål.docx", "A 14190-2024")</f>
        <v/>
      </c>
      <c r="W48">
        <f>HYPERLINK("https://klasma.github.io/Logging_1885/klagomålsmail/A 14190-2024 FSC-klagomål mail.docx", "A 14190-2024")</f>
        <v/>
      </c>
      <c r="X48">
        <f>HYPERLINK("https://klasma.github.io/Logging_1885/tillsyn/A 14190-2024 tillsynsbegäran.docx", "A 14190-2024")</f>
        <v/>
      </c>
      <c r="Y48">
        <f>HYPERLINK("https://klasma.github.io/Logging_1885/tillsynsmail/A 14190-2024 tillsynsbegäran mail.docx", "A 14190-2024")</f>
        <v/>
      </c>
    </row>
    <row r="49" ht="15" customHeight="1">
      <c r="A49" t="inlineStr">
        <is>
          <t>A 57795-2021</t>
        </is>
      </c>
      <c r="B49" s="1" t="n">
        <v>44484</v>
      </c>
      <c r="C49" s="1" t="n">
        <v>46195</v>
      </c>
      <c r="D49" t="inlineStr">
        <is>
          <t>ÖREBRO LÄN</t>
        </is>
      </c>
      <c r="E49" t="inlineStr">
        <is>
          <t>LINDESBERG</t>
        </is>
      </c>
      <c r="G49" t="n">
        <v>39.4</v>
      </c>
      <c r="H49" t="n">
        <v>0</v>
      </c>
      <c r="I49" t="n">
        <v>0</v>
      </c>
      <c r="J49" t="n">
        <v>2</v>
      </c>
      <c r="K49" t="n">
        <v>0</v>
      </c>
      <c r="L49" t="n">
        <v>0</v>
      </c>
      <c r="M49" t="n">
        <v>0</v>
      </c>
      <c r="N49" t="n">
        <v>0</v>
      </c>
      <c r="O49" t="n">
        <v>2</v>
      </c>
      <c r="P49" t="n">
        <v>0</v>
      </c>
      <c r="Q49" t="n">
        <v>2</v>
      </c>
      <c r="R49" s="2" t="inlineStr">
        <is>
          <t>Dropptaggsvamp
Motaggsvamp</t>
        </is>
      </c>
      <c r="S49">
        <f>HYPERLINK("https://klasma.github.io/Logging_1885/artfynd/A 57795-2021 artfynd.xlsx", "A 57795-2021")</f>
        <v/>
      </c>
      <c r="T49">
        <f>HYPERLINK("https://klasma.github.io/Logging_1885/kartor/A 57795-2021 karta.png", "A 57795-2021")</f>
        <v/>
      </c>
      <c r="V49">
        <f>HYPERLINK("https://klasma.github.io/Logging_1885/klagomål/A 57795-2021 FSC-klagomål.docx", "A 57795-2021")</f>
        <v/>
      </c>
      <c r="W49">
        <f>HYPERLINK("https://klasma.github.io/Logging_1885/klagomålsmail/A 57795-2021 FSC-klagomål mail.docx", "A 57795-2021")</f>
        <v/>
      </c>
      <c r="X49">
        <f>HYPERLINK("https://klasma.github.io/Logging_1885/tillsyn/A 57795-2021 tillsynsbegäran.docx", "A 57795-2021")</f>
        <v/>
      </c>
      <c r="Y49">
        <f>HYPERLINK("https://klasma.github.io/Logging_1885/tillsynsmail/A 57795-2021 tillsynsbegäran mail.docx", "A 57795-2021")</f>
        <v/>
      </c>
    </row>
    <row r="50" ht="15" customHeight="1">
      <c r="A50" t="inlineStr">
        <is>
          <t>A 42629-2025</t>
        </is>
      </c>
      <c r="B50" s="1" t="n">
        <v>45905</v>
      </c>
      <c r="C50" s="1" t="n">
        <v>46195</v>
      </c>
      <c r="D50" t="inlineStr">
        <is>
          <t>ÖREBRO LÄN</t>
        </is>
      </c>
      <c r="E50" t="inlineStr">
        <is>
          <t>LINDESBERG</t>
        </is>
      </c>
      <c r="F50" t="inlineStr">
        <is>
          <t>Sveaskog</t>
        </is>
      </c>
      <c r="G50" t="n">
        <v>4.7</v>
      </c>
      <c r="H50" t="n">
        <v>2</v>
      </c>
      <c r="I50" t="n">
        <v>0</v>
      </c>
      <c r="J50" t="n">
        <v>0</v>
      </c>
      <c r="K50" t="n">
        <v>0</v>
      </c>
      <c r="L50" t="n">
        <v>0</v>
      </c>
      <c r="M50" t="n">
        <v>0</v>
      </c>
      <c r="N50" t="n">
        <v>0</v>
      </c>
      <c r="O50" t="n">
        <v>0</v>
      </c>
      <c r="P50" t="n">
        <v>0</v>
      </c>
      <c r="Q50" t="n">
        <v>2</v>
      </c>
      <c r="R50" s="2" t="inlineStr">
        <is>
          <t>Tjäder
Orre</t>
        </is>
      </c>
      <c r="S50">
        <f>HYPERLINK("https://klasma.github.io/Logging_1885/artfynd/A 42629-2025 artfynd.xlsx", "A 42629-2025")</f>
        <v/>
      </c>
      <c r="T50">
        <f>HYPERLINK("https://klasma.github.io/Logging_1885/kartor/A 42629-2025 karta.png", "A 42629-2025")</f>
        <v/>
      </c>
      <c r="V50">
        <f>HYPERLINK("https://klasma.github.io/Logging_1885/klagomål/A 42629-2025 FSC-klagomål.docx", "A 42629-2025")</f>
        <v/>
      </c>
      <c r="W50">
        <f>HYPERLINK("https://klasma.github.io/Logging_1885/klagomålsmail/A 42629-2025 FSC-klagomål mail.docx", "A 42629-2025")</f>
        <v/>
      </c>
      <c r="X50">
        <f>HYPERLINK("https://klasma.github.io/Logging_1885/tillsyn/A 42629-2025 tillsynsbegäran.docx", "A 42629-2025")</f>
        <v/>
      </c>
      <c r="Y50">
        <f>HYPERLINK("https://klasma.github.io/Logging_1885/tillsynsmail/A 42629-2025 tillsynsbegäran mail.docx", "A 42629-2025")</f>
        <v/>
      </c>
      <c r="Z50">
        <f>HYPERLINK("https://klasma.github.io/Logging_1885/fåglar/A 42629-2025 prioriterade fågelarter.docx", "A 42629-2025")</f>
        <v/>
      </c>
    </row>
    <row r="51" ht="15" customHeight="1">
      <c r="A51" t="inlineStr">
        <is>
          <t>A 27732-2026</t>
        </is>
      </c>
      <c r="B51" s="1" t="n">
        <v>46191</v>
      </c>
      <c r="C51" s="1" t="n">
        <v>46195</v>
      </c>
      <c r="D51" t="inlineStr">
        <is>
          <t>ÖREBRO LÄN</t>
        </is>
      </c>
      <c r="E51" t="inlineStr">
        <is>
          <t>LINDESBERG</t>
        </is>
      </c>
      <c r="F51" t="inlineStr">
        <is>
          <t>Sveaskog</t>
        </is>
      </c>
      <c r="G51" t="n">
        <v>5.9</v>
      </c>
      <c r="H51" t="n">
        <v>2</v>
      </c>
      <c r="I51" t="n">
        <v>0</v>
      </c>
      <c r="J51" t="n">
        <v>0</v>
      </c>
      <c r="K51" t="n">
        <v>0</v>
      </c>
      <c r="L51" t="n">
        <v>0</v>
      </c>
      <c r="M51" t="n">
        <v>0</v>
      </c>
      <c r="N51" t="n">
        <v>0</v>
      </c>
      <c r="O51" t="n">
        <v>0</v>
      </c>
      <c r="P51" t="n">
        <v>0</v>
      </c>
      <c r="Q51" t="n">
        <v>2</v>
      </c>
      <c r="R51" s="2" t="inlineStr">
        <is>
          <t>Fläcknycklar
Revlummer</t>
        </is>
      </c>
      <c r="S51">
        <f>HYPERLINK("https://klasma.github.io/Logging_1885/artfynd/A 27732-2026 artfynd.xlsx", "A 27732-2026")</f>
        <v/>
      </c>
      <c r="T51">
        <f>HYPERLINK("https://klasma.github.io/Logging_1885/kartor/A 27732-2026 karta.png", "A 27732-2026")</f>
        <v/>
      </c>
      <c r="V51">
        <f>HYPERLINK("https://klasma.github.io/Logging_1885/klagomål/A 27732-2026 FSC-klagomål.docx", "A 27732-2026")</f>
        <v/>
      </c>
      <c r="W51">
        <f>HYPERLINK("https://klasma.github.io/Logging_1885/klagomålsmail/A 27732-2026 FSC-klagomål mail.docx", "A 27732-2026")</f>
        <v/>
      </c>
      <c r="X51">
        <f>HYPERLINK("https://klasma.github.io/Logging_1885/tillsyn/A 27732-2026 tillsynsbegäran.docx", "A 27732-2026")</f>
        <v/>
      </c>
      <c r="Y51">
        <f>HYPERLINK("https://klasma.github.io/Logging_1885/tillsynsmail/A 27732-2026 tillsynsbegäran mail.docx", "A 27732-2026")</f>
        <v/>
      </c>
    </row>
    <row r="52" ht="15" customHeight="1">
      <c r="A52" t="inlineStr">
        <is>
          <t>A 8175-2026</t>
        </is>
      </c>
      <c r="B52" s="1" t="n">
        <v>46064</v>
      </c>
      <c r="C52" s="1" t="n">
        <v>46195</v>
      </c>
      <c r="D52" t="inlineStr">
        <is>
          <t>ÖREBRO LÄN</t>
        </is>
      </c>
      <c r="E52" t="inlineStr">
        <is>
          <t>LINDESBERG</t>
        </is>
      </c>
      <c r="G52" t="n">
        <v>2.4</v>
      </c>
      <c r="H52" t="n">
        <v>1</v>
      </c>
      <c r="I52" t="n">
        <v>1</v>
      </c>
      <c r="J52" t="n">
        <v>0</v>
      </c>
      <c r="K52" t="n">
        <v>0</v>
      </c>
      <c r="L52" t="n">
        <v>0</v>
      </c>
      <c r="M52" t="n">
        <v>0</v>
      </c>
      <c r="N52" t="n">
        <v>0</v>
      </c>
      <c r="O52" t="n">
        <v>0</v>
      </c>
      <c r="P52" t="n">
        <v>0</v>
      </c>
      <c r="Q52" t="n">
        <v>2</v>
      </c>
      <c r="R52" s="2" t="inlineStr">
        <is>
          <t>Svart trolldruva
Blåsippa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16103-2026</t>
        </is>
      </c>
      <c r="B53" s="1" t="n">
        <v>46108</v>
      </c>
      <c r="C53" s="1" t="n">
        <v>46195</v>
      </c>
      <c r="D53" t="inlineStr">
        <is>
          <t>ÖREBRO LÄN</t>
        </is>
      </c>
      <c r="E53" t="inlineStr">
        <is>
          <t>LINDESBERG</t>
        </is>
      </c>
      <c r="G53" t="n">
        <v>5.5</v>
      </c>
      <c r="H53" t="n">
        <v>1</v>
      </c>
      <c r="I53" t="n">
        <v>0</v>
      </c>
      <c r="J53" t="n">
        <v>0</v>
      </c>
      <c r="K53" t="n">
        <v>1</v>
      </c>
      <c r="L53" t="n">
        <v>0</v>
      </c>
      <c r="M53" t="n">
        <v>0</v>
      </c>
      <c r="N53" t="n">
        <v>0</v>
      </c>
      <c r="O53" t="n">
        <v>1</v>
      </c>
      <c r="P53" t="n">
        <v>1</v>
      </c>
      <c r="Q53" t="n">
        <v>2</v>
      </c>
      <c r="R53" s="2" t="inlineStr">
        <is>
          <t>Garnlav
Spillkråka</t>
        </is>
      </c>
      <c r="S53">
        <f>HYPERLINK("https://klasma.github.io/Logging_1885/artfynd/A 16103-2026 artfynd.xlsx", "A 16103-2026")</f>
        <v/>
      </c>
      <c r="T53">
        <f>HYPERLINK("https://klasma.github.io/Logging_1885/kartor/A 16103-2026 karta.png", "A 16103-2026")</f>
        <v/>
      </c>
      <c r="V53">
        <f>HYPERLINK("https://klasma.github.io/Logging_1885/klagomål/A 16103-2026 FSC-klagomål.docx", "A 16103-2026")</f>
        <v/>
      </c>
      <c r="W53">
        <f>HYPERLINK("https://klasma.github.io/Logging_1885/klagomålsmail/A 16103-2026 FSC-klagomål mail.docx", "A 16103-2026")</f>
        <v/>
      </c>
      <c r="X53">
        <f>HYPERLINK("https://klasma.github.io/Logging_1885/tillsyn/A 16103-2026 tillsynsbegäran.docx", "A 16103-2026")</f>
        <v/>
      </c>
      <c r="Y53">
        <f>HYPERLINK("https://klasma.github.io/Logging_1885/tillsynsmail/A 16103-2026 tillsynsbegäran mail.docx", "A 16103-2026")</f>
        <v/>
      </c>
      <c r="Z53">
        <f>HYPERLINK("https://klasma.github.io/Logging_1885/fåglar/A 16103-2026 prioriterade fågelarter.docx", "A 16103-2026")</f>
        <v/>
      </c>
    </row>
    <row r="54" ht="15" customHeight="1">
      <c r="A54" t="inlineStr">
        <is>
          <t>A 25096-2026</t>
        </is>
      </c>
      <c r="B54" s="1" t="n">
        <v>46175</v>
      </c>
      <c r="C54" s="1" t="n">
        <v>46195</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32713-2021</t>
        </is>
      </c>
      <c r="B55" s="1" t="n">
        <v>44375</v>
      </c>
      <c r="C55" s="1" t="n">
        <v>46195</v>
      </c>
      <c r="D55" t="inlineStr">
        <is>
          <t>ÖREBRO LÄN</t>
        </is>
      </c>
      <c r="E55" t="inlineStr">
        <is>
          <t>LINDESBERG</t>
        </is>
      </c>
      <c r="F55" t="inlineStr">
        <is>
          <t>Kommuner</t>
        </is>
      </c>
      <c r="G55" t="n">
        <v>3.9</v>
      </c>
      <c r="H55" t="n">
        <v>0</v>
      </c>
      <c r="I55" t="n">
        <v>0</v>
      </c>
      <c r="J55" t="n">
        <v>0</v>
      </c>
      <c r="K55" t="n">
        <v>0</v>
      </c>
      <c r="L55" t="n">
        <v>1</v>
      </c>
      <c r="M55" t="n">
        <v>0</v>
      </c>
      <c r="N55" t="n">
        <v>0</v>
      </c>
      <c r="O55" t="n">
        <v>1</v>
      </c>
      <c r="P55" t="n">
        <v>1</v>
      </c>
      <c r="Q55" t="n">
        <v>1</v>
      </c>
      <c r="R55" s="2" t="inlineStr">
        <is>
          <t>Ask</t>
        </is>
      </c>
      <c r="S55">
        <f>HYPERLINK("https://klasma.github.io/Logging_1885/artfynd/A 32713-2021 artfynd.xlsx", "A 32713-2021")</f>
        <v/>
      </c>
      <c r="T55">
        <f>HYPERLINK("https://klasma.github.io/Logging_1885/kartor/A 32713-2021 karta.png", "A 32713-2021")</f>
        <v/>
      </c>
      <c r="V55">
        <f>HYPERLINK("https://klasma.github.io/Logging_1885/klagomål/A 32713-2021 FSC-klagomål.docx", "A 32713-2021")</f>
        <v/>
      </c>
      <c r="W55">
        <f>HYPERLINK("https://klasma.github.io/Logging_1885/klagomålsmail/A 32713-2021 FSC-klagomål mail.docx", "A 32713-2021")</f>
        <v/>
      </c>
      <c r="X55">
        <f>HYPERLINK("https://klasma.github.io/Logging_1885/tillsyn/A 32713-2021 tillsynsbegäran.docx", "A 32713-2021")</f>
        <v/>
      </c>
      <c r="Y55">
        <f>HYPERLINK("https://klasma.github.io/Logging_1885/tillsynsmail/A 32713-2021 tillsynsbegäran mail.docx", "A 32713-2021")</f>
        <v/>
      </c>
    </row>
    <row r="56" ht="15" customHeight="1">
      <c r="A56" t="inlineStr">
        <is>
          <t>A 64874-2021</t>
        </is>
      </c>
      <c r="B56" s="1" t="n">
        <v>44512</v>
      </c>
      <c r="C56" s="1" t="n">
        <v>46195</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46195</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46195</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46195</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64513-2023</t>
        </is>
      </c>
      <c r="B60" s="1" t="n">
        <v>45281</v>
      </c>
      <c r="C60" s="1" t="n">
        <v>46195</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50964-2023</t>
        </is>
      </c>
      <c r="B61" s="1" t="n">
        <v>45218</v>
      </c>
      <c r="C61" s="1" t="n">
        <v>46195</v>
      </c>
      <c r="D61" t="inlineStr">
        <is>
          <t>ÖREBRO LÄN</t>
        </is>
      </c>
      <c r="E61" t="inlineStr">
        <is>
          <t>LINDESBERG</t>
        </is>
      </c>
      <c r="F61" t="inlineStr">
        <is>
          <t>Sveaskog</t>
        </is>
      </c>
      <c r="G61" t="n">
        <v>0.7</v>
      </c>
      <c r="H61" t="n">
        <v>0</v>
      </c>
      <c r="I61" t="n">
        <v>1</v>
      </c>
      <c r="J61" t="n">
        <v>0</v>
      </c>
      <c r="K61" t="n">
        <v>0</v>
      </c>
      <c r="L61" t="n">
        <v>0</v>
      </c>
      <c r="M61" t="n">
        <v>0</v>
      </c>
      <c r="N61" t="n">
        <v>0</v>
      </c>
      <c r="O61" t="n">
        <v>0</v>
      </c>
      <c r="P61" t="n">
        <v>0</v>
      </c>
      <c r="Q61" t="n">
        <v>1</v>
      </c>
      <c r="R61" s="2" t="inlineStr">
        <is>
          <t>Gulnål</t>
        </is>
      </c>
      <c r="S61">
        <f>HYPERLINK("https://klasma.github.io/Logging_1885/artfynd/A 50964-2023 artfynd.xlsx", "A 50964-2023")</f>
        <v/>
      </c>
      <c r="T61">
        <f>HYPERLINK("https://klasma.github.io/Logging_1885/kartor/A 50964-2023 karta.png", "A 50964-2023")</f>
        <v/>
      </c>
      <c r="V61">
        <f>HYPERLINK("https://klasma.github.io/Logging_1885/klagomål/A 50964-2023 FSC-klagomål.docx", "A 50964-2023")</f>
        <v/>
      </c>
      <c r="W61">
        <f>HYPERLINK("https://klasma.github.io/Logging_1885/klagomålsmail/A 50964-2023 FSC-klagomål mail.docx", "A 50964-2023")</f>
        <v/>
      </c>
      <c r="X61">
        <f>HYPERLINK("https://klasma.github.io/Logging_1885/tillsyn/A 50964-2023 tillsynsbegäran.docx", "A 50964-2023")</f>
        <v/>
      </c>
      <c r="Y61">
        <f>HYPERLINK("https://klasma.github.io/Logging_1885/tillsynsmail/A 50964-2023 tillsynsbegäran mail.docx", "A 50964-2023")</f>
        <v/>
      </c>
    </row>
    <row r="62" ht="15" customHeight="1">
      <c r="A62" t="inlineStr">
        <is>
          <t>A 13884-2023</t>
        </is>
      </c>
      <c r="B62" s="1" t="n">
        <v>45007</v>
      </c>
      <c r="C62" s="1" t="n">
        <v>46195</v>
      </c>
      <c r="D62" t="inlineStr">
        <is>
          <t>ÖREBRO LÄN</t>
        </is>
      </c>
      <c r="E62" t="inlineStr">
        <is>
          <t>LINDESBERG</t>
        </is>
      </c>
      <c r="F62" t="inlineStr">
        <is>
          <t>Kommuner</t>
        </is>
      </c>
      <c r="G62" t="n">
        <v>7.7</v>
      </c>
      <c r="H62" t="n">
        <v>0</v>
      </c>
      <c r="I62" t="n">
        <v>0</v>
      </c>
      <c r="J62" t="n">
        <v>1</v>
      </c>
      <c r="K62" t="n">
        <v>0</v>
      </c>
      <c r="L62" t="n">
        <v>0</v>
      </c>
      <c r="M62" t="n">
        <v>0</v>
      </c>
      <c r="N62" t="n">
        <v>0</v>
      </c>
      <c r="O62" t="n">
        <v>1</v>
      </c>
      <c r="P62" t="n">
        <v>0</v>
      </c>
      <c r="Q62" t="n">
        <v>1</v>
      </c>
      <c r="R62" s="2" t="inlineStr">
        <is>
          <t>Lunglav</t>
        </is>
      </c>
      <c r="S62">
        <f>HYPERLINK("https://klasma.github.io/Logging_1885/artfynd/A 13884-2023 artfynd.xlsx", "A 13884-2023")</f>
        <v/>
      </c>
      <c r="T62">
        <f>HYPERLINK("https://klasma.github.io/Logging_1885/kartor/A 13884-2023 karta.png", "A 13884-2023")</f>
        <v/>
      </c>
      <c r="V62">
        <f>HYPERLINK("https://klasma.github.io/Logging_1885/klagomål/A 13884-2023 FSC-klagomål.docx", "A 13884-2023")</f>
        <v/>
      </c>
      <c r="W62">
        <f>HYPERLINK("https://klasma.github.io/Logging_1885/klagomålsmail/A 13884-2023 FSC-klagomål mail.docx", "A 13884-2023")</f>
        <v/>
      </c>
      <c r="X62">
        <f>HYPERLINK("https://klasma.github.io/Logging_1885/tillsyn/A 13884-2023 tillsynsbegäran.docx", "A 13884-2023")</f>
        <v/>
      </c>
      <c r="Y62">
        <f>HYPERLINK("https://klasma.github.io/Logging_1885/tillsynsmail/A 13884-2023 tillsynsbegäran mail.docx", "A 13884-2023")</f>
        <v/>
      </c>
    </row>
    <row r="63" ht="15" customHeight="1">
      <c r="A63" t="inlineStr">
        <is>
          <t>A 46647-2024</t>
        </is>
      </c>
      <c r="B63" s="1" t="n">
        <v>45583</v>
      </c>
      <c r="C63" s="1" t="n">
        <v>46195</v>
      </c>
      <c r="D63" t="inlineStr">
        <is>
          <t>ÖREBRO LÄN</t>
        </is>
      </c>
      <c r="E63" t="inlineStr">
        <is>
          <t>LINDESBERG</t>
        </is>
      </c>
      <c r="F63" t="inlineStr">
        <is>
          <t>Sveaskog</t>
        </is>
      </c>
      <c r="G63" t="n">
        <v>3.1</v>
      </c>
      <c r="H63" t="n">
        <v>0</v>
      </c>
      <c r="I63" t="n">
        <v>0</v>
      </c>
      <c r="J63" t="n">
        <v>0</v>
      </c>
      <c r="K63" t="n">
        <v>1</v>
      </c>
      <c r="L63" t="n">
        <v>0</v>
      </c>
      <c r="M63" t="n">
        <v>0</v>
      </c>
      <c r="N63" t="n">
        <v>0</v>
      </c>
      <c r="O63" t="n">
        <v>1</v>
      </c>
      <c r="P63" t="n">
        <v>1</v>
      </c>
      <c r="Q63" t="n">
        <v>1</v>
      </c>
      <c r="R63" s="2" t="inlineStr">
        <is>
          <t>Treuddsaftonfly</t>
        </is>
      </c>
      <c r="S63">
        <f>HYPERLINK("https://klasma.github.io/Logging_1885/artfynd/A 46647-2024 artfynd.xlsx", "A 46647-2024")</f>
        <v/>
      </c>
      <c r="T63">
        <f>HYPERLINK("https://klasma.github.io/Logging_1885/kartor/A 46647-2024 karta.png", "A 46647-2024")</f>
        <v/>
      </c>
      <c r="V63">
        <f>HYPERLINK("https://klasma.github.io/Logging_1885/klagomål/A 46647-2024 FSC-klagomål.docx", "A 46647-2024")</f>
        <v/>
      </c>
      <c r="W63">
        <f>HYPERLINK("https://klasma.github.io/Logging_1885/klagomålsmail/A 46647-2024 FSC-klagomål mail.docx", "A 46647-2024")</f>
        <v/>
      </c>
      <c r="X63">
        <f>HYPERLINK("https://klasma.github.io/Logging_1885/tillsyn/A 46647-2024 tillsynsbegäran.docx", "A 46647-2024")</f>
        <v/>
      </c>
      <c r="Y63">
        <f>HYPERLINK("https://klasma.github.io/Logging_1885/tillsynsmail/A 46647-2024 tillsynsbegäran mail.docx", "A 46647-2024")</f>
        <v/>
      </c>
    </row>
    <row r="64" ht="15" customHeight="1">
      <c r="A64" t="inlineStr">
        <is>
          <t>A 11953-2024</t>
        </is>
      </c>
      <c r="B64" s="1" t="n">
        <v>45376</v>
      </c>
      <c r="C64" s="1" t="n">
        <v>46195</v>
      </c>
      <c r="D64" t="inlineStr">
        <is>
          <t>ÖREBRO LÄN</t>
        </is>
      </c>
      <c r="E64" t="inlineStr">
        <is>
          <t>LINDESBERG</t>
        </is>
      </c>
      <c r="G64" t="n">
        <v>5.7</v>
      </c>
      <c r="H64" t="n">
        <v>1</v>
      </c>
      <c r="I64" t="n">
        <v>0</v>
      </c>
      <c r="J64" t="n">
        <v>0</v>
      </c>
      <c r="K64" t="n">
        <v>0</v>
      </c>
      <c r="L64" t="n">
        <v>0</v>
      </c>
      <c r="M64" t="n">
        <v>0</v>
      </c>
      <c r="N64" t="n">
        <v>0</v>
      </c>
      <c r="O64" t="n">
        <v>0</v>
      </c>
      <c r="P64" t="n">
        <v>0</v>
      </c>
      <c r="Q64" t="n">
        <v>1</v>
      </c>
      <c r="R64" s="2" t="inlineStr">
        <is>
          <t>Utter</t>
        </is>
      </c>
      <c r="S64">
        <f>HYPERLINK("https://klasma.github.io/Logging_1885/artfynd/A 11953-2024 artfynd.xlsx", "A 11953-2024")</f>
        <v/>
      </c>
      <c r="T64">
        <f>HYPERLINK("https://klasma.github.io/Logging_1885/kartor/A 11953-2024 karta.png", "A 11953-2024")</f>
        <v/>
      </c>
      <c r="V64">
        <f>HYPERLINK("https://klasma.github.io/Logging_1885/klagomål/A 11953-2024 FSC-klagomål.docx", "A 11953-2024")</f>
        <v/>
      </c>
      <c r="W64">
        <f>HYPERLINK("https://klasma.github.io/Logging_1885/klagomålsmail/A 11953-2024 FSC-klagomål mail.docx", "A 11953-2024")</f>
        <v/>
      </c>
      <c r="X64">
        <f>HYPERLINK("https://klasma.github.io/Logging_1885/tillsyn/A 11953-2024 tillsynsbegäran.docx", "A 11953-2024")</f>
        <v/>
      </c>
      <c r="Y64">
        <f>HYPERLINK("https://klasma.github.io/Logging_1885/tillsynsmail/A 11953-2024 tillsynsbegäran mail.docx", "A 11953-2024")</f>
        <v/>
      </c>
    </row>
    <row r="65" ht="15" customHeight="1">
      <c r="A65" t="inlineStr">
        <is>
          <t>A 67013-2021</t>
        </is>
      </c>
      <c r="B65" s="1" t="n">
        <v>44522</v>
      </c>
      <c r="C65" s="1" t="n">
        <v>46195</v>
      </c>
      <c r="D65" t="inlineStr">
        <is>
          <t>ÖREBRO LÄN</t>
        </is>
      </c>
      <c r="E65" t="inlineStr">
        <is>
          <t>LINDESBERG</t>
        </is>
      </c>
      <c r="G65" t="n">
        <v>0.5</v>
      </c>
      <c r="H65" t="n">
        <v>0</v>
      </c>
      <c r="I65" t="n">
        <v>0</v>
      </c>
      <c r="J65" t="n">
        <v>1</v>
      </c>
      <c r="K65" t="n">
        <v>0</v>
      </c>
      <c r="L65" t="n">
        <v>0</v>
      </c>
      <c r="M65" t="n">
        <v>0</v>
      </c>
      <c r="N65" t="n">
        <v>0</v>
      </c>
      <c r="O65" t="n">
        <v>1</v>
      </c>
      <c r="P65" t="n">
        <v>0</v>
      </c>
      <c r="Q65" t="n">
        <v>1</v>
      </c>
      <c r="R65" s="2" t="inlineStr">
        <is>
          <t>Skogsklocka</t>
        </is>
      </c>
      <c r="S65">
        <f>HYPERLINK("https://klasma.github.io/Logging_1885/artfynd/A 67013-2021 artfynd.xlsx", "A 67013-2021")</f>
        <v/>
      </c>
      <c r="T65">
        <f>HYPERLINK("https://klasma.github.io/Logging_1885/kartor/A 67013-2021 karta.png", "A 67013-2021")</f>
        <v/>
      </c>
      <c r="V65">
        <f>HYPERLINK("https://klasma.github.io/Logging_1885/klagomål/A 67013-2021 FSC-klagomål.docx", "A 67013-2021")</f>
        <v/>
      </c>
      <c r="W65">
        <f>HYPERLINK("https://klasma.github.io/Logging_1885/klagomålsmail/A 67013-2021 FSC-klagomål mail.docx", "A 67013-2021")</f>
        <v/>
      </c>
      <c r="X65">
        <f>HYPERLINK("https://klasma.github.io/Logging_1885/tillsyn/A 67013-2021 tillsynsbegäran.docx", "A 67013-2021")</f>
        <v/>
      </c>
      <c r="Y65">
        <f>HYPERLINK("https://klasma.github.io/Logging_1885/tillsynsmail/A 67013-2021 tillsynsbegäran mail.docx", "A 67013-2021")</f>
        <v/>
      </c>
    </row>
    <row r="66" ht="15" customHeight="1">
      <c r="A66" t="inlineStr">
        <is>
          <t>A 3729-2023</t>
        </is>
      </c>
      <c r="B66" s="1" t="n">
        <v>44949</v>
      </c>
      <c r="C66" s="1" t="n">
        <v>46195</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6161-2025</t>
        </is>
      </c>
      <c r="B67" s="1" t="n">
        <v>45698</v>
      </c>
      <c r="C67" s="1" t="n">
        <v>46195</v>
      </c>
      <c r="D67" t="inlineStr">
        <is>
          <t>ÖREBRO LÄN</t>
        </is>
      </c>
      <c r="E67" t="inlineStr">
        <is>
          <t>LINDESBERG</t>
        </is>
      </c>
      <c r="F67" t="inlineStr">
        <is>
          <t>Sveaskog</t>
        </is>
      </c>
      <c r="G67" t="n">
        <v>3.7</v>
      </c>
      <c r="H67" t="n">
        <v>1</v>
      </c>
      <c r="I67" t="n">
        <v>0</v>
      </c>
      <c r="J67" t="n">
        <v>1</v>
      </c>
      <c r="K67" t="n">
        <v>0</v>
      </c>
      <c r="L67" t="n">
        <v>0</v>
      </c>
      <c r="M67" t="n">
        <v>0</v>
      </c>
      <c r="N67" t="n">
        <v>0</v>
      </c>
      <c r="O67" t="n">
        <v>1</v>
      </c>
      <c r="P67" t="n">
        <v>0</v>
      </c>
      <c r="Q67" t="n">
        <v>1</v>
      </c>
      <c r="R67" s="2" t="inlineStr">
        <is>
          <t>Nordfladdermus</t>
        </is>
      </c>
      <c r="S67">
        <f>HYPERLINK("https://klasma.github.io/Logging_1885/artfynd/A 6161-2025 artfynd.xlsx", "A 6161-2025")</f>
        <v/>
      </c>
      <c r="T67">
        <f>HYPERLINK("https://klasma.github.io/Logging_1885/kartor/A 6161-2025 karta.png", "A 6161-2025")</f>
        <v/>
      </c>
      <c r="V67">
        <f>HYPERLINK("https://klasma.github.io/Logging_1885/klagomål/A 6161-2025 FSC-klagomål.docx", "A 6161-2025")</f>
        <v/>
      </c>
      <c r="W67">
        <f>HYPERLINK("https://klasma.github.io/Logging_1885/klagomålsmail/A 6161-2025 FSC-klagomål mail.docx", "A 6161-2025")</f>
        <v/>
      </c>
      <c r="X67">
        <f>HYPERLINK("https://klasma.github.io/Logging_1885/tillsyn/A 6161-2025 tillsynsbegäran.docx", "A 6161-2025")</f>
        <v/>
      </c>
      <c r="Y67">
        <f>HYPERLINK("https://klasma.github.io/Logging_1885/tillsynsmail/A 6161-2025 tillsynsbegäran mail.docx", "A 6161-2025")</f>
        <v/>
      </c>
    </row>
    <row r="68" ht="15" customHeight="1">
      <c r="A68" t="inlineStr">
        <is>
          <t>A 6165-2025</t>
        </is>
      </c>
      <c r="B68" s="1" t="n">
        <v>45698</v>
      </c>
      <c r="C68" s="1" t="n">
        <v>46195</v>
      </c>
      <c r="D68" t="inlineStr">
        <is>
          <t>ÖREBRO LÄN</t>
        </is>
      </c>
      <c r="E68" t="inlineStr">
        <is>
          <t>LINDESBERG</t>
        </is>
      </c>
      <c r="F68" t="inlineStr">
        <is>
          <t>Sveaskog</t>
        </is>
      </c>
      <c r="G68" t="n">
        <v>1.4</v>
      </c>
      <c r="H68" t="n">
        <v>0</v>
      </c>
      <c r="I68" t="n">
        <v>1</v>
      </c>
      <c r="J68" t="n">
        <v>0</v>
      </c>
      <c r="K68" t="n">
        <v>0</v>
      </c>
      <c r="L68" t="n">
        <v>0</v>
      </c>
      <c r="M68" t="n">
        <v>0</v>
      </c>
      <c r="N68" t="n">
        <v>0</v>
      </c>
      <c r="O68" t="n">
        <v>0</v>
      </c>
      <c r="P68" t="n">
        <v>0</v>
      </c>
      <c r="Q68" t="n">
        <v>1</v>
      </c>
      <c r="R68" s="2" t="inlineStr">
        <is>
          <t>Bågpraktmossa</t>
        </is>
      </c>
      <c r="S68">
        <f>HYPERLINK("https://klasma.github.io/Logging_1885/artfynd/A 6165-2025 artfynd.xlsx", "A 6165-2025")</f>
        <v/>
      </c>
      <c r="T68">
        <f>HYPERLINK("https://klasma.github.io/Logging_1885/kartor/A 6165-2025 karta.png", "A 6165-2025")</f>
        <v/>
      </c>
      <c r="V68">
        <f>HYPERLINK("https://klasma.github.io/Logging_1885/klagomål/A 6165-2025 FSC-klagomål.docx", "A 6165-2025")</f>
        <v/>
      </c>
      <c r="W68">
        <f>HYPERLINK("https://klasma.github.io/Logging_1885/klagomålsmail/A 6165-2025 FSC-klagomål mail.docx", "A 6165-2025")</f>
        <v/>
      </c>
      <c r="X68">
        <f>HYPERLINK("https://klasma.github.io/Logging_1885/tillsyn/A 6165-2025 tillsynsbegäran.docx", "A 6165-2025")</f>
        <v/>
      </c>
      <c r="Y68">
        <f>HYPERLINK("https://klasma.github.io/Logging_1885/tillsynsmail/A 6165-2025 tillsynsbegäran mail.docx", "A 6165-2025")</f>
        <v/>
      </c>
    </row>
    <row r="69" ht="15" customHeight="1">
      <c r="A69" t="inlineStr">
        <is>
          <t>A 6192-2025</t>
        </is>
      </c>
      <c r="B69" s="1" t="n">
        <v>45698</v>
      </c>
      <c r="C69" s="1" t="n">
        <v>46195</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58206-2023</t>
        </is>
      </c>
      <c r="B70" s="1" t="n">
        <v>45250</v>
      </c>
      <c r="C70" s="1" t="n">
        <v>46195</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16791-2024</t>
        </is>
      </c>
      <c r="B71" s="1" t="n">
        <v>45411</v>
      </c>
      <c r="C71" s="1" t="n">
        <v>46195</v>
      </c>
      <c r="D71" t="inlineStr">
        <is>
          <t>ÖREBRO LÄN</t>
        </is>
      </c>
      <c r="E71" t="inlineStr">
        <is>
          <t>LINDESBERG</t>
        </is>
      </c>
      <c r="G71" t="n">
        <v>16.1</v>
      </c>
      <c r="H71" t="n">
        <v>1</v>
      </c>
      <c r="I71" t="n">
        <v>0</v>
      </c>
      <c r="J71" t="n">
        <v>0</v>
      </c>
      <c r="K71" t="n">
        <v>0</v>
      </c>
      <c r="L71" t="n">
        <v>0</v>
      </c>
      <c r="M71" t="n">
        <v>0</v>
      </c>
      <c r="N71" t="n">
        <v>0</v>
      </c>
      <c r="O71" t="n">
        <v>0</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61132-2024</t>
        </is>
      </c>
      <c r="B72" s="1" t="n">
        <v>45645</v>
      </c>
      <c r="C72" s="1" t="n">
        <v>46195</v>
      </c>
      <c r="D72" t="inlineStr">
        <is>
          <t>ÖREBRO LÄN</t>
        </is>
      </c>
      <c r="E72" t="inlineStr">
        <is>
          <t>LINDESBERG</t>
        </is>
      </c>
      <c r="F72" t="inlineStr">
        <is>
          <t>Sveaskog</t>
        </is>
      </c>
      <c r="G72" t="n">
        <v>2.5</v>
      </c>
      <c r="H72" t="n">
        <v>0</v>
      </c>
      <c r="I72" t="n">
        <v>1</v>
      </c>
      <c r="J72" t="n">
        <v>0</v>
      </c>
      <c r="K72" t="n">
        <v>0</v>
      </c>
      <c r="L72" t="n">
        <v>0</v>
      </c>
      <c r="M72" t="n">
        <v>0</v>
      </c>
      <c r="N72" t="n">
        <v>0</v>
      </c>
      <c r="O72" t="n">
        <v>0</v>
      </c>
      <c r="P72" t="n">
        <v>0</v>
      </c>
      <c r="Q72" t="n">
        <v>1</v>
      </c>
      <c r="R72" s="2" t="inlineStr">
        <is>
          <t>Bollvitmossa</t>
        </is>
      </c>
      <c r="S72">
        <f>HYPERLINK("https://klasma.github.io/Logging_1885/artfynd/A 61132-2024 artfynd.xlsx", "A 61132-2024")</f>
        <v/>
      </c>
      <c r="T72">
        <f>HYPERLINK("https://klasma.github.io/Logging_1885/kartor/A 61132-2024 karta.png", "A 61132-2024")</f>
        <v/>
      </c>
      <c r="V72">
        <f>HYPERLINK("https://klasma.github.io/Logging_1885/klagomål/A 61132-2024 FSC-klagomål.docx", "A 61132-2024")</f>
        <v/>
      </c>
      <c r="W72">
        <f>HYPERLINK("https://klasma.github.io/Logging_1885/klagomålsmail/A 61132-2024 FSC-klagomål mail.docx", "A 61132-2024")</f>
        <v/>
      </c>
      <c r="X72">
        <f>HYPERLINK("https://klasma.github.io/Logging_1885/tillsyn/A 61132-2024 tillsynsbegäran.docx", "A 61132-2024")</f>
        <v/>
      </c>
      <c r="Y72">
        <f>HYPERLINK("https://klasma.github.io/Logging_1885/tillsynsmail/A 61132-2024 tillsynsbegäran mail.docx", "A 61132-2024")</f>
        <v/>
      </c>
    </row>
    <row r="73" ht="15" customHeight="1">
      <c r="A73" t="inlineStr">
        <is>
          <t>A 40357-2025</t>
        </is>
      </c>
      <c r="B73" s="1" t="n">
        <v>45895</v>
      </c>
      <c r="C73" s="1" t="n">
        <v>46195</v>
      </c>
      <c r="D73" t="inlineStr">
        <is>
          <t>ÖREBRO LÄN</t>
        </is>
      </c>
      <c r="E73" t="inlineStr">
        <is>
          <t>LINDESBERG</t>
        </is>
      </c>
      <c r="F73" t="inlineStr">
        <is>
          <t>Sveaskog</t>
        </is>
      </c>
      <c r="G73" t="n">
        <v>2.7</v>
      </c>
      <c r="H73" t="n">
        <v>1</v>
      </c>
      <c r="I73" t="n">
        <v>0</v>
      </c>
      <c r="J73" t="n">
        <v>0</v>
      </c>
      <c r="K73" t="n">
        <v>0</v>
      </c>
      <c r="L73" t="n">
        <v>0</v>
      </c>
      <c r="M73" t="n">
        <v>0</v>
      </c>
      <c r="N73" t="n">
        <v>0</v>
      </c>
      <c r="O73" t="n">
        <v>0</v>
      </c>
      <c r="P73" t="n">
        <v>0</v>
      </c>
      <c r="Q73" t="n">
        <v>1</v>
      </c>
      <c r="R73" s="2" t="inlineStr">
        <is>
          <t>Orre</t>
        </is>
      </c>
      <c r="S73">
        <f>HYPERLINK("https://klasma.github.io/Logging_1885/artfynd/A 40357-2025 artfynd.xlsx", "A 40357-2025")</f>
        <v/>
      </c>
      <c r="T73">
        <f>HYPERLINK("https://klasma.github.io/Logging_1885/kartor/A 40357-2025 karta.png", "A 40357-2025")</f>
        <v/>
      </c>
      <c r="V73">
        <f>HYPERLINK("https://klasma.github.io/Logging_1885/klagomål/A 40357-2025 FSC-klagomål.docx", "A 40357-2025")</f>
        <v/>
      </c>
      <c r="W73">
        <f>HYPERLINK("https://klasma.github.io/Logging_1885/klagomålsmail/A 40357-2025 FSC-klagomål mail.docx", "A 40357-2025")</f>
        <v/>
      </c>
      <c r="X73">
        <f>HYPERLINK("https://klasma.github.io/Logging_1885/tillsyn/A 40357-2025 tillsynsbegäran.docx", "A 40357-2025")</f>
        <v/>
      </c>
      <c r="Y73">
        <f>HYPERLINK("https://klasma.github.io/Logging_1885/tillsynsmail/A 40357-2025 tillsynsbegäran mail.docx", "A 40357-2025")</f>
        <v/>
      </c>
      <c r="Z73">
        <f>HYPERLINK("https://klasma.github.io/Logging_1885/fåglar/A 40357-2025 prioriterade fågelarter.docx", "A 40357-2025")</f>
        <v/>
      </c>
    </row>
    <row r="74" ht="15" customHeight="1">
      <c r="A74" t="inlineStr">
        <is>
          <t>A 34237-2023</t>
        </is>
      </c>
      <c r="B74" s="1" t="n">
        <v>45138</v>
      </c>
      <c r="C74" s="1" t="n">
        <v>46195</v>
      </c>
      <c r="D74" t="inlineStr">
        <is>
          <t>ÖREBRO LÄN</t>
        </is>
      </c>
      <c r="E74" t="inlineStr">
        <is>
          <t>LINDESBERG</t>
        </is>
      </c>
      <c r="F74" t="inlineStr">
        <is>
          <t>Sveaskog</t>
        </is>
      </c>
      <c r="G74" t="n">
        <v>1.4</v>
      </c>
      <c r="H74" t="n">
        <v>1</v>
      </c>
      <c r="I74" t="n">
        <v>0</v>
      </c>
      <c r="J74" t="n">
        <v>0</v>
      </c>
      <c r="K74" t="n">
        <v>0</v>
      </c>
      <c r="L74" t="n">
        <v>0</v>
      </c>
      <c r="M74" t="n">
        <v>0</v>
      </c>
      <c r="N74" t="n">
        <v>0</v>
      </c>
      <c r="O74" t="n">
        <v>0</v>
      </c>
      <c r="P74" t="n">
        <v>0</v>
      </c>
      <c r="Q74" t="n">
        <v>1</v>
      </c>
      <c r="R74" s="2" t="inlineStr">
        <is>
          <t>Spillkråka</t>
        </is>
      </c>
      <c r="S74">
        <f>HYPERLINK("https://klasma.github.io/Logging_1885/artfynd/A 34237-2023 artfynd.xlsx", "A 34237-2023")</f>
        <v/>
      </c>
      <c r="T74">
        <f>HYPERLINK("https://klasma.github.io/Logging_1885/kartor/A 34237-2023 karta.png", "A 34237-2023")</f>
        <v/>
      </c>
      <c r="V74">
        <f>HYPERLINK("https://klasma.github.io/Logging_1885/klagomål/A 34237-2023 FSC-klagomål.docx", "A 34237-2023")</f>
        <v/>
      </c>
      <c r="W74">
        <f>HYPERLINK("https://klasma.github.io/Logging_1885/klagomålsmail/A 34237-2023 FSC-klagomål mail.docx", "A 34237-2023")</f>
        <v/>
      </c>
      <c r="X74">
        <f>HYPERLINK("https://klasma.github.io/Logging_1885/tillsyn/A 34237-2023 tillsynsbegäran.docx", "A 34237-2023")</f>
        <v/>
      </c>
      <c r="Y74">
        <f>HYPERLINK("https://klasma.github.io/Logging_1885/tillsynsmail/A 34237-2023 tillsynsbegäran mail.docx", "A 34237-2023")</f>
        <v/>
      </c>
      <c r="Z74">
        <f>HYPERLINK("https://klasma.github.io/Logging_1885/fåglar/A 34237-2023 prioriterade fågelarter.docx", "A 34237-2023")</f>
        <v/>
      </c>
    </row>
    <row r="75" ht="15" customHeight="1">
      <c r="A75" t="inlineStr">
        <is>
          <t>A 45467-2025</t>
        </is>
      </c>
      <c r="B75" s="1" t="n">
        <v>45922</v>
      </c>
      <c r="C75" s="1" t="n">
        <v>46195</v>
      </c>
      <c r="D75" t="inlineStr">
        <is>
          <t>ÖREBRO LÄN</t>
        </is>
      </c>
      <c r="E75" t="inlineStr">
        <is>
          <t>LINDESBERG</t>
        </is>
      </c>
      <c r="F75" t="inlineStr">
        <is>
          <t>Sveaskog</t>
        </is>
      </c>
      <c r="G75" t="n">
        <v>2</v>
      </c>
      <c r="H75" t="n">
        <v>0</v>
      </c>
      <c r="I75" t="n">
        <v>0</v>
      </c>
      <c r="J75" t="n">
        <v>1</v>
      </c>
      <c r="K75" t="n">
        <v>0</v>
      </c>
      <c r="L75" t="n">
        <v>0</v>
      </c>
      <c r="M75" t="n">
        <v>0</v>
      </c>
      <c r="N75" t="n">
        <v>0</v>
      </c>
      <c r="O75" t="n">
        <v>1</v>
      </c>
      <c r="P75" t="n">
        <v>0</v>
      </c>
      <c r="Q75" t="n">
        <v>1</v>
      </c>
      <c r="R75" s="2" t="inlineStr">
        <is>
          <t>Svartvit taggsvamp</t>
        </is>
      </c>
      <c r="S75">
        <f>HYPERLINK("https://klasma.github.io/Logging_1885/artfynd/A 45467-2025 artfynd.xlsx", "A 45467-2025")</f>
        <v/>
      </c>
      <c r="T75">
        <f>HYPERLINK("https://klasma.github.io/Logging_1885/kartor/A 45467-2025 karta.png", "A 45467-2025")</f>
        <v/>
      </c>
      <c r="V75">
        <f>HYPERLINK("https://klasma.github.io/Logging_1885/klagomål/A 45467-2025 FSC-klagomål.docx", "A 45467-2025")</f>
        <v/>
      </c>
      <c r="W75">
        <f>HYPERLINK("https://klasma.github.io/Logging_1885/klagomålsmail/A 45467-2025 FSC-klagomål mail.docx", "A 45467-2025")</f>
        <v/>
      </c>
      <c r="X75">
        <f>HYPERLINK("https://klasma.github.io/Logging_1885/tillsyn/A 45467-2025 tillsynsbegäran.docx", "A 45467-2025")</f>
        <v/>
      </c>
      <c r="Y75">
        <f>HYPERLINK("https://klasma.github.io/Logging_1885/tillsynsmail/A 45467-2025 tillsynsbegäran mail.docx", "A 45467-2025")</f>
        <v/>
      </c>
    </row>
    <row r="76" ht="15" customHeight="1">
      <c r="A76" t="inlineStr">
        <is>
          <t>A 21440-2025</t>
        </is>
      </c>
      <c r="B76" s="1" t="n">
        <v>45782</v>
      </c>
      <c r="C76" s="1" t="n">
        <v>46195</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48956-2025</t>
        </is>
      </c>
      <c r="B77" s="1" t="n">
        <v>45937</v>
      </c>
      <c r="C77" s="1" t="n">
        <v>46195</v>
      </c>
      <c r="D77" t="inlineStr">
        <is>
          <t>ÖREBRO LÄN</t>
        </is>
      </c>
      <c r="E77" t="inlineStr">
        <is>
          <t>LINDESBERG</t>
        </is>
      </c>
      <c r="F77" t="inlineStr">
        <is>
          <t>Sveaskog</t>
        </is>
      </c>
      <c r="G77" t="n">
        <v>2.7</v>
      </c>
      <c r="H77" t="n">
        <v>1</v>
      </c>
      <c r="I77" t="n">
        <v>0</v>
      </c>
      <c r="J77" t="n">
        <v>0</v>
      </c>
      <c r="K77" t="n">
        <v>0</v>
      </c>
      <c r="L77" t="n">
        <v>0</v>
      </c>
      <c r="M77" t="n">
        <v>0</v>
      </c>
      <c r="N77" t="n">
        <v>0</v>
      </c>
      <c r="O77" t="n">
        <v>0</v>
      </c>
      <c r="P77" t="n">
        <v>0</v>
      </c>
      <c r="Q77" t="n">
        <v>1</v>
      </c>
      <c r="R77" s="2" t="inlineStr">
        <is>
          <t>Mattlummer</t>
        </is>
      </c>
      <c r="S77">
        <f>HYPERLINK("https://klasma.github.io/Logging_1885/artfynd/A 48956-2025 artfynd.xlsx", "A 48956-2025")</f>
        <v/>
      </c>
      <c r="T77">
        <f>HYPERLINK("https://klasma.github.io/Logging_1885/kartor/A 48956-2025 karta.png", "A 48956-2025")</f>
        <v/>
      </c>
      <c r="V77">
        <f>HYPERLINK("https://klasma.github.io/Logging_1885/klagomål/A 48956-2025 FSC-klagomål.docx", "A 48956-2025")</f>
        <v/>
      </c>
      <c r="W77">
        <f>HYPERLINK("https://klasma.github.io/Logging_1885/klagomålsmail/A 48956-2025 FSC-klagomål mail.docx", "A 48956-2025")</f>
        <v/>
      </c>
      <c r="X77">
        <f>HYPERLINK("https://klasma.github.io/Logging_1885/tillsyn/A 48956-2025 tillsynsbegäran.docx", "A 48956-2025")</f>
        <v/>
      </c>
      <c r="Y77">
        <f>HYPERLINK("https://klasma.github.io/Logging_1885/tillsynsmail/A 48956-2025 tillsynsbegäran mail.docx", "A 48956-2025")</f>
        <v/>
      </c>
    </row>
    <row r="78" ht="15" customHeight="1">
      <c r="A78" t="inlineStr">
        <is>
          <t>A 50086-2025</t>
        </is>
      </c>
      <c r="B78" s="1" t="n">
        <v>45943</v>
      </c>
      <c r="C78" s="1" t="n">
        <v>46195</v>
      </c>
      <c r="D78" t="inlineStr">
        <is>
          <t>ÖREBRO LÄN</t>
        </is>
      </c>
      <c r="E78" t="inlineStr">
        <is>
          <t>LINDESBERG</t>
        </is>
      </c>
      <c r="F78" t="inlineStr">
        <is>
          <t>Sveaskog</t>
        </is>
      </c>
      <c r="G78" t="n">
        <v>3.6</v>
      </c>
      <c r="H78" t="n">
        <v>1</v>
      </c>
      <c r="I78" t="n">
        <v>0</v>
      </c>
      <c r="J78" t="n">
        <v>0</v>
      </c>
      <c r="K78" t="n">
        <v>0</v>
      </c>
      <c r="L78" t="n">
        <v>0</v>
      </c>
      <c r="M78" t="n">
        <v>0</v>
      </c>
      <c r="N78" t="n">
        <v>0</v>
      </c>
      <c r="O78" t="n">
        <v>0</v>
      </c>
      <c r="P78" t="n">
        <v>0</v>
      </c>
      <c r="Q78" t="n">
        <v>1</v>
      </c>
      <c r="R78" s="2" t="inlineStr">
        <is>
          <t>Dubbelnycklar</t>
        </is>
      </c>
      <c r="S78">
        <f>HYPERLINK("https://klasma.github.io/Logging_1885/artfynd/A 50086-2025 artfynd.xlsx", "A 50086-2025")</f>
        <v/>
      </c>
      <c r="T78">
        <f>HYPERLINK("https://klasma.github.io/Logging_1885/kartor/A 50086-2025 karta.png", "A 50086-2025")</f>
        <v/>
      </c>
      <c r="V78">
        <f>HYPERLINK("https://klasma.github.io/Logging_1885/klagomål/A 50086-2025 FSC-klagomål.docx", "A 50086-2025")</f>
        <v/>
      </c>
      <c r="W78">
        <f>HYPERLINK("https://klasma.github.io/Logging_1885/klagomålsmail/A 50086-2025 FSC-klagomål mail.docx", "A 50086-2025")</f>
        <v/>
      </c>
      <c r="X78">
        <f>HYPERLINK("https://klasma.github.io/Logging_1885/tillsyn/A 50086-2025 tillsynsbegäran.docx", "A 50086-2025")</f>
        <v/>
      </c>
      <c r="Y78">
        <f>HYPERLINK("https://klasma.github.io/Logging_1885/tillsynsmail/A 50086-2025 tillsynsbegäran mail.docx", "A 50086-2025")</f>
        <v/>
      </c>
    </row>
    <row r="79" ht="15" customHeight="1">
      <c r="A79" t="inlineStr">
        <is>
          <t>A 195-2022</t>
        </is>
      </c>
      <c r="B79" s="1" t="n">
        <v>44564</v>
      </c>
      <c r="C79" s="1" t="n">
        <v>46195</v>
      </c>
      <c r="D79" t="inlineStr">
        <is>
          <t>ÖREBRO LÄN</t>
        </is>
      </c>
      <c r="E79" t="inlineStr">
        <is>
          <t>LINDESBERG</t>
        </is>
      </c>
      <c r="G79" t="n">
        <v>4.7</v>
      </c>
      <c r="H79" t="n">
        <v>0</v>
      </c>
      <c r="I79" t="n">
        <v>0</v>
      </c>
      <c r="J79" t="n">
        <v>1</v>
      </c>
      <c r="K79" t="n">
        <v>0</v>
      </c>
      <c r="L79" t="n">
        <v>0</v>
      </c>
      <c r="M79" t="n">
        <v>0</v>
      </c>
      <c r="N79" t="n">
        <v>0</v>
      </c>
      <c r="O79" t="n">
        <v>1</v>
      </c>
      <c r="P79" t="n">
        <v>0</v>
      </c>
      <c r="Q79" t="n">
        <v>1</v>
      </c>
      <c r="R79" s="2" t="inlineStr">
        <is>
          <t>Dropptaggsvamp</t>
        </is>
      </c>
      <c r="S79">
        <f>HYPERLINK("https://klasma.github.io/Logging_1885/artfynd/A 195-2022 artfynd.xlsx", "A 195-2022")</f>
        <v/>
      </c>
      <c r="T79">
        <f>HYPERLINK("https://klasma.github.io/Logging_1885/kartor/A 195-2022 karta.png", "A 195-2022")</f>
        <v/>
      </c>
      <c r="V79">
        <f>HYPERLINK("https://klasma.github.io/Logging_1885/klagomål/A 195-2022 FSC-klagomål.docx", "A 195-2022")</f>
        <v/>
      </c>
      <c r="W79">
        <f>HYPERLINK("https://klasma.github.io/Logging_1885/klagomålsmail/A 195-2022 FSC-klagomål mail.docx", "A 195-2022")</f>
        <v/>
      </c>
      <c r="X79">
        <f>HYPERLINK("https://klasma.github.io/Logging_1885/tillsyn/A 195-2022 tillsynsbegäran.docx", "A 195-2022")</f>
        <v/>
      </c>
      <c r="Y79">
        <f>HYPERLINK("https://klasma.github.io/Logging_1885/tillsynsmail/A 195-2022 tillsynsbegäran mail.docx", "A 195-2022")</f>
        <v/>
      </c>
    </row>
    <row r="80" ht="15" customHeight="1">
      <c r="A80" t="inlineStr">
        <is>
          <t>A 50766-2025</t>
        </is>
      </c>
      <c r="B80" s="1" t="n">
        <v>45946</v>
      </c>
      <c r="C80" s="1" t="n">
        <v>46195</v>
      </c>
      <c r="D80" t="inlineStr">
        <is>
          <t>ÖREBRO LÄN</t>
        </is>
      </c>
      <c r="E80" t="inlineStr">
        <is>
          <t>LINDESBERG</t>
        </is>
      </c>
      <c r="F80" t="inlineStr">
        <is>
          <t>Sveaskog</t>
        </is>
      </c>
      <c r="G80" t="n">
        <v>2.4</v>
      </c>
      <c r="H80" t="n">
        <v>0</v>
      </c>
      <c r="I80" t="n">
        <v>0</v>
      </c>
      <c r="J80" t="n">
        <v>0</v>
      </c>
      <c r="K80" t="n">
        <v>1</v>
      </c>
      <c r="L80" t="n">
        <v>0</v>
      </c>
      <c r="M80" t="n">
        <v>0</v>
      </c>
      <c r="N80" t="n">
        <v>0</v>
      </c>
      <c r="O80" t="n">
        <v>1</v>
      </c>
      <c r="P80" t="n">
        <v>1</v>
      </c>
      <c r="Q80" t="n">
        <v>1</v>
      </c>
      <c r="R80" s="2" t="inlineStr">
        <is>
          <t>Rotfingersvamp</t>
        </is>
      </c>
      <c r="S80">
        <f>HYPERLINK("https://klasma.github.io/Logging_1885/artfynd/A 50766-2025 artfynd.xlsx", "A 50766-2025")</f>
        <v/>
      </c>
      <c r="T80">
        <f>HYPERLINK("https://klasma.github.io/Logging_1885/kartor/A 50766-2025 karta.png", "A 50766-2025")</f>
        <v/>
      </c>
      <c r="V80">
        <f>HYPERLINK("https://klasma.github.io/Logging_1885/klagomål/A 50766-2025 FSC-klagomål.docx", "A 50766-2025")</f>
        <v/>
      </c>
      <c r="W80">
        <f>HYPERLINK("https://klasma.github.io/Logging_1885/klagomålsmail/A 50766-2025 FSC-klagomål mail.docx", "A 50766-2025")</f>
        <v/>
      </c>
      <c r="X80">
        <f>HYPERLINK("https://klasma.github.io/Logging_1885/tillsyn/A 50766-2025 tillsynsbegäran.docx", "A 50766-2025")</f>
        <v/>
      </c>
      <c r="Y80">
        <f>HYPERLINK("https://klasma.github.io/Logging_1885/tillsynsmail/A 50766-2025 tillsynsbegäran mail.docx", "A 50766-2025")</f>
        <v/>
      </c>
    </row>
    <row r="81" ht="15" customHeight="1">
      <c r="A81" t="inlineStr">
        <is>
          <t>A 50777-2025</t>
        </is>
      </c>
      <c r="B81" s="1" t="n">
        <v>45946</v>
      </c>
      <c r="C81" s="1" t="n">
        <v>46195</v>
      </c>
      <c r="D81" t="inlineStr">
        <is>
          <t>ÖREBRO LÄN</t>
        </is>
      </c>
      <c r="E81" t="inlineStr">
        <is>
          <t>LINDESBERG</t>
        </is>
      </c>
      <c r="F81" t="inlineStr">
        <is>
          <t>Sveaskog</t>
        </is>
      </c>
      <c r="G81" t="n">
        <v>5.3</v>
      </c>
      <c r="H81" t="n">
        <v>0</v>
      </c>
      <c r="I81" t="n">
        <v>1</v>
      </c>
      <c r="J81" t="n">
        <v>0</v>
      </c>
      <c r="K81" t="n">
        <v>0</v>
      </c>
      <c r="L81" t="n">
        <v>0</v>
      </c>
      <c r="M81" t="n">
        <v>0</v>
      </c>
      <c r="N81" t="n">
        <v>0</v>
      </c>
      <c r="O81" t="n">
        <v>0</v>
      </c>
      <c r="P81" t="n">
        <v>0</v>
      </c>
      <c r="Q81" t="n">
        <v>1</v>
      </c>
      <c r="R81" s="2" t="inlineStr">
        <is>
          <t>Zontaggsvamp</t>
        </is>
      </c>
      <c r="S81">
        <f>HYPERLINK("https://klasma.github.io/Logging_1885/artfynd/A 50777-2025 artfynd.xlsx", "A 50777-2025")</f>
        <v/>
      </c>
      <c r="T81">
        <f>HYPERLINK("https://klasma.github.io/Logging_1885/kartor/A 50777-2025 karta.png", "A 50777-2025")</f>
        <v/>
      </c>
      <c r="V81">
        <f>HYPERLINK("https://klasma.github.io/Logging_1885/klagomål/A 50777-2025 FSC-klagomål.docx", "A 50777-2025")</f>
        <v/>
      </c>
      <c r="W81">
        <f>HYPERLINK("https://klasma.github.io/Logging_1885/klagomålsmail/A 50777-2025 FSC-klagomål mail.docx", "A 50777-2025")</f>
        <v/>
      </c>
      <c r="X81">
        <f>HYPERLINK("https://klasma.github.io/Logging_1885/tillsyn/A 50777-2025 tillsynsbegäran.docx", "A 50777-2025")</f>
        <v/>
      </c>
      <c r="Y81">
        <f>HYPERLINK("https://klasma.github.io/Logging_1885/tillsynsmail/A 50777-2025 tillsynsbegäran mail.docx", "A 50777-2025")</f>
        <v/>
      </c>
    </row>
    <row r="82" ht="15" customHeight="1">
      <c r="A82" t="inlineStr">
        <is>
          <t>A 50765-2025</t>
        </is>
      </c>
      <c r="B82" s="1" t="n">
        <v>45946</v>
      </c>
      <c r="C82" s="1" t="n">
        <v>46195</v>
      </c>
      <c r="D82" t="inlineStr">
        <is>
          <t>ÖREBRO LÄN</t>
        </is>
      </c>
      <c r="E82" t="inlineStr">
        <is>
          <t>LINDESBERG</t>
        </is>
      </c>
      <c r="F82" t="inlineStr">
        <is>
          <t>Sveaskog</t>
        </is>
      </c>
      <c r="G82" t="n">
        <v>9.300000000000001</v>
      </c>
      <c r="H82" t="n">
        <v>0</v>
      </c>
      <c r="I82" t="n">
        <v>0</v>
      </c>
      <c r="J82" t="n">
        <v>0</v>
      </c>
      <c r="K82" t="n">
        <v>1</v>
      </c>
      <c r="L82" t="n">
        <v>0</v>
      </c>
      <c r="M82" t="n">
        <v>0</v>
      </c>
      <c r="N82" t="n">
        <v>0</v>
      </c>
      <c r="O82" t="n">
        <v>1</v>
      </c>
      <c r="P82" t="n">
        <v>1</v>
      </c>
      <c r="Q82" t="n">
        <v>1</v>
      </c>
      <c r="R82" s="2" t="inlineStr">
        <is>
          <t>Rotfingersvamp</t>
        </is>
      </c>
      <c r="S82">
        <f>HYPERLINK("https://klasma.github.io/Logging_1885/artfynd/A 50765-2025 artfynd.xlsx", "A 50765-2025")</f>
        <v/>
      </c>
      <c r="T82">
        <f>HYPERLINK("https://klasma.github.io/Logging_1885/kartor/A 50765-2025 karta.png", "A 50765-2025")</f>
        <v/>
      </c>
      <c r="V82">
        <f>HYPERLINK("https://klasma.github.io/Logging_1885/klagomål/A 50765-2025 FSC-klagomål.docx", "A 50765-2025")</f>
        <v/>
      </c>
      <c r="W82">
        <f>HYPERLINK("https://klasma.github.io/Logging_1885/klagomålsmail/A 50765-2025 FSC-klagomål mail.docx", "A 50765-2025")</f>
        <v/>
      </c>
      <c r="X82">
        <f>HYPERLINK("https://klasma.github.io/Logging_1885/tillsyn/A 50765-2025 tillsynsbegäran.docx", "A 50765-2025")</f>
        <v/>
      </c>
      <c r="Y82">
        <f>HYPERLINK("https://klasma.github.io/Logging_1885/tillsynsmail/A 50765-2025 tillsynsbegäran mail.docx", "A 50765-2025")</f>
        <v/>
      </c>
    </row>
    <row r="83" ht="15" customHeight="1">
      <c r="A83" t="inlineStr">
        <is>
          <t>A 50768-2025</t>
        </is>
      </c>
      <c r="B83" s="1" t="n">
        <v>45946</v>
      </c>
      <c r="C83" s="1" t="n">
        <v>46195</v>
      </c>
      <c r="D83" t="inlineStr">
        <is>
          <t>ÖREBRO LÄN</t>
        </is>
      </c>
      <c r="E83" t="inlineStr">
        <is>
          <t>LINDESBERG</t>
        </is>
      </c>
      <c r="F83" t="inlineStr">
        <is>
          <t>Sveaskog</t>
        </is>
      </c>
      <c r="G83" t="n">
        <v>3.1</v>
      </c>
      <c r="H83" t="n">
        <v>1</v>
      </c>
      <c r="I83" t="n">
        <v>1</v>
      </c>
      <c r="J83" t="n">
        <v>0</v>
      </c>
      <c r="K83" t="n">
        <v>0</v>
      </c>
      <c r="L83" t="n">
        <v>0</v>
      </c>
      <c r="M83" t="n">
        <v>0</v>
      </c>
      <c r="N83" t="n">
        <v>0</v>
      </c>
      <c r="O83" t="n">
        <v>0</v>
      </c>
      <c r="P83" t="n">
        <v>0</v>
      </c>
      <c r="Q83" t="n">
        <v>1</v>
      </c>
      <c r="R83" s="2" t="inlineStr">
        <is>
          <t>Plattlummer</t>
        </is>
      </c>
      <c r="S83">
        <f>HYPERLINK("https://klasma.github.io/Logging_1885/artfynd/A 50768-2025 artfynd.xlsx", "A 50768-2025")</f>
        <v/>
      </c>
      <c r="T83">
        <f>HYPERLINK("https://klasma.github.io/Logging_1885/kartor/A 50768-2025 karta.png", "A 50768-2025")</f>
        <v/>
      </c>
      <c r="V83">
        <f>HYPERLINK("https://klasma.github.io/Logging_1885/klagomål/A 50768-2025 FSC-klagomål.docx", "A 50768-2025")</f>
        <v/>
      </c>
      <c r="W83">
        <f>HYPERLINK("https://klasma.github.io/Logging_1885/klagomålsmail/A 50768-2025 FSC-klagomål mail.docx", "A 50768-2025")</f>
        <v/>
      </c>
      <c r="X83">
        <f>HYPERLINK("https://klasma.github.io/Logging_1885/tillsyn/A 50768-2025 tillsynsbegäran.docx", "A 50768-2025")</f>
        <v/>
      </c>
      <c r="Y83">
        <f>HYPERLINK("https://klasma.github.io/Logging_1885/tillsynsmail/A 50768-2025 tillsynsbegäran mail.docx", "A 50768-2025")</f>
        <v/>
      </c>
    </row>
    <row r="84" ht="15" customHeight="1">
      <c r="A84" t="inlineStr">
        <is>
          <t>A 52337-2025</t>
        </is>
      </c>
      <c r="B84" s="1" t="n">
        <v>45953</v>
      </c>
      <c r="C84" s="1" t="n">
        <v>46195</v>
      </c>
      <c r="D84" t="inlineStr">
        <is>
          <t>ÖREBRO LÄN</t>
        </is>
      </c>
      <c r="E84" t="inlineStr">
        <is>
          <t>LINDESBERG</t>
        </is>
      </c>
      <c r="F84" t="inlineStr">
        <is>
          <t>Sveaskog</t>
        </is>
      </c>
      <c r="G84" t="n">
        <v>3.3</v>
      </c>
      <c r="H84" t="n">
        <v>1</v>
      </c>
      <c r="I84" t="n">
        <v>0</v>
      </c>
      <c r="J84" t="n">
        <v>0</v>
      </c>
      <c r="K84" t="n">
        <v>0</v>
      </c>
      <c r="L84" t="n">
        <v>0</v>
      </c>
      <c r="M84" t="n">
        <v>0</v>
      </c>
      <c r="N84" t="n">
        <v>0</v>
      </c>
      <c r="O84" t="n">
        <v>0</v>
      </c>
      <c r="P84" t="n">
        <v>0</v>
      </c>
      <c r="Q84" t="n">
        <v>1</v>
      </c>
      <c r="R84" s="2" t="inlineStr">
        <is>
          <t>Fläcknycklar</t>
        </is>
      </c>
      <c r="S84">
        <f>HYPERLINK("https://klasma.github.io/Logging_1885/artfynd/A 52337-2025 artfynd.xlsx", "A 52337-2025")</f>
        <v/>
      </c>
      <c r="T84">
        <f>HYPERLINK("https://klasma.github.io/Logging_1885/kartor/A 52337-2025 karta.png", "A 52337-2025")</f>
        <v/>
      </c>
      <c r="V84">
        <f>HYPERLINK("https://klasma.github.io/Logging_1885/klagomål/A 52337-2025 FSC-klagomål.docx", "A 52337-2025")</f>
        <v/>
      </c>
      <c r="W84">
        <f>HYPERLINK("https://klasma.github.io/Logging_1885/klagomålsmail/A 52337-2025 FSC-klagomål mail.docx", "A 52337-2025")</f>
        <v/>
      </c>
      <c r="X84">
        <f>HYPERLINK("https://klasma.github.io/Logging_1885/tillsyn/A 52337-2025 tillsynsbegäran.docx", "A 52337-2025")</f>
        <v/>
      </c>
      <c r="Y84">
        <f>HYPERLINK("https://klasma.github.io/Logging_1885/tillsynsmail/A 52337-2025 tillsynsbegäran mail.docx", "A 52337-2025")</f>
        <v/>
      </c>
    </row>
    <row r="85" ht="15" customHeight="1">
      <c r="A85" t="inlineStr">
        <is>
          <t>A 21084-2026</t>
        </is>
      </c>
      <c r="B85" s="1" t="n">
        <v>46146</v>
      </c>
      <c r="C85" s="1" t="n">
        <v>46195</v>
      </c>
      <c r="D85" t="inlineStr">
        <is>
          <t>ÖREBRO LÄN</t>
        </is>
      </c>
      <c r="E85" t="inlineStr">
        <is>
          <t>LINDESBERG</t>
        </is>
      </c>
      <c r="F85" t="inlineStr">
        <is>
          <t>Sveaskog</t>
        </is>
      </c>
      <c r="G85" t="n">
        <v>1.5</v>
      </c>
      <c r="H85" t="n">
        <v>0</v>
      </c>
      <c r="I85" t="n">
        <v>0</v>
      </c>
      <c r="J85" t="n">
        <v>0</v>
      </c>
      <c r="K85" t="n">
        <v>1</v>
      </c>
      <c r="L85" t="n">
        <v>0</v>
      </c>
      <c r="M85" t="n">
        <v>0</v>
      </c>
      <c r="N85" t="n">
        <v>0</v>
      </c>
      <c r="O85" t="n">
        <v>1</v>
      </c>
      <c r="P85" t="n">
        <v>1</v>
      </c>
      <c r="Q85" t="n">
        <v>1</v>
      </c>
      <c r="R85" s="2" t="inlineStr">
        <is>
          <t>Garnlav</t>
        </is>
      </c>
      <c r="S85">
        <f>HYPERLINK("https://klasma.github.io/Logging_1885/artfynd/A 21084-2026 artfynd.xlsx", "A 21084-2026")</f>
        <v/>
      </c>
      <c r="T85">
        <f>HYPERLINK("https://klasma.github.io/Logging_1885/kartor/A 21084-2026 karta.png", "A 21084-2026")</f>
        <v/>
      </c>
      <c r="V85">
        <f>HYPERLINK("https://klasma.github.io/Logging_1885/klagomål/A 21084-2026 FSC-klagomål.docx", "A 21084-2026")</f>
        <v/>
      </c>
      <c r="W85">
        <f>HYPERLINK("https://klasma.github.io/Logging_1885/klagomålsmail/A 21084-2026 FSC-klagomål mail.docx", "A 21084-2026")</f>
        <v/>
      </c>
      <c r="X85">
        <f>HYPERLINK("https://klasma.github.io/Logging_1885/tillsyn/A 21084-2026 tillsynsbegäran.docx", "A 21084-2026")</f>
        <v/>
      </c>
      <c r="Y85">
        <f>HYPERLINK("https://klasma.github.io/Logging_1885/tillsynsmail/A 21084-2026 tillsynsbegäran mail.docx", "A 21084-2026")</f>
        <v/>
      </c>
    </row>
    <row r="86" ht="15" customHeight="1">
      <c r="A86" t="inlineStr">
        <is>
          <t>A 28787-2023</t>
        </is>
      </c>
      <c r="B86" s="1" t="n">
        <v>45104</v>
      </c>
      <c r="C86" s="1" t="n">
        <v>46195</v>
      </c>
      <c r="D86" t="inlineStr">
        <is>
          <t>ÖREBRO LÄN</t>
        </is>
      </c>
      <c r="E86" t="inlineStr">
        <is>
          <t>LINDESBERG</t>
        </is>
      </c>
      <c r="F86" t="inlineStr">
        <is>
          <t>Sveaskog</t>
        </is>
      </c>
      <c r="G86" t="n">
        <v>0.5</v>
      </c>
      <c r="H86" t="n">
        <v>1</v>
      </c>
      <c r="I86" t="n">
        <v>0</v>
      </c>
      <c r="J86" t="n">
        <v>0</v>
      </c>
      <c r="K86" t="n">
        <v>0</v>
      </c>
      <c r="L86" t="n">
        <v>0</v>
      </c>
      <c r="M86" t="n">
        <v>0</v>
      </c>
      <c r="N86" t="n">
        <v>0</v>
      </c>
      <c r="O86" t="n">
        <v>0</v>
      </c>
      <c r="P86" t="n">
        <v>0</v>
      </c>
      <c r="Q86" t="n">
        <v>1</v>
      </c>
      <c r="R86" s="2" t="inlineStr">
        <is>
          <t>Fläcknycklar</t>
        </is>
      </c>
      <c r="S86">
        <f>HYPERLINK("https://klasma.github.io/Logging_1885/artfynd/A 28787-2023 artfynd.xlsx", "A 28787-2023")</f>
        <v/>
      </c>
      <c r="T86">
        <f>HYPERLINK("https://klasma.github.io/Logging_1885/kartor/A 28787-2023 karta.png", "A 28787-2023")</f>
        <v/>
      </c>
      <c r="V86">
        <f>HYPERLINK("https://klasma.github.io/Logging_1885/klagomål/A 28787-2023 FSC-klagomål.docx", "A 28787-2023")</f>
        <v/>
      </c>
      <c r="W86">
        <f>HYPERLINK("https://klasma.github.io/Logging_1885/klagomålsmail/A 28787-2023 FSC-klagomål mail.docx", "A 28787-2023")</f>
        <v/>
      </c>
      <c r="X86">
        <f>HYPERLINK("https://klasma.github.io/Logging_1885/tillsyn/A 28787-2023 tillsynsbegäran.docx", "A 28787-2023")</f>
        <v/>
      </c>
      <c r="Y86">
        <f>HYPERLINK("https://klasma.github.io/Logging_1885/tillsynsmail/A 28787-2023 tillsynsbegäran mail.docx", "A 28787-2023")</f>
        <v/>
      </c>
    </row>
    <row r="87" ht="15" customHeight="1">
      <c r="A87" t="inlineStr">
        <is>
          <t>A 31052-2025</t>
        </is>
      </c>
      <c r="B87" s="1" t="n">
        <v>45832</v>
      </c>
      <c r="C87" s="1" t="n">
        <v>46195</v>
      </c>
      <c r="D87" t="inlineStr">
        <is>
          <t>ÖREBRO LÄN</t>
        </is>
      </c>
      <c r="E87" t="inlineStr">
        <is>
          <t>LINDESBERG</t>
        </is>
      </c>
      <c r="F87" t="inlineStr">
        <is>
          <t>Sveaskog</t>
        </is>
      </c>
      <c r="G87" t="n">
        <v>1.1</v>
      </c>
      <c r="H87" t="n">
        <v>1</v>
      </c>
      <c r="I87" t="n">
        <v>0</v>
      </c>
      <c r="J87" t="n">
        <v>0</v>
      </c>
      <c r="K87" t="n">
        <v>0</v>
      </c>
      <c r="L87" t="n">
        <v>0</v>
      </c>
      <c r="M87" t="n">
        <v>0</v>
      </c>
      <c r="N87" t="n">
        <v>0</v>
      </c>
      <c r="O87" t="n">
        <v>0</v>
      </c>
      <c r="P87" t="n">
        <v>0</v>
      </c>
      <c r="Q87" t="n">
        <v>1</v>
      </c>
      <c r="R87" s="2" t="inlineStr">
        <is>
          <t>Fläcknycklar</t>
        </is>
      </c>
      <c r="S87">
        <f>HYPERLINK("https://klasma.github.io/Logging_1885/artfynd/A 31052-2025 artfynd.xlsx", "A 31052-2025")</f>
        <v/>
      </c>
      <c r="T87">
        <f>HYPERLINK("https://klasma.github.io/Logging_1885/kartor/A 31052-2025 karta.png", "A 31052-2025")</f>
        <v/>
      </c>
      <c r="V87">
        <f>HYPERLINK("https://klasma.github.io/Logging_1885/klagomål/A 31052-2025 FSC-klagomål.docx", "A 31052-2025")</f>
        <v/>
      </c>
      <c r="W87">
        <f>HYPERLINK("https://klasma.github.io/Logging_1885/klagomålsmail/A 31052-2025 FSC-klagomål mail.docx", "A 31052-2025")</f>
        <v/>
      </c>
      <c r="X87">
        <f>HYPERLINK("https://klasma.github.io/Logging_1885/tillsyn/A 31052-2025 tillsynsbegäran.docx", "A 31052-2025")</f>
        <v/>
      </c>
      <c r="Y87">
        <f>HYPERLINK("https://klasma.github.io/Logging_1885/tillsynsmail/A 31052-2025 tillsynsbegäran mail.docx", "A 31052-2025")</f>
        <v/>
      </c>
    </row>
    <row r="88" ht="15" customHeight="1">
      <c r="A88" t="inlineStr">
        <is>
          <t>A 57362-2025</t>
        </is>
      </c>
      <c r="B88" s="1" t="n">
        <v>45980</v>
      </c>
      <c r="C88" s="1" t="n">
        <v>46195</v>
      </c>
      <c r="D88" t="inlineStr">
        <is>
          <t>ÖREBRO LÄN</t>
        </is>
      </c>
      <c r="E88" t="inlineStr">
        <is>
          <t>LINDESBERG</t>
        </is>
      </c>
      <c r="F88" t="inlineStr">
        <is>
          <t>Sveaskog</t>
        </is>
      </c>
      <c r="G88" t="n">
        <v>1.2</v>
      </c>
      <c r="H88" t="n">
        <v>0</v>
      </c>
      <c r="I88" t="n">
        <v>1</v>
      </c>
      <c r="J88" t="n">
        <v>0</v>
      </c>
      <c r="K88" t="n">
        <v>0</v>
      </c>
      <c r="L88" t="n">
        <v>0</v>
      </c>
      <c r="M88" t="n">
        <v>0</v>
      </c>
      <c r="N88" t="n">
        <v>0</v>
      </c>
      <c r="O88" t="n">
        <v>0</v>
      </c>
      <c r="P88" t="n">
        <v>0</v>
      </c>
      <c r="Q88" t="n">
        <v>1</v>
      </c>
      <c r="R88" s="2" t="inlineStr">
        <is>
          <t>Svart trolldruva</t>
        </is>
      </c>
      <c r="S88">
        <f>HYPERLINK("https://klasma.github.io/Logging_1885/artfynd/A 57362-2025 artfynd.xlsx", "A 57362-2025")</f>
        <v/>
      </c>
      <c r="T88">
        <f>HYPERLINK("https://klasma.github.io/Logging_1885/kartor/A 57362-2025 karta.png", "A 57362-2025")</f>
        <v/>
      </c>
      <c r="V88">
        <f>HYPERLINK("https://klasma.github.io/Logging_1885/klagomål/A 57362-2025 FSC-klagomål.docx", "A 57362-2025")</f>
        <v/>
      </c>
      <c r="W88">
        <f>HYPERLINK("https://klasma.github.io/Logging_1885/klagomålsmail/A 57362-2025 FSC-klagomål mail.docx", "A 57362-2025")</f>
        <v/>
      </c>
      <c r="X88">
        <f>HYPERLINK("https://klasma.github.io/Logging_1885/tillsyn/A 57362-2025 tillsynsbegäran.docx", "A 57362-2025")</f>
        <v/>
      </c>
      <c r="Y88">
        <f>HYPERLINK("https://klasma.github.io/Logging_1885/tillsynsmail/A 57362-2025 tillsynsbegäran mail.docx", "A 57362-2025")</f>
        <v/>
      </c>
    </row>
    <row r="89" ht="15" customHeight="1">
      <c r="A89" t="inlineStr">
        <is>
          <t>A 57320-2025</t>
        </is>
      </c>
      <c r="B89" s="1" t="n">
        <v>45980</v>
      </c>
      <c r="C89" s="1" t="n">
        <v>46195</v>
      </c>
      <c r="D89" t="inlineStr">
        <is>
          <t>ÖREBRO LÄN</t>
        </is>
      </c>
      <c r="E89" t="inlineStr">
        <is>
          <t>LINDESBERG</t>
        </is>
      </c>
      <c r="F89" t="inlineStr">
        <is>
          <t>Sveaskog</t>
        </is>
      </c>
      <c r="G89" t="n">
        <v>2.8</v>
      </c>
      <c r="H89" t="n">
        <v>0</v>
      </c>
      <c r="I89" t="n">
        <v>0</v>
      </c>
      <c r="J89" t="n">
        <v>1</v>
      </c>
      <c r="K89" t="n">
        <v>0</v>
      </c>
      <c r="L89" t="n">
        <v>0</v>
      </c>
      <c r="M89" t="n">
        <v>0</v>
      </c>
      <c r="N89" t="n">
        <v>0</v>
      </c>
      <c r="O89" t="n">
        <v>1</v>
      </c>
      <c r="P89" t="n">
        <v>0</v>
      </c>
      <c r="Q89" t="n">
        <v>1</v>
      </c>
      <c r="R89" s="2" t="inlineStr">
        <is>
          <t>Dropptaggsvamp</t>
        </is>
      </c>
      <c r="S89">
        <f>HYPERLINK("https://klasma.github.io/Logging_1885/artfynd/A 57320-2025 artfynd.xlsx", "A 57320-2025")</f>
        <v/>
      </c>
      <c r="T89">
        <f>HYPERLINK("https://klasma.github.io/Logging_1885/kartor/A 57320-2025 karta.png", "A 57320-2025")</f>
        <v/>
      </c>
      <c r="V89">
        <f>HYPERLINK("https://klasma.github.io/Logging_1885/klagomål/A 57320-2025 FSC-klagomål.docx", "A 57320-2025")</f>
        <v/>
      </c>
      <c r="W89">
        <f>HYPERLINK("https://klasma.github.io/Logging_1885/klagomålsmail/A 57320-2025 FSC-klagomål mail.docx", "A 57320-2025")</f>
        <v/>
      </c>
      <c r="X89">
        <f>HYPERLINK("https://klasma.github.io/Logging_1885/tillsyn/A 57320-2025 tillsynsbegäran.docx", "A 57320-2025")</f>
        <v/>
      </c>
      <c r="Y89">
        <f>HYPERLINK("https://klasma.github.io/Logging_1885/tillsynsmail/A 57320-2025 tillsynsbegäran mail.docx", "A 57320-2025")</f>
        <v/>
      </c>
    </row>
    <row r="90" ht="15" customHeight="1">
      <c r="A90" t="inlineStr">
        <is>
          <t>A 57363-2025</t>
        </is>
      </c>
      <c r="B90" s="1" t="n">
        <v>45980</v>
      </c>
      <c r="C90" s="1" t="n">
        <v>46195</v>
      </c>
      <c r="D90" t="inlineStr">
        <is>
          <t>ÖREBRO LÄN</t>
        </is>
      </c>
      <c r="E90" t="inlineStr">
        <is>
          <t>LINDESBERG</t>
        </is>
      </c>
      <c r="F90" t="inlineStr">
        <is>
          <t>Sveaskog</t>
        </is>
      </c>
      <c r="G90" t="n">
        <v>2</v>
      </c>
      <c r="H90" t="n">
        <v>0</v>
      </c>
      <c r="I90" t="n">
        <v>0</v>
      </c>
      <c r="J90" t="n">
        <v>1</v>
      </c>
      <c r="K90" t="n">
        <v>0</v>
      </c>
      <c r="L90" t="n">
        <v>0</v>
      </c>
      <c r="M90" t="n">
        <v>0</v>
      </c>
      <c r="N90" t="n">
        <v>0</v>
      </c>
      <c r="O90" t="n">
        <v>1</v>
      </c>
      <c r="P90" t="n">
        <v>0</v>
      </c>
      <c r="Q90" t="n">
        <v>1</v>
      </c>
      <c r="R90" s="2" t="inlineStr">
        <is>
          <t>Barrviolspindling</t>
        </is>
      </c>
      <c r="S90">
        <f>HYPERLINK("https://klasma.github.io/Logging_1885/artfynd/A 57363-2025 artfynd.xlsx", "A 57363-2025")</f>
        <v/>
      </c>
      <c r="T90">
        <f>HYPERLINK("https://klasma.github.io/Logging_1885/kartor/A 57363-2025 karta.png", "A 57363-2025")</f>
        <v/>
      </c>
      <c r="V90">
        <f>HYPERLINK("https://klasma.github.io/Logging_1885/klagomål/A 57363-2025 FSC-klagomål.docx", "A 57363-2025")</f>
        <v/>
      </c>
      <c r="W90">
        <f>HYPERLINK("https://klasma.github.io/Logging_1885/klagomålsmail/A 57363-2025 FSC-klagomål mail.docx", "A 57363-2025")</f>
        <v/>
      </c>
      <c r="X90">
        <f>HYPERLINK("https://klasma.github.io/Logging_1885/tillsyn/A 57363-2025 tillsynsbegäran.docx", "A 57363-2025")</f>
        <v/>
      </c>
      <c r="Y90">
        <f>HYPERLINK("https://klasma.github.io/Logging_1885/tillsynsmail/A 57363-2025 tillsynsbegäran mail.docx", "A 57363-2025")</f>
        <v/>
      </c>
    </row>
    <row r="91" ht="15" customHeight="1">
      <c r="A91" t="inlineStr">
        <is>
          <t>A 36669-2024</t>
        </is>
      </c>
      <c r="B91" s="1" t="n">
        <v>45537</v>
      </c>
      <c r="C91" s="1" t="n">
        <v>46195</v>
      </c>
      <c r="D91" t="inlineStr">
        <is>
          <t>ÖREBRO LÄN</t>
        </is>
      </c>
      <c r="E91" t="inlineStr">
        <is>
          <t>LINDESBERG</t>
        </is>
      </c>
      <c r="F91" t="inlineStr">
        <is>
          <t>Sveaskog</t>
        </is>
      </c>
      <c r="G91" t="n">
        <v>2</v>
      </c>
      <c r="H91" t="n">
        <v>0</v>
      </c>
      <c r="I91" t="n">
        <v>0</v>
      </c>
      <c r="J91" t="n">
        <v>0</v>
      </c>
      <c r="K91" t="n">
        <v>1</v>
      </c>
      <c r="L91" t="n">
        <v>0</v>
      </c>
      <c r="M91" t="n">
        <v>0</v>
      </c>
      <c r="N91" t="n">
        <v>0</v>
      </c>
      <c r="O91" t="n">
        <v>1</v>
      </c>
      <c r="P91" t="n">
        <v>1</v>
      </c>
      <c r="Q91" t="n">
        <v>1</v>
      </c>
      <c r="R91" s="2" t="inlineStr">
        <is>
          <t>Garnlav</t>
        </is>
      </c>
      <c r="S91">
        <f>HYPERLINK("https://klasma.github.io/Logging_1885/artfynd/A 36669-2024 artfynd.xlsx", "A 36669-2024")</f>
        <v/>
      </c>
      <c r="T91">
        <f>HYPERLINK("https://klasma.github.io/Logging_1885/kartor/A 36669-2024 karta.png", "A 36669-2024")</f>
        <v/>
      </c>
      <c r="V91">
        <f>HYPERLINK("https://klasma.github.io/Logging_1885/klagomål/A 36669-2024 FSC-klagomål.docx", "A 36669-2024")</f>
        <v/>
      </c>
      <c r="W91">
        <f>HYPERLINK("https://klasma.github.io/Logging_1885/klagomålsmail/A 36669-2024 FSC-klagomål mail.docx", "A 36669-2024")</f>
        <v/>
      </c>
      <c r="X91">
        <f>HYPERLINK("https://klasma.github.io/Logging_1885/tillsyn/A 36669-2024 tillsynsbegäran.docx", "A 36669-2024")</f>
        <v/>
      </c>
      <c r="Y91">
        <f>HYPERLINK("https://klasma.github.io/Logging_1885/tillsynsmail/A 36669-2024 tillsynsbegäran mail.docx", "A 36669-2024")</f>
        <v/>
      </c>
    </row>
    <row r="92" ht="15" customHeight="1">
      <c r="A92" t="inlineStr">
        <is>
          <t>A 70466-2021</t>
        </is>
      </c>
      <c r="B92" s="1" t="n">
        <v>44536</v>
      </c>
      <c r="C92" s="1" t="n">
        <v>46195</v>
      </c>
      <c r="D92" t="inlineStr">
        <is>
          <t>ÖREBRO LÄN</t>
        </is>
      </c>
      <c r="E92" t="inlineStr">
        <is>
          <t>LINDESBERG</t>
        </is>
      </c>
      <c r="G92" t="n">
        <v>4.4</v>
      </c>
      <c r="H92" t="n">
        <v>1</v>
      </c>
      <c r="I92" t="n">
        <v>0</v>
      </c>
      <c r="J92" t="n">
        <v>0</v>
      </c>
      <c r="K92" t="n">
        <v>1</v>
      </c>
      <c r="L92" t="n">
        <v>0</v>
      </c>
      <c r="M92" t="n">
        <v>0</v>
      </c>
      <c r="N92" t="n">
        <v>0</v>
      </c>
      <c r="O92" t="n">
        <v>1</v>
      </c>
      <c r="P92" t="n">
        <v>1</v>
      </c>
      <c r="Q92" t="n">
        <v>1</v>
      </c>
      <c r="R92" s="2" t="inlineStr">
        <is>
          <t>Knärot</t>
        </is>
      </c>
      <c r="S92">
        <f>HYPERLINK("https://klasma.github.io/Logging_1885/artfynd/A 70466-2021 artfynd.xlsx", "A 70466-2021")</f>
        <v/>
      </c>
      <c r="T92">
        <f>HYPERLINK("https://klasma.github.io/Logging_1885/kartor/A 70466-2021 karta.png", "A 70466-2021")</f>
        <v/>
      </c>
      <c r="U92">
        <f>HYPERLINK("https://klasma.github.io/Logging_1885/knärot/A 70466-2021 karta knärot.png", "A 70466-2021")</f>
        <v/>
      </c>
      <c r="V92">
        <f>HYPERLINK("https://klasma.github.io/Logging_1885/klagomål/A 70466-2021 FSC-klagomål.docx", "A 70466-2021")</f>
        <v/>
      </c>
      <c r="W92">
        <f>HYPERLINK("https://klasma.github.io/Logging_1885/klagomålsmail/A 70466-2021 FSC-klagomål mail.docx", "A 70466-2021")</f>
        <v/>
      </c>
      <c r="X92">
        <f>HYPERLINK("https://klasma.github.io/Logging_1885/tillsyn/A 70466-2021 tillsynsbegäran.docx", "A 70466-2021")</f>
        <v/>
      </c>
      <c r="Y92">
        <f>HYPERLINK("https://klasma.github.io/Logging_1885/tillsynsmail/A 70466-2021 tillsynsbegäran mail.docx", "A 70466-2021")</f>
        <v/>
      </c>
    </row>
    <row r="93" ht="15" customHeight="1">
      <c r="A93" t="inlineStr">
        <is>
          <t>A 53600-2024</t>
        </is>
      </c>
      <c r="B93" s="1" t="n">
        <v>45614</v>
      </c>
      <c r="C93" s="1" t="n">
        <v>46195</v>
      </c>
      <c r="D93" t="inlineStr">
        <is>
          <t>ÖREBRO LÄN</t>
        </is>
      </c>
      <c r="E93" t="inlineStr">
        <is>
          <t>LINDESBERG</t>
        </is>
      </c>
      <c r="G93" t="n">
        <v>2.2</v>
      </c>
      <c r="H93" t="n">
        <v>1</v>
      </c>
      <c r="I93" t="n">
        <v>0</v>
      </c>
      <c r="J93" t="n">
        <v>0</v>
      </c>
      <c r="K93" t="n">
        <v>0</v>
      </c>
      <c r="L93" t="n">
        <v>1</v>
      </c>
      <c r="M93" t="n">
        <v>0</v>
      </c>
      <c r="N93" t="n">
        <v>0</v>
      </c>
      <c r="O93" t="n">
        <v>1</v>
      </c>
      <c r="P93" t="n">
        <v>1</v>
      </c>
      <c r="Q93" t="n">
        <v>1</v>
      </c>
      <c r="R93" s="2" t="inlineStr">
        <is>
          <t>Asknätfjäril</t>
        </is>
      </c>
      <c r="S93">
        <f>HYPERLINK("https://klasma.github.io/Logging_1885/artfynd/A 53600-2024 artfynd.xlsx", "A 53600-2024")</f>
        <v/>
      </c>
      <c r="T93">
        <f>HYPERLINK("https://klasma.github.io/Logging_1885/kartor/A 53600-2024 karta.png", "A 53600-2024")</f>
        <v/>
      </c>
      <c r="V93">
        <f>HYPERLINK("https://klasma.github.io/Logging_1885/klagomål/A 53600-2024 FSC-klagomål.docx", "A 53600-2024")</f>
        <v/>
      </c>
      <c r="W93">
        <f>HYPERLINK("https://klasma.github.io/Logging_1885/klagomålsmail/A 53600-2024 FSC-klagomål mail.docx", "A 53600-2024")</f>
        <v/>
      </c>
      <c r="X93">
        <f>HYPERLINK("https://klasma.github.io/Logging_1885/tillsyn/A 53600-2024 tillsynsbegäran.docx", "A 53600-2024")</f>
        <v/>
      </c>
      <c r="Y93">
        <f>HYPERLINK("https://klasma.github.io/Logging_1885/tillsynsmail/A 53600-2024 tillsynsbegäran mail.docx", "A 53600-2024")</f>
        <v/>
      </c>
    </row>
    <row r="94" ht="15" customHeight="1">
      <c r="A94" t="inlineStr">
        <is>
          <t>A 27726-2026</t>
        </is>
      </c>
      <c r="B94" s="1" t="n">
        <v>46191</v>
      </c>
      <c r="C94" s="1" t="n">
        <v>46195</v>
      </c>
      <c r="D94" t="inlineStr">
        <is>
          <t>ÖREBRO LÄN</t>
        </is>
      </c>
      <c r="E94" t="inlineStr">
        <is>
          <t>LINDESBERG</t>
        </is>
      </c>
      <c r="F94" t="inlineStr">
        <is>
          <t>Sveaskog</t>
        </is>
      </c>
      <c r="G94" t="n">
        <v>2.4</v>
      </c>
      <c r="H94" t="n">
        <v>0</v>
      </c>
      <c r="I94" t="n">
        <v>1</v>
      </c>
      <c r="J94" t="n">
        <v>0</v>
      </c>
      <c r="K94" t="n">
        <v>0</v>
      </c>
      <c r="L94" t="n">
        <v>0</v>
      </c>
      <c r="M94" t="n">
        <v>0</v>
      </c>
      <c r="N94" t="n">
        <v>0</v>
      </c>
      <c r="O94" t="n">
        <v>0</v>
      </c>
      <c r="P94" t="n">
        <v>0</v>
      </c>
      <c r="Q94" t="n">
        <v>1</v>
      </c>
      <c r="R94" s="2" t="inlineStr">
        <is>
          <t>Vågbandad barkbock</t>
        </is>
      </c>
      <c r="S94">
        <f>HYPERLINK("https://klasma.github.io/Logging_1885/artfynd/A 27726-2026 artfynd.xlsx", "A 27726-2026")</f>
        <v/>
      </c>
      <c r="T94">
        <f>HYPERLINK("https://klasma.github.io/Logging_1885/kartor/A 27726-2026 karta.png", "A 27726-2026")</f>
        <v/>
      </c>
      <c r="V94">
        <f>HYPERLINK("https://klasma.github.io/Logging_1885/klagomål/A 27726-2026 FSC-klagomål.docx", "A 27726-2026")</f>
        <v/>
      </c>
      <c r="W94">
        <f>HYPERLINK("https://klasma.github.io/Logging_1885/klagomålsmail/A 27726-2026 FSC-klagomål mail.docx", "A 27726-2026")</f>
        <v/>
      </c>
      <c r="X94">
        <f>HYPERLINK("https://klasma.github.io/Logging_1885/tillsyn/A 27726-2026 tillsynsbegäran.docx", "A 27726-2026")</f>
        <v/>
      </c>
      <c r="Y94">
        <f>HYPERLINK("https://klasma.github.io/Logging_1885/tillsynsmail/A 27726-2026 tillsynsbegäran mail.docx", "A 27726-2026")</f>
        <v/>
      </c>
    </row>
    <row r="95" ht="15" customHeight="1">
      <c r="A95" t="inlineStr">
        <is>
          <t>A 27733-2026</t>
        </is>
      </c>
      <c r="B95" s="1" t="n">
        <v>46191</v>
      </c>
      <c r="C95" s="1" t="n">
        <v>46195</v>
      </c>
      <c r="D95" t="inlineStr">
        <is>
          <t>ÖREBRO LÄN</t>
        </is>
      </c>
      <c r="E95" t="inlineStr">
        <is>
          <t>LINDESBERG</t>
        </is>
      </c>
      <c r="F95" t="inlineStr">
        <is>
          <t>Sveaskog</t>
        </is>
      </c>
      <c r="G95" t="n">
        <v>2.5</v>
      </c>
      <c r="H95" t="n">
        <v>1</v>
      </c>
      <c r="I95" t="n">
        <v>0</v>
      </c>
      <c r="J95" t="n">
        <v>0</v>
      </c>
      <c r="K95" t="n">
        <v>0</v>
      </c>
      <c r="L95" t="n">
        <v>0</v>
      </c>
      <c r="M95" t="n">
        <v>0</v>
      </c>
      <c r="N95" t="n">
        <v>0</v>
      </c>
      <c r="O95" t="n">
        <v>0</v>
      </c>
      <c r="P95" t="n">
        <v>0</v>
      </c>
      <c r="Q95" t="n">
        <v>1</v>
      </c>
      <c r="R95" s="2" t="inlineStr">
        <is>
          <t>Fläcknycklar</t>
        </is>
      </c>
      <c r="S95">
        <f>HYPERLINK("https://klasma.github.io/Logging_1885/artfynd/A 27733-2026 artfynd.xlsx", "A 27733-2026")</f>
        <v/>
      </c>
      <c r="T95">
        <f>HYPERLINK("https://klasma.github.io/Logging_1885/kartor/A 27733-2026 karta.png", "A 27733-2026")</f>
        <v/>
      </c>
      <c r="V95">
        <f>HYPERLINK("https://klasma.github.io/Logging_1885/klagomål/A 27733-2026 FSC-klagomål.docx", "A 27733-2026")</f>
        <v/>
      </c>
      <c r="W95">
        <f>HYPERLINK("https://klasma.github.io/Logging_1885/klagomålsmail/A 27733-2026 FSC-klagomål mail.docx", "A 27733-2026")</f>
        <v/>
      </c>
      <c r="X95">
        <f>HYPERLINK("https://klasma.github.io/Logging_1885/tillsyn/A 27733-2026 tillsynsbegäran.docx", "A 27733-2026")</f>
        <v/>
      </c>
      <c r="Y95">
        <f>HYPERLINK("https://klasma.github.io/Logging_1885/tillsynsmail/A 27733-2026 tillsynsbegäran mail.docx", "A 27733-2026")</f>
        <v/>
      </c>
    </row>
    <row r="96" ht="15" customHeight="1">
      <c r="A96" t="inlineStr">
        <is>
          <t>A 27730-2026</t>
        </is>
      </c>
      <c r="B96" s="1" t="n">
        <v>46191</v>
      </c>
      <c r="C96" s="1" t="n">
        <v>46195</v>
      </c>
      <c r="D96" t="inlineStr">
        <is>
          <t>ÖREBRO LÄN</t>
        </is>
      </c>
      <c r="E96" t="inlineStr">
        <is>
          <t>LINDESBERG</t>
        </is>
      </c>
      <c r="F96" t="inlineStr">
        <is>
          <t>Sveaskog</t>
        </is>
      </c>
      <c r="G96" t="n">
        <v>3.9</v>
      </c>
      <c r="H96" t="n">
        <v>1</v>
      </c>
      <c r="I96" t="n">
        <v>0</v>
      </c>
      <c r="J96" t="n">
        <v>0</v>
      </c>
      <c r="K96" t="n">
        <v>0</v>
      </c>
      <c r="L96" t="n">
        <v>0</v>
      </c>
      <c r="M96" t="n">
        <v>0</v>
      </c>
      <c r="N96" t="n">
        <v>0</v>
      </c>
      <c r="O96" t="n">
        <v>0</v>
      </c>
      <c r="P96" t="n">
        <v>0</v>
      </c>
      <c r="Q96" t="n">
        <v>1</v>
      </c>
      <c r="R96" s="2" t="inlineStr">
        <is>
          <t>Fläcknycklar</t>
        </is>
      </c>
      <c r="S96">
        <f>HYPERLINK("https://klasma.github.io/Logging_1885/artfynd/A 27730-2026 artfynd.xlsx", "A 27730-2026")</f>
        <v/>
      </c>
      <c r="T96">
        <f>HYPERLINK("https://klasma.github.io/Logging_1885/kartor/A 27730-2026 karta.png", "A 27730-2026")</f>
        <v/>
      </c>
      <c r="V96">
        <f>HYPERLINK("https://klasma.github.io/Logging_1885/klagomål/A 27730-2026 FSC-klagomål.docx", "A 27730-2026")</f>
        <v/>
      </c>
      <c r="W96">
        <f>HYPERLINK("https://klasma.github.io/Logging_1885/klagomålsmail/A 27730-2026 FSC-klagomål mail.docx", "A 27730-2026")</f>
        <v/>
      </c>
      <c r="X96">
        <f>HYPERLINK("https://klasma.github.io/Logging_1885/tillsyn/A 27730-2026 tillsynsbegäran.docx", "A 27730-2026")</f>
        <v/>
      </c>
      <c r="Y96">
        <f>HYPERLINK("https://klasma.github.io/Logging_1885/tillsynsmail/A 27730-2026 tillsynsbegäran mail.docx", "A 27730-2026")</f>
        <v/>
      </c>
    </row>
    <row r="97" ht="15" customHeight="1">
      <c r="A97" t="inlineStr">
        <is>
          <t>A 21871-2026</t>
        </is>
      </c>
      <c r="B97" s="1" t="n">
        <v>46150</v>
      </c>
      <c r="C97" s="1" t="n">
        <v>46195</v>
      </c>
      <c r="D97" t="inlineStr">
        <is>
          <t>ÖREBRO LÄN</t>
        </is>
      </c>
      <c r="E97" t="inlineStr">
        <is>
          <t>LINDESBERG</t>
        </is>
      </c>
      <c r="F97" t="inlineStr">
        <is>
          <t>Sveaskog</t>
        </is>
      </c>
      <c r="G97" t="n">
        <v>0.9</v>
      </c>
      <c r="H97" t="n">
        <v>0</v>
      </c>
      <c r="I97" t="n">
        <v>0</v>
      </c>
      <c r="J97" t="n">
        <v>1</v>
      </c>
      <c r="K97" t="n">
        <v>0</v>
      </c>
      <c r="L97" t="n">
        <v>0</v>
      </c>
      <c r="M97" t="n">
        <v>0</v>
      </c>
      <c r="N97" t="n">
        <v>0</v>
      </c>
      <c r="O97" t="n">
        <v>1</v>
      </c>
      <c r="P97" t="n">
        <v>0</v>
      </c>
      <c r="Q97" t="n">
        <v>1</v>
      </c>
      <c r="R97" s="2" t="inlineStr">
        <is>
          <t>Barrviolspindling</t>
        </is>
      </c>
      <c r="S97">
        <f>HYPERLINK("https://klasma.github.io/Logging_1885/artfynd/A 21871-2026 artfynd.xlsx", "A 21871-2026")</f>
        <v/>
      </c>
      <c r="T97">
        <f>HYPERLINK("https://klasma.github.io/Logging_1885/kartor/A 21871-2026 karta.png", "A 21871-2026")</f>
        <v/>
      </c>
      <c r="V97">
        <f>HYPERLINK("https://klasma.github.io/Logging_1885/klagomål/A 21871-2026 FSC-klagomål.docx", "A 21871-2026")</f>
        <v/>
      </c>
      <c r="W97">
        <f>HYPERLINK("https://klasma.github.io/Logging_1885/klagomålsmail/A 21871-2026 FSC-klagomål mail.docx", "A 21871-2026")</f>
        <v/>
      </c>
      <c r="X97">
        <f>HYPERLINK("https://klasma.github.io/Logging_1885/tillsyn/A 21871-2026 tillsynsbegäran.docx", "A 21871-2026")</f>
        <v/>
      </c>
      <c r="Y97">
        <f>HYPERLINK("https://klasma.github.io/Logging_1885/tillsynsmail/A 21871-2026 tillsynsbegäran mail.docx", "A 21871-2026")</f>
        <v/>
      </c>
    </row>
    <row r="98" ht="15" customHeight="1">
      <c r="A98" t="inlineStr">
        <is>
          <t>A 27725-2026</t>
        </is>
      </c>
      <c r="B98" s="1" t="n">
        <v>46191</v>
      </c>
      <c r="C98" s="1" t="n">
        <v>46195</v>
      </c>
      <c r="D98" t="inlineStr">
        <is>
          <t>ÖREBRO LÄN</t>
        </is>
      </c>
      <c r="E98" t="inlineStr">
        <is>
          <t>LINDESBERG</t>
        </is>
      </c>
      <c r="F98" t="inlineStr">
        <is>
          <t>Sveaskog</t>
        </is>
      </c>
      <c r="G98" t="n">
        <v>9.300000000000001</v>
      </c>
      <c r="H98" t="n">
        <v>1</v>
      </c>
      <c r="I98" t="n">
        <v>0</v>
      </c>
      <c r="J98" t="n">
        <v>0</v>
      </c>
      <c r="K98" t="n">
        <v>0</v>
      </c>
      <c r="L98" t="n">
        <v>0</v>
      </c>
      <c r="M98" t="n">
        <v>0</v>
      </c>
      <c r="N98" t="n">
        <v>0</v>
      </c>
      <c r="O98" t="n">
        <v>0</v>
      </c>
      <c r="P98" t="n">
        <v>0</v>
      </c>
      <c r="Q98" t="n">
        <v>1</v>
      </c>
      <c r="R98" s="2" t="inlineStr">
        <is>
          <t>Revlummer</t>
        </is>
      </c>
      <c r="S98">
        <f>HYPERLINK("https://klasma.github.io/Logging_1885/artfynd/A 27725-2026 artfynd.xlsx", "A 27725-2026")</f>
        <v/>
      </c>
      <c r="T98">
        <f>HYPERLINK("https://klasma.github.io/Logging_1885/kartor/A 27725-2026 karta.png", "A 27725-2026")</f>
        <v/>
      </c>
      <c r="V98">
        <f>HYPERLINK("https://klasma.github.io/Logging_1885/klagomål/A 27725-2026 FSC-klagomål.docx", "A 27725-2026")</f>
        <v/>
      </c>
      <c r="W98">
        <f>HYPERLINK("https://klasma.github.io/Logging_1885/klagomålsmail/A 27725-2026 FSC-klagomål mail.docx", "A 27725-2026")</f>
        <v/>
      </c>
      <c r="X98">
        <f>HYPERLINK("https://klasma.github.io/Logging_1885/tillsyn/A 27725-2026 tillsynsbegäran.docx", "A 27725-2026")</f>
        <v/>
      </c>
      <c r="Y98">
        <f>HYPERLINK("https://klasma.github.io/Logging_1885/tillsynsmail/A 27725-2026 tillsynsbegäran mail.docx", "A 27725-2026")</f>
        <v/>
      </c>
    </row>
    <row r="99" ht="15" customHeight="1">
      <c r="A99" t="inlineStr">
        <is>
          <t>A 27727-2026</t>
        </is>
      </c>
      <c r="B99" s="1" t="n">
        <v>46191</v>
      </c>
      <c r="C99" s="1" t="n">
        <v>46195</v>
      </c>
      <c r="D99" t="inlineStr">
        <is>
          <t>ÖREBRO LÄN</t>
        </is>
      </c>
      <c r="E99" t="inlineStr">
        <is>
          <t>LINDESBERG</t>
        </is>
      </c>
      <c r="F99" t="inlineStr">
        <is>
          <t>Sveaskog</t>
        </is>
      </c>
      <c r="G99" t="n">
        <v>8</v>
      </c>
      <c r="H99" t="n">
        <v>0</v>
      </c>
      <c r="I99" t="n">
        <v>0</v>
      </c>
      <c r="J99" t="n">
        <v>1</v>
      </c>
      <c r="K99" t="n">
        <v>0</v>
      </c>
      <c r="L99" t="n">
        <v>0</v>
      </c>
      <c r="M99" t="n">
        <v>0</v>
      </c>
      <c r="N99" t="n">
        <v>0</v>
      </c>
      <c r="O99" t="n">
        <v>1</v>
      </c>
      <c r="P99" t="n">
        <v>0</v>
      </c>
      <c r="Q99" t="n">
        <v>1</v>
      </c>
      <c r="R99" s="2" t="inlineStr">
        <is>
          <t>Lunglav</t>
        </is>
      </c>
      <c r="S99">
        <f>HYPERLINK("https://klasma.github.io/Logging_1885/artfynd/A 27727-2026 artfynd.xlsx", "A 27727-2026")</f>
        <v/>
      </c>
      <c r="T99">
        <f>HYPERLINK("https://klasma.github.io/Logging_1885/kartor/A 27727-2026 karta.png", "A 27727-2026")</f>
        <v/>
      </c>
      <c r="V99">
        <f>HYPERLINK("https://klasma.github.io/Logging_1885/klagomål/A 27727-2026 FSC-klagomål.docx", "A 27727-2026")</f>
        <v/>
      </c>
      <c r="W99">
        <f>HYPERLINK("https://klasma.github.io/Logging_1885/klagomålsmail/A 27727-2026 FSC-klagomål mail.docx", "A 27727-2026")</f>
        <v/>
      </c>
      <c r="X99">
        <f>HYPERLINK("https://klasma.github.io/Logging_1885/tillsyn/A 27727-2026 tillsynsbegäran.docx", "A 27727-2026")</f>
        <v/>
      </c>
      <c r="Y99">
        <f>HYPERLINK("https://klasma.github.io/Logging_1885/tillsynsmail/A 27727-2026 tillsynsbegäran mail.docx", "A 27727-2026")</f>
        <v/>
      </c>
    </row>
    <row r="100" ht="15" customHeight="1">
      <c r="A100" t="inlineStr">
        <is>
          <t>A 8139-2023</t>
        </is>
      </c>
      <c r="B100" s="1" t="n">
        <v>44970</v>
      </c>
      <c r="C100" s="1" t="n">
        <v>46195</v>
      </c>
      <c r="D100" t="inlineStr">
        <is>
          <t>ÖREBRO LÄN</t>
        </is>
      </c>
      <c r="E100" t="inlineStr">
        <is>
          <t>LINDESBERG</t>
        </is>
      </c>
      <c r="G100" t="n">
        <v>3.6</v>
      </c>
      <c r="H100" t="n">
        <v>1</v>
      </c>
      <c r="I100" t="n">
        <v>0</v>
      </c>
      <c r="J100" t="n">
        <v>0</v>
      </c>
      <c r="K100" t="n">
        <v>0</v>
      </c>
      <c r="L100" t="n">
        <v>0</v>
      </c>
      <c r="M100" t="n">
        <v>0</v>
      </c>
      <c r="N100" t="n">
        <v>0</v>
      </c>
      <c r="O100" t="n">
        <v>0</v>
      </c>
      <c r="P100" t="n">
        <v>0</v>
      </c>
      <c r="Q100" t="n">
        <v>1</v>
      </c>
      <c r="R100" s="2" t="inlineStr">
        <is>
          <t>Fläcknycklar</t>
        </is>
      </c>
      <c r="S100">
        <f>HYPERLINK("https://klasma.github.io/Logging_1885/artfynd/A 8139-2023 artfynd.xlsx", "A 8139-2023")</f>
        <v/>
      </c>
      <c r="T100">
        <f>HYPERLINK("https://klasma.github.io/Logging_1885/kartor/A 8139-2023 karta.png", "A 8139-2023")</f>
        <v/>
      </c>
      <c r="V100">
        <f>HYPERLINK("https://klasma.github.io/Logging_1885/klagomål/A 8139-2023 FSC-klagomål.docx", "A 8139-2023")</f>
        <v/>
      </c>
      <c r="W100">
        <f>HYPERLINK("https://klasma.github.io/Logging_1885/klagomålsmail/A 8139-2023 FSC-klagomål mail.docx", "A 8139-2023")</f>
        <v/>
      </c>
      <c r="X100">
        <f>HYPERLINK("https://klasma.github.io/Logging_1885/tillsyn/A 8139-2023 tillsynsbegäran.docx", "A 8139-2023")</f>
        <v/>
      </c>
      <c r="Y100">
        <f>HYPERLINK("https://klasma.github.io/Logging_1885/tillsynsmail/A 8139-2023 tillsynsbegäran mail.docx", "A 8139-2023")</f>
        <v/>
      </c>
    </row>
    <row r="101" ht="15" customHeight="1">
      <c r="A101" t="inlineStr">
        <is>
          <t>A 62866-2023</t>
        </is>
      </c>
      <c r="B101" s="1" t="n">
        <v>45272</v>
      </c>
      <c r="C101" s="1" t="n">
        <v>46195</v>
      </c>
      <c r="D101" t="inlineStr">
        <is>
          <t>ÖREBRO LÄN</t>
        </is>
      </c>
      <c r="E101" t="inlineStr">
        <is>
          <t>LINDESBERG</t>
        </is>
      </c>
      <c r="G101" t="n">
        <v>14.5</v>
      </c>
      <c r="H101" t="n">
        <v>1</v>
      </c>
      <c r="I101" t="n">
        <v>0</v>
      </c>
      <c r="J101" t="n">
        <v>0</v>
      </c>
      <c r="K101" t="n">
        <v>0</v>
      </c>
      <c r="L101" t="n">
        <v>0</v>
      </c>
      <c r="M101" t="n">
        <v>0</v>
      </c>
      <c r="N101" t="n">
        <v>0</v>
      </c>
      <c r="O101" t="n">
        <v>0</v>
      </c>
      <c r="P101" t="n">
        <v>0</v>
      </c>
      <c r="Q101" t="n">
        <v>1</v>
      </c>
      <c r="R101" s="2" t="inlineStr">
        <is>
          <t>Utter</t>
        </is>
      </c>
      <c r="S101">
        <f>HYPERLINK("https://klasma.github.io/Logging_1885/artfynd/A 62866-2023 artfynd.xlsx", "A 62866-2023")</f>
        <v/>
      </c>
      <c r="T101">
        <f>HYPERLINK("https://klasma.github.io/Logging_1885/kartor/A 62866-2023 karta.png", "A 62866-2023")</f>
        <v/>
      </c>
      <c r="V101">
        <f>HYPERLINK("https://klasma.github.io/Logging_1885/klagomål/A 62866-2023 FSC-klagomål.docx", "A 62866-2023")</f>
        <v/>
      </c>
      <c r="W101">
        <f>HYPERLINK("https://klasma.github.io/Logging_1885/klagomålsmail/A 62866-2023 FSC-klagomål mail.docx", "A 62866-2023")</f>
        <v/>
      </c>
      <c r="X101">
        <f>HYPERLINK("https://klasma.github.io/Logging_1885/tillsyn/A 62866-2023 tillsynsbegäran.docx", "A 62866-2023")</f>
        <v/>
      </c>
      <c r="Y101">
        <f>HYPERLINK("https://klasma.github.io/Logging_1885/tillsynsmail/A 62866-2023 tillsynsbegäran mail.docx", "A 62866-2023")</f>
        <v/>
      </c>
    </row>
    <row r="102" ht="15" customHeight="1">
      <c r="A102" t="inlineStr">
        <is>
          <t>A 27130-2024</t>
        </is>
      </c>
      <c r="B102" s="1" t="n">
        <v>45471</v>
      </c>
      <c r="C102" s="1" t="n">
        <v>46195</v>
      </c>
      <c r="D102" t="inlineStr">
        <is>
          <t>ÖREBRO LÄN</t>
        </is>
      </c>
      <c r="E102" t="inlineStr">
        <is>
          <t>LINDESBERG</t>
        </is>
      </c>
      <c r="G102" t="n">
        <v>2</v>
      </c>
      <c r="H102" t="n">
        <v>1</v>
      </c>
      <c r="I102" t="n">
        <v>0</v>
      </c>
      <c r="J102" t="n">
        <v>0</v>
      </c>
      <c r="K102" t="n">
        <v>0</v>
      </c>
      <c r="L102" t="n">
        <v>0</v>
      </c>
      <c r="M102" t="n">
        <v>0</v>
      </c>
      <c r="N102" t="n">
        <v>0</v>
      </c>
      <c r="O102" t="n">
        <v>0</v>
      </c>
      <c r="P102" t="n">
        <v>0</v>
      </c>
      <c r="Q102" t="n">
        <v>1</v>
      </c>
      <c r="R102" s="2" t="inlineStr">
        <is>
          <t>Utter</t>
        </is>
      </c>
      <c r="S102">
        <f>HYPERLINK("https://klasma.github.io/Logging_1885/artfynd/A 27130-2024 artfynd.xlsx", "A 27130-2024")</f>
        <v/>
      </c>
      <c r="T102">
        <f>HYPERLINK("https://klasma.github.io/Logging_1885/kartor/A 27130-2024 karta.png", "A 27130-2024")</f>
        <v/>
      </c>
      <c r="V102">
        <f>HYPERLINK("https://klasma.github.io/Logging_1885/klagomål/A 27130-2024 FSC-klagomål.docx", "A 27130-2024")</f>
        <v/>
      </c>
      <c r="W102">
        <f>HYPERLINK("https://klasma.github.io/Logging_1885/klagomålsmail/A 27130-2024 FSC-klagomål mail.docx", "A 27130-2024")</f>
        <v/>
      </c>
      <c r="X102">
        <f>HYPERLINK("https://klasma.github.io/Logging_1885/tillsyn/A 27130-2024 tillsynsbegäran.docx", "A 27130-2024")</f>
        <v/>
      </c>
      <c r="Y102">
        <f>HYPERLINK("https://klasma.github.io/Logging_1885/tillsynsmail/A 27130-2024 tillsynsbegäran mail.docx", "A 27130-2024")</f>
        <v/>
      </c>
    </row>
    <row r="103" ht="15" customHeight="1">
      <c r="A103" t="inlineStr">
        <is>
          <t>A 48265-2021</t>
        </is>
      </c>
      <c r="B103" s="1" t="n">
        <v>44449</v>
      </c>
      <c r="C103" s="1" t="n">
        <v>46195</v>
      </c>
      <c r="D103" t="inlineStr">
        <is>
          <t>ÖREBRO LÄN</t>
        </is>
      </c>
      <c r="E103" t="inlineStr">
        <is>
          <t>LINDESBERG</t>
        </is>
      </c>
      <c r="G103" t="n">
        <v>23.7</v>
      </c>
      <c r="H103" t="n">
        <v>1</v>
      </c>
      <c r="I103" t="n">
        <v>1</v>
      </c>
      <c r="J103" t="n">
        <v>0</v>
      </c>
      <c r="K103" t="n">
        <v>0</v>
      </c>
      <c r="L103" t="n">
        <v>0</v>
      </c>
      <c r="M103" t="n">
        <v>0</v>
      </c>
      <c r="N103" t="n">
        <v>0</v>
      </c>
      <c r="O103" t="n">
        <v>0</v>
      </c>
      <c r="P103" t="n">
        <v>0</v>
      </c>
      <c r="Q103" t="n">
        <v>1</v>
      </c>
      <c r="R103" s="2" t="inlineStr">
        <is>
          <t>Grön sköldmossa</t>
        </is>
      </c>
      <c r="S103">
        <f>HYPERLINK("https://klasma.github.io/Logging_1885/artfynd/A 48265-2021 artfynd.xlsx", "A 48265-2021")</f>
        <v/>
      </c>
      <c r="T103">
        <f>HYPERLINK("https://klasma.github.io/Logging_1885/kartor/A 48265-2021 karta.png", "A 48265-2021")</f>
        <v/>
      </c>
      <c r="V103">
        <f>HYPERLINK("https://klasma.github.io/Logging_1885/klagomål/A 48265-2021 FSC-klagomål.docx", "A 48265-2021")</f>
        <v/>
      </c>
      <c r="W103">
        <f>HYPERLINK("https://klasma.github.io/Logging_1885/klagomålsmail/A 48265-2021 FSC-klagomål mail.docx", "A 48265-2021")</f>
        <v/>
      </c>
      <c r="X103">
        <f>HYPERLINK("https://klasma.github.io/Logging_1885/tillsyn/A 48265-2021 tillsynsbegäran.docx", "A 48265-2021")</f>
        <v/>
      </c>
      <c r="Y103">
        <f>HYPERLINK("https://klasma.github.io/Logging_1885/tillsynsmail/A 48265-2021 tillsynsbegäran mail.docx", "A 48265-2021")</f>
        <v/>
      </c>
    </row>
    <row r="104" ht="15" customHeight="1">
      <c r="A104" t="inlineStr">
        <is>
          <t>A 16692-2026</t>
        </is>
      </c>
      <c r="B104" s="1" t="n">
        <v>46112</v>
      </c>
      <c r="C104" s="1" t="n">
        <v>46195</v>
      </c>
      <c r="D104" t="inlineStr">
        <is>
          <t>ÖREBRO LÄN</t>
        </is>
      </c>
      <c r="E104" t="inlineStr">
        <is>
          <t>LINDESBERG</t>
        </is>
      </c>
      <c r="G104" t="n">
        <v>4.9</v>
      </c>
      <c r="H104" t="n">
        <v>1</v>
      </c>
      <c r="I104" t="n">
        <v>0</v>
      </c>
      <c r="J104" t="n">
        <v>0</v>
      </c>
      <c r="K104" t="n">
        <v>0</v>
      </c>
      <c r="L104" t="n">
        <v>0</v>
      </c>
      <c r="M104" t="n">
        <v>0</v>
      </c>
      <c r="N104" t="n">
        <v>0</v>
      </c>
      <c r="O104" t="n">
        <v>0</v>
      </c>
      <c r="P104" t="n">
        <v>0</v>
      </c>
      <c r="Q104" t="n">
        <v>1</v>
      </c>
      <c r="R104" s="2" t="inlineStr">
        <is>
          <t>Spillkråka</t>
        </is>
      </c>
      <c r="S104">
        <f>HYPERLINK("https://klasma.github.io/Logging_1885/artfynd/A 16692-2026 artfynd.xlsx", "A 16692-2026")</f>
        <v/>
      </c>
      <c r="T104">
        <f>HYPERLINK("https://klasma.github.io/Logging_1885/kartor/A 16692-2026 karta.png", "A 16692-2026")</f>
        <v/>
      </c>
      <c r="V104">
        <f>HYPERLINK("https://klasma.github.io/Logging_1885/klagomål/A 16692-2026 FSC-klagomål.docx", "A 16692-2026")</f>
        <v/>
      </c>
      <c r="W104">
        <f>HYPERLINK("https://klasma.github.io/Logging_1885/klagomålsmail/A 16692-2026 FSC-klagomål mail.docx", "A 16692-2026")</f>
        <v/>
      </c>
      <c r="X104">
        <f>HYPERLINK("https://klasma.github.io/Logging_1885/tillsyn/A 16692-2026 tillsynsbegäran.docx", "A 16692-2026")</f>
        <v/>
      </c>
      <c r="Y104">
        <f>HYPERLINK("https://klasma.github.io/Logging_1885/tillsynsmail/A 16692-2026 tillsynsbegäran mail.docx", "A 16692-2026")</f>
        <v/>
      </c>
      <c r="Z104">
        <f>HYPERLINK("https://klasma.github.io/Logging_1885/fåglar/A 16692-2026 prioriterade fågelarter.docx", "A 16692-2026")</f>
        <v/>
      </c>
    </row>
    <row r="105" ht="15" customHeight="1">
      <c r="A105" t="inlineStr">
        <is>
          <t>A 16693-2026</t>
        </is>
      </c>
      <c r="B105" s="1" t="n">
        <v>46112</v>
      </c>
      <c r="C105" s="1" t="n">
        <v>46195</v>
      </c>
      <c r="D105" t="inlineStr">
        <is>
          <t>ÖREBRO LÄN</t>
        </is>
      </c>
      <c r="E105" t="inlineStr">
        <is>
          <t>LINDESBERG</t>
        </is>
      </c>
      <c r="G105" t="n">
        <v>2.1</v>
      </c>
      <c r="H105" t="n">
        <v>1</v>
      </c>
      <c r="I105" t="n">
        <v>0</v>
      </c>
      <c r="J105" t="n">
        <v>0</v>
      </c>
      <c r="K105" t="n">
        <v>0</v>
      </c>
      <c r="L105" t="n">
        <v>0</v>
      </c>
      <c r="M105" t="n">
        <v>0</v>
      </c>
      <c r="N105" t="n">
        <v>0</v>
      </c>
      <c r="O105" t="n">
        <v>0</v>
      </c>
      <c r="P105" t="n">
        <v>0</v>
      </c>
      <c r="Q105" t="n">
        <v>1</v>
      </c>
      <c r="R105" s="2" t="inlineStr">
        <is>
          <t>Tjäder</t>
        </is>
      </c>
      <c r="S105">
        <f>HYPERLINK("https://klasma.github.io/Logging_1885/artfynd/A 16693-2026 artfynd.xlsx", "A 16693-2026")</f>
        <v/>
      </c>
      <c r="T105">
        <f>HYPERLINK("https://klasma.github.io/Logging_1885/kartor/A 16693-2026 karta.png", "A 16693-2026")</f>
        <v/>
      </c>
      <c r="V105">
        <f>HYPERLINK("https://klasma.github.io/Logging_1885/klagomål/A 16693-2026 FSC-klagomål.docx", "A 16693-2026")</f>
        <v/>
      </c>
      <c r="W105">
        <f>HYPERLINK("https://klasma.github.io/Logging_1885/klagomålsmail/A 16693-2026 FSC-klagomål mail.docx", "A 16693-2026")</f>
        <v/>
      </c>
      <c r="X105">
        <f>HYPERLINK("https://klasma.github.io/Logging_1885/tillsyn/A 16693-2026 tillsynsbegäran.docx", "A 16693-2026")</f>
        <v/>
      </c>
      <c r="Y105">
        <f>HYPERLINK("https://klasma.github.io/Logging_1885/tillsynsmail/A 16693-2026 tillsynsbegäran mail.docx", "A 16693-2026")</f>
        <v/>
      </c>
      <c r="Z105">
        <f>HYPERLINK("https://klasma.github.io/Logging_1885/fåglar/A 16693-2026 prioriterade fågelarter.docx", "A 16693-2026")</f>
        <v/>
      </c>
    </row>
    <row r="106" ht="15" customHeight="1">
      <c r="A106" t="inlineStr">
        <is>
          <t>A 22747-2026</t>
        </is>
      </c>
      <c r="B106" s="1" t="n">
        <v>46157</v>
      </c>
      <c r="C106" s="1" t="n">
        <v>46195</v>
      </c>
      <c r="D106" t="inlineStr">
        <is>
          <t>ÖREBRO LÄN</t>
        </is>
      </c>
      <c r="E106" t="inlineStr">
        <is>
          <t>LINDESBERG</t>
        </is>
      </c>
      <c r="G106" t="n">
        <v>4.4</v>
      </c>
      <c r="H106" t="n">
        <v>1</v>
      </c>
      <c r="I106" t="n">
        <v>0</v>
      </c>
      <c r="J106" t="n">
        <v>0</v>
      </c>
      <c r="K106" t="n">
        <v>0</v>
      </c>
      <c r="L106" t="n">
        <v>0</v>
      </c>
      <c r="M106" t="n">
        <v>0</v>
      </c>
      <c r="N106" t="n">
        <v>0</v>
      </c>
      <c r="O106" t="n">
        <v>0</v>
      </c>
      <c r="P106" t="n">
        <v>0</v>
      </c>
      <c r="Q106" t="n">
        <v>1</v>
      </c>
      <c r="R106" s="2" t="inlineStr">
        <is>
          <t>Fiskgjuse</t>
        </is>
      </c>
      <c r="S106">
        <f>HYPERLINK("https://klasma.github.io/Logging_1885/artfynd/A 22747-2026 artfynd.xlsx", "A 22747-2026")</f>
        <v/>
      </c>
      <c r="T106">
        <f>HYPERLINK("https://klasma.github.io/Logging_1885/kartor/A 22747-2026 karta.png", "A 22747-2026")</f>
        <v/>
      </c>
      <c r="V106">
        <f>HYPERLINK("https://klasma.github.io/Logging_1885/klagomål/A 22747-2026 FSC-klagomål.docx", "A 22747-2026")</f>
        <v/>
      </c>
      <c r="W106">
        <f>HYPERLINK("https://klasma.github.io/Logging_1885/klagomålsmail/A 22747-2026 FSC-klagomål mail.docx", "A 22747-2026")</f>
        <v/>
      </c>
      <c r="X106">
        <f>HYPERLINK("https://klasma.github.io/Logging_1885/tillsyn/A 22747-2026 tillsynsbegäran.docx", "A 22747-2026")</f>
        <v/>
      </c>
      <c r="Y106">
        <f>HYPERLINK("https://klasma.github.io/Logging_1885/tillsynsmail/A 22747-2026 tillsynsbegäran mail.docx", "A 22747-2026")</f>
        <v/>
      </c>
      <c r="Z106">
        <f>HYPERLINK("https://klasma.github.io/Logging_1885/fåglar/A 22747-2026 prioriterade fågelarter.docx", "A 22747-2026")</f>
        <v/>
      </c>
    </row>
    <row r="107" ht="15" customHeight="1">
      <c r="A107" t="inlineStr">
        <is>
          <t>A 23337-2026</t>
        </is>
      </c>
      <c r="B107" s="1" t="n">
        <v>46162</v>
      </c>
      <c r="C107" s="1" t="n">
        <v>46195</v>
      </c>
      <c r="D107" t="inlineStr">
        <is>
          <t>ÖREBRO LÄN</t>
        </is>
      </c>
      <c r="E107" t="inlineStr">
        <is>
          <t>LINDESBERG</t>
        </is>
      </c>
      <c r="F107" t="inlineStr">
        <is>
          <t>Naturvårdsverket</t>
        </is>
      </c>
      <c r="G107" t="n">
        <v>1.4</v>
      </c>
      <c r="H107" t="n">
        <v>1</v>
      </c>
      <c r="I107" t="n">
        <v>0</v>
      </c>
      <c r="J107" t="n">
        <v>0</v>
      </c>
      <c r="K107" t="n">
        <v>0</v>
      </c>
      <c r="L107" t="n">
        <v>0</v>
      </c>
      <c r="M107" t="n">
        <v>0</v>
      </c>
      <c r="N107" t="n">
        <v>0</v>
      </c>
      <c r="O107" t="n">
        <v>0</v>
      </c>
      <c r="P107" t="n">
        <v>0</v>
      </c>
      <c r="Q107" t="n">
        <v>1</v>
      </c>
      <c r="R107" s="2" t="inlineStr">
        <is>
          <t>Spillkråka</t>
        </is>
      </c>
      <c r="S107">
        <f>HYPERLINK("https://klasma.github.io/Logging_1885/artfynd/A 23337-2026 artfynd.xlsx", "A 23337-2026")</f>
        <v/>
      </c>
      <c r="T107">
        <f>HYPERLINK("https://klasma.github.io/Logging_1885/kartor/A 23337-2026 karta.png", "A 23337-2026")</f>
        <v/>
      </c>
      <c r="V107">
        <f>HYPERLINK("https://klasma.github.io/Logging_1885/klagomål/A 23337-2026 FSC-klagomål.docx", "A 23337-2026")</f>
        <v/>
      </c>
      <c r="W107">
        <f>HYPERLINK("https://klasma.github.io/Logging_1885/klagomålsmail/A 23337-2026 FSC-klagomål mail.docx", "A 23337-2026")</f>
        <v/>
      </c>
      <c r="X107">
        <f>HYPERLINK("https://klasma.github.io/Logging_1885/tillsyn/A 23337-2026 tillsynsbegäran.docx", "A 23337-2026")</f>
        <v/>
      </c>
      <c r="Y107">
        <f>HYPERLINK("https://klasma.github.io/Logging_1885/tillsynsmail/A 23337-2026 tillsynsbegäran mail.docx", "A 23337-2026")</f>
        <v/>
      </c>
      <c r="Z107">
        <f>HYPERLINK("https://klasma.github.io/Logging_1885/fåglar/A 23337-2026 prioriterade fågelarter.docx", "A 23337-2026")</f>
        <v/>
      </c>
    </row>
    <row r="108" ht="15" customHeight="1">
      <c r="A108" t="inlineStr">
        <is>
          <t>A 18178-2026</t>
        </is>
      </c>
      <c r="B108" s="1" t="n">
        <v>46125</v>
      </c>
      <c r="C108" s="1" t="n">
        <v>46195</v>
      </c>
      <c r="D108" t="inlineStr">
        <is>
          <t>ÖREBRO LÄN</t>
        </is>
      </c>
      <c r="E108" t="inlineStr">
        <is>
          <t>LINDESBERG</t>
        </is>
      </c>
      <c r="F108" t="inlineStr">
        <is>
          <t>Sveaskog</t>
        </is>
      </c>
      <c r="G108" t="n">
        <v>4.4</v>
      </c>
      <c r="H108" t="n">
        <v>0</v>
      </c>
      <c r="I108" t="n">
        <v>0</v>
      </c>
      <c r="J108" t="n">
        <v>1</v>
      </c>
      <c r="K108" t="n">
        <v>0</v>
      </c>
      <c r="L108" t="n">
        <v>0</v>
      </c>
      <c r="M108" t="n">
        <v>0</v>
      </c>
      <c r="N108" t="n">
        <v>0</v>
      </c>
      <c r="O108" t="n">
        <v>1</v>
      </c>
      <c r="P108" t="n">
        <v>0</v>
      </c>
      <c r="Q108" t="n">
        <v>1</v>
      </c>
      <c r="R108" s="2" t="inlineStr">
        <is>
          <t>Svartvit taggsvamp</t>
        </is>
      </c>
      <c r="S108">
        <f>HYPERLINK("https://klasma.github.io/Logging_1885/artfynd/A 18178-2026 artfynd.xlsx", "A 18178-2026")</f>
        <v/>
      </c>
      <c r="T108">
        <f>HYPERLINK("https://klasma.github.io/Logging_1885/kartor/A 18178-2026 karta.png", "A 18178-2026")</f>
        <v/>
      </c>
      <c r="V108">
        <f>HYPERLINK("https://klasma.github.io/Logging_1885/klagomål/A 18178-2026 FSC-klagomål.docx", "A 18178-2026")</f>
        <v/>
      </c>
      <c r="W108">
        <f>HYPERLINK("https://klasma.github.io/Logging_1885/klagomålsmail/A 18178-2026 FSC-klagomål mail.docx", "A 18178-2026")</f>
        <v/>
      </c>
      <c r="X108">
        <f>HYPERLINK("https://klasma.github.io/Logging_1885/tillsyn/A 18178-2026 tillsynsbegäran.docx", "A 18178-2026")</f>
        <v/>
      </c>
      <c r="Y108">
        <f>HYPERLINK("https://klasma.github.io/Logging_1885/tillsynsmail/A 18178-2026 tillsynsbegäran mail.docx", "A 18178-2026")</f>
        <v/>
      </c>
    </row>
    <row r="109" ht="15" customHeight="1">
      <c r="A109" t="inlineStr">
        <is>
          <t>A 18639-2026</t>
        </is>
      </c>
      <c r="B109" s="1" t="n">
        <v>46128</v>
      </c>
      <c r="C109" s="1" t="n">
        <v>46195</v>
      </c>
      <c r="D109" t="inlineStr">
        <is>
          <t>ÖREBRO LÄN</t>
        </is>
      </c>
      <c r="E109" t="inlineStr">
        <is>
          <t>LINDESBERG</t>
        </is>
      </c>
      <c r="F109" t="inlineStr">
        <is>
          <t>Sveaskog</t>
        </is>
      </c>
      <c r="G109" t="n">
        <v>6</v>
      </c>
      <c r="H109" t="n">
        <v>1</v>
      </c>
      <c r="I109" t="n">
        <v>1</v>
      </c>
      <c r="J109" t="n">
        <v>0</v>
      </c>
      <c r="K109" t="n">
        <v>0</v>
      </c>
      <c r="L109" t="n">
        <v>0</v>
      </c>
      <c r="M109" t="n">
        <v>0</v>
      </c>
      <c r="N109" t="n">
        <v>0</v>
      </c>
      <c r="O109" t="n">
        <v>0</v>
      </c>
      <c r="P109" t="n">
        <v>0</v>
      </c>
      <c r="Q109" t="n">
        <v>1</v>
      </c>
      <c r="R109" s="2" t="inlineStr">
        <is>
          <t>Plattlummer</t>
        </is>
      </c>
      <c r="S109">
        <f>HYPERLINK("https://klasma.github.io/Logging_1885/artfynd/A 18639-2026 artfynd.xlsx", "A 18639-2026")</f>
        <v/>
      </c>
      <c r="T109">
        <f>HYPERLINK("https://klasma.github.io/Logging_1885/kartor/A 18639-2026 karta.png", "A 18639-2026")</f>
        <v/>
      </c>
      <c r="V109">
        <f>HYPERLINK("https://klasma.github.io/Logging_1885/klagomål/A 18639-2026 FSC-klagomål.docx", "A 18639-2026")</f>
        <v/>
      </c>
      <c r="W109">
        <f>HYPERLINK("https://klasma.github.io/Logging_1885/klagomålsmail/A 18639-2026 FSC-klagomål mail.docx", "A 18639-2026")</f>
        <v/>
      </c>
      <c r="X109">
        <f>HYPERLINK("https://klasma.github.io/Logging_1885/tillsyn/A 18639-2026 tillsynsbegäran.docx", "A 18639-2026")</f>
        <v/>
      </c>
      <c r="Y109">
        <f>HYPERLINK("https://klasma.github.io/Logging_1885/tillsynsmail/A 18639-2026 tillsynsbegäran mail.docx", "A 18639-2026")</f>
        <v/>
      </c>
    </row>
    <row r="110" ht="15" customHeight="1">
      <c r="A110" t="inlineStr">
        <is>
          <t>A 18640-2026</t>
        </is>
      </c>
      <c r="B110" s="1" t="n">
        <v>46128</v>
      </c>
      <c r="C110" s="1" t="n">
        <v>46195</v>
      </c>
      <c r="D110" t="inlineStr">
        <is>
          <t>ÖREBRO LÄN</t>
        </is>
      </c>
      <c r="E110" t="inlineStr">
        <is>
          <t>LINDESBERG</t>
        </is>
      </c>
      <c r="F110" t="inlineStr">
        <is>
          <t>Sveaskog</t>
        </is>
      </c>
      <c r="G110" t="n">
        <v>0.3</v>
      </c>
      <c r="H110" t="n">
        <v>0</v>
      </c>
      <c r="I110" t="n">
        <v>0</v>
      </c>
      <c r="J110" t="n">
        <v>0</v>
      </c>
      <c r="K110" t="n">
        <v>1</v>
      </c>
      <c r="L110" t="n">
        <v>0</v>
      </c>
      <c r="M110" t="n">
        <v>0</v>
      </c>
      <c r="N110" t="n">
        <v>0</v>
      </c>
      <c r="O110" t="n">
        <v>1</v>
      </c>
      <c r="P110" t="n">
        <v>1</v>
      </c>
      <c r="Q110" t="n">
        <v>1</v>
      </c>
      <c r="R110" s="2" t="inlineStr">
        <is>
          <t>Garnlav</t>
        </is>
      </c>
      <c r="S110">
        <f>HYPERLINK("https://klasma.github.io/Logging_1885/artfynd/A 18640-2026 artfynd.xlsx", "A 18640-2026")</f>
        <v/>
      </c>
      <c r="T110">
        <f>HYPERLINK("https://klasma.github.io/Logging_1885/kartor/A 18640-2026 karta.png", "A 18640-2026")</f>
        <v/>
      </c>
      <c r="V110">
        <f>HYPERLINK("https://klasma.github.io/Logging_1885/klagomål/A 18640-2026 FSC-klagomål.docx", "A 18640-2026")</f>
        <v/>
      </c>
      <c r="W110">
        <f>HYPERLINK("https://klasma.github.io/Logging_1885/klagomålsmail/A 18640-2026 FSC-klagomål mail.docx", "A 18640-2026")</f>
        <v/>
      </c>
      <c r="X110">
        <f>HYPERLINK("https://klasma.github.io/Logging_1885/tillsyn/A 18640-2026 tillsynsbegäran.docx", "A 18640-2026")</f>
        <v/>
      </c>
      <c r="Y110">
        <f>HYPERLINK("https://klasma.github.io/Logging_1885/tillsynsmail/A 18640-2026 tillsynsbegäran mail.docx", "A 18640-2026")</f>
        <v/>
      </c>
    </row>
    <row r="111" ht="15" customHeight="1">
      <c r="A111" t="inlineStr">
        <is>
          <t>A 40755-2022</t>
        </is>
      </c>
      <c r="B111" s="1" t="n">
        <v>44820</v>
      </c>
      <c r="C111" s="1" t="n">
        <v>46195</v>
      </c>
      <c r="D111" t="inlineStr">
        <is>
          <t>ÖREBRO LÄN</t>
        </is>
      </c>
      <c r="E111" t="inlineStr">
        <is>
          <t>LINDESBERG</t>
        </is>
      </c>
      <c r="G111" t="n">
        <v>3.8</v>
      </c>
      <c r="H111" t="n">
        <v>1</v>
      </c>
      <c r="I111" t="n">
        <v>0</v>
      </c>
      <c r="J111" t="n">
        <v>0</v>
      </c>
      <c r="K111" t="n">
        <v>0</v>
      </c>
      <c r="L111" t="n">
        <v>0</v>
      </c>
      <c r="M111" t="n">
        <v>0</v>
      </c>
      <c r="N111" t="n">
        <v>0</v>
      </c>
      <c r="O111" t="n">
        <v>0</v>
      </c>
      <c r="P111" t="n">
        <v>0</v>
      </c>
      <c r="Q111" t="n">
        <v>1</v>
      </c>
      <c r="R111" s="2" t="inlineStr">
        <is>
          <t>Fläcknycklar</t>
        </is>
      </c>
      <c r="S111">
        <f>HYPERLINK("https://klasma.github.io/Logging_1885/artfynd/A 40755-2022 artfynd.xlsx", "A 40755-2022")</f>
        <v/>
      </c>
      <c r="T111">
        <f>HYPERLINK("https://klasma.github.io/Logging_1885/kartor/A 40755-2022 karta.png", "A 40755-2022")</f>
        <v/>
      </c>
      <c r="V111">
        <f>HYPERLINK("https://klasma.github.io/Logging_1885/klagomål/A 40755-2022 FSC-klagomål.docx", "A 40755-2022")</f>
        <v/>
      </c>
      <c r="W111">
        <f>HYPERLINK("https://klasma.github.io/Logging_1885/klagomålsmail/A 40755-2022 FSC-klagomål mail.docx", "A 40755-2022")</f>
        <v/>
      </c>
      <c r="X111">
        <f>HYPERLINK("https://klasma.github.io/Logging_1885/tillsyn/A 40755-2022 tillsynsbegäran.docx", "A 40755-2022")</f>
        <v/>
      </c>
      <c r="Y111">
        <f>HYPERLINK("https://klasma.github.io/Logging_1885/tillsynsmail/A 40755-2022 tillsynsbegäran mail.docx", "A 40755-2022")</f>
        <v/>
      </c>
    </row>
    <row r="112" ht="15" customHeight="1">
      <c r="A112" t="inlineStr">
        <is>
          <t>A 56049-2022</t>
        </is>
      </c>
      <c r="B112" s="1" t="n">
        <v>44889</v>
      </c>
      <c r="C112" s="1" t="n">
        <v>46195</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43154-2021</t>
        </is>
      </c>
      <c r="B113" s="1" t="n">
        <v>44431</v>
      </c>
      <c r="C113" s="1" t="n">
        <v>46195</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47457-2022</t>
        </is>
      </c>
      <c r="B114" s="1" t="n">
        <v>44853</v>
      </c>
      <c r="C114" s="1" t="n">
        <v>46195</v>
      </c>
      <c r="D114" t="inlineStr">
        <is>
          <t>ÖREBRO LÄN</t>
        </is>
      </c>
      <c r="E114" t="inlineStr">
        <is>
          <t>LINDESBERG</t>
        </is>
      </c>
      <c r="G114" t="n">
        <v>3.7</v>
      </c>
      <c r="H114" t="n">
        <v>0</v>
      </c>
      <c r="I114" t="n">
        <v>0</v>
      </c>
      <c r="J114" t="n">
        <v>0</v>
      </c>
      <c r="K114" t="n">
        <v>0</v>
      </c>
      <c r="L114" t="n">
        <v>0</v>
      </c>
      <c r="M114" t="n">
        <v>0</v>
      </c>
      <c r="N114" t="n">
        <v>0</v>
      </c>
      <c r="O114" t="n">
        <v>0</v>
      </c>
      <c r="P114" t="n">
        <v>0</v>
      </c>
      <c r="Q114" t="n">
        <v>0</v>
      </c>
      <c r="R114" s="2" t="inlineStr"/>
    </row>
    <row r="115" ht="15" customHeight="1">
      <c r="A115" t="inlineStr">
        <is>
          <t>A 47336-2021</t>
        </is>
      </c>
      <c r="B115" s="1" t="n">
        <v>44447</v>
      </c>
      <c r="C115" s="1" t="n">
        <v>46195</v>
      </c>
      <c r="D115" t="inlineStr">
        <is>
          <t>ÖREBRO LÄN</t>
        </is>
      </c>
      <c r="E115" t="inlineStr">
        <is>
          <t>LINDESBERG</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60302-2021</t>
        </is>
      </c>
      <c r="B116" s="1" t="n">
        <v>44495</v>
      </c>
      <c r="C116" s="1" t="n">
        <v>46195</v>
      </c>
      <c r="D116" t="inlineStr">
        <is>
          <t>ÖREBRO LÄN</t>
        </is>
      </c>
      <c r="E116" t="inlineStr">
        <is>
          <t>LINDESBERG</t>
        </is>
      </c>
      <c r="G116" t="n">
        <v>3.2</v>
      </c>
      <c r="H116" t="n">
        <v>0</v>
      </c>
      <c r="I116" t="n">
        <v>0</v>
      </c>
      <c r="J116" t="n">
        <v>0</v>
      </c>
      <c r="K116" t="n">
        <v>0</v>
      </c>
      <c r="L116" t="n">
        <v>0</v>
      </c>
      <c r="M116" t="n">
        <v>0</v>
      </c>
      <c r="N116" t="n">
        <v>0</v>
      </c>
      <c r="O116" t="n">
        <v>0</v>
      </c>
      <c r="P116" t="n">
        <v>0</v>
      </c>
      <c r="Q116" t="n">
        <v>0</v>
      </c>
      <c r="R116" s="2" t="inlineStr"/>
    </row>
    <row r="117" ht="15" customHeight="1">
      <c r="A117" t="inlineStr">
        <is>
          <t>A 48986-2021</t>
        </is>
      </c>
      <c r="B117" s="1" t="n">
        <v>44453</v>
      </c>
      <c r="C117" s="1" t="n">
        <v>46195</v>
      </c>
      <c r="D117" t="inlineStr">
        <is>
          <t>ÖREBRO LÄN</t>
        </is>
      </c>
      <c r="E117" t="inlineStr">
        <is>
          <t>LINDESBERG</t>
        </is>
      </c>
      <c r="G117" t="n">
        <v>1.5</v>
      </c>
      <c r="H117" t="n">
        <v>0</v>
      </c>
      <c r="I117" t="n">
        <v>0</v>
      </c>
      <c r="J117" t="n">
        <v>0</v>
      </c>
      <c r="K117" t="n">
        <v>0</v>
      </c>
      <c r="L117" t="n">
        <v>0</v>
      </c>
      <c r="M117" t="n">
        <v>0</v>
      </c>
      <c r="N117" t="n">
        <v>0</v>
      </c>
      <c r="O117" t="n">
        <v>0</v>
      </c>
      <c r="P117" t="n">
        <v>0</v>
      </c>
      <c r="Q117" t="n">
        <v>0</v>
      </c>
      <c r="R117" s="2" t="inlineStr"/>
    </row>
    <row r="118" ht="15" customHeight="1">
      <c r="A118" t="inlineStr">
        <is>
          <t>A 46570-2021</t>
        </is>
      </c>
      <c r="B118" s="1" t="n">
        <v>44445</v>
      </c>
      <c r="C118" s="1" t="n">
        <v>46195</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46195</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46195</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46195</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51468-2021</t>
        </is>
      </c>
      <c r="B122" s="1" t="n">
        <v>44462</v>
      </c>
      <c r="C122" s="1" t="n">
        <v>46195</v>
      </c>
      <c r="D122" t="inlineStr">
        <is>
          <t>ÖREBRO LÄN</t>
        </is>
      </c>
      <c r="E122" t="inlineStr">
        <is>
          <t>LINDESBERG</t>
        </is>
      </c>
      <c r="F122" t="inlineStr">
        <is>
          <t>Kyrkan</t>
        </is>
      </c>
      <c r="G122" t="n">
        <v>0.8</v>
      </c>
      <c r="H122" t="n">
        <v>0</v>
      </c>
      <c r="I122" t="n">
        <v>0</v>
      </c>
      <c r="J122" t="n">
        <v>0</v>
      </c>
      <c r="K122" t="n">
        <v>0</v>
      </c>
      <c r="L122" t="n">
        <v>0</v>
      </c>
      <c r="M122" t="n">
        <v>0</v>
      </c>
      <c r="N122" t="n">
        <v>0</v>
      </c>
      <c r="O122" t="n">
        <v>0</v>
      </c>
      <c r="P122" t="n">
        <v>0</v>
      </c>
      <c r="Q122" t="n">
        <v>0</v>
      </c>
      <c r="R122" s="2" t="inlineStr"/>
    </row>
    <row r="123" ht="15" customHeight="1">
      <c r="A123" t="inlineStr">
        <is>
          <t>A 8555-2022</t>
        </is>
      </c>
      <c r="B123" s="1" t="n">
        <v>44613</v>
      </c>
      <c r="C123" s="1" t="n">
        <v>46195</v>
      </c>
      <c r="D123" t="inlineStr">
        <is>
          <t>ÖREBRO LÄN</t>
        </is>
      </c>
      <c r="E123" t="inlineStr">
        <is>
          <t>LINDESBERG</t>
        </is>
      </c>
      <c r="G123" t="n">
        <v>8.1</v>
      </c>
      <c r="H123" t="n">
        <v>0</v>
      </c>
      <c r="I123" t="n">
        <v>0</v>
      </c>
      <c r="J123" t="n">
        <v>0</v>
      </c>
      <c r="K123" t="n">
        <v>0</v>
      </c>
      <c r="L123" t="n">
        <v>0</v>
      </c>
      <c r="M123" t="n">
        <v>0</v>
      </c>
      <c r="N123" t="n">
        <v>0</v>
      </c>
      <c r="O123" t="n">
        <v>0</v>
      </c>
      <c r="P123" t="n">
        <v>0</v>
      </c>
      <c r="Q123" t="n">
        <v>0</v>
      </c>
      <c r="R123" s="2" t="inlineStr"/>
    </row>
    <row r="124" ht="15" customHeight="1">
      <c r="A124" t="inlineStr">
        <is>
          <t>A 35739-2021</t>
        </is>
      </c>
      <c r="B124" s="1" t="n">
        <v>44386</v>
      </c>
      <c r="C124" s="1" t="n">
        <v>46195</v>
      </c>
      <c r="D124" t="inlineStr">
        <is>
          <t>ÖREBRO LÄN</t>
        </is>
      </c>
      <c r="E124" t="inlineStr">
        <is>
          <t>LINDESBERG</t>
        </is>
      </c>
      <c r="G124" t="n">
        <v>5.5</v>
      </c>
      <c r="H124" t="n">
        <v>0</v>
      </c>
      <c r="I124" t="n">
        <v>0</v>
      </c>
      <c r="J124" t="n">
        <v>0</v>
      </c>
      <c r="K124" t="n">
        <v>0</v>
      </c>
      <c r="L124" t="n">
        <v>0</v>
      </c>
      <c r="M124" t="n">
        <v>0</v>
      </c>
      <c r="N124" t="n">
        <v>0</v>
      </c>
      <c r="O124" t="n">
        <v>0</v>
      </c>
      <c r="P124" t="n">
        <v>0</v>
      </c>
      <c r="Q124" t="n">
        <v>0</v>
      </c>
      <c r="R124" s="2" t="inlineStr"/>
    </row>
    <row r="125" ht="15" customHeight="1">
      <c r="A125" t="inlineStr">
        <is>
          <t>A 42511-2021</t>
        </is>
      </c>
      <c r="B125" s="1" t="n">
        <v>44427</v>
      </c>
      <c r="C125" s="1" t="n">
        <v>46195</v>
      </c>
      <c r="D125" t="inlineStr">
        <is>
          <t>ÖREBRO LÄN</t>
        </is>
      </c>
      <c r="E125" t="inlineStr">
        <is>
          <t>LINDESBERG</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46195</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46195</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23583-2022</t>
        </is>
      </c>
      <c r="B128" s="1" t="n">
        <v>44721</v>
      </c>
      <c r="C128" s="1" t="n">
        <v>46195</v>
      </c>
      <c r="D128" t="inlineStr">
        <is>
          <t>ÖREBRO LÄN</t>
        </is>
      </c>
      <c r="E128" t="inlineStr">
        <is>
          <t>LINDESBERG</t>
        </is>
      </c>
      <c r="G128" t="n">
        <v>3.7</v>
      </c>
      <c r="H128" t="n">
        <v>0</v>
      </c>
      <c r="I128" t="n">
        <v>0</v>
      </c>
      <c r="J128" t="n">
        <v>0</v>
      </c>
      <c r="K128" t="n">
        <v>0</v>
      </c>
      <c r="L128" t="n">
        <v>0</v>
      </c>
      <c r="M128" t="n">
        <v>0</v>
      </c>
      <c r="N128" t="n">
        <v>0</v>
      </c>
      <c r="O128" t="n">
        <v>0</v>
      </c>
      <c r="P128" t="n">
        <v>0</v>
      </c>
      <c r="Q128" t="n">
        <v>0</v>
      </c>
      <c r="R128" s="2" t="inlineStr"/>
    </row>
    <row r="129" ht="15" customHeight="1">
      <c r="A129" t="inlineStr">
        <is>
          <t>A 23971-2022</t>
        </is>
      </c>
      <c r="B129" s="1" t="n">
        <v>44722</v>
      </c>
      <c r="C129" s="1" t="n">
        <v>46195</v>
      </c>
      <c r="D129" t="inlineStr">
        <is>
          <t>ÖREBRO LÄN</t>
        </is>
      </c>
      <c r="E129" t="inlineStr">
        <is>
          <t>LINDESBERG</t>
        </is>
      </c>
      <c r="G129" t="n">
        <v>6.1</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46195</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46195</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46195</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46195</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29623-2022</t>
        </is>
      </c>
      <c r="B134" s="1" t="n">
        <v>44754</v>
      </c>
      <c r="C134" s="1" t="n">
        <v>46195</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22738-2022</t>
        </is>
      </c>
      <c r="B135" s="1" t="n">
        <v>44714</v>
      </c>
      <c r="C135" s="1" t="n">
        <v>46195</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10821-2022</t>
        </is>
      </c>
      <c r="B136" s="1" t="n">
        <v>44627</v>
      </c>
      <c r="C136" s="1" t="n">
        <v>46195</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12522-2022</t>
        </is>
      </c>
      <c r="B137" s="1" t="n">
        <v>44638</v>
      </c>
      <c r="C137" s="1" t="n">
        <v>46195</v>
      </c>
      <c r="D137" t="inlineStr">
        <is>
          <t>ÖREBRO LÄN</t>
        </is>
      </c>
      <c r="E137" t="inlineStr">
        <is>
          <t>LINDESBERG</t>
        </is>
      </c>
      <c r="G137" t="n">
        <v>6.2</v>
      </c>
      <c r="H137" t="n">
        <v>0</v>
      </c>
      <c r="I137" t="n">
        <v>0</v>
      </c>
      <c r="J137" t="n">
        <v>0</v>
      </c>
      <c r="K137" t="n">
        <v>0</v>
      </c>
      <c r="L137" t="n">
        <v>0</v>
      </c>
      <c r="M137" t="n">
        <v>0</v>
      </c>
      <c r="N137" t="n">
        <v>0</v>
      </c>
      <c r="O137" t="n">
        <v>0</v>
      </c>
      <c r="P137" t="n">
        <v>0</v>
      </c>
      <c r="Q137" t="n">
        <v>0</v>
      </c>
      <c r="R137" s="2" t="inlineStr"/>
    </row>
    <row r="138" ht="15" customHeight="1">
      <c r="A138" t="inlineStr">
        <is>
          <t>A 33760-2022</t>
        </is>
      </c>
      <c r="B138" s="1" t="n">
        <v>44790</v>
      </c>
      <c r="C138" s="1" t="n">
        <v>46195</v>
      </c>
      <c r="D138" t="inlineStr">
        <is>
          <t>ÖREBRO LÄN</t>
        </is>
      </c>
      <c r="E138" t="inlineStr">
        <is>
          <t>LINDESBERG</t>
        </is>
      </c>
      <c r="G138" t="n">
        <v>0.5</v>
      </c>
      <c r="H138" t="n">
        <v>0</v>
      </c>
      <c r="I138" t="n">
        <v>0</v>
      </c>
      <c r="J138" t="n">
        <v>0</v>
      </c>
      <c r="K138" t="n">
        <v>0</v>
      </c>
      <c r="L138" t="n">
        <v>0</v>
      </c>
      <c r="M138" t="n">
        <v>0</v>
      </c>
      <c r="N138" t="n">
        <v>0</v>
      </c>
      <c r="O138" t="n">
        <v>0</v>
      </c>
      <c r="P138" t="n">
        <v>0</v>
      </c>
      <c r="Q138" t="n">
        <v>0</v>
      </c>
      <c r="R138" s="2" t="inlineStr"/>
    </row>
    <row r="139" ht="15" customHeight="1">
      <c r="A139" t="inlineStr">
        <is>
          <t>A 16939-2022</t>
        </is>
      </c>
      <c r="B139" s="1" t="n">
        <v>44676</v>
      </c>
      <c r="C139" s="1" t="n">
        <v>46195</v>
      </c>
      <c r="D139" t="inlineStr">
        <is>
          <t>ÖREBRO LÄN</t>
        </is>
      </c>
      <c r="E139" t="inlineStr">
        <is>
          <t>LINDESBERG</t>
        </is>
      </c>
      <c r="G139" t="n">
        <v>1.7</v>
      </c>
      <c r="H139" t="n">
        <v>0</v>
      </c>
      <c r="I139" t="n">
        <v>0</v>
      </c>
      <c r="J139" t="n">
        <v>0</v>
      </c>
      <c r="K139" t="n">
        <v>0</v>
      </c>
      <c r="L139" t="n">
        <v>0</v>
      </c>
      <c r="M139" t="n">
        <v>0</v>
      </c>
      <c r="N139" t="n">
        <v>0</v>
      </c>
      <c r="O139" t="n">
        <v>0</v>
      </c>
      <c r="P139" t="n">
        <v>0</v>
      </c>
      <c r="Q139" t="n">
        <v>0</v>
      </c>
      <c r="R139" s="2" t="inlineStr"/>
    </row>
    <row r="140" ht="15" customHeight="1">
      <c r="A140" t="inlineStr">
        <is>
          <t>A 33309-2021</t>
        </is>
      </c>
      <c r="B140" s="1" t="n">
        <v>44377</v>
      </c>
      <c r="C140" s="1" t="n">
        <v>46195</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33322-2021</t>
        </is>
      </c>
      <c r="B141" s="1" t="n">
        <v>44377</v>
      </c>
      <c r="C141" s="1" t="n">
        <v>46195</v>
      </c>
      <c r="D141" t="inlineStr">
        <is>
          <t>ÖREBRO LÄN</t>
        </is>
      </c>
      <c r="E141" t="inlineStr">
        <is>
          <t>LINDESBERG</t>
        </is>
      </c>
      <c r="G141" t="n">
        <v>2.2</v>
      </c>
      <c r="H141" t="n">
        <v>0</v>
      </c>
      <c r="I141" t="n">
        <v>0</v>
      </c>
      <c r="J141" t="n">
        <v>0</v>
      </c>
      <c r="K141" t="n">
        <v>0</v>
      </c>
      <c r="L141" t="n">
        <v>0</v>
      </c>
      <c r="M141" t="n">
        <v>0</v>
      </c>
      <c r="N141" t="n">
        <v>0</v>
      </c>
      <c r="O141" t="n">
        <v>0</v>
      </c>
      <c r="P141" t="n">
        <v>0</v>
      </c>
      <c r="Q141" t="n">
        <v>0</v>
      </c>
      <c r="R141" s="2" t="inlineStr"/>
    </row>
    <row r="142" ht="15" customHeight="1">
      <c r="A142" t="inlineStr">
        <is>
          <t>A 6958-2022</t>
        </is>
      </c>
      <c r="B142" s="1" t="n">
        <v>44603</v>
      </c>
      <c r="C142" s="1" t="n">
        <v>46195</v>
      </c>
      <c r="D142" t="inlineStr">
        <is>
          <t>ÖREBRO LÄN</t>
        </is>
      </c>
      <c r="E142" t="inlineStr">
        <is>
          <t>LINDESBERG</t>
        </is>
      </c>
      <c r="G142" t="n">
        <v>1.4</v>
      </c>
      <c r="H142" t="n">
        <v>0</v>
      </c>
      <c r="I142" t="n">
        <v>0</v>
      </c>
      <c r="J142" t="n">
        <v>0</v>
      </c>
      <c r="K142" t="n">
        <v>0</v>
      </c>
      <c r="L142" t="n">
        <v>0</v>
      </c>
      <c r="M142" t="n">
        <v>0</v>
      </c>
      <c r="N142" t="n">
        <v>0</v>
      </c>
      <c r="O142" t="n">
        <v>0</v>
      </c>
      <c r="P142" t="n">
        <v>0</v>
      </c>
      <c r="Q142" t="n">
        <v>0</v>
      </c>
      <c r="R142" s="2" t="inlineStr"/>
    </row>
    <row r="143" ht="15" customHeight="1">
      <c r="A143" t="inlineStr">
        <is>
          <t>A 11361-2022</t>
        </is>
      </c>
      <c r="B143" s="1" t="n">
        <v>44630</v>
      </c>
      <c r="C143" s="1" t="n">
        <v>46195</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49745-2022</t>
        </is>
      </c>
      <c r="B144" s="1" t="n">
        <v>44862</v>
      </c>
      <c r="C144" s="1" t="n">
        <v>46195</v>
      </c>
      <c r="D144" t="inlineStr">
        <is>
          <t>ÖREBRO LÄN</t>
        </is>
      </c>
      <c r="E144" t="inlineStr">
        <is>
          <t>LINDESBERG</t>
        </is>
      </c>
      <c r="F144" t="inlineStr">
        <is>
          <t>Sveaskog</t>
        </is>
      </c>
      <c r="G144" t="n">
        <v>3.1</v>
      </c>
      <c r="H144" t="n">
        <v>0</v>
      </c>
      <c r="I144" t="n">
        <v>0</v>
      </c>
      <c r="J144" t="n">
        <v>0</v>
      </c>
      <c r="K144" t="n">
        <v>0</v>
      </c>
      <c r="L144" t="n">
        <v>0</v>
      </c>
      <c r="M144" t="n">
        <v>0</v>
      </c>
      <c r="N144" t="n">
        <v>0</v>
      </c>
      <c r="O144" t="n">
        <v>0</v>
      </c>
      <c r="P144" t="n">
        <v>0</v>
      </c>
      <c r="Q144" t="n">
        <v>0</v>
      </c>
      <c r="R144" s="2" t="inlineStr"/>
    </row>
    <row r="145" ht="15" customHeight="1">
      <c r="A145" t="inlineStr">
        <is>
          <t>A 11164-2022</t>
        </is>
      </c>
      <c r="B145" s="1" t="n">
        <v>44629</v>
      </c>
      <c r="C145" s="1" t="n">
        <v>46195</v>
      </c>
      <c r="D145" t="inlineStr">
        <is>
          <t>ÖREBRO LÄN</t>
        </is>
      </c>
      <c r="E145" t="inlineStr">
        <is>
          <t>LINDESBERG</t>
        </is>
      </c>
      <c r="G145" t="n">
        <v>6.7</v>
      </c>
      <c r="H145" t="n">
        <v>0</v>
      </c>
      <c r="I145" t="n">
        <v>0</v>
      </c>
      <c r="J145" t="n">
        <v>0</v>
      </c>
      <c r="K145" t="n">
        <v>0</v>
      </c>
      <c r="L145" t="n">
        <v>0</v>
      </c>
      <c r="M145" t="n">
        <v>0</v>
      </c>
      <c r="N145" t="n">
        <v>0</v>
      </c>
      <c r="O145" t="n">
        <v>0</v>
      </c>
      <c r="P145" t="n">
        <v>0</v>
      </c>
      <c r="Q145" t="n">
        <v>0</v>
      </c>
      <c r="R145" s="2" t="inlineStr"/>
    </row>
    <row r="146" ht="15" customHeight="1">
      <c r="A146" t="inlineStr">
        <is>
          <t>A 22481-2022</t>
        </is>
      </c>
      <c r="B146" s="1" t="n">
        <v>44713</v>
      </c>
      <c r="C146" s="1" t="n">
        <v>46195</v>
      </c>
      <c r="D146" t="inlineStr">
        <is>
          <t>ÖREBRO LÄN</t>
        </is>
      </c>
      <c r="E146" t="inlineStr">
        <is>
          <t>LINDESBERG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32615-2021</t>
        </is>
      </c>
      <c r="B147" s="1" t="n">
        <v>44375</v>
      </c>
      <c r="C147" s="1" t="n">
        <v>46195</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16435-2022</t>
        </is>
      </c>
      <c r="B148" s="1" t="n">
        <v>44671</v>
      </c>
      <c r="C148" s="1" t="n">
        <v>46195</v>
      </c>
      <c r="D148" t="inlineStr">
        <is>
          <t>ÖREBRO LÄN</t>
        </is>
      </c>
      <c r="E148" t="inlineStr">
        <is>
          <t>LINDESBERG</t>
        </is>
      </c>
      <c r="G148" t="n">
        <v>3.2</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46195</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46195</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46195</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46195</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46195</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33058-2021</t>
        </is>
      </c>
      <c r="B154" s="1" t="n">
        <v>44375</v>
      </c>
      <c r="C154" s="1" t="n">
        <v>46195</v>
      </c>
      <c r="D154" t="inlineStr">
        <is>
          <t>ÖREBRO LÄN</t>
        </is>
      </c>
      <c r="E154" t="inlineStr">
        <is>
          <t>LINDESBERG</t>
        </is>
      </c>
      <c r="G154" t="n">
        <v>1.8</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v>
      </c>
      <c r="C155" s="1" t="n">
        <v>46195</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16424-2022</t>
        </is>
      </c>
      <c r="B156" s="1" t="n">
        <v>44671</v>
      </c>
      <c r="C156" s="1" t="n">
        <v>46195</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40351-2022</t>
        </is>
      </c>
      <c r="B157" s="1" t="n">
        <v>44823</v>
      </c>
      <c r="C157" s="1" t="n">
        <v>46195</v>
      </c>
      <c r="D157" t="inlineStr">
        <is>
          <t>ÖREBRO LÄN</t>
        </is>
      </c>
      <c r="E157" t="inlineStr">
        <is>
          <t>LINDESBERG</t>
        </is>
      </c>
      <c r="G157" t="n">
        <v>0.3</v>
      </c>
      <c r="H157" t="n">
        <v>0</v>
      </c>
      <c r="I157" t="n">
        <v>0</v>
      </c>
      <c r="J157" t="n">
        <v>0</v>
      </c>
      <c r="K157" t="n">
        <v>0</v>
      </c>
      <c r="L157" t="n">
        <v>0</v>
      </c>
      <c r="M157" t="n">
        <v>0</v>
      </c>
      <c r="N157" t="n">
        <v>0</v>
      </c>
      <c r="O157" t="n">
        <v>0</v>
      </c>
      <c r="P157" t="n">
        <v>0</v>
      </c>
      <c r="Q157" t="n">
        <v>0</v>
      </c>
      <c r="R157" s="2" t="inlineStr"/>
    </row>
    <row r="158" ht="15" customHeight="1">
      <c r="A158" t="inlineStr">
        <is>
          <t>A 33785-2021</t>
        </is>
      </c>
      <c r="B158" s="1" t="n">
        <v>44378</v>
      </c>
      <c r="C158" s="1" t="n">
        <v>46195</v>
      </c>
      <c r="D158" t="inlineStr">
        <is>
          <t>ÖREBRO LÄN</t>
        </is>
      </c>
      <c r="E158" t="inlineStr">
        <is>
          <t>LINDESBERG</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67060-2021</t>
        </is>
      </c>
      <c r="B159" s="1" t="n">
        <v>44522</v>
      </c>
      <c r="C159" s="1" t="n">
        <v>46195</v>
      </c>
      <c r="D159" t="inlineStr">
        <is>
          <t>ÖREBRO LÄN</t>
        </is>
      </c>
      <c r="E159" t="inlineStr">
        <is>
          <t>LINDESBERG</t>
        </is>
      </c>
      <c r="G159" t="n">
        <v>6.3</v>
      </c>
      <c r="H159" t="n">
        <v>0</v>
      </c>
      <c r="I159" t="n">
        <v>0</v>
      </c>
      <c r="J159" t="n">
        <v>0</v>
      </c>
      <c r="K159" t="n">
        <v>0</v>
      </c>
      <c r="L159" t="n">
        <v>0</v>
      </c>
      <c r="M159" t="n">
        <v>0</v>
      </c>
      <c r="N159" t="n">
        <v>0</v>
      </c>
      <c r="O159" t="n">
        <v>0</v>
      </c>
      <c r="P159" t="n">
        <v>0</v>
      </c>
      <c r="Q159" t="n">
        <v>0</v>
      </c>
      <c r="R159" s="2" t="inlineStr"/>
    </row>
    <row r="160" ht="15" customHeight="1">
      <c r="A160" t="inlineStr">
        <is>
          <t>A 11926-2022</t>
        </is>
      </c>
      <c r="B160" s="1" t="n">
        <v>44635</v>
      </c>
      <c r="C160" s="1" t="n">
        <v>46195</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44197-2021</t>
        </is>
      </c>
      <c r="B161" s="1" t="n">
        <v>44434</v>
      </c>
      <c r="C161" s="1" t="n">
        <v>46195</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v>
      </c>
      <c r="C162" s="1" t="n">
        <v>46195</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v>
      </c>
      <c r="C163" s="1" t="n">
        <v>46195</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46195</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46195</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46195</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v>
      </c>
      <c r="C167" s="1" t="n">
        <v>46195</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46195</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46195</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50498-2021</t>
        </is>
      </c>
      <c r="B170" s="1" t="n">
        <v>44459</v>
      </c>
      <c r="C170" s="1" t="n">
        <v>46195</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46195</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43453-2021</t>
        </is>
      </c>
      <c r="B172" s="1" t="n">
        <v>44432</v>
      </c>
      <c r="C172" s="1" t="n">
        <v>46195</v>
      </c>
      <c r="D172" t="inlineStr">
        <is>
          <t>ÖREBRO LÄN</t>
        </is>
      </c>
      <c r="E172" t="inlineStr">
        <is>
          <t>LINDESBERG</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58103-2021</t>
        </is>
      </c>
      <c r="B173" s="1" t="n">
        <v>44487</v>
      </c>
      <c r="C173" s="1" t="n">
        <v>46195</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52187-2021</t>
        </is>
      </c>
      <c r="B174" s="1" t="n">
        <v>44463</v>
      </c>
      <c r="C174" s="1" t="n">
        <v>46195</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50069-2021</t>
        </is>
      </c>
      <c r="B175" s="1" t="n">
        <v>44456</v>
      </c>
      <c r="C175" s="1" t="n">
        <v>46195</v>
      </c>
      <c r="D175" t="inlineStr">
        <is>
          <t>ÖREBRO LÄN</t>
        </is>
      </c>
      <c r="E175" t="inlineStr">
        <is>
          <t>LINDESBERG</t>
        </is>
      </c>
      <c r="G175" t="n">
        <v>14.5</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46195</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39773-2022</t>
        </is>
      </c>
      <c r="B177" s="1" t="n">
        <v>44819</v>
      </c>
      <c r="C177" s="1" t="n">
        <v>46195</v>
      </c>
      <c r="D177" t="inlineStr">
        <is>
          <t>ÖREBRO LÄN</t>
        </is>
      </c>
      <c r="E177" t="inlineStr">
        <is>
          <t>LINDESBERG</t>
        </is>
      </c>
      <c r="G177" t="n">
        <v>0.3</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46195</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16600-2022</t>
        </is>
      </c>
      <c r="B179" s="1" t="n">
        <v>44672</v>
      </c>
      <c r="C179" s="1" t="n">
        <v>46195</v>
      </c>
      <c r="D179" t="inlineStr">
        <is>
          <t>ÖREBRO LÄN</t>
        </is>
      </c>
      <c r="E179" t="inlineStr">
        <is>
          <t>LINDESBERG</t>
        </is>
      </c>
      <c r="G179" t="n">
        <v>3.8</v>
      </c>
      <c r="H179" t="n">
        <v>0</v>
      </c>
      <c r="I179" t="n">
        <v>0</v>
      </c>
      <c r="J179" t="n">
        <v>0</v>
      </c>
      <c r="K179" t="n">
        <v>0</v>
      </c>
      <c r="L179" t="n">
        <v>0</v>
      </c>
      <c r="M179" t="n">
        <v>0</v>
      </c>
      <c r="N179" t="n">
        <v>0</v>
      </c>
      <c r="O179" t="n">
        <v>0</v>
      </c>
      <c r="P179" t="n">
        <v>0</v>
      </c>
      <c r="Q179" t="n">
        <v>0</v>
      </c>
      <c r="R179" s="2" t="inlineStr"/>
    </row>
    <row r="180" ht="15" customHeight="1">
      <c r="A180" t="inlineStr">
        <is>
          <t>A 41207-2022</t>
        </is>
      </c>
      <c r="B180" s="1" t="n">
        <v>44825</v>
      </c>
      <c r="C180" s="1" t="n">
        <v>46195</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44677-2021</t>
        </is>
      </c>
      <c r="B181" s="1" t="n">
        <v>44438</v>
      </c>
      <c r="C181" s="1" t="n">
        <v>46195</v>
      </c>
      <c r="D181" t="inlineStr">
        <is>
          <t>ÖREBRO LÄN</t>
        </is>
      </c>
      <c r="E181" t="inlineStr">
        <is>
          <t>LINDESBERG</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48154-2021</t>
        </is>
      </c>
      <c r="B182" s="1" t="n">
        <v>44449</v>
      </c>
      <c r="C182" s="1" t="n">
        <v>46195</v>
      </c>
      <c r="D182" t="inlineStr">
        <is>
          <t>ÖREBRO LÄN</t>
        </is>
      </c>
      <c r="E182" t="inlineStr">
        <is>
          <t>LINDESBERG</t>
        </is>
      </c>
      <c r="G182" t="n">
        <v>0.4</v>
      </c>
      <c r="H182" t="n">
        <v>0</v>
      </c>
      <c r="I182" t="n">
        <v>0</v>
      </c>
      <c r="J182" t="n">
        <v>0</v>
      </c>
      <c r="K182" t="n">
        <v>0</v>
      </c>
      <c r="L182" t="n">
        <v>0</v>
      </c>
      <c r="M182" t="n">
        <v>0</v>
      </c>
      <c r="N182" t="n">
        <v>0</v>
      </c>
      <c r="O182" t="n">
        <v>0</v>
      </c>
      <c r="P182" t="n">
        <v>0</v>
      </c>
      <c r="Q182" t="n">
        <v>0</v>
      </c>
      <c r="R182" s="2" t="inlineStr"/>
    </row>
    <row r="183" ht="15" customHeight="1">
      <c r="A183" t="inlineStr">
        <is>
          <t>A 10277-2022</t>
        </is>
      </c>
      <c r="B183" s="1" t="n">
        <v>44622</v>
      </c>
      <c r="C183" s="1" t="n">
        <v>46195</v>
      </c>
      <c r="D183" t="inlineStr">
        <is>
          <t>ÖREBRO LÄN</t>
        </is>
      </c>
      <c r="E183" t="inlineStr">
        <is>
          <t>LINDESBERG</t>
        </is>
      </c>
      <c r="G183" t="n">
        <v>4.2</v>
      </c>
      <c r="H183" t="n">
        <v>0</v>
      </c>
      <c r="I183" t="n">
        <v>0</v>
      </c>
      <c r="J183" t="n">
        <v>0</v>
      </c>
      <c r="K183" t="n">
        <v>0</v>
      </c>
      <c r="L183" t="n">
        <v>0</v>
      </c>
      <c r="M183" t="n">
        <v>0</v>
      </c>
      <c r="N183" t="n">
        <v>0</v>
      </c>
      <c r="O183" t="n">
        <v>0</v>
      </c>
      <c r="P183" t="n">
        <v>0</v>
      </c>
      <c r="Q183" t="n">
        <v>0</v>
      </c>
      <c r="R183" s="2" t="inlineStr"/>
    </row>
    <row r="184" ht="15" customHeight="1">
      <c r="A184" t="inlineStr">
        <is>
          <t>A 52851-2022</t>
        </is>
      </c>
      <c r="B184" s="1" t="n">
        <v>44875</v>
      </c>
      <c r="C184" s="1" t="n">
        <v>46195</v>
      </c>
      <c r="D184" t="inlineStr">
        <is>
          <t>ÖREBRO LÄN</t>
        </is>
      </c>
      <c r="E184" t="inlineStr">
        <is>
          <t>LINDESBERG</t>
        </is>
      </c>
      <c r="G184" t="n">
        <v>2.9</v>
      </c>
      <c r="H184" t="n">
        <v>0</v>
      </c>
      <c r="I184" t="n">
        <v>0</v>
      </c>
      <c r="J184" t="n">
        <v>0</v>
      </c>
      <c r="K184" t="n">
        <v>0</v>
      </c>
      <c r="L184" t="n">
        <v>0</v>
      </c>
      <c r="M184" t="n">
        <v>0</v>
      </c>
      <c r="N184" t="n">
        <v>0</v>
      </c>
      <c r="O184" t="n">
        <v>0</v>
      </c>
      <c r="P184" t="n">
        <v>0</v>
      </c>
      <c r="Q184" t="n">
        <v>0</v>
      </c>
      <c r="R184" s="2" t="inlineStr"/>
    </row>
    <row r="185" ht="15" customHeight="1">
      <c r="A185" t="inlineStr">
        <is>
          <t>A 59655-2021</t>
        </is>
      </c>
      <c r="B185" s="1" t="n">
        <v>44491</v>
      </c>
      <c r="C185" s="1" t="n">
        <v>46195</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68491-2021</t>
        </is>
      </c>
      <c r="B186" s="1" t="n">
        <v>44526</v>
      </c>
      <c r="C186" s="1" t="n">
        <v>46195</v>
      </c>
      <c r="D186" t="inlineStr">
        <is>
          <t>ÖREBRO LÄN</t>
        </is>
      </c>
      <c r="E186" t="inlineStr">
        <is>
          <t>LINDESBERG</t>
        </is>
      </c>
      <c r="G186" t="n">
        <v>1</v>
      </c>
      <c r="H186" t="n">
        <v>0</v>
      </c>
      <c r="I186" t="n">
        <v>0</v>
      </c>
      <c r="J186" t="n">
        <v>0</v>
      </c>
      <c r="K186" t="n">
        <v>0</v>
      </c>
      <c r="L186" t="n">
        <v>0</v>
      </c>
      <c r="M186" t="n">
        <v>0</v>
      </c>
      <c r="N186" t="n">
        <v>0</v>
      </c>
      <c r="O186" t="n">
        <v>0</v>
      </c>
      <c r="P186" t="n">
        <v>0</v>
      </c>
      <c r="Q186" t="n">
        <v>0</v>
      </c>
      <c r="R186" s="2" t="inlineStr"/>
    </row>
    <row r="187" ht="15" customHeight="1">
      <c r="A187" t="inlineStr">
        <is>
          <t>A 36221-2021</t>
        </is>
      </c>
      <c r="B187" s="1" t="n">
        <v>44389</v>
      </c>
      <c r="C187" s="1" t="n">
        <v>46195</v>
      </c>
      <c r="D187" t="inlineStr">
        <is>
          <t>ÖREBRO LÄN</t>
        </is>
      </c>
      <c r="E187" t="inlineStr">
        <is>
          <t>LINDESBERG</t>
        </is>
      </c>
      <c r="G187" t="n">
        <v>5.9</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46195</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v>
      </c>
      <c r="C189" s="1" t="n">
        <v>46195</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6726-2022</t>
        </is>
      </c>
      <c r="B190" s="1" t="n">
        <v>44602</v>
      </c>
      <c r="C190" s="1" t="n">
        <v>46195</v>
      </c>
      <c r="D190" t="inlineStr">
        <is>
          <t>ÖREBRO LÄN</t>
        </is>
      </c>
      <c r="E190" t="inlineStr">
        <is>
          <t>LINDESBERG</t>
        </is>
      </c>
      <c r="G190" t="n">
        <v>1.5</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46195</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31950-2022</t>
        </is>
      </c>
      <c r="B192" s="1" t="n">
        <v>44777</v>
      </c>
      <c r="C192" s="1" t="n">
        <v>46195</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46195</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v>
      </c>
      <c r="C194" s="1" t="n">
        <v>46195</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29942-2024</t>
        </is>
      </c>
      <c r="B195" s="1" t="n">
        <v>45488</v>
      </c>
      <c r="C195" s="1" t="n">
        <v>46195</v>
      </c>
      <c r="D195" t="inlineStr">
        <is>
          <t>ÖREBRO LÄN</t>
        </is>
      </c>
      <c r="E195" t="inlineStr">
        <is>
          <t>LINDESBERG</t>
        </is>
      </c>
      <c r="G195" t="n">
        <v>2.4</v>
      </c>
      <c r="H195" t="n">
        <v>0</v>
      </c>
      <c r="I195" t="n">
        <v>0</v>
      </c>
      <c r="J195" t="n">
        <v>0</v>
      </c>
      <c r="K195" t="n">
        <v>0</v>
      </c>
      <c r="L195" t="n">
        <v>0</v>
      </c>
      <c r="M195" t="n">
        <v>0</v>
      </c>
      <c r="N195" t="n">
        <v>0</v>
      </c>
      <c r="O195" t="n">
        <v>0</v>
      </c>
      <c r="P195" t="n">
        <v>0</v>
      </c>
      <c r="Q195" t="n">
        <v>0</v>
      </c>
      <c r="R195" s="2" t="inlineStr"/>
    </row>
    <row r="196" ht="15" customHeight="1">
      <c r="A196" t="inlineStr">
        <is>
          <t>A 62010-2021</t>
        </is>
      </c>
      <c r="B196" s="1" t="n">
        <v>44502</v>
      </c>
      <c r="C196" s="1" t="n">
        <v>46195</v>
      </c>
      <c r="D196" t="inlineStr">
        <is>
          <t>ÖREBRO LÄN</t>
        </is>
      </c>
      <c r="E196" t="inlineStr">
        <is>
          <t>LINDESBERG</t>
        </is>
      </c>
      <c r="G196" t="n">
        <v>3.2</v>
      </c>
      <c r="H196" t="n">
        <v>0</v>
      </c>
      <c r="I196" t="n">
        <v>0</v>
      </c>
      <c r="J196" t="n">
        <v>0</v>
      </c>
      <c r="K196" t="n">
        <v>0</v>
      </c>
      <c r="L196" t="n">
        <v>0</v>
      </c>
      <c r="M196" t="n">
        <v>0</v>
      </c>
      <c r="N196" t="n">
        <v>0</v>
      </c>
      <c r="O196" t="n">
        <v>0</v>
      </c>
      <c r="P196" t="n">
        <v>0</v>
      </c>
      <c r="Q196" t="n">
        <v>0</v>
      </c>
      <c r="R196" s="2" t="inlineStr"/>
    </row>
    <row r="197" ht="15" customHeight="1">
      <c r="A197" t="inlineStr">
        <is>
          <t>A 62014-2021</t>
        </is>
      </c>
      <c r="B197" s="1" t="n">
        <v>44502</v>
      </c>
      <c r="C197" s="1" t="n">
        <v>46195</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8834-2023</t>
        </is>
      </c>
      <c r="B198" s="1" t="n">
        <v>44978</v>
      </c>
      <c r="C198" s="1" t="n">
        <v>46195</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47110-2024</t>
        </is>
      </c>
      <c r="B199" s="1" t="n">
        <v>45586</v>
      </c>
      <c r="C199" s="1" t="n">
        <v>46195</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45041-2024</t>
        </is>
      </c>
      <c r="B200" s="1" t="n">
        <v>45575</v>
      </c>
      <c r="C200" s="1" t="n">
        <v>46195</v>
      </c>
      <c r="D200" t="inlineStr">
        <is>
          <t>ÖREBRO LÄN</t>
        </is>
      </c>
      <c r="E200" t="inlineStr">
        <is>
          <t>LINDESBERG</t>
        </is>
      </c>
      <c r="F200" t="inlineStr">
        <is>
          <t>Sveaskog</t>
        </is>
      </c>
      <c r="G200" t="n">
        <v>0.3</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v>
      </c>
      <c r="C201" s="1" t="n">
        <v>46195</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13943-2022</t>
        </is>
      </c>
      <c r="B202" s="1" t="n">
        <v>44650</v>
      </c>
      <c r="C202" s="1" t="n">
        <v>46195</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59671-2021</t>
        </is>
      </c>
      <c r="B203" s="1" t="n">
        <v>44491</v>
      </c>
      <c r="C203" s="1" t="n">
        <v>46195</v>
      </c>
      <c r="D203" t="inlineStr">
        <is>
          <t>ÖREBRO LÄN</t>
        </is>
      </c>
      <c r="E203" t="inlineStr">
        <is>
          <t>LINDESBERG</t>
        </is>
      </c>
      <c r="G203" t="n">
        <v>7</v>
      </c>
      <c r="H203" t="n">
        <v>0</v>
      </c>
      <c r="I203" t="n">
        <v>0</v>
      </c>
      <c r="J203" t="n">
        <v>0</v>
      </c>
      <c r="K203" t="n">
        <v>0</v>
      </c>
      <c r="L203" t="n">
        <v>0</v>
      </c>
      <c r="M203" t="n">
        <v>0</v>
      </c>
      <c r="N203" t="n">
        <v>0</v>
      </c>
      <c r="O203" t="n">
        <v>0</v>
      </c>
      <c r="P203" t="n">
        <v>0</v>
      </c>
      <c r="Q203" t="n">
        <v>0</v>
      </c>
      <c r="R203" s="2" t="inlineStr"/>
    </row>
    <row r="204" ht="15" customHeight="1">
      <c r="A204" t="inlineStr">
        <is>
          <t>A 21468-2024</t>
        </is>
      </c>
      <c r="B204" s="1" t="n">
        <v>45441</v>
      </c>
      <c r="C204" s="1" t="n">
        <v>46195</v>
      </c>
      <c r="D204" t="inlineStr">
        <is>
          <t>ÖREBRO LÄN</t>
        </is>
      </c>
      <c r="E204" t="inlineStr">
        <is>
          <t>LINDESBERG</t>
        </is>
      </c>
      <c r="G204" t="n">
        <v>1</v>
      </c>
      <c r="H204" t="n">
        <v>0</v>
      </c>
      <c r="I204" t="n">
        <v>0</v>
      </c>
      <c r="J204" t="n">
        <v>0</v>
      </c>
      <c r="K204" t="n">
        <v>0</v>
      </c>
      <c r="L204" t="n">
        <v>0</v>
      </c>
      <c r="M204" t="n">
        <v>0</v>
      </c>
      <c r="N204" t="n">
        <v>0</v>
      </c>
      <c r="O204" t="n">
        <v>0</v>
      </c>
      <c r="P204" t="n">
        <v>0</v>
      </c>
      <c r="Q204" t="n">
        <v>0</v>
      </c>
      <c r="R204" s="2" t="inlineStr"/>
    </row>
    <row r="205" ht="15" customHeight="1">
      <c r="A205" t="inlineStr">
        <is>
          <t>A 39419-2023</t>
        </is>
      </c>
      <c r="B205" s="1" t="n">
        <v>45166</v>
      </c>
      <c r="C205" s="1" t="n">
        <v>46195</v>
      </c>
      <c r="D205" t="inlineStr">
        <is>
          <t>ÖREBRO LÄN</t>
        </is>
      </c>
      <c r="E205" t="inlineStr">
        <is>
          <t>LINDESBERG</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6727-2022</t>
        </is>
      </c>
      <c r="B206" s="1" t="n">
        <v>44602</v>
      </c>
      <c r="C206" s="1" t="n">
        <v>46195</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v>
      </c>
      <c r="C207" s="1" t="n">
        <v>46195</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9751-2022</t>
        </is>
      </c>
      <c r="B208" s="1" t="n">
        <v>44618</v>
      </c>
      <c r="C208" s="1" t="n">
        <v>46195</v>
      </c>
      <c r="D208" t="inlineStr">
        <is>
          <t>ÖREBRO LÄN</t>
        </is>
      </c>
      <c r="E208" t="inlineStr">
        <is>
          <t>LINDESBERG</t>
        </is>
      </c>
      <c r="G208" t="n">
        <v>13.9</v>
      </c>
      <c r="H208" t="n">
        <v>0</v>
      </c>
      <c r="I208" t="n">
        <v>0</v>
      </c>
      <c r="J208" t="n">
        <v>0</v>
      </c>
      <c r="K208" t="n">
        <v>0</v>
      </c>
      <c r="L208" t="n">
        <v>0</v>
      </c>
      <c r="M208" t="n">
        <v>0</v>
      </c>
      <c r="N208" t="n">
        <v>0</v>
      </c>
      <c r="O208" t="n">
        <v>0</v>
      </c>
      <c r="P208" t="n">
        <v>0</v>
      </c>
      <c r="Q208" t="n">
        <v>0</v>
      </c>
      <c r="R208" s="2" t="inlineStr"/>
    </row>
    <row r="209" ht="15" customHeight="1">
      <c r="A209" t="inlineStr">
        <is>
          <t>A 6723-2022</t>
        </is>
      </c>
      <c r="B209" s="1" t="n">
        <v>44602</v>
      </c>
      <c r="C209" s="1" t="n">
        <v>46195</v>
      </c>
      <c r="D209" t="inlineStr">
        <is>
          <t>ÖREBRO LÄN</t>
        </is>
      </c>
      <c r="E209" t="inlineStr">
        <is>
          <t>LINDESBERG</t>
        </is>
      </c>
      <c r="G209" t="n">
        <v>4.2</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v>
      </c>
      <c r="C210" s="1" t="n">
        <v>46195</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4997-2024</t>
        </is>
      </c>
      <c r="B211" s="1" t="n">
        <v>45329</v>
      </c>
      <c r="C211" s="1" t="n">
        <v>46195</v>
      </c>
      <c r="D211" t="inlineStr">
        <is>
          <t>ÖREBRO LÄN</t>
        </is>
      </c>
      <c r="E211" t="inlineStr">
        <is>
          <t>LINDESBERG</t>
        </is>
      </c>
      <c r="F211" t="inlineStr">
        <is>
          <t>BillerudKorsnäs AB</t>
        </is>
      </c>
      <c r="G211" t="n">
        <v>3</v>
      </c>
      <c r="H211" t="n">
        <v>0</v>
      </c>
      <c r="I211" t="n">
        <v>0</v>
      </c>
      <c r="J211" t="n">
        <v>0</v>
      </c>
      <c r="K211" t="n">
        <v>0</v>
      </c>
      <c r="L211" t="n">
        <v>0</v>
      </c>
      <c r="M211" t="n">
        <v>0</v>
      </c>
      <c r="N211" t="n">
        <v>0</v>
      </c>
      <c r="O211" t="n">
        <v>0</v>
      </c>
      <c r="P211" t="n">
        <v>0</v>
      </c>
      <c r="Q211" t="n">
        <v>0</v>
      </c>
      <c r="R211" s="2" t="inlineStr"/>
    </row>
    <row r="212" ht="15" customHeight="1">
      <c r="A212" t="inlineStr">
        <is>
          <t>A 32907-2022</t>
        </is>
      </c>
      <c r="B212" s="1" t="n">
        <v>44784</v>
      </c>
      <c r="C212" s="1" t="n">
        <v>46195</v>
      </c>
      <c r="D212" t="inlineStr">
        <is>
          <t>ÖREBRO LÄN</t>
        </is>
      </c>
      <c r="E212" t="inlineStr">
        <is>
          <t>LINDESBERG</t>
        </is>
      </c>
      <c r="G212" t="n">
        <v>0.5</v>
      </c>
      <c r="H212" t="n">
        <v>0</v>
      </c>
      <c r="I212" t="n">
        <v>0</v>
      </c>
      <c r="J212" t="n">
        <v>0</v>
      </c>
      <c r="K212" t="n">
        <v>0</v>
      </c>
      <c r="L212" t="n">
        <v>0</v>
      </c>
      <c r="M212" t="n">
        <v>0</v>
      </c>
      <c r="N212" t="n">
        <v>0</v>
      </c>
      <c r="O212" t="n">
        <v>0</v>
      </c>
      <c r="P212" t="n">
        <v>0</v>
      </c>
      <c r="Q212" t="n">
        <v>0</v>
      </c>
      <c r="R212" s="2" t="inlineStr"/>
    </row>
    <row r="213" ht="15" customHeight="1">
      <c r="A213" t="inlineStr">
        <is>
          <t>A 36893-2024</t>
        </is>
      </c>
      <c r="B213" s="1" t="n">
        <v>45538</v>
      </c>
      <c r="C213" s="1" t="n">
        <v>46195</v>
      </c>
      <c r="D213" t="inlineStr">
        <is>
          <t>ÖREBRO LÄN</t>
        </is>
      </c>
      <c r="E213" t="inlineStr">
        <is>
          <t>LINDESBERG</t>
        </is>
      </c>
      <c r="G213" t="n">
        <v>1.1</v>
      </c>
      <c r="H213" t="n">
        <v>0</v>
      </c>
      <c r="I213" t="n">
        <v>0</v>
      </c>
      <c r="J213" t="n">
        <v>0</v>
      </c>
      <c r="K213" t="n">
        <v>0</v>
      </c>
      <c r="L213" t="n">
        <v>0</v>
      </c>
      <c r="M213" t="n">
        <v>0</v>
      </c>
      <c r="N213" t="n">
        <v>0</v>
      </c>
      <c r="O213" t="n">
        <v>0</v>
      </c>
      <c r="P213" t="n">
        <v>0</v>
      </c>
      <c r="Q213" t="n">
        <v>0</v>
      </c>
      <c r="R213" s="2" t="inlineStr"/>
    </row>
    <row r="214" ht="15" customHeight="1">
      <c r="A214" t="inlineStr">
        <is>
          <t>A 15750-2024</t>
        </is>
      </c>
      <c r="B214" s="1" t="n">
        <v>45404</v>
      </c>
      <c r="C214" s="1" t="n">
        <v>46195</v>
      </c>
      <c r="D214" t="inlineStr">
        <is>
          <t>ÖREBRO LÄN</t>
        </is>
      </c>
      <c r="E214" t="inlineStr">
        <is>
          <t>LINDESBERG</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60115-2022</t>
        </is>
      </c>
      <c r="B215" s="1" t="n">
        <v>44902</v>
      </c>
      <c r="C215" s="1" t="n">
        <v>46195</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29857-2023</t>
        </is>
      </c>
      <c r="B216" s="1" t="n">
        <v>45107</v>
      </c>
      <c r="C216" s="1" t="n">
        <v>46195</v>
      </c>
      <c r="D216" t="inlineStr">
        <is>
          <t>ÖREBRO LÄN</t>
        </is>
      </c>
      <c r="E216" t="inlineStr">
        <is>
          <t>LINDESBERG</t>
        </is>
      </c>
      <c r="G216" t="n">
        <v>0.6</v>
      </c>
      <c r="H216" t="n">
        <v>0</v>
      </c>
      <c r="I216" t="n">
        <v>0</v>
      </c>
      <c r="J216" t="n">
        <v>0</v>
      </c>
      <c r="K216" t="n">
        <v>0</v>
      </c>
      <c r="L216" t="n">
        <v>0</v>
      </c>
      <c r="M216" t="n">
        <v>0</v>
      </c>
      <c r="N216" t="n">
        <v>0</v>
      </c>
      <c r="O216" t="n">
        <v>0</v>
      </c>
      <c r="P216" t="n">
        <v>0</v>
      </c>
      <c r="Q216" t="n">
        <v>0</v>
      </c>
      <c r="R216" s="2" t="inlineStr"/>
    </row>
    <row r="217" ht="15" customHeight="1">
      <c r="A217" t="inlineStr">
        <is>
          <t>A 35222-2021</t>
        </is>
      </c>
      <c r="B217" s="1" t="n">
        <v>44384</v>
      </c>
      <c r="C217" s="1" t="n">
        <v>46195</v>
      </c>
      <c r="D217" t="inlineStr">
        <is>
          <t>ÖREBRO LÄN</t>
        </is>
      </c>
      <c r="E217" t="inlineStr">
        <is>
          <t>LINDESBERG</t>
        </is>
      </c>
      <c r="G217" t="n">
        <v>10.5</v>
      </c>
      <c r="H217" t="n">
        <v>0</v>
      </c>
      <c r="I217" t="n">
        <v>0</v>
      </c>
      <c r="J217" t="n">
        <v>0</v>
      </c>
      <c r="K217" t="n">
        <v>0</v>
      </c>
      <c r="L217" t="n">
        <v>0</v>
      </c>
      <c r="M217" t="n">
        <v>0</v>
      </c>
      <c r="N217" t="n">
        <v>0</v>
      </c>
      <c r="O217" t="n">
        <v>0</v>
      </c>
      <c r="P217" t="n">
        <v>0</v>
      </c>
      <c r="Q217" t="n">
        <v>0</v>
      </c>
      <c r="R217" s="2" t="inlineStr"/>
    </row>
    <row r="218" ht="15" customHeight="1">
      <c r="A218" t="inlineStr">
        <is>
          <t>A 48939-2021</t>
        </is>
      </c>
      <c r="B218" s="1" t="n">
        <v>44453</v>
      </c>
      <c r="C218" s="1" t="n">
        <v>46195</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10564-2023</t>
        </is>
      </c>
      <c r="B219" s="1" t="n">
        <v>44988</v>
      </c>
      <c r="C219" s="1" t="n">
        <v>46195</v>
      </c>
      <c r="D219" t="inlineStr">
        <is>
          <t>ÖREBRO LÄN</t>
        </is>
      </c>
      <c r="E219" t="inlineStr">
        <is>
          <t>LINDESBERG</t>
        </is>
      </c>
      <c r="F219" t="inlineStr">
        <is>
          <t>Kyrkan</t>
        </is>
      </c>
      <c r="G219" t="n">
        <v>1.6</v>
      </c>
      <c r="H219" t="n">
        <v>0</v>
      </c>
      <c r="I219" t="n">
        <v>0</v>
      </c>
      <c r="J219" t="n">
        <v>0</v>
      </c>
      <c r="K219" t="n">
        <v>0</v>
      </c>
      <c r="L219" t="n">
        <v>0</v>
      </c>
      <c r="M219" t="n">
        <v>0</v>
      </c>
      <c r="N219" t="n">
        <v>0</v>
      </c>
      <c r="O219" t="n">
        <v>0</v>
      </c>
      <c r="P219" t="n">
        <v>0</v>
      </c>
      <c r="Q219" t="n">
        <v>0</v>
      </c>
      <c r="R219" s="2" t="inlineStr"/>
    </row>
    <row r="220" ht="15" customHeight="1">
      <c r="A220" t="inlineStr">
        <is>
          <t>A 44664-2023</t>
        </is>
      </c>
      <c r="B220" s="1" t="n">
        <v>45189</v>
      </c>
      <c r="C220" s="1" t="n">
        <v>46195</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28569-2024</t>
        </is>
      </c>
      <c r="B221" s="1" t="n">
        <v>45478</v>
      </c>
      <c r="C221" s="1" t="n">
        <v>46195</v>
      </c>
      <c r="D221" t="inlineStr">
        <is>
          <t>ÖREBRO LÄN</t>
        </is>
      </c>
      <c r="E221" t="inlineStr">
        <is>
          <t>LINDESBERG</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70500-2021</t>
        </is>
      </c>
      <c r="B222" s="1" t="n">
        <v>44536</v>
      </c>
      <c r="C222" s="1" t="n">
        <v>46195</v>
      </c>
      <c r="D222" t="inlineStr">
        <is>
          <t>ÖREBRO LÄN</t>
        </is>
      </c>
      <c r="E222" t="inlineStr">
        <is>
          <t>LINDESBERG</t>
        </is>
      </c>
      <c r="G222" t="n">
        <v>1.8</v>
      </c>
      <c r="H222" t="n">
        <v>0</v>
      </c>
      <c r="I222" t="n">
        <v>0</v>
      </c>
      <c r="J222" t="n">
        <v>0</v>
      </c>
      <c r="K222" t="n">
        <v>0</v>
      </c>
      <c r="L222" t="n">
        <v>0</v>
      </c>
      <c r="M222" t="n">
        <v>0</v>
      </c>
      <c r="N222" t="n">
        <v>0</v>
      </c>
      <c r="O222" t="n">
        <v>0</v>
      </c>
      <c r="P222" t="n">
        <v>0</v>
      </c>
      <c r="Q222" t="n">
        <v>0</v>
      </c>
      <c r="R222" s="2" t="inlineStr"/>
    </row>
    <row r="223" ht="15" customHeight="1">
      <c r="A223" t="inlineStr">
        <is>
          <t>A 14185-2024</t>
        </is>
      </c>
      <c r="B223" s="1" t="n">
        <v>45393</v>
      </c>
      <c r="C223" s="1" t="n">
        <v>46195</v>
      </c>
      <c r="D223" t="inlineStr">
        <is>
          <t>ÖREBRO LÄN</t>
        </is>
      </c>
      <c r="E223" t="inlineStr">
        <is>
          <t>LINDESBERG</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11218-2025</t>
        </is>
      </c>
      <c r="B224" s="1" t="n">
        <v>45726</v>
      </c>
      <c r="C224" s="1" t="n">
        <v>46195</v>
      </c>
      <c r="D224" t="inlineStr">
        <is>
          <t>ÖREBRO LÄN</t>
        </is>
      </c>
      <c r="E224" t="inlineStr">
        <is>
          <t>LINDESBERG</t>
        </is>
      </c>
      <c r="G224" t="n">
        <v>0.4</v>
      </c>
      <c r="H224" t="n">
        <v>0</v>
      </c>
      <c r="I224" t="n">
        <v>0</v>
      </c>
      <c r="J224" t="n">
        <v>0</v>
      </c>
      <c r="K224" t="n">
        <v>0</v>
      </c>
      <c r="L224" t="n">
        <v>0</v>
      </c>
      <c r="M224" t="n">
        <v>0</v>
      </c>
      <c r="N224" t="n">
        <v>0</v>
      </c>
      <c r="O224" t="n">
        <v>0</v>
      </c>
      <c r="P224" t="n">
        <v>0</v>
      </c>
      <c r="Q224" t="n">
        <v>0</v>
      </c>
      <c r="R224" s="2" t="inlineStr"/>
    </row>
    <row r="225" ht="15" customHeight="1">
      <c r="A225" t="inlineStr">
        <is>
          <t>A 11220-2025</t>
        </is>
      </c>
      <c r="B225" s="1" t="n">
        <v>45726</v>
      </c>
      <c r="C225" s="1" t="n">
        <v>46195</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43801-2024</t>
        </is>
      </c>
      <c r="B226" s="1" t="n">
        <v>45571</v>
      </c>
      <c r="C226" s="1" t="n">
        <v>46195</v>
      </c>
      <c r="D226" t="inlineStr">
        <is>
          <t>ÖREBRO LÄN</t>
        </is>
      </c>
      <c r="E226" t="inlineStr">
        <is>
          <t>LINDESBERG</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72331-2021</t>
        </is>
      </c>
      <c r="B227" s="1" t="n">
        <v>44544</v>
      </c>
      <c r="C227" s="1" t="n">
        <v>46195</v>
      </c>
      <c r="D227" t="inlineStr">
        <is>
          <t>ÖREBRO LÄN</t>
        </is>
      </c>
      <c r="E227" t="inlineStr">
        <is>
          <t>LINDESBERG</t>
        </is>
      </c>
      <c r="G227" t="n">
        <v>1.5</v>
      </c>
      <c r="H227" t="n">
        <v>0</v>
      </c>
      <c r="I227" t="n">
        <v>0</v>
      </c>
      <c r="J227" t="n">
        <v>0</v>
      </c>
      <c r="K227" t="n">
        <v>0</v>
      </c>
      <c r="L227" t="n">
        <v>0</v>
      </c>
      <c r="M227" t="n">
        <v>0</v>
      </c>
      <c r="N227" t="n">
        <v>0</v>
      </c>
      <c r="O227" t="n">
        <v>0</v>
      </c>
      <c r="P227" t="n">
        <v>0</v>
      </c>
      <c r="Q227" t="n">
        <v>0</v>
      </c>
      <c r="R227" s="2" t="inlineStr"/>
    </row>
    <row r="228" ht="15" customHeight="1">
      <c r="A228" t="inlineStr">
        <is>
          <t>A 45062-2022</t>
        </is>
      </c>
      <c r="B228" s="1" t="n">
        <v>44841</v>
      </c>
      <c r="C228" s="1" t="n">
        <v>46195</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47535-2022</t>
        </is>
      </c>
      <c r="B229" s="1" t="n">
        <v>44853</v>
      </c>
      <c r="C229" s="1" t="n">
        <v>46195</v>
      </c>
      <c r="D229" t="inlineStr">
        <is>
          <t>ÖREBRO LÄN</t>
        </is>
      </c>
      <c r="E229" t="inlineStr">
        <is>
          <t>LINDESBERG</t>
        </is>
      </c>
      <c r="G229" t="n">
        <v>3</v>
      </c>
      <c r="H229" t="n">
        <v>0</v>
      </c>
      <c r="I229" t="n">
        <v>0</v>
      </c>
      <c r="J229" t="n">
        <v>0</v>
      </c>
      <c r="K229" t="n">
        <v>0</v>
      </c>
      <c r="L229" t="n">
        <v>0</v>
      </c>
      <c r="M229" t="n">
        <v>0</v>
      </c>
      <c r="N229" t="n">
        <v>0</v>
      </c>
      <c r="O229" t="n">
        <v>0</v>
      </c>
      <c r="P229" t="n">
        <v>0</v>
      </c>
      <c r="Q229" t="n">
        <v>0</v>
      </c>
      <c r="R229" s="2" t="inlineStr"/>
    </row>
    <row r="230" ht="15" customHeight="1">
      <c r="A230" t="inlineStr">
        <is>
          <t>A 40692-2021</t>
        </is>
      </c>
      <c r="B230" s="1" t="n">
        <v>44420</v>
      </c>
      <c r="C230" s="1" t="n">
        <v>46195</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30830-2024</t>
        </is>
      </c>
      <c r="B231" s="1" t="n">
        <v>45497</v>
      </c>
      <c r="C231" s="1" t="n">
        <v>46195</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49055-2022</t>
        </is>
      </c>
      <c r="B232" s="1" t="n">
        <v>44860</v>
      </c>
      <c r="C232" s="1" t="n">
        <v>46195</v>
      </c>
      <c r="D232" t="inlineStr">
        <is>
          <t>ÖREBRO LÄN</t>
        </is>
      </c>
      <c r="E232" t="inlineStr">
        <is>
          <t>LINDESBERG</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60941-2024</t>
        </is>
      </c>
      <c r="B233" s="1" t="n">
        <v>45645</v>
      </c>
      <c r="C233" s="1" t="n">
        <v>46195</v>
      </c>
      <c r="D233" t="inlineStr">
        <is>
          <t>ÖREBRO LÄN</t>
        </is>
      </c>
      <c r="E233" t="inlineStr">
        <is>
          <t>LINDESBERG</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59395-2022</t>
        </is>
      </c>
      <c r="B234" s="1" t="n">
        <v>44906</v>
      </c>
      <c r="C234" s="1" t="n">
        <v>46195</v>
      </c>
      <c r="D234" t="inlineStr">
        <is>
          <t>ÖREBRO LÄN</t>
        </is>
      </c>
      <c r="E234" t="inlineStr">
        <is>
          <t>LINDESBERG</t>
        </is>
      </c>
      <c r="G234" t="n">
        <v>4.3</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v>
      </c>
      <c r="C235" s="1" t="n">
        <v>46195</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64365-2023</t>
        </is>
      </c>
      <c r="B236" s="1" t="n">
        <v>45280</v>
      </c>
      <c r="C236" s="1" t="n">
        <v>46195</v>
      </c>
      <c r="D236" t="inlineStr">
        <is>
          <t>ÖREBRO LÄN</t>
        </is>
      </c>
      <c r="E236" t="inlineStr">
        <is>
          <t>LINDESBERG</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37738-2024</t>
        </is>
      </c>
      <c r="B237" s="1" t="n">
        <v>45541</v>
      </c>
      <c r="C237" s="1" t="n">
        <v>46195</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55272-2023</t>
        </is>
      </c>
      <c r="B238" s="1" t="n">
        <v>45237</v>
      </c>
      <c r="C238" s="1" t="n">
        <v>46195</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33428-2024</t>
        </is>
      </c>
      <c r="B239" s="1" t="n">
        <v>45519</v>
      </c>
      <c r="C239" s="1" t="n">
        <v>46195</v>
      </c>
      <c r="D239" t="inlineStr">
        <is>
          <t>ÖREBRO LÄN</t>
        </is>
      </c>
      <c r="E239" t="inlineStr">
        <is>
          <t>LINDESBERG</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59766-2022</t>
        </is>
      </c>
      <c r="B240" s="1" t="n">
        <v>44908</v>
      </c>
      <c r="C240" s="1" t="n">
        <v>46195</v>
      </c>
      <c r="D240" t="inlineStr">
        <is>
          <t>ÖREBRO LÄN</t>
        </is>
      </c>
      <c r="E240" t="inlineStr">
        <is>
          <t>LINDESBERG</t>
        </is>
      </c>
      <c r="G240" t="n">
        <v>1.1</v>
      </c>
      <c r="H240" t="n">
        <v>0</v>
      </c>
      <c r="I240" t="n">
        <v>0</v>
      </c>
      <c r="J240" t="n">
        <v>0</v>
      </c>
      <c r="K240" t="n">
        <v>0</v>
      </c>
      <c r="L240" t="n">
        <v>0</v>
      </c>
      <c r="M240" t="n">
        <v>0</v>
      </c>
      <c r="N240" t="n">
        <v>0</v>
      </c>
      <c r="O240" t="n">
        <v>0</v>
      </c>
      <c r="P240" t="n">
        <v>0</v>
      </c>
      <c r="Q240" t="n">
        <v>0</v>
      </c>
      <c r="R240" s="2" t="inlineStr"/>
    </row>
    <row r="241" ht="15" customHeight="1">
      <c r="A241" t="inlineStr">
        <is>
          <t>A 59006-2021</t>
        </is>
      </c>
      <c r="B241" s="1" t="n">
        <v>44490</v>
      </c>
      <c r="C241" s="1" t="n">
        <v>46195</v>
      </c>
      <c r="D241" t="inlineStr">
        <is>
          <t>ÖREBRO LÄN</t>
        </is>
      </c>
      <c r="E241" t="inlineStr">
        <is>
          <t>LINDESBERG</t>
        </is>
      </c>
      <c r="G241" t="n">
        <v>5.6</v>
      </c>
      <c r="H241" t="n">
        <v>0</v>
      </c>
      <c r="I241" t="n">
        <v>0</v>
      </c>
      <c r="J241" t="n">
        <v>0</v>
      </c>
      <c r="K241" t="n">
        <v>0</v>
      </c>
      <c r="L241" t="n">
        <v>0</v>
      </c>
      <c r="M241" t="n">
        <v>0</v>
      </c>
      <c r="N241" t="n">
        <v>0</v>
      </c>
      <c r="O241" t="n">
        <v>0</v>
      </c>
      <c r="P241" t="n">
        <v>0</v>
      </c>
      <c r="Q241" t="n">
        <v>0</v>
      </c>
      <c r="R241" s="2" t="inlineStr"/>
    </row>
    <row r="242" ht="15" customHeight="1">
      <c r="A242" t="inlineStr">
        <is>
          <t>A 27576-2024</t>
        </is>
      </c>
      <c r="B242" s="1" t="n">
        <v>45474</v>
      </c>
      <c r="C242" s="1" t="n">
        <v>46195</v>
      </c>
      <c r="D242" t="inlineStr">
        <is>
          <t>ÖREBRO LÄN</t>
        </is>
      </c>
      <c r="E242" t="inlineStr">
        <is>
          <t>LINDESBERG</t>
        </is>
      </c>
      <c r="F242" t="inlineStr">
        <is>
          <t>Kyrkan</t>
        </is>
      </c>
      <c r="G242" t="n">
        <v>1.3</v>
      </c>
      <c r="H242" t="n">
        <v>0</v>
      </c>
      <c r="I242" t="n">
        <v>0</v>
      </c>
      <c r="J242" t="n">
        <v>0</v>
      </c>
      <c r="K242" t="n">
        <v>0</v>
      </c>
      <c r="L242" t="n">
        <v>0</v>
      </c>
      <c r="M242" t="n">
        <v>0</v>
      </c>
      <c r="N242" t="n">
        <v>0</v>
      </c>
      <c r="O242" t="n">
        <v>0</v>
      </c>
      <c r="P242" t="n">
        <v>0</v>
      </c>
      <c r="Q242" t="n">
        <v>0</v>
      </c>
      <c r="R242" s="2" t="inlineStr"/>
    </row>
    <row r="243" ht="15" customHeight="1">
      <c r="A243" t="inlineStr">
        <is>
          <t>A 20238-2022</t>
        </is>
      </c>
      <c r="B243" s="1" t="n">
        <v>44698</v>
      </c>
      <c r="C243" s="1" t="n">
        <v>46195</v>
      </c>
      <c r="D243" t="inlineStr">
        <is>
          <t>ÖREBRO LÄN</t>
        </is>
      </c>
      <c r="E243" t="inlineStr">
        <is>
          <t>LINDESBERG</t>
        </is>
      </c>
      <c r="F243" t="inlineStr">
        <is>
          <t>Naturvårdsverket</t>
        </is>
      </c>
      <c r="G243" t="n">
        <v>2.9</v>
      </c>
      <c r="H243" t="n">
        <v>0</v>
      </c>
      <c r="I243" t="n">
        <v>0</v>
      </c>
      <c r="J243" t="n">
        <v>0</v>
      </c>
      <c r="K243" t="n">
        <v>0</v>
      </c>
      <c r="L243" t="n">
        <v>0</v>
      </c>
      <c r="M243" t="n">
        <v>0</v>
      </c>
      <c r="N243" t="n">
        <v>0</v>
      </c>
      <c r="O243" t="n">
        <v>0</v>
      </c>
      <c r="P243" t="n">
        <v>0</v>
      </c>
      <c r="Q243" t="n">
        <v>0</v>
      </c>
      <c r="R243" s="2" t="inlineStr"/>
    </row>
    <row r="244" ht="15" customHeight="1">
      <c r="A244" t="inlineStr">
        <is>
          <t>A 33282-2024</t>
        </is>
      </c>
      <c r="B244" s="1" t="n">
        <v>45518</v>
      </c>
      <c r="C244" s="1" t="n">
        <v>46195</v>
      </c>
      <c r="D244" t="inlineStr">
        <is>
          <t>ÖREBRO LÄN</t>
        </is>
      </c>
      <c r="E244" t="inlineStr">
        <is>
          <t>LINDESBERG</t>
        </is>
      </c>
      <c r="G244" t="n">
        <v>7.5</v>
      </c>
      <c r="H244" t="n">
        <v>0</v>
      </c>
      <c r="I244" t="n">
        <v>0</v>
      </c>
      <c r="J244" t="n">
        <v>0</v>
      </c>
      <c r="K244" t="n">
        <v>0</v>
      </c>
      <c r="L244" t="n">
        <v>0</v>
      </c>
      <c r="M244" t="n">
        <v>0</v>
      </c>
      <c r="N244" t="n">
        <v>0</v>
      </c>
      <c r="O244" t="n">
        <v>0</v>
      </c>
      <c r="P244" t="n">
        <v>0</v>
      </c>
      <c r="Q244" t="n">
        <v>0</v>
      </c>
      <c r="R244" s="2" t="inlineStr"/>
    </row>
    <row r="245" ht="15" customHeight="1">
      <c r="A245" t="inlineStr">
        <is>
          <t>A 15895-2025</t>
        </is>
      </c>
      <c r="B245" s="1" t="n">
        <v>45749</v>
      </c>
      <c r="C245" s="1" t="n">
        <v>46195</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32818-2022</t>
        </is>
      </c>
      <c r="B246" s="1" t="n">
        <v>44784</v>
      </c>
      <c r="C246" s="1" t="n">
        <v>46195</v>
      </c>
      <c r="D246" t="inlineStr">
        <is>
          <t>ÖREBRO LÄN</t>
        </is>
      </c>
      <c r="E246" t="inlineStr">
        <is>
          <t>LINDESBERG</t>
        </is>
      </c>
      <c r="G246" t="n">
        <v>1.5</v>
      </c>
      <c r="H246" t="n">
        <v>0</v>
      </c>
      <c r="I246" t="n">
        <v>0</v>
      </c>
      <c r="J246" t="n">
        <v>0</v>
      </c>
      <c r="K246" t="n">
        <v>0</v>
      </c>
      <c r="L246" t="n">
        <v>0</v>
      </c>
      <c r="M246" t="n">
        <v>0</v>
      </c>
      <c r="N246" t="n">
        <v>0</v>
      </c>
      <c r="O246" t="n">
        <v>0</v>
      </c>
      <c r="P246" t="n">
        <v>0</v>
      </c>
      <c r="Q246" t="n">
        <v>0</v>
      </c>
      <c r="R246" s="2" t="inlineStr"/>
    </row>
    <row r="247" ht="15" customHeight="1">
      <c r="A247" t="inlineStr">
        <is>
          <t>A 52930-2024</t>
        </is>
      </c>
      <c r="B247" s="1" t="n">
        <v>45610</v>
      </c>
      <c r="C247" s="1" t="n">
        <v>46195</v>
      </c>
      <c r="D247" t="inlineStr">
        <is>
          <t>ÖREBRO LÄN</t>
        </is>
      </c>
      <c r="E247" t="inlineStr">
        <is>
          <t>LINDESBERG</t>
        </is>
      </c>
      <c r="G247" t="n">
        <v>2.8</v>
      </c>
      <c r="H247" t="n">
        <v>0</v>
      </c>
      <c r="I247" t="n">
        <v>0</v>
      </c>
      <c r="J247" t="n">
        <v>0</v>
      </c>
      <c r="K247" t="n">
        <v>0</v>
      </c>
      <c r="L247" t="n">
        <v>0</v>
      </c>
      <c r="M247" t="n">
        <v>0</v>
      </c>
      <c r="N247" t="n">
        <v>0</v>
      </c>
      <c r="O247" t="n">
        <v>0</v>
      </c>
      <c r="P247" t="n">
        <v>0</v>
      </c>
      <c r="Q247" t="n">
        <v>0</v>
      </c>
      <c r="R247" s="2" t="inlineStr"/>
    </row>
    <row r="248" ht="15" customHeight="1">
      <c r="A248" t="inlineStr">
        <is>
          <t>A 2103-2022</t>
        </is>
      </c>
      <c r="B248" s="1" t="n">
        <v>44577</v>
      </c>
      <c r="C248" s="1" t="n">
        <v>46195</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1742-2022</t>
        </is>
      </c>
      <c r="B249" s="1" t="n">
        <v>44574</v>
      </c>
      <c r="C249" s="1" t="n">
        <v>46195</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46195</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54860-2024</t>
        </is>
      </c>
      <c r="B251" s="1" t="n">
        <v>45618</v>
      </c>
      <c r="C251" s="1" t="n">
        <v>46195</v>
      </c>
      <c r="D251" t="inlineStr">
        <is>
          <t>ÖREBRO LÄN</t>
        </is>
      </c>
      <c r="E251" t="inlineStr">
        <is>
          <t>LINDESBERG</t>
        </is>
      </c>
      <c r="F251" t="inlineStr">
        <is>
          <t>Sveaskog</t>
        </is>
      </c>
      <c r="G251" t="n">
        <v>0.3</v>
      </c>
      <c r="H251" t="n">
        <v>0</v>
      </c>
      <c r="I251" t="n">
        <v>0</v>
      </c>
      <c r="J251" t="n">
        <v>0</v>
      </c>
      <c r="K251" t="n">
        <v>0</v>
      </c>
      <c r="L251" t="n">
        <v>0</v>
      </c>
      <c r="M251" t="n">
        <v>0</v>
      </c>
      <c r="N251" t="n">
        <v>0</v>
      </c>
      <c r="O251" t="n">
        <v>0</v>
      </c>
      <c r="P251" t="n">
        <v>0</v>
      </c>
      <c r="Q251" t="n">
        <v>0</v>
      </c>
      <c r="R251" s="2" t="inlineStr"/>
    </row>
    <row r="252" ht="15" customHeight="1">
      <c r="A252" t="inlineStr">
        <is>
          <t>A 48363-2021</t>
        </is>
      </c>
      <c r="B252" s="1" t="n">
        <v>44451</v>
      </c>
      <c r="C252" s="1" t="n">
        <v>46195</v>
      </c>
      <c r="D252" t="inlineStr">
        <is>
          <t>ÖREBRO LÄN</t>
        </is>
      </c>
      <c r="E252" t="inlineStr">
        <is>
          <t>LINDESBERG</t>
        </is>
      </c>
      <c r="G252" t="n">
        <v>2.7</v>
      </c>
      <c r="H252" t="n">
        <v>0</v>
      </c>
      <c r="I252" t="n">
        <v>0</v>
      </c>
      <c r="J252" t="n">
        <v>0</v>
      </c>
      <c r="K252" t="n">
        <v>0</v>
      </c>
      <c r="L252" t="n">
        <v>0</v>
      </c>
      <c r="M252" t="n">
        <v>0</v>
      </c>
      <c r="N252" t="n">
        <v>0</v>
      </c>
      <c r="O252" t="n">
        <v>0</v>
      </c>
      <c r="P252" t="n">
        <v>0</v>
      </c>
      <c r="Q252" t="n">
        <v>0</v>
      </c>
      <c r="R252" s="2" t="inlineStr"/>
    </row>
    <row r="253" ht="15" customHeight="1">
      <c r="A253" t="inlineStr">
        <is>
          <t>A 52153-2022</t>
        </is>
      </c>
      <c r="B253" s="1" t="n">
        <v>44873</v>
      </c>
      <c r="C253" s="1" t="n">
        <v>46195</v>
      </c>
      <c r="D253" t="inlineStr">
        <is>
          <t>ÖREBRO LÄN</t>
        </is>
      </c>
      <c r="E253" t="inlineStr">
        <is>
          <t>LINDESBERG</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6470-2024</t>
        </is>
      </c>
      <c r="B254" s="1" t="n">
        <v>45338</v>
      </c>
      <c r="C254" s="1" t="n">
        <v>46195</v>
      </c>
      <c r="D254" t="inlineStr">
        <is>
          <t>ÖREBRO LÄN</t>
        </is>
      </c>
      <c r="E254" t="inlineStr">
        <is>
          <t>LINDESBERG</t>
        </is>
      </c>
      <c r="G254" t="n">
        <v>1.2</v>
      </c>
      <c r="H254" t="n">
        <v>0</v>
      </c>
      <c r="I254" t="n">
        <v>0</v>
      </c>
      <c r="J254" t="n">
        <v>0</v>
      </c>
      <c r="K254" t="n">
        <v>0</v>
      </c>
      <c r="L254" t="n">
        <v>0</v>
      </c>
      <c r="M254" t="n">
        <v>0</v>
      </c>
      <c r="N254" t="n">
        <v>0</v>
      </c>
      <c r="O254" t="n">
        <v>0</v>
      </c>
      <c r="P254" t="n">
        <v>0</v>
      </c>
      <c r="Q254" t="n">
        <v>0</v>
      </c>
      <c r="R254" s="2" t="inlineStr"/>
    </row>
    <row r="255" ht="15" customHeight="1">
      <c r="A255" t="inlineStr">
        <is>
          <t>A 73860-2021</t>
        </is>
      </c>
      <c r="B255" s="1" t="n">
        <v>44553</v>
      </c>
      <c r="C255" s="1" t="n">
        <v>46195</v>
      </c>
      <c r="D255" t="inlineStr">
        <is>
          <t>ÖREBRO LÄN</t>
        </is>
      </c>
      <c r="E255" t="inlineStr">
        <is>
          <t>LINDESBERG</t>
        </is>
      </c>
      <c r="G255" t="n">
        <v>12.7</v>
      </c>
      <c r="H255" t="n">
        <v>0</v>
      </c>
      <c r="I255" t="n">
        <v>0</v>
      </c>
      <c r="J255" t="n">
        <v>0</v>
      </c>
      <c r="K255" t="n">
        <v>0</v>
      </c>
      <c r="L255" t="n">
        <v>0</v>
      </c>
      <c r="M255" t="n">
        <v>0</v>
      </c>
      <c r="N255" t="n">
        <v>0</v>
      </c>
      <c r="O255" t="n">
        <v>0</v>
      </c>
      <c r="P255" t="n">
        <v>0</v>
      </c>
      <c r="Q255" t="n">
        <v>0</v>
      </c>
      <c r="R255" s="2" t="inlineStr"/>
    </row>
    <row r="256" ht="15" customHeight="1">
      <c r="A256" t="inlineStr">
        <is>
          <t>A 5358-2022</t>
        </is>
      </c>
      <c r="B256" s="1" t="n">
        <v>44594</v>
      </c>
      <c r="C256" s="1" t="n">
        <v>46195</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15324-2024</t>
        </is>
      </c>
      <c r="B257" s="1" t="n">
        <v>45400</v>
      </c>
      <c r="C257" s="1" t="n">
        <v>46195</v>
      </c>
      <c r="D257" t="inlineStr">
        <is>
          <t>ÖREBRO LÄN</t>
        </is>
      </c>
      <c r="E257" t="inlineStr">
        <is>
          <t>LINDESBERG</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49358-2023</t>
        </is>
      </c>
      <c r="B258" s="1" t="n">
        <v>45211</v>
      </c>
      <c r="C258" s="1" t="n">
        <v>46195</v>
      </c>
      <c r="D258" t="inlineStr">
        <is>
          <t>ÖREBRO LÄN</t>
        </is>
      </c>
      <c r="E258" t="inlineStr">
        <is>
          <t>LINDESBERG</t>
        </is>
      </c>
      <c r="F258" t="inlineStr">
        <is>
          <t>Sveaskog</t>
        </is>
      </c>
      <c r="G258" t="n">
        <v>4.7</v>
      </c>
      <c r="H258" t="n">
        <v>0</v>
      </c>
      <c r="I258" t="n">
        <v>0</v>
      </c>
      <c r="J258" t="n">
        <v>0</v>
      </c>
      <c r="K258" t="n">
        <v>0</v>
      </c>
      <c r="L258" t="n">
        <v>0</v>
      </c>
      <c r="M258" t="n">
        <v>0</v>
      </c>
      <c r="N258" t="n">
        <v>0</v>
      </c>
      <c r="O258" t="n">
        <v>0</v>
      </c>
      <c r="P258" t="n">
        <v>0</v>
      </c>
      <c r="Q258" t="n">
        <v>0</v>
      </c>
      <c r="R258" s="2" t="inlineStr"/>
    </row>
    <row r="259" ht="15" customHeight="1">
      <c r="A259" t="inlineStr">
        <is>
          <t>A 45481-2023</t>
        </is>
      </c>
      <c r="B259" s="1" t="n">
        <v>45194</v>
      </c>
      <c r="C259" s="1" t="n">
        <v>46195</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33707-2021</t>
        </is>
      </c>
      <c r="B260" s="1" t="n">
        <v>44378</v>
      </c>
      <c r="C260" s="1" t="n">
        <v>46195</v>
      </c>
      <c r="D260" t="inlineStr">
        <is>
          <t>ÖREBRO LÄN</t>
        </is>
      </c>
      <c r="E260" t="inlineStr">
        <is>
          <t>LINDESBERG</t>
        </is>
      </c>
      <c r="G260" t="n">
        <v>2</v>
      </c>
      <c r="H260" t="n">
        <v>0</v>
      </c>
      <c r="I260" t="n">
        <v>0</v>
      </c>
      <c r="J260" t="n">
        <v>0</v>
      </c>
      <c r="K260" t="n">
        <v>0</v>
      </c>
      <c r="L260" t="n">
        <v>0</v>
      </c>
      <c r="M260" t="n">
        <v>0</v>
      </c>
      <c r="N260" t="n">
        <v>0</v>
      </c>
      <c r="O260" t="n">
        <v>0</v>
      </c>
      <c r="P260" t="n">
        <v>0</v>
      </c>
      <c r="Q260" t="n">
        <v>0</v>
      </c>
      <c r="R260" s="2" t="inlineStr"/>
    </row>
    <row r="261" ht="15" customHeight="1">
      <c r="A261" t="inlineStr">
        <is>
          <t>A 23579-2022</t>
        </is>
      </c>
      <c r="B261" s="1" t="n">
        <v>44721</v>
      </c>
      <c r="C261" s="1" t="n">
        <v>46195</v>
      </c>
      <c r="D261" t="inlineStr">
        <is>
          <t>ÖREBRO LÄN</t>
        </is>
      </c>
      <c r="E261" t="inlineStr">
        <is>
          <t>LINDESBERG</t>
        </is>
      </c>
      <c r="G261" t="n">
        <v>0.7</v>
      </c>
      <c r="H261" t="n">
        <v>0</v>
      </c>
      <c r="I261" t="n">
        <v>0</v>
      </c>
      <c r="J261" t="n">
        <v>0</v>
      </c>
      <c r="K261" t="n">
        <v>0</v>
      </c>
      <c r="L261" t="n">
        <v>0</v>
      </c>
      <c r="M261" t="n">
        <v>0</v>
      </c>
      <c r="N261" t="n">
        <v>0</v>
      </c>
      <c r="O261" t="n">
        <v>0</v>
      </c>
      <c r="P261" t="n">
        <v>0</v>
      </c>
      <c r="Q261" t="n">
        <v>0</v>
      </c>
      <c r="R261" s="2" t="inlineStr"/>
    </row>
    <row r="262" ht="15" customHeight="1">
      <c r="A262" t="inlineStr">
        <is>
          <t>A 32009-2023</t>
        </is>
      </c>
      <c r="B262" s="1" t="n">
        <v>45119</v>
      </c>
      <c r="C262" s="1" t="n">
        <v>46195</v>
      </c>
      <c r="D262" t="inlineStr">
        <is>
          <t>ÖREBRO LÄN</t>
        </is>
      </c>
      <c r="E262" t="inlineStr">
        <is>
          <t>LINDESBERG</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23260-2024</t>
        </is>
      </c>
      <c r="B263" s="1" t="n">
        <v>45453</v>
      </c>
      <c r="C263" s="1" t="n">
        <v>46195</v>
      </c>
      <c r="D263" t="inlineStr">
        <is>
          <t>ÖREBRO LÄN</t>
        </is>
      </c>
      <c r="E263" t="inlineStr">
        <is>
          <t>LINDESBERG</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26067-2022</t>
        </is>
      </c>
      <c r="B264" s="1" t="n">
        <v>44734</v>
      </c>
      <c r="C264" s="1" t="n">
        <v>46195</v>
      </c>
      <c r="D264" t="inlineStr">
        <is>
          <t>ÖREBRO LÄN</t>
        </is>
      </c>
      <c r="E264" t="inlineStr">
        <is>
          <t>LINDESBERG</t>
        </is>
      </c>
      <c r="G264" t="n">
        <v>3.1</v>
      </c>
      <c r="H264" t="n">
        <v>0</v>
      </c>
      <c r="I264" t="n">
        <v>0</v>
      </c>
      <c r="J264" t="n">
        <v>0</v>
      </c>
      <c r="K264" t="n">
        <v>0</v>
      </c>
      <c r="L264" t="n">
        <v>0</v>
      </c>
      <c r="M264" t="n">
        <v>0</v>
      </c>
      <c r="N264" t="n">
        <v>0</v>
      </c>
      <c r="O264" t="n">
        <v>0</v>
      </c>
      <c r="P264" t="n">
        <v>0</v>
      </c>
      <c r="Q264" t="n">
        <v>0</v>
      </c>
      <c r="R264" s="2" t="inlineStr"/>
    </row>
    <row r="265" ht="15" customHeight="1">
      <c r="A265" t="inlineStr">
        <is>
          <t>A 70475-2021</t>
        </is>
      </c>
      <c r="B265" s="1" t="n">
        <v>44536</v>
      </c>
      <c r="C265" s="1" t="n">
        <v>46195</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3233-2023</t>
        </is>
      </c>
      <c r="B266" s="1" t="n">
        <v>44946</v>
      </c>
      <c r="C266" s="1" t="n">
        <v>46195</v>
      </c>
      <c r="D266" t="inlineStr">
        <is>
          <t>ÖREBRO LÄN</t>
        </is>
      </c>
      <c r="E266" t="inlineStr">
        <is>
          <t>LINDESBERG</t>
        </is>
      </c>
      <c r="G266" t="n">
        <v>3</v>
      </c>
      <c r="H266" t="n">
        <v>0</v>
      </c>
      <c r="I266" t="n">
        <v>0</v>
      </c>
      <c r="J266" t="n">
        <v>0</v>
      </c>
      <c r="K266" t="n">
        <v>0</v>
      </c>
      <c r="L266" t="n">
        <v>0</v>
      </c>
      <c r="M266" t="n">
        <v>0</v>
      </c>
      <c r="N266" t="n">
        <v>0</v>
      </c>
      <c r="O266" t="n">
        <v>0</v>
      </c>
      <c r="P266" t="n">
        <v>0</v>
      </c>
      <c r="Q266" t="n">
        <v>0</v>
      </c>
      <c r="R266" s="2" t="inlineStr"/>
    </row>
    <row r="267" ht="15" customHeight="1">
      <c r="A267" t="inlineStr">
        <is>
          <t>A 5047-2023</t>
        </is>
      </c>
      <c r="B267" s="1" t="n">
        <v>44958</v>
      </c>
      <c r="C267" s="1" t="n">
        <v>46195</v>
      </c>
      <c r="D267" t="inlineStr">
        <is>
          <t>ÖREBRO LÄN</t>
        </is>
      </c>
      <c r="E267" t="inlineStr">
        <is>
          <t>LINDESBERG</t>
        </is>
      </c>
      <c r="G267" t="n">
        <v>2</v>
      </c>
      <c r="H267" t="n">
        <v>0</v>
      </c>
      <c r="I267" t="n">
        <v>0</v>
      </c>
      <c r="J267" t="n">
        <v>0</v>
      </c>
      <c r="K267" t="n">
        <v>0</v>
      </c>
      <c r="L267" t="n">
        <v>0</v>
      </c>
      <c r="M267" t="n">
        <v>0</v>
      </c>
      <c r="N267" t="n">
        <v>0</v>
      </c>
      <c r="O267" t="n">
        <v>0</v>
      </c>
      <c r="P267" t="n">
        <v>0</v>
      </c>
      <c r="Q267" t="n">
        <v>0</v>
      </c>
      <c r="R267" s="2" t="inlineStr"/>
    </row>
    <row r="268" ht="15" customHeight="1">
      <c r="A268" t="inlineStr">
        <is>
          <t>A 47066-2023</t>
        </is>
      </c>
      <c r="B268" s="1" t="n">
        <v>45201</v>
      </c>
      <c r="C268" s="1" t="n">
        <v>46195</v>
      </c>
      <c r="D268" t="inlineStr">
        <is>
          <t>ÖREBRO LÄN</t>
        </is>
      </c>
      <c r="E268" t="inlineStr">
        <is>
          <t>LINDESBERG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42410-2024</t>
        </is>
      </c>
      <c r="B269" s="1" t="n">
        <v>45565</v>
      </c>
      <c r="C269" s="1" t="n">
        <v>46195</v>
      </c>
      <c r="D269" t="inlineStr">
        <is>
          <t>ÖREBRO LÄN</t>
        </is>
      </c>
      <c r="E269" t="inlineStr">
        <is>
          <t>LINDESBERG</t>
        </is>
      </c>
      <c r="G269" t="n">
        <v>1.1</v>
      </c>
      <c r="H269" t="n">
        <v>0</v>
      </c>
      <c r="I269" t="n">
        <v>0</v>
      </c>
      <c r="J269" t="n">
        <v>0</v>
      </c>
      <c r="K269" t="n">
        <v>0</v>
      </c>
      <c r="L269" t="n">
        <v>0</v>
      </c>
      <c r="M269" t="n">
        <v>0</v>
      </c>
      <c r="N269" t="n">
        <v>0</v>
      </c>
      <c r="O269" t="n">
        <v>0</v>
      </c>
      <c r="P269" t="n">
        <v>0</v>
      </c>
      <c r="Q269" t="n">
        <v>0</v>
      </c>
      <c r="R269" s="2" t="inlineStr"/>
    </row>
    <row r="270" ht="15" customHeight="1">
      <c r="A270" t="inlineStr">
        <is>
          <t>A 8836-2023</t>
        </is>
      </c>
      <c r="B270" s="1" t="n">
        <v>44978</v>
      </c>
      <c r="C270" s="1" t="n">
        <v>46195</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55631-2022</t>
        </is>
      </c>
      <c r="B271" s="1" t="n">
        <v>44888</v>
      </c>
      <c r="C271" s="1" t="n">
        <v>46195</v>
      </c>
      <c r="D271" t="inlineStr">
        <is>
          <t>ÖREBRO LÄN</t>
        </is>
      </c>
      <c r="E271" t="inlineStr">
        <is>
          <t>LINDESBERG</t>
        </is>
      </c>
      <c r="G271" t="n">
        <v>4.4</v>
      </c>
      <c r="H271" t="n">
        <v>0</v>
      </c>
      <c r="I271" t="n">
        <v>0</v>
      </c>
      <c r="J271" t="n">
        <v>0</v>
      </c>
      <c r="K271" t="n">
        <v>0</v>
      </c>
      <c r="L271" t="n">
        <v>0</v>
      </c>
      <c r="M271" t="n">
        <v>0</v>
      </c>
      <c r="N271" t="n">
        <v>0</v>
      </c>
      <c r="O271" t="n">
        <v>0</v>
      </c>
      <c r="P271" t="n">
        <v>0</v>
      </c>
      <c r="Q271" t="n">
        <v>0</v>
      </c>
      <c r="R271" s="2" t="inlineStr"/>
    </row>
    <row r="272" ht="15" customHeight="1">
      <c r="A272" t="inlineStr">
        <is>
          <t>A 42282-2024</t>
        </is>
      </c>
      <c r="B272" s="1" t="n">
        <v>45562</v>
      </c>
      <c r="C272" s="1" t="n">
        <v>46195</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42430-2024</t>
        </is>
      </c>
      <c r="B273" s="1" t="n">
        <v>45565</v>
      </c>
      <c r="C273" s="1" t="n">
        <v>46195</v>
      </c>
      <c r="D273" t="inlineStr">
        <is>
          <t>ÖREBRO LÄN</t>
        </is>
      </c>
      <c r="E273" t="inlineStr">
        <is>
          <t>LINDESBERG</t>
        </is>
      </c>
      <c r="G273" t="n">
        <v>4</v>
      </c>
      <c r="H273" t="n">
        <v>0</v>
      </c>
      <c r="I273" t="n">
        <v>0</v>
      </c>
      <c r="J273" t="n">
        <v>0</v>
      </c>
      <c r="K273" t="n">
        <v>0</v>
      </c>
      <c r="L273" t="n">
        <v>0</v>
      </c>
      <c r="M273" t="n">
        <v>0</v>
      </c>
      <c r="N273" t="n">
        <v>0</v>
      </c>
      <c r="O273" t="n">
        <v>0</v>
      </c>
      <c r="P273" t="n">
        <v>0</v>
      </c>
      <c r="Q273" t="n">
        <v>0</v>
      </c>
      <c r="R273" s="2" t="inlineStr"/>
    </row>
    <row r="274" ht="15" customHeight="1">
      <c r="A274" t="inlineStr">
        <is>
          <t>A 15822-2024</t>
        </is>
      </c>
      <c r="B274" s="1" t="n">
        <v>45404</v>
      </c>
      <c r="C274" s="1" t="n">
        <v>46195</v>
      </c>
      <c r="D274" t="inlineStr">
        <is>
          <t>ÖREBRO LÄN</t>
        </is>
      </c>
      <c r="E274" t="inlineStr">
        <is>
          <t>LINDESBERG</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40038-2024</t>
        </is>
      </c>
      <c r="B275" s="1" t="n">
        <v>45553</v>
      </c>
      <c r="C275" s="1" t="n">
        <v>46195</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8213-2023</t>
        </is>
      </c>
      <c r="B276" s="1" t="n">
        <v>44974</v>
      </c>
      <c r="C276" s="1" t="n">
        <v>46195</v>
      </c>
      <c r="D276" t="inlineStr">
        <is>
          <t>ÖREBRO LÄN</t>
        </is>
      </c>
      <c r="E276" t="inlineStr">
        <is>
          <t>LINDESBERG</t>
        </is>
      </c>
      <c r="G276" t="n">
        <v>0.7</v>
      </c>
      <c r="H276" t="n">
        <v>0</v>
      </c>
      <c r="I276" t="n">
        <v>0</v>
      </c>
      <c r="J276" t="n">
        <v>0</v>
      </c>
      <c r="K276" t="n">
        <v>0</v>
      </c>
      <c r="L276" t="n">
        <v>0</v>
      </c>
      <c r="M276" t="n">
        <v>0</v>
      </c>
      <c r="N276" t="n">
        <v>0</v>
      </c>
      <c r="O276" t="n">
        <v>0</v>
      </c>
      <c r="P276" t="n">
        <v>0</v>
      </c>
      <c r="Q276" t="n">
        <v>0</v>
      </c>
      <c r="R276" s="2" t="inlineStr"/>
    </row>
    <row r="277" ht="15" customHeight="1">
      <c r="A277" t="inlineStr">
        <is>
          <t>A 46219-2022</t>
        </is>
      </c>
      <c r="B277" s="1" t="n">
        <v>44846</v>
      </c>
      <c r="C277" s="1" t="n">
        <v>46195</v>
      </c>
      <c r="D277" t="inlineStr">
        <is>
          <t>ÖREBRO LÄN</t>
        </is>
      </c>
      <c r="E277" t="inlineStr">
        <is>
          <t>LINDESBERG</t>
        </is>
      </c>
      <c r="G277" t="n">
        <v>6</v>
      </c>
      <c r="H277" t="n">
        <v>0</v>
      </c>
      <c r="I277" t="n">
        <v>0</v>
      </c>
      <c r="J277" t="n">
        <v>0</v>
      </c>
      <c r="K277" t="n">
        <v>0</v>
      </c>
      <c r="L277" t="n">
        <v>0</v>
      </c>
      <c r="M277" t="n">
        <v>0</v>
      </c>
      <c r="N277" t="n">
        <v>0</v>
      </c>
      <c r="O277" t="n">
        <v>0</v>
      </c>
      <c r="P277" t="n">
        <v>0</v>
      </c>
      <c r="Q277" t="n">
        <v>0</v>
      </c>
      <c r="R277" s="2" t="inlineStr"/>
    </row>
    <row r="278" ht="15" customHeight="1">
      <c r="A278" t="inlineStr">
        <is>
          <t>A 33084-2021</t>
        </is>
      </c>
      <c r="B278" s="1" t="n">
        <v>44376</v>
      </c>
      <c r="C278" s="1" t="n">
        <v>46195</v>
      </c>
      <c r="D278" t="inlineStr">
        <is>
          <t>ÖREBRO LÄN</t>
        </is>
      </c>
      <c r="E278" t="inlineStr">
        <is>
          <t>LINDESBERG</t>
        </is>
      </c>
      <c r="G278" t="n">
        <v>3.1</v>
      </c>
      <c r="H278" t="n">
        <v>0</v>
      </c>
      <c r="I278" t="n">
        <v>0</v>
      </c>
      <c r="J278" t="n">
        <v>0</v>
      </c>
      <c r="K278" t="n">
        <v>0</v>
      </c>
      <c r="L278" t="n">
        <v>0</v>
      </c>
      <c r="M278" t="n">
        <v>0</v>
      </c>
      <c r="N278" t="n">
        <v>0</v>
      </c>
      <c r="O278" t="n">
        <v>0</v>
      </c>
      <c r="P278" t="n">
        <v>0</v>
      </c>
      <c r="Q278" t="n">
        <v>0</v>
      </c>
      <c r="R278" s="2" t="inlineStr"/>
    </row>
    <row r="279" ht="15" customHeight="1">
      <c r="A279" t="inlineStr">
        <is>
          <t>A 3732-2023</t>
        </is>
      </c>
      <c r="B279" s="1" t="n">
        <v>44949</v>
      </c>
      <c r="C279" s="1" t="n">
        <v>46195</v>
      </c>
      <c r="D279" t="inlineStr">
        <is>
          <t>ÖREBRO LÄN</t>
        </is>
      </c>
      <c r="E279" t="inlineStr">
        <is>
          <t>LINDESBERG</t>
        </is>
      </c>
      <c r="G279" t="n">
        <v>3.3</v>
      </c>
      <c r="H279" t="n">
        <v>0</v>
      </c>
      <c r="I279" t="n">
        <v>0</v>
      </c>
      <c r="J279" t="n">
        <v>0</v>
      </c>
      <c r="K279" t="n">
        <v>0</v>
      </c>
      <c r="L279" t="n">
        <v>0</v>
      </c>
      <c r="M279" t="n">
        <v>0</v>
      </c>
      <c r="N279" t="n">
        <v>0</v>
      </c>
      <c r="O279" t="n">
        <v>0</v>
      </c>
      <c r="P279" t="n">
        <v>0</v>
      </c>
      <c r="Q279" t="n">
        <v>0</v>
      </c>
      <c r="R279" s="2" t="inlineStr"/>
    </row>
    <row r="280" ht="15" customHeight="1">
      <c r="A280" t="inlineStr">
        <is>
          <t>A 2569-2023</t>
        </is>
      </c>
      <c r="B280" s="1" t="n">
        <v>44943</v>
      </c>
      <c r="C280" s="1" t="n">
        <v>46195</v>
      </c>
      <c r="D280" t="inlineStr">
        <is>
          <t>ÖREBRO LÄN</t>
        </is>
      </c>
      <c r="E280" t="inlineStr">
        <is>
          <t>LINDESBERG</t>
        </is>
      </c>
      <c r="G280" t="n">
        <v>2.3</v>
      </c>
      <c r="H280" t="n">
        <v>0</v>
      </c>
      <c r="I280" t="n">
        <v>0</v>
      </c>
      <c r="J280" t="n">
        <v>0</v>
      </c>
      <c r="K280" t="n">
        <v>0</v>
      </c>
      <c r="L280" t="n">
        <v>0</v>
      </c>
      <c r="M280" t="n">
        <v>0</v>
      </c>
      <c r="N280" t="n">
        <v>0</v>
      </c>
      <c r="O280" t="n">
        <v>0</v>
      </c>
      <c r="P280" t="n">
        <v>0</v>
      </c>
      <c r="Q280" t="n">
        <v>0</v>
      </c>
      <c r="R280" s="2" t="inlineStr"/>
    </row>
    <row r="281" ht="15" customHeight="1">
      <c r="A281" t="inlineStr">
        <is>
          <t>A 63686-2023</t>
        </is>
      </c>
      <c r="B281" s="1" t="n">
        <v>45274</v>
      </c>
      <c r="C281" s="1" t="n">
        <v>46195</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48244-2024</t>
        </is>
      </c>
      <c r="B282" s="1" t="n">
        <v>45590</v>
      </c>
      <c r="C282" s="1" t="n">
        <v>46195</v>
      </c>
      <c r="D282" t="inlineStr">
        <is>
          <t>ÖREBRO LÄN</t>
        </is>
      </c>
      <c r="E282" t="inlineStr">
        <is>
          <t>LINDESBERG</t>
        </is>
      </c>
      <c r="G282" t="n">
        <v>1.1</v>
      </c>
      <c r="H282" t="n">
        <v>0</v>
      </c>
      <c r="I282" t="n">
        <v>0</v>
      </c>
      <c r="J282" t="n">
        <v>0</v>
      </c>
      <c r="K282" t="n">
        <v>0</v>
      </c>
      <c r="L282" t="n">
        <v>0</v>
      </c>
      <c r="M282" t="n">
        <v>0</v>
      </c>
      <c r="N282" t="n">
        <v>0</v>
      </c>
      <c r="O282" t="n">
        <v>0</v>
      </c>
      <c r="P282" t="n">
        <v>0</v>
      </c>
      <c r="Q282" t="n">
        <v>0</v>
      </c>
      <c r="R282" s="2" t="inlineStr"/>
    </row>
    <row r="283" ht="15" customHeight="1">
      <c r="A283" t="inlineStr">
        <is>
          <t>A 59633-2023</t>
        </is>
      </c>
      <c r="B283" s="1" t="n">
        <v>45254</v>
      </c>
      <c r="C283" s="1" t="n">
        <v>46195</v>
      </c>
      <c r="D283" t="inlineStr">
        <is>
          <t>ÖREBRO LÄN</t>
        </is>
      </c>
      <c r="E283" t="inlineStr">
        <is>
          <t>LINDESBERG</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18418-2025</t>
        </is>
      </c>
      <c r="B284" s="1" t="n">
        <v>45762</v>
      </c>
      <c r="C284" s="1" t="n">
        <v>46195</v>
      </c>
      <c r="D284" t="inlineStr">
        <is>
          <t>ÖREBRO LÄN</t>
        </is>
      </c>
      <c r="E284" t="inlineStr">
        <is>
          <t>LINDESBERG</t>
        </is>
      </c>
      <c r="G284" t="n">
        <v>2.3</v>
      </c>
      <c r="H284" t="n">
        <v>0</v>
      </c>
      <c r="I284" t="n">
        <v>0</v>
      </c>
      <c r="J284" t="n">
        <v>0</v>
      </c>
      <c r="K284" t="n">
        <v>0</v>
      </c>
      <c r="L284" t="n">
        <v>0</v>
      </c>
      <c r="M284" t="n">
        <v>0</v>
      </c>
      <c r="N284" t="n">
        <v>0</v>
      </c>
      <c r="O284" t="n">
        <v>0</v>
      </c>
      <c r="P284" t="n">
        <v>0</v>
      </c>
      <c r="Q284" t="n">
        <v>0</v>
      </c>
      <c r="R284" s="2" t="inlineStr"/>
    </row>
    <row r="285" ht="15" customHeight="1">
      <c r="A285" t="inlineStr">
        <is>
          <t>A 7859-2022</t>
        </is>
      </c>
      <c r="B285" s="1" t="n">
        <v>44608</v>
      </c>
      <c r="C285" s="1" t="n">
        <v>46195</v>
      </c>
      <c r="D285" t="inlineStr">
        <is>
          <t>ÖREBRO LÄN</t>
        </is>
      </c>
      <c r="E285" t="inlineStr">
        <is>
          <t>LINDESBERG</t>
        </is>
      </c>
      <c r="F285" t="inlineStr">
        <is>
          <t>Kyrkan</t>
        </is>
      </c>
      <c r="G285" t="n">
        <v>0.7</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46195</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8612-2024</t>
        </is>
      </c>
      <c r="B287" s="1" t="n">
        <v>45355</v>
      </c>
      <c r="C287" s="1" t="n">
        <v>46195</v>
      </c>
      <c r="D287" t="inlineStr">
        <is>
          <t>ÖREBRO LÄN</t>
        </is>
      </c>
      <c r="E287" t="inlineStr">
        <is>
          <t>LINDESBERG</t>
        </is>
      </c>
      <c r="G287" t="n">
        <v>4.5</v>
      </c>
      <c r="H287" t="n">
        <v>0</v>
      </c>
      <c r="I287" t="n">
        <v>0</v>
      </c>
      <c r="J287" t="n">
        <v>0</v>
      </c>
      <c r="K287" t="n">
        <v>0</v>
      </c>
      <c r="L287" t="n">
        <v>0</v>
      </c>
      <c r="M287" t="n">
        <v>0</v>
      </c>
      <c r="N287" t="n">
        <v>0</v>
      </c>
      <c r="O287" t="n">
        <v>0</v>
      </c>
      <c r="P287" t="n">
        <v>0</v>
      </c>
      <c r="Q287" t="n">
        <v>0</v>
      </c>
      <c r="R287" s="2" t="inlineStr"/>
    </row>
    <row r="288" ht="15" customHeight="1">
      <c r="A288" t="inlineStr">
        <is>
          <t>A 23649-2023</t>
        </is>
      </c>
      <c r="B288" s="1" t="n">
        <v>45074</v>
      </c>
      <c r="C288" s="1" t="n">
        <v>46195</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17104-2024</t>
        </is>
      </c>
      <c r="B289" s="1" t="n">
        <v>45412</v>
      </c>
      <c r="C289" s="1" t="n">
        <v>46195</v>
      </c>
      <c r="D289" t="inlineStr">
        <is>
          <t>ÖREBRO LÄN</t>
        </is>
      </c>
      <c r="E289" t="inlineStr">
        <is>
          <t>LINDESBERG</t>
        </is>
      </c>
      <c r="G289" t="n">
        <v>2.2</v>
      </c>
      <c r="H289" t="n">
        <v>0</v>
      </c>
      <c r="I289" t="n">
        <v>0</v>
      </c>
      <c r="J289" t="n">
        <v>0</v>
      </c>
      <c r="K289" t="n">
        <v>0</v>
      </c>
      <c r="L289" t="n">
        <v>0</v>
      </c>
      <c r="M289" t="n">
        <v>0</v>
      </c>
      <c r="N289" t="n">
        <v>0</v>
      </c>
      <c r="O289" t="n">
        <v>0</v>
      </c>
      <c r="P289" t="n">
        <v>0</v>
      </c>
      <c r="Q289" t="n">
        <v>0</v>
      </c>
      <c r="R289" s="2" t="inlineStr"/>
    </row>
    <row r="290" ht="15" customHeight="1">
      <c r="A290" t="inlineStr">
        <is>
          <t>A 43081-2021</t>
        </is>
      </c>
      <c r="B290" s="1" t="n">
        <v>44431</v>
      </c>
      <c r="C290" s="1" t="n">
        <v>46195</v>
      </c>
      <c r="D290" t="inlineStr">
        <is>
          <t>ÖREBRO LÄN</t>
        </is>
      </c>
      <c r="E290" t="inlineStr">
        <is>
          <t>LINDESBERG</t>
        </is>
      </c>
      <c r="G290" t="n">
        <v>0.5</v>
      </c>
      <c r="H290" t="n">
        <v>0</v>
      </c>
      <c r="I290" t="n">
        <v>0</v>
      </c>
      <c r="J290" t="n">
        <v>0</v>
      </c>
      <c r="K290" t="n">
        <v>0</v>
      </c>
      <c r="L290" t="n">
        <v>0</v>
      </c>
      <c r="M290" t="n">
        <v>0</v>
      </c>
      <c r="N290" t="n">
        <v>0</v>
      </c>
      <c r="O290" t="n">
        <v>0</v>
      </c>
      <c r="P290" t="n">
        <v>0</v>
      </c>
      <c r="Q290" t="n">
        <v>0</v>
      </c>
      <c r="R290" s="2" t="inlineStr"/>
    </row>
    <row r="291" ht="15" customHeight="1">
      <c r="A291" t="inlineStr">
        <is>
          <t>A 35990-2021</t>
        </is>
      </c>
      <c r="B291" s="1" t="n">
        <v>44389</v>
      </c>
      <c r="C291" s="1" t="n">
        <v>46195</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71090-2021</t>
        </is>
      </c>
      <c r="B292" s="1" t="n">
        <v>44539</v>
      </c>
      <c r="C292" s="1" t="n">
        <v>46195</v>
      </c>
      <c r="D292" t="inlineStr">
        <is>
          <t>ÖREBRO LÄN</t>
        </is>
      </c>
      <c r="E292" t="inlineStr">
        <is>
          <t>LINDESBERG</t>
        </is>
      </c>
      <c r="G292" t="n">
        <v>4.3</v>
      </c>
      <c r="H292" t="n">
        <v>0</v>
      </c>
      <c r="I292" t="n">
        <v>0</v>
      </c>
      <c r="J292" t="n">
        <v>0</v>
      </c>
      <c r="K292" t="n">
        <v>0</v>
      </c>
      <c r="L292" t="n">
        <v>0</v>
      </c>
      <c r="M292" t="n">
        <v>0</v>
      </c>
      <c r="N292" t="n">
        <v>0</v>
      </c>
      <c r="O292" t="n">
        <v>0</v>
      </c>
      <c r="P292" t="n">
        <v>0</v>
      </c>
      <c r="Q292" t="n">
        <v>0</v>
      </c>
      <c r="R292" s="2" t="inlineStr"/>
    </row>
    <row r="293" ht="15" customHeight="1">
      <c r="A293" t="inlineStr">
        <is>
          <t>A 71092-2021</t>
        </is>
      </c>
      <c r="B293" s="1" t="n">
        <v>44539</v>
      </c>
      <c r="C293" s="1" t="n">
        <v>46195</v>
      </c>
      <c r="D293" t="inlineStr">
        <is>
          <t>ÖREBRO LÄN</t>
        </is>
      </c>
      <c r="E293" t="inlineStr">
        <is>
          <t>LINDESBERG</t>
        </is>
      </c>
      <c r="G293" t="n">
        <v>0.8</v>
      </c>
      <c r="H293" t="n">
        <v>0</v>
      </c>
      <c r="I293" t="n">
        <v>0</v>
      </c>
      <c r="J293" t="n">
        <v>0</v>
      </c>
      <c r="K293" t="n">
        <v>0</v>
      </c>
      <c r="L293" t="n">
        <v>0</v>
      </c>
      <c r="M293" t="n">
        <v>0</v>
      </c>
      <c r="N293" t="n">
        <v>0</v>
      </c>
      <c r="O293" t="n">
        <v>0</v>
      </c>
      <c r="P293" t="n">
        <v>0</v>
      </c>
      <c r="Q293" t="n">
        <v>0</v>
      </c>
      <c r="R293" s="2" t="inlineStr"/>
    </row>
    <row r="294" ht="15" customHeight="1">
      <c r="A294" t="inlineStr">
        <is>
          <t>A 51071-2022</t>
        </is>
      </c>
      <c r="B294" s="1" t="n">
        <v>44868</v>
      </c>
      <c r="C294" s="1" t="n">
        <v>46195</v>
      </c>
      <c r="D294" t="inlineStr">
        <is>
          <t>ÖREBRO LÄN</t>
        </is>
      </c>
      <c r="E294" t="inlineStr">
        <is>
          <t>LINDESBERG</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47069-2023</t>
        </is>
      </c>
      <c r="B295" s="1" t="n">
        <v>45201</v>
      </c>
      <c r="C295" s="1" t="n">
        <v>46195</v>
      </c>
      <c r="D295" t="inlineStr">
        <is>
          <t>ÖREBRO LÄN</t>
        </is>
      </c>
      <c r="E295" t="inlineStr">
        <is>
          <t>LINDESBERG</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47074-2023</t>
        </is>
      </c>
      <c r="B296" s="1" t="n">
        <v>45201</v>
      </c>
      <c r="C296" s="1" t="n">
        <v>46195</v>
      </c>
      <c r="D296" t="inlineStr">
        <is>
          <t>ÖREBRO LÄN</t>
        </is>
      </c>
      <c r="E296" t="inlineStr">
        <is>
          <t>LINDESBERG</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44449-2023</t>
        </is>
      </c>
      <c r="B297" s="1" t="n">
        <v>45189</v>
      </c>
      <c r="C297" s="1" t="n">
        <v>46195</v>
      </c>
      <c r="D297" t="inlineStr">
        <is>
          <t>ÖREBRO LÄN</t>
        </is>
      </c>
      <c r="E297" t="inlineStr">
        <is>
          <t>LINDESBERG</t>
        </is>
      </c>
      <c r="G297" t="n">
        <v>13.7</v>
      </c>
      <c r="H297" t="n">
        <v>0</v>
      </c>
      <c r="I297" t="n">
        <v>0</v>
      </c>
      <c r="J297" t="n">
        <v>0</v>
      </c>
      <c r="K297" t="n">
        <v>0</v>
      </c>
      <c r="L297" t="n">
        <v>0</v>
      </c>
      <c r="M297" t="n">
        <v>0</v>
      </c>
      <c r="N297" t="n">
        <v>0</v>
      </c>
      <c r="O297" t="n">
        <v>0</v>
      </c>
      <c r="P297" t="n">
        <v>0</v>
      </c>
      <c r="Q297" t="n">
        <v>0</v>
      </c>
      <c r="R297" s="2" t="inlineStr"/>
    </row>
    <row r="298" ht="15" customHeight="1">
      <c r="A298" t="inlineStr">
        <is>
          <t>A 26093-2023</t>
        </is>
      </c>
      <c r="B298" s="1" t="n">
        <v>45091</v>
      </c>
      <c r="C298" s="1" t="n">
        <v>46195</v>
      </c>
      <c r="D298" t="inlineStr">
        <is>
          <t>ÖREBRO LÄN</t>
        </is>
      </c>
      <c r="E298" t="inlineStr">
        <is>
          <t>LINDESBERG</t>
        </is>
      </c>
      <c r="G298" t="n">
        <v>0.4</v>
      </c>
      <c r="H298" t="n">
        <v>0</v>
      </c>
      <c r="I298" t="n">
        <v>0</v>
      </c>
      <c r="J298" t="n">
        <v>0</v>
      </c>
      <c r="K298" t="n">
        <v>0</v>
      </c>
      <c r="L298" t="n">
        <v>0</v>
      </c>
      <c r="M298" t="n">
        <v>0</v>
      </c>
      <c r="N298" t="n">
        <v>0</v>
      </c>
      <c r="O298" t="n">
        <v>0</v>
      </c>
      <c r="P298" t="n">
        <v>0</v>
      </c>
      <c r="Q298" t="n">
        <v>0</v>
      </c>
      <c r="R298" s="2" t="inlineStr"/>
    </row>
    <row r="299" ht="15" customHeight="1">
      <c r="A299" t="inlineStr">
        <is>
          <t>A 38509-2025</t>
        </is>
      </c>
      <c r="B299" s="1" t="n">
        <v>45884</v>
      </c>
      <c r="C299" s="1" t="n">
        <v>46195</v>
      </c>
      <c r="D299" t="inlineStr">
        <is>
          <t>ÖREBRO LÄN</t>
        </is>
      </c>
      <c r="E299" t="inlineStr">
        <is>
          <t>LINDESBERG</t>
        </is>
      </c>
      <c r="G299" t="n">
        <v>14.9</v>
      </c>
      <c r="H299" t="n">
        <v>0</v>
      </c>
      <c r="I299" t="n">
        <v>0</v>
      </c>
      <c r="J299" t="n">
        <v>0</v>
      </c>
      <c r="K299" t="n">
        <v>0</v>
      </c>
      <c r="L299" t="n">
        <v>0</v>
      </c>
      <c r="M299" t="n">
        <v>0</v>
      </c>
      <c r="N299" t="n">
        <v>0</v>
      </c>
      <c r="O299" t="n">
        <v>0</v>
      </c>
      <c r="P299" t="n">
        <v>0</v>
      </c>
      <c r="Q299" t="n">
        <v>0</v>
      </c>
      <c r="R299" s="2" t="inlineStr"/>
    </row>
    <row r="300" ht="15" customHeight="1">
      <c r="A300" t="inlineStr">
        <is>
          <t>A 53352-2023</t>
        </is>
      </c>
      <c r="B300" s="1" t="n">
        <v>45229</v>
      </c>
      <c r="C300" s="1" t="n">
        <v>46195</v>
      </c>
      <c r="D300" t="inlineStr">
        <is>
          <t>ÖREBRO LÄN</t>
        </is>
      </c>
      <c r="E300" t="inlineStr">
        <is>
          <t>LINDESBERG</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46678-2023</t>
        </is>
      </c>
      <c r="B301" s="1" t="n">
        <v>45194</v>
      </c>
      <c r="C301" s="1" t="n">
        <v>46195</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26967-2022</t>
        </is>
      </c>
      <c r="B302" s="1" t="n">
        <v>44740</v>
      </c>
      <c r="C302" s="1" t="n">
        <v>46195</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45978-2021</t>
        </is>
      </c>
      <c r="B303" s="1" t="n">
        <v>44441</v>
      </c>
      <c r="C303" s="1" t="n">
        <v>46195</v>
      </c>
      <c r="D303" t="inlineStr">
        <is>
          <t>ÖREBRO LÄN</t>
        </is>
      </c>
      <c r="E303" t="inlineStr">
        <is>
          <t>LINDESBERG</t>
        </is>
      </c>
      <c r="G303" t="n">
        <v>4.4</v>
      </c>
      <c r="H303" t="n">
        <v>0</v>
      </c>
      <c r="I303" t="n">
        <v>0</v>
      </c>
      <c r="J303" t="n">
        <v>0</v>
      </c>
      <c r="K303" t="n">
        <v>0</v>
      </c>
      <c r="L303" t="n">
        <v>0</v>
      </c>
      <c r="M303" t="n">
        <v>0</v>
      </c>
      <c r="N303" t="n">
        <v>0</v>
      </c>
      <c r="O303" t="n">
        <v>0</v>
      </c>
      <c r="P303" t="n">
        <v>0</v>
      </c>
      <c r="Q303" t="n">
        <v>0</v>
      </c>
      <c r="R303" s="2" t="inlineStr"/>
    </row>
    <row r="304" ht="15" customHeight="1">
      <c r="A304" t="inlineStr">
        <is>
          <t>A 14454-2024</t>
        </is>
      </c>
      <c r="B304" s="1" t="n">
        <v>45394</v>
      </c>
      <c r="C304" s="1" t="n">
        <v>46195</v>
      </c>
      <c r="D304" t="inlineStr">
        <is>
          <t>ÖREBRO LÄN</t>
        </is>
      </c>
      <c r="E304" t="inlineStr">
        <is>
          <t>LINDESBERG</t>
        </is>
      </c>
      <c r="G304" t="n">
        <v>1.9</v>
      </c>
      <c r="H304" t="n">
        <v>0</v>
      </c>
      <c r="I304" t="n">
        <v>0</v>
      </c>
      <c r="J304" t="n">
        <v>0</v>
      </c>
      <c r="K304" t="n">
        <v>0</v>
      </c>
      <c r="L304" t="n">
        <v>0</v>
      </c>
      <c r="M304" t="n">
        <v>0</v>
      </c>
      <c r="N304" t="n">
        <v>0</v>
      </c>
      <c r="O304" t="n">
        <v>0</v>
      </c>
      <c r="P304" t="n">
        <v>0</v>
      </c>
      <c r="Q304" t="n">
        <v>0</v>
      </c>
      <c r="R304" s="2" t="inlineStr"/>
    </row>
    <row r="305" ht="15" customHeight="1">
      <c r="A305" t="inlineStr">
        <is>
          <t>A 46484-2024</t>
        </is>
      </c>
      <c r="B305" s="1" t="n">
        <v>45582</v>
      </c>
      <c r="C305" s="1" t="n">
        <v>46195</v>
      </c>
      <c r="D305" t="inlineStr">
        <is>
          <t>ÖREBRO LÄN</t>
        </is>
      </c>
      <c r="E305" t="inlineStr">
        <is>
          <t>LINDESBERG</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19436-2025</t>
        </is>
      </c>
      <c r="B306" s="1" t="n">
        <v>45769</v>
      </c>
      <c r="C306" s="1" t="n">
        <v>46195</v>
      </c>
      <c r="D306" t="inlineStr">
        <is>
          <t>ÖREBRO LÄN</t>
        </is>
      </c>
      <c r="E306" t="inlineStr">
        <is>
          <t>LINDESBERG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45078-2024</t>
        </is>
      </c>
      <c r="B307" s="1" t="n">
        <v>45575</v>
      </c>
      <c r="C307" s="1" t="n">
        <v>46195</v>
      </c>
      <c r="D307" t="inlineStr">
        <is>
          <t>ÖREBRO LÄN</t>
        </is>
      </c>
      <c r="E307" t="inlineStr">
        <is>
          <t>LINDESBERG</t>
        </is>
      </c>
      <c r="G307" t="n">
        <v>1.4</v>
      </c>
      <c r="H307" t="n">
        <v>0</v>
      </c>
      <c r="I307" t="n">
        <v>0</v>
      </c>
      <c r="J307" t="n">
        <v>0</v>
      </c>
      <c r="K307" t="n">
        <v>0</v>
      </c>
      <c r="L307" t="n">
        <v>0</v>
      </c>
      <c r="M307" t="n">
        <v>0</v>
      </c>
      <c r="N307" t="n">
        <v>0</v>
      </c>
      <c r="O307" t="n">
        <v>0</v>
      </c>
      <c r="P307" t="n">
        <v>0</v>
      </c>
      <c r="Q307" t="n">
        <v>0</v>
      </c>
      <c r="R307" s="2" t="inlineStr"/>
    </row>
    <row r="308" ht="15" customHeight="1">
      <c r="A308" t="inlineStr">
        <is>
          <t>A 13350-2024</t>
        </is>
      </c>
      <c r="B308" s="1" t="n">
        <v>45387</v>
      </c>
      <c r="C308" s="1" t="n">
        <v>46195</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13351-2024</t>
        </is>
      </c>
      <c r="B309" s="1" t="n">
        <v>45387</v>
      </c>
      <c r="C309" s="1" t="n">
        <v>46195</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27001-2024</t>
        </is>
      </c>
      <c r="B310" s="1" t="n">
        <v>45471</v>
      </c>
      <c r="C310" s="1" t="n">
        <v>46195</v>
      </c>
      <c r="D310" t="inlineStr">
        <is>
          <t>ÖREBRO LÄN</t>
        </is>
      </c>
      <c r="E310" t="inlineStr">
        <is>
          <t>LINDESBERG</t>
        </is>
      </c>
      <c r="G310" t="n">
        <v>2.8</v>
      </c>
      <c r="H310" t="n">
        <v>0</v>
      </c>
      <c r="I310" t="n">
        <v>0</v>
      </c>
      <c r="J310" t="n">
        <v>0</v>
      </c>
      <c r="K310" t="n">
        <v>0</v>
      </c>
      <c r="L310" t="n">
        <v>0</v>
      </c>
      <c r="M310" t="n">
        <v>0</v>
      </c>
      <c r="N310" t="n">
        <v>0</v>
      </c>
      <c r="O310" t="n">
        <v>0</v>
      </c>
      <c r="P310" t="n">
        <v>0</v>
      </c>
      <c r="Q310" t="n">
        <v>0</v>
      </c>
      <c r="R310" s="2" t="inlineStr"/>
    </row>
    <row r="311" ht="15" customHeight="1">
      <c r="A311" t="inlineStr">
        <is>
          <t>A 51656-2023</t>
        </is>
      </c>
      <c r="B311" s="1" t="n">
        <v>45222</v>
      </c>
      <c r="C311" s="1" t="n">
        <v>46195</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19914-2024</t>
        </is>
      </c>
      <c r="B312" s="1" t="n">
        <v>45433</v>
      </c>
      <c r="C312" s="1" t="n">
        <v>46195</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20467-2023</t>
        </is>
      </c>
      <c r="B313" s="1" t="n">
        <v>45057</v>
      </c>
      <c r="C313" s="1" t="n">
        <v>46195</v>
      </c>
      <c r="D313" t="inlineStr">
        <is>
          <t>ÖREBRO LÄN</t>
        </is>
      </c>
      <c r="E313" t="inlineStr">
        <is>
          <t>LINDESBERG</t>
        </is>
      </c>
      <c r="G313" t="n">
        <v>2.1</v>
      </c>
      <c r="H313" t="n">
        <v>0</v>
      </c>
      <c r="I313" t="n">
        <v>0</v>
      </c>
      <c r="J313" t="n">
        <v>0</v>
      </c>
      <c r="K313" t="n">
        <v>0</v>
      </c>
      <c r="L313" t="n">
        <v>0</v>
      </c>
      <c r="M313" t="n">
        <v>0</v>
      </c>
      <c r="N313" t="n">
        <v>0</v>
      </c>
      <c r="O313" t="n">
        <v>0</v>
      </c>
      <c r="P313" t="n">
        <v>0</v>
      </c>
      <c r="Q313" t="n">
        <v>0</v>
      </c>
      <c r="R313" s="2" t="inlineStr"/>
    </row>
    <row r="314" ht="15" customHeight="1">
      <c r="A314" t="inlineStr">
        <is>
          <t>A 12739-2024</t>
        </is>
      </c>
      <c r="B314" s="1" t="n">
        <v>45384</v>
      </c>
      <c r="C314" s="1" t="n">
        <v>46195</v>
      </c>
      <c r="D314" t="inlineStr">
        <is>
          <t>ÖREBRO LÄN</t>
        </is>
      </c>
      <c r="E314" t="inlineStr">
        <is>
          <t>LINDESBERG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12053-2024</t>
        </is>
      </c>
      <c r="B315" s="1" t="n">
        <v>45377</v>
      </c>
      <c r="C315" s="1" t="n">
        <v>46195</v>
      </c>
      <c r="D315" t="inlineStr">
        <is>
          <t>ÖREBRO LÄN</t>
        </is>
      </c>
      <c r="E315" t="inlineStr">
        <is>
          <t>LINDESBERG</t>
        </is>
      </c>
      <c r="G315" t="n">
        <v>1.7</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46195</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56579-2023</t>
        </is>
      </c>
      <c r="B317" s="1" t="n">
        <v>45243</v>
      </c>
      <c r="C317" s="1" t="n">
        <v>46195</v>
      </c>
      <c r="D317" t="inlineStr">
        <is>
          <t>ÖREBRO LÄN</t>
        </is>
      </c>
      <c r="E317" t="inlineStr">
        <is>
          <t>LINDESBERG</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56582-2023</t>
        </is>
      </c>
      <c r="B318" s="1" t="n">
        <v>45243</v>
      </c>
      <c r="C318" s="1" t="n">
        <v>46195</v>
      </c>
      <c r="D318" t="inlineStr">
        <is>
          <t>ÖREBRO LÄN</t>
        </is>
      </c>
      <c r="E318" t="inlineStr">
        <is>
          <t>LINDESBERG</t>
        </is>
      </c>
      <c r="F318" t="inlineStr">
        <is>
          <t>Naturvårdsverket</t>
        </is>
      </c>
      <c r="G318" t="n">
        <v>2.3</v>
      </c>
      <c r="H318" t="n">
        <v>0</v>
      </c>
      <c r="I318" t="n">
        <v>0</v>
      </c>
      <c r="J318" t="n">
        <v>0</v>
      </c>
      <c r="K318" t="n">
        <v>0</v>
      </c>
      <c r="L318" t="n">
        <v>0</v>
      </c>
      <c r="M318" t="n">
        <v>0</v>
      </c>
      <c r="N318" t="n">
        <v>0</v>
      </c>
      <c r="O318" t="n">
        <v>0</v>
      </c>
      <c r="P318" t="n">
        <v>0</v>
      </c>
      <c r="Q318" t="n">
        <v>0</v>
      </c>
      <c r="R318" s="2" t="inlineStr"/>
    </row>
    <row r="319" ht="15" customHeight="1">
      <c r="A319" t="inlineStr">
        <is>
          <t>A 39137-2024</t>
        </is>
      </c>
      <c r="B319" s="1" t="n">
        <v>45548</v>
      </c>
      <c r="C319" s="1" t="n">
        <v>46195</v>
      </c>
      <c r="D319" t="inlineStr">
        <is>
          <t>ÖREBRO LÄN</t>
        </is>
      </c>
      <c r="E319" t="inlineStr">
        <is>
          <t>LINDESBERG</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39152-2024</t>
        </is>
      </c>
      <c r="B320" s="1" t="n">
        <v>45548</v>
      </c>
      <c r="C320" s="1" t="n">
        <v>46195</v>
      </c>
      <c r="D320" t="inlineStr">
        <is>
          <t>ÖREBRO LÄN</t>
        </is>
      </c>
      <c r="E320" t="inlineStr">
        <is>
          <t>LINDESBERG</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56217-2022</t>
        </is>
      </c>
      <c r="B321" s="1" t="n">
        <v>44890</v>
      </c>
      <c r="C321" s="1" t="n">
        <v>46195</v>
      </c>
      <c r="D321" t="inlineStr">
        <is>
          <t>ÖREBRO LÄN</t>
        </is>
      </c>
      <c r="E321" t="inlineStr">
        <is>
          <t>LINDESBERG</t>
        </is>
      </c>
      <c r="G321" t="n">
        <v>6.9</v>
      </c>
      <c r="H321" t="n">
        <v>0</v>
      </c>
      <c r="I321" t="n">
        <v>0</v>
      </c>
      <c r="J321" t="n">
        <v>0</v>
      </c>
      <c r="K321" t="n">
        <v>0</v>
      </c>
      <c r="L321" t="n">
        <v>0</v>
      </c>
      <c r="M321" t="n">
        <v>0</v>
      </c>
      <c r="N321" t="n">
        <v>0</v>
      </c>
      <c r="O321" t="n">
        <v>0</v>
      </c>
      <c r="P321" t="n">
        <v>0</v>
      </c>
      <c r="Q321" t="n">
        <v>0</v>
      </c>
      <c r="R321" s="2" t="inlineStr"/>
    </row>
    <row r="322" ht="15" customHeight="1">
      <c r="A322" t="inlineStr">
        <is>
          <t>A 50170-2022</t>
        </is>
      </c>
      <c r="B322" s="1" t="n">
        <v>44865</v>
      </c>
      <c r="C322" s="1" t="n">
        <v>46195</v>
      </c>
      <c r="D322" t="inlineStr">
        <is>
          <t>ÖREBRO LÄN</t>
        </is>
      </c>
      <c r="E322" t="inlineStr">
        <is>
          <t>LINDESBERG</t>
        </is>
      </c>
      <c r="G322" t="n">
        <v>2.1</v>
      </c>
      <c r="H322" t="n">
        <v>0</v>
      </c>
      <c r="I322" t="n">
        <v>0</v>
      </c>
      <c r="J322" t="n">
        <v>0</v>
      </c>
      <c r="K322" t="n">
        <v>0</v>
      </c>
      <c r="L322" t="n">
        <v>0</v>
      </c>
      <c r="M322" t="n">
        <v>0</v>
      </c>
      <c r="N322" t="n">
        <v>0</v>
      </c>
      <c r="O322" t="n">
        <v>0</v>
      </c>
      <c r="P322" t="n">
        <v>0</v>
      </c>
      <c r="Q322" t="n">
        <v>0</v>
      </c>
      <c r="R322" s="2" t="inlineStr"/>
    </row>
    <row r="323" ht="15" customHeight="1">
      <c r="A323" t="inlineStr">
        <is>
          <t>A 40305-2024</t>
        </is>
      </c>
      <c r="B323" s="1" t="n">
        <v>45554</v>
      </c>
      <c r="C323" s="1" t="n">
        <v>46195</v>
      </c>
      <c r="D323" t="inlineStr">
        <is>
          <t>ÖREBRO LÄN</t>
        </is>
      </c>
      <c r="E323" t="inlineStr">
        <is>
          <t>LINDESBERG</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43529-2024</t>
        </is>
      </c>
      <c r="B324" s="1" t="n">
        <v>45569</v>
      </c>
      <c r="C324" s="1" t="n">
        <v>46195</v>
      </c>
      <c r="D324" t="inlineStr">
        <is>
          <t>ÖREBRO LÄN</t>
        </is>
      </c>
      <c r="E324" t="inlineStr">
        <is>
          <t>LINDESBERG</t>
        </is>
      </c>
      <c r="G324" t="n">
        <v>2.8</v>
      </c>
      <c r="H324" t="n">
        <v>0</v>
      </c>
      <c r="I324" t="n">
        <v>0</v>
      </c>
      <c r="J324" t="n">
        <v>0</v>
      </c>
      <c r="K324" t="n">
        <v>0</v>
      </c>
      <c r="L324" t="n">
        <v>0</v>
      </c>
      <c r="M324" t="n">
        <v>0</v>
      </c>
      <c r="N324" t="n">
        <v>0</v>
      </c>
      <c r="O324" t="n">
        <v>0</v>
      </c>
      <c r="P324" t="n">
        <v>0</v>
      </c>
      <c r="Q324" t="n">
        <v>0</v>
      </c>
      <c r="R324" s="2" t="inlineStr"/>
    </row>
    <row r="325" ht="15" customHeight="1">
      <c r="A325" t="inlineStr">
        <is>
          <t>A 1354-2024</t>
        </is>
      </c>
      <c r="B325" s="1" t="n">
        <v>45303</v>
      </c>
      <c r="C325" s="1" t="n">
        <v>46195</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27134-2024</t>
        </is>
      </c>
      <c r="B326" s="1" t="n">
        <v>45471</v>
      </c>
      <c r="C326" s="1" t="n">
        <v>46195</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46607-2021</t>
        </is>
      </c>
      <c r="B327" s="1" t="n">
        <v>44445</v>
      </c>
      <c r="C327" s="1" t="n">
        <v>46195</v>
      </c>
      <c r="D327" t="inlineStr">
        <is>
          <t>ÖREBRO LÄN</t>
        </is>
      </c>
      <c r="E327" t="inlineStr">
        <is>
          <t>LINDESBERG</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33886-2024</t>
        </is>
      </c>
      <c r="B328" s="1" t="n">
        <v>45523</v>
      </c>
      <c r="C328" s="1" t="n">
        <v>46195</v>
      </c>
      <c r="D328" t="inlineStr">
        <is>
          <t>ÖREBRO LÄN</t>
        </is>
      </c>
      <c r="E328" t="inlineStr">
        <is>
          <t>LINDESBERG</t>
        </is>
      </c>
      <c r="G328" t="n">
        <v>1.3</v>
      </c>
      <c r="H328" t="n">
        <v>0</v>
      </c>
      <c r="I328" t="n">
        <v>0</v>
      </c>
      <c r="J328" t="n">
        <v>0</v>
      </c>
      <c r="K328" t="n">
        <v>0</v>
      </c>
      <c r="L328" t="n">
        <v>0</v>
      </c>
      <c r="M328" t="n">
        <v>0</v>
      </c>
      <c r="N328" t="n">
        <v>0</v>
      </c>
      <c r="O328" t="n">
        <v>0</v>
      </c>
      <c r="P328" t="n">
        <v>0</v>
      </c>
      <c r="Q328" t="n">
        <v>0</v>
      </c>
      <c r="R328" s="2" t="inlineStr"/>
    </row>
    <row r="329" ht="15" customHeight="1">
      <c r="A329" t="inlineStr">
        <is>
          <t>A 33280-2024</t>
        </is>
      </c>
      <c r="B329" s="1" t="n">
        <v>45518</v>
      </c>
      <c r="C329" s="1" t="n">
        <v>46195</v>
      </c>
      <c r="D329" t="inlineStr">
        <is>
          <t>ÖREBRO LÄN</t>
        </is>
      </c>
      <c r="E329" t="inlineStr">
        <is>
          <t>LINDESBERG</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1405-2025</t>
        </is>
      </c>
      <c r="B330" s="1" t="n">
        <v>45667</v>
      </c>
      <c r="C330" s="1" t="n">
        <v>46195</v>
      </c>
      <c r="D330" t="inlineStr">
        <is>
          <t>ÖREBRO LÄN</t>
        </is>
      </c>
      <c r="E330" t="inlineStr">
        <is>
          <t>LINDESBERG</t>
        </is>
      </c>
      <c r="F330" t="inlineStr">
        <is>
          <t>Allmännings- och besparingsskogar</t>
        </is>
      </c>
      <c r="G330" t="n">
        <v>3.1</v>
      </c>
      <c r="H330" t="n">
        <v>0</v>
      </c>
      <c r="I330" t="n">
        <v>0</v>
      </c>
      <c r="J330" t="n">
        <v>0</v>
      </c>
      <c r="K330" t="n">
        <v>0</v>
      </c>
      <c r="L330" t="n">
        <v>0</v>
      </c>
      <c r="M330" t="n">
        <v>0</v>
      </c>
      <c r="N330" t="n">
        <v>0</v>
      </c>
      <c r="O330" t="n">
        <v>0</v>
      </c>
      <c r="P330" t="n">
        <v>0</v>
      </c>
      <c r="Q330" t="n">
        <v>0</v>
      </c>
      <c r="R330" s="2" t="inlineStr"/>
    </row>
    <row r="331" ht="15" customHeight="1">
      <c r="A331" t="inlineStr">
        <is>
          <t>A 38534-2025</t>
        </is>
      </c>
      <c r="B331" s="1" t="n">
        <v>45884</v>
      </c>
      <c r="C331" s="1" t="n">
        <v>46195</v>
      </c>
      <c r="D331" t="inlineStr">
        <is>
          <t>ÖREBRO LÄN</t>
        </is>
      </c>
      <c r="E331" t="inlineStr">
        <is>
          <t>LINDESBERG</t>
        </is>
      </c>
      <c r="G331" t="n">
        <v>4.9</v>
      </c>
      <c r="H331" t="n">
        <v>0</v>
      </c>
      <c r="I331" t="n">
        <v>0</v>
      </c>
      <c r="J331" t="n">
        <v>0</v>
      </c>
      <c r="K331" t="n">
        <v>0</v>
      </c>
      <c r="L331" t="n">
        <v>0</v>
      </c>
      <c r="M331" t="n">
        <v>0</v>
      </c>
      <c r="N331" t="n">
        <v>0</v>
      </c>
      <c r="O331" t="n">
        <v>0</v>
      </c>
      <c r="P331" t="n">
        <v>0</v>
      </c>
      <c r="Q331" t="n">
        <v>0</v>
      </c>
      <c r="R331" s="2" t="inlineStr"/>
    </row>
    <row r="332" ht="15" customHeight="1">
      <c r="A332" t="inlineStr">
        <is>
          <t>A 21012-2023</t>
        </is>
      </c>
      <c r="B332" s="1" t="n">
        <v>45061</v>
      </c>
      <c r="C332" s="1" t="n">
        <v>46195</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27051-2023</t>
        </is>
      </c>
      <c r="B333" s="1" t="n">
        <v>45095</v>
      </c>
      <c r="C333" s="1" t="n">
        <v>46195</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27052-2023</t>
        </is>
      </c>
      <c r="B334" s="1" t="n">
        <v>45095</v>
      </c>
      <c r="C334" s="1" t="n">
        <v>46195</v>
      </c>
      <c r="D334" t="inlineStr">
        <is>
          <t>ÖREBRO LÄN</t>
        </is>
      </c>
      <c r="E334" t="inlineStr">
        <is>
          <t>LINDESBERG</t>
        </is>
      </c>
      <c r="G334" t="n">
        <v>1.1</v>
      </c>
      <c r="H334" t="n">
        <v>0</v>
      </c>
      <c r="I334" t="n">
        <v>0</v>
      </c>
      <c r="J334" t="n">
        <v>0</v>
      </c>
      <c r="K334" t="n">
        <v>0</v>
      </c>
      <c r="L334" t="n">
        <v>0</v>
      </c>
      <c r="M334" t="n">
        <v>0</v>
      </c>
      <c r="N334" t="n">
        <v>0</v>
      </c>
      <c r="O334" t="n">
        <v>0</v>
      </c>
      <c r="P334" t="n">
        <v>0</v>
      </c>
      <c r="Q334" t="n">
        <v>0</v>
      </c>
      <c r="R334" s="2" t="inlineStr"/>
    </row>
    <row r="335" ht="15" customHeight="1">
      <c r="A335" t="inlineStr">
        <is>
          <t>A 37432-2022</t>
        </is>
      </c>
      <c r="B335" s="1" t="n">
        <v>44809</v>
      </c>
      <c r="C335" s="1" t="n">
        <v>46195</v>
      </c>
      <c r="D335" t="inlineStr">
        <is>
          <t>ÖREBRO LÄN</t>
        </is>
      </c>
      <c r="E335" t="inlineStr">
        <is>
          <t>LINDESBERG</t>
        </is>
      </c>
      <c r="G335" t="n">
        <v>3.6</v>
      </c>
      <c r="H335" t="n">
        <v>0</v>
      </c>
      <c r="I335" t="n">
        <v>0</v>
      </c>
      <c r="J335" t="n">
        <v>0</v>
      </c>
      <c r="K335" t="n">
        <v>0</v>
      </c>
      <c r="L335" t="n">
        <v>0</v>
      </c>
      <c r="M335" t="n">
        <v>0</v>
      </c>
      <c r="N335" t="n">
        <v>0</v>
      </c>
      <c r="O335" t="n">
        <v>0</v>
      </c>
      <c r="P335" t="n">
        <v>0</v>
      </c>
      <c r="Q335" t="n">
        <v>0</v>
      </c>
      <c r="R335" s="2" t="inlineStr"/>
    </row>
    <row r="336" ht="15" customHeight="1">
      <c r="A336" t="inlineStr">
        <is>
          <t>A 58710-2023</t>
        </is>
      </c>
      <c r="B336" s="1" t="n">
        <v>45251</v>
      </c>
      <c r="C336" s="1" t="n">
        <v>46195</v>
      </c>
      <c r="D336" t="inlineStr">
        <is>
          <t>ÖREBRO LÄN</t>
        </is>
      </c>
      <c r="E336" t="inlineStr">
        <is>
          <t>LINDESBERG</t>
        </is>
      </c>
      <c r="G336" t="n">
        <v>6.3</v>
      </c>
      <c r="H336" t="n">
        <v>0</v>
      </c>
      <c r="I336" t="n">
        <v>0</v>
      </c>
      <c r="J336" t="n">
        <v>0</v>
      </c>
      <c r="K336" t="n">
        <v>0</v>
      </c>
      <c r="L336" t="n">
        <v>0</v>
      </c>
      <c r="M336" t="n">
        <v>0</v>
      </c>
      <c r="N336" t="n">
        <v>0</v>
      </c>
      <c r="O336" t="n">
        <v>0</v>
      </c>
      <c r="P336" t="n">
        <v>0</v>
      </c>
      <c r="Q336" t="n">
        <v>0</v>
      </c>
      <c r="R336" s="2" t="inlineStr"/>
    </row>
    <row r="337" ht="15" customHeight="1">
      <c r="A337" t="inlineStr">
        <is>
          <t>A 5772-2023</t>
        </is>
      </c>
      <c r="B337" s="1" t="n">
        <v>44963</v>
      </c>
      <c r="C337" s="1" t="n">
        <v>46195</v>
      </c>
      <c r="D337" t="inlineStr">
        <is>
          <t>ÖREBRO LÄN</t>
        </is>
      </c>
      <c r="E337" t="inlineStr">
        <is>
          <t>LINDESBERG</t>
        </is>
      </c>
      <c r="G337" t="n">
        <v>3</v>
      </c>
      <c r="H337" t="n">
        <v>0</v>
      </c>
      <c r="I337" t="n">
        <v>0</v>
      </c>
      <c r="J337" t="n">
        <v>0</v>
      </c>
      <c r="K337" t="n">
        <v>0</v>
      </c>
      <c r="L337" t="n">
        <v>0</v>
      </c>
      <c r="M337" t="n">
        <v>0</v>
      </c>
      <c r="N337" t="n">
        <v>0</v>
      </c>
      <c r="O337" t="n">
        <v>0</v>
      </c>
      <c r="P337" t="n">
        <v>0</v>
      </c>
      <c r="Q337" t="n">
        <v>0</v>
      </c>
      <c r="R337" s="2" t="inlineStr"/>
    </row>
    <row r="338" ht="15" customHeight="1">
      <c r="A338" t="inlineStr">
        <is>
          <t>A 53054-2022</t>
        </is>
      </c>
      <c r="B338" s="1" t="n">
        <v>44876</v>
      </c>
      <c r="C338" s="1" t="n">
        <v>46195</v>
      </c>
      <c r="D338" t="inlineStr">
        <is>
          <t>ÖREBRO LÄN</t>
        </is>
      </c>
      <c r="E338" t="inlineStr">
        <is>
          <t>LINDESBERG</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40456-2023</t>
        </is>
      </c>
      <c r="B339" s="1" t="n">
        <v>45170</v>
      </c>
      <c r="C339" s="1" t="n">
        <v>46195</v>
      </c>
      <c r="D339" t="inlineStr">
        <is>
          <t>ÖREBRO LÄN</t>
        </is>
      </c>
      <c r="E339" t="inlineStr">
        <is>
          <t>LINDESBERG</t>
        </is>
      </c>
      <c r="F339" t="inlineStr">
        <is>
          <t>Kyrkan</t>
        </is>
      </c>
      <c r="G339" t="n">
        <v>0.6</v>
      </c>
      <c r="H339" t="n">
        <v>0</v>
      </c>
      <c r="I339" t="n">
        <v>0</v>
      </c>
      <c r="J339" t="n">
        <v>0</v>
      </c>
      <c r="K339" t="n">
        <v>0</v>
      </c>
      <c r="L339" t="n">
        <v>0</v>
      </c>
      <c r="M339" t="n">
        <v>0</v>
      </c>
      <c r="N339" t="n">
        <v>0</v>
      </c>
      <c r="O339" t="n">
        <v>0</v>
      </c>
      <c r="P339" t="n">
        <v>0</v>
      </c>
      <c r="Q339" t="n">
        <v>0</v>
      </c>
      <c r="R339" s="2" t="inlineStr"/>
    </row>
    <row r="340" ht="15" customHeight="1">
      <c r="A340" t="inlineStr">
        <is>
          <t>A 20210-2024</t>
        </is>
      </c>
      <c r="B340" s="1" t="n">
        <v>45434</v>
      </c>
      <c r="C340" s="1" t="n">
        <v>46195</v>
      </c>
      <c r="D340" t="inlineStr">
        <is>
          <t>ÖREBRO LÄN</t>
        </is>
      </c>
      <c r="E340" t="inlineStr">
        <is>
          <t>LINDESBERG</t>
        </is>
      </c>
      <c r="G340" t="n">
        <v>5.5</v>
      </c>
      <c r="H340" t="n">
        <v>0</v>
      </c>
      <c r="I340" t="n">
        <v>0</v>
      </c>
      <c r="J340" t="n">
        <v>0</v>
      </c>
      <c r="K340" t="n">
        <v>0</v>
      </c>
      <c r="L340" t="n">
        <v>0</v>
      </c>
      <c r="M340" t="n">
        <v>0</v>
      </c>
      <c r="N340" t="n">
        <v>0</v>
      </c>
      <c r="O340" t="n">
        <v>0</v>
      </c>
      <c r="P340" t="n">
        <v>0</v>
      </c>
      <c r="Q340" t="n">
        <v>0</v>
      </c>
      <c r="R340" s="2" t="inlineStr"/>
    </row>
    <row r="341" ht="15" customHeight="1">
      <c r="A341" t="inlineStr">
        <is>
          <t>A 28562-2023</t>
        </is>
      </c>
      <c r="B341" s="1" t="n">
        <v>45103</v>
      </c>
      <c r="C341" s="1" t="n">
        <v>46195</v>
      </c>
      <c r="D341" t="inlineStr">
        <is>
          <t>ÖREBRO LÄN</t>
        </is>
      </c>
      <c r="E341" t="inlineStr">
        <is>
          <t>LINDESBERG</t>
        </is>
      </c>
      <c r="G341" t="n">
        <v>2</v>
      </c>
      <c r="H341" t="n">
        <v>0</v>
      </c>
      <c r="I341" t="n">
        <v>0</v>
      </c>
      <c r="J341" t="n">
        <v>0</v>
      </c>
      <c r="K341" t="n">
        <v>0</v>
      </c>
      <c r="L341" t="n">
        <v>0</v>
      </c>
      <c r="M341" t="n">
        <v>0</v>
      </c>
      <c r="N341" t="n">
        <v>0</v>
      </c>
      <c r="O341" t="n">
        <v>0</v>
      </c>
      <c r="P341" t="n">
        <v>0</v>
      </c>
      <c r="Q341" t="n">
        <v>0</v>
      </c>
      <c r="R341" s="2" t="inlineStr"/>
    </row>
    <row r="342" ht="15" customHeight="1">
      <c r="A342" t="inlineStr">
        <is>
          <t>A 17463-2023</t>
        </is>
      </c>
      <c r="B342" s="1" t="n">
        <v>45036</v>
      </c>
      <c r="C342" s="1" t="n">
        <v>46195</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26340-2022</t>
        </is>
      </c>
      <c r="B343" s="1" t="n">
        <v>44735</v>
      </c>
      <c r="C343" s="1" t="n">
        <v>46195</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38861-2025</t>
        </is>
      </c>
      <c r="B344" s="1" t="n">
        <v>45887</v>
      </c>
      <c r="C344" s="1" t="n">
        <v>46195</v>
      </c>
      <c r="D344" t="inlineStr">
        <is>
          <t>ÖREBRO LÄN</t>
        </is>
      </c>
      <c r="E344" t="inlineStr">
        <is>
          <t>LINDESBERG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23536-2023</t>
        </is>
      </c>
      <c r="B345" s="1" t="n">
        <v>45077</v>
      </c>
      <c r="C345" s="1" t="n">
        <v>46195</v>
      </c>
      <c r="D345" t="inlineStr">
        <is>
          <t>ÖREBRO LÄN</t>
        </is>
      </c>
      <c r="E345" t="inlineStr">
        <is>
          <t>LINDESBERG</t>
        </is>
      </c>
      <c r="F345" t="inlineStr">
        <is>
          <t>Kyrkan</t>
        </is>
      </c>
      <c r="G345" t="n">
        <v>0.5</v>
      </c>
      <c r="H345" t="n">
        <v>0</v>
      </c>
      <c r="I345" t="n">
        <v>0</v>
      </c>
      <c r="J345" t="n">
        <v>0</v>
      </c>
      <c r="K345" t="n">
        <v>0</v>
      </c>
      <c r="L345" t="n">
        <v>0</v>
      </c>
      <c r="M345" t="n">
        <v>0</v>
      </c>
      <c r="N345" t="n">
        <v>0</v>
      </c>
      <c r="O345" t="n">
        <v>0</v>
      </c>
      <c r="P345" t="n">
        <v>0</v>
      </c>
      <c r="Q345" t="n">
        <v>0</v>
      </c>
      <c r="R345" s="2" t="inlineStr"/>
    </row>
    <row r="346" ht="15" customHeight="1">
      <c r="A346" t="inlineStr">
        <is>
          <t>A 61969-2023</t>
        </is>
      </c>
      <c r="B346" s="1" t="n">
        <v>45266</v>
      </c>
      <c r="C346" s="1" t="n">
        <v>46195</v>
      </c>
      <c r="D346" t="inlineStr">
        <is>
          <t>ÖREBRO LÄN</t>
        </is>
      </c>
      <c r="E346" t="inlineStr">
        <is>
          <t>LINDESBERG</t>
        </is>
      </c>
      <c r="G346" t="n">
        <v>10.5</v>
      </c>
      <c r="H346" t="n">
        <v>0</v>
      </c>
      <c r="I346" t="n">
        <v>0</v>
      </c>
      <c r="J346" t="n">
        <v>0</v>
      </c>
      <c r="K346" t="n">
        <v>0</v>
      </c>
      <c r="L346" t="n">
        <v>0</v>
      </c>
      <c r="M346" t="n">
        <v>0</v>
      </c>
      <c r="N346" t="n">
        <v>0</v>
      </c>
      <c r="O346" t="n">
        <v>0</v>
      </c>
      <c r="P346" t="n">
        <v>0</v>
      </c>
      <c r="Q346" t="n">
        <v>0</v>
      </c>
      <c r="R346" s="2" t="inlineStr"/>
    </row>
    <row r="347" ht="15" customHeight="1">
      <c r="A347" t="inlineStr">
        <is>
          <t>A 6962-2023</t>
        </is>
      </c>
      <c r="B347" s="1" t="n">
        <v>44967</v>
      </c>
      <c r="C347" s="1" t="n">
        <v>46195</v>
      </c>
      <c r="D347" t="inlineStr">
        <is>
          <t>ÖREBRO LÄN</t>
        </is>
      </c>
      <c r="E347" t="inlineStr">
        <is>
          <t>LINDESBERG</t>
        </is>
      </c>
      <c r="G347" t="n">
        <v>11.4</v>
      </c>
      <c r="H347" t="n">
        <v>0</v>
      </c>
      <c r="I347" t="n">
        <v>0</v>
      </c>
      <c r="J347" t="n">
        <v>0</v>
      </c>
      <c r="K347" t="n">
        <v>0</v>
      </c>
      <c r="L347" t="n">
        <v>0</v>
      </c>
      <c r="M347" t="n">
        <v>0</v>
      </c>
      <c r="N347" t="n">
        <v>0</v>
      </c>
      <c r="O347" t="n">
        <v>0</v>
      </c>
      <c r="P347" t="n">
        <v>0</v>
      </c>
      <c r="Q347" t="n">
        <v>0</v>
      </c>
      <c r="R347" s="2" t="inlineStr"/>
    </row>
    <row r="348" ht="15" customHeight="1">
      <c r="A348" t="inlineStr">
        <is>
          <t>A 50619-2022</t>
        </is>
      </c>
      <c r="B348" s="1" t="n">
        <v>44866</v>
      </c>
      <c r="C348" s="1" t="n">
        <v>46195</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22829-2023</t>
        </is>
      </c>
      <c r="B349" s="1" t="n">
        <v>45072</v>
      </c>
      <c r="C349" s="1" t="n">
        <v>46195</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7180-2023</t>
        </is>
      </c>
      <c r="B350" s="1" t="n">
        <v>44970</v>
      </c>
      <c r="C350" s="1" t="n">
        <v>46195</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7661-2024</t>
        </is>
      </c>
      <c r="B351" s="1" t="n">
        <v>45348</v>
      </c>
      <c r="C351" s="1" t="n">
        <v>46195</v>
      </c>
      <c r="D351" t="inlineStr">
        <is>
          <t>ÖREBRO LÄN</t>
        </is>
      </c>
      <c r="E351" t="inlineStr">
        <is>
          <t>LINDESBERG</t>
        </is>
      </c>
      <c r="G351" t="n">
        <v>4.1</v>
      </c>
      <c r="H351" t="n">
        <v>0</v>
      </c>
      <c r="I351" t="n">
        <v>0</v>
      </c>
      <c r="J351" t="n">
        <v>0</v>
      </c>
      <c r="K351" t="n">
        <v>0</v>
      </c>
      <c r="L351" t="n">
        <v>0</v>
      </c>
      <c r="M351" t="n">
        <v>0</v>
      </c>
      <c r="N351" t="n">
        <v>0</v>
      </c>
      <c r="O351" t="n">
        <v>0</v>
      </c>
      <c r="P351" t="n">
        <v>0</v>
      </c>
      <c r="Q351" t="n">
        <v>0</v>
      </c>
      <c r="R351" s="2" t="inlineStr"/>
    </row>
    <row r="352" ht="15" customHeight="1">
      <c r="A352" t="inlineStr">
        <is>
          <t>A 46603-2021</t>
        </is>
      </c>
      <c r="B352" s="1" t="n">
        <v>44445</v>
      </c>
      <c r="C352" s="1" t="n">
        <v>46195</v>
      </c>
      <c r="D352" t="inlineStr">
        <is>
          <t>ÖREBRO LÄN</t>
        </is>
      </c>
      <c r="E352" t="inlineStr">
        <is>
          <t>LINDESBERG</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60105-2022</t>
        </is>
      </c>
      <c r="B353" s="1" t="n">
        <v>44902</v>
      </c>
      <c r="C353" s="1" t="n">
        <v>46195</v>
      </c>
      <c r="D353" t="inlineStr">
        <is>
          <t>ÖREBRO LÄN</t>
        </is>
      </c>
      <c r="E353" t="inlineStr">
        <is>
          <t>LINDESBERG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41343-2021</t>
        </is>
      </c>
      <c r="B354" s="1" t="n">
        <v>44424</v>
      </c>
      <c r="C354" s="1" t="n">
        <v>46195</v>
      </c>
      <c r="D354" t="inlineStr">
        <is>
          <t>ÖREBRO LÄN</t>
        </is>
      </c>
      <c r="E354" t="inlineStr">
        <is>
          <t>LINDESBERG</t>
        </is>
      </c>
      <c r="G354" t="n">
        <v>8.9</v>
      </c>
      <c r="H354" t="n">
        <v>0</v>
      </c>
      <c r="I354" t="n">
        <v>0</v>
      </c>
      <c r="J354" t="n">
        <v>0</v>
      </c>
      <c r="K354" t="n">
        <v>0</v>
      </c>
      <c r="L354" t="n">
        <v>0</v>
      </c>
      <c r="M354" t="n">
        <v>0</v>
      </c>
      <c r="N354" t="n">
        <v>0</v>
      </c>
      <c r="O354" t="n">
        <v>0</v>
      </c>
      <c r="P354" t="n">
        <v>0</v>
      </c>
      <c r="Q354" t="n">
        <v>0</v>
      </c>
      <c r="R354" s="2" t="inlineStr"/>
    </row>
    <row r="355" ht="15" customHeight="1">
      <c r="A355" t="inlineStr">
        <is>
          <t>A 28031-2023</t>
        </is>
      </c>
      <c r="B355" s="1" t="n">
        <v>45099</v>
      </c>
      <c r="C355" s="1" t="n">
        <v>46195</v>
      </c>
      <c r="D355" t="inlineStr">
        <is>
          <t>ÖREBRO LÄN</t>
        </is>
      </c>
      <c r="E355" t="inlineStr">
        <is>
          <t>LINDESBERG</t>
        </is>
      </c>
      <c r="F355" t="inlineStr">
        <is>
          <t>Kyrkan</t>
        </is>
      </c>
      <c r="G355" t="n">
        <v>1.2</v>
      </c>
      <c r="H355" t="n">
        <v>0</v>
      </c>
      <c r="I355" t="n">
        <v>0</v>
      </c>
      <c r="J355" t="n">
        <v>0</v>
      </c>
      <c r="K355" t="n">
        <v>0</v>
      </c>
      <c r="L355" t="n">
        <v>0</v>
      </c>
      <c r="M355" t="n">
        <v>0</v>
      </c>
      <c r="N355" t="n">
        <v>0</v>
      </c>
      <c r="O355" t="n">
        <v>0</v>
      </c>
      <c r="P355" t="n">
        <v>0</v>
      </c>
      <c r="Q355" t="n">
        <v>0</v>
      </c>
      <c r="R355" s="2" t="inlineStr"/>
    </row>
    <row r="356" ht="15" customHeight="1">
      <c r="A356" t="inlineStr">
        <is>
          <t>A 53046-2024</t>
        </is>
      </c>
      <c r="B356" s="1" t="n">
        <v>45611</v>
      </c>
      <c r="C356" s="1" t="n">
        <v>46195</v>
      </c>
      <c r="D356" t="inlineStr">
        <is>
          <t>ÖREBRO LÄN</t>
        </is>
      </c>
      <c r="E356" t="inlineStr">
        <is>
          <t>LINDESBERG</t>
        </is>
      </c>
      <c r="G356" t="n">
        <v>1.2</v>
      </c>
      <c r="H356" t="n">
        <v>0</v>
      </c>
      <c r="I356" t="n">
        <v>0</v>
      </c>
      <c r="J356" t="n">
        <v>0</v>
      </c>
      <c r="K356" t="n">
        <v>0</v>
      </c>
      <c r="L356" t="n">
        <v>0</v>
      </c>
      <c r="M356" t="n">
        <v>0</v>
      </c>
      <c r="N356" t="n">
        <v>0</v>
      </c>
      <c r="O356" t="n">
        <v>0</v>
      </c>
      <c r="P356" t="n">
        <v>0</v>
      </c>
      <c r="Q356" t="n">
        <v>0</v>
      </c>
      <c r="R356" s="2" t="inlineStr"/>
    </row>
    <row r="357" ht="15" customHeight="1">
      <c r="A357" t="inlineStr">
        <is>
          <t>A 18590-2023</t>
        </is>
      </c>
      <c r="B357" s="1" t="n">
        <v>45043</v>
      </c>
      <c r="C357" s="1" t="n">
        <v>46195</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58662-2022</t>
        </is>
      </c>
      <c r="B358" s="1" t="n">
        <v>44902</v>
      </c>
      <c r="C358" s="1" t="n">
        <v>46195</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58741-2024</t>
        </is>
      </c>
      <c r="B359" s="1" t="n">
        <v>45635</v>
      </c>
      <c r="C359" s="1" t="n">
        <v>46195</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51539-2024</t>
        </is>
      </c>
      <c r="B360" s="1" t="n">
        <v>45604</v>
      </c>
      <c r="C360" s="1" t="n">
        <v>46195</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34539-2024</t>
        </is>
      </c>
      <c r="B361" s="1" t="n">
        <v>45525</v>
      </c>
      <c r="C361" s="1" t="n">
        <v>46195</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35739-2024</t>
        </is>
      </c>
      <c r="B362" s="1" t="n">
        <v>45532</v>
      </c>
      <c r="C362" s="1" t="n">
        <v>46195</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46195</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56907-2024</t>
        </is>
      </c>
      <c r="B364" s="1" t="n">
        <v>45628</v>
      </c>
      <c r="C364" s="1" t="n">
        <v>46195</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4067-2024</t>
        </is>
      </c>
      <c r="B365" s="1" t="n">
        <v>45323</v>
      </c>
      <c r="C365" s="1" t="n">
        <v>46195</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7201-2024</t>
        </is>
      </c>
      <c r="B366" s="1" t="n">
        <v>45344</v>
      </c>
      <c r="C366" s="1" t="n">
        <v>46195</v>
      </c>
      <c r="D366" t="inlineStr">
        <is>
          <t>ÖREBRO LÄN</t>
        </is>
      </c>
      <c r="E366" t="inlineStr">
        <is>
          <t>LINDESBERG</t>
        </is>
      </c>
      <c r="G366" t="n">
        <v>4.7</v>
      </c>
      <c r="H366" t="n">
        <v>0</v>
      </c>
      <c r="I366" t="n">
        <v>0</v>
      </c>
      <c r="J366" t="n">
        <v>0</v>
      </c>
      <c r="K366" t="n">
        <v>0</v>
      </c>
      <c r="L366" t="n">
        <v>0</v>
      </c>
      <c r="M366" t="n">
        <v>0</v>
      </c>
      <c r="N366" t="n">
        <v>0</v>
      </c>
      <c r="O366" t="n">
        <v>0</v>
      </c>
      <c r="P366" t="n">
        <v>0</v>
      </c>
      <c r="Q366" t="n">
        <v>0</v>
      </c>
      <c r="R366" s="2" t="inlineStr"/>
    </row>
    <row r="367" ht="15" customHeight="1">
      <c r="A367" t="inlineStr">
        <is>
          <t>A 17087-2023</t>
        </is>
      </c>
      <c r="B367" s="1" t="n">
        <v>45034</v>
      </c>
      <c r="C367" s="1" t="n">
        <v>46195</v>
      </c>
      <c r="D367" t="inlineStr">
        <is>
          <t>ÖREBRO LÄN</t>
        </is>
      </c>
      <c r="E367" t="inlineStr">
        <is>
          <t>LINDESBERG</t>
        </is>
      </c>
      <c r="G367" t="n">
        <v>2.7</v>
      </c>
      <c r="H367" t="n">
        <v>0</v>
      </c>
      <c r="I367" t="n">
        <v>0</v>
      </c>
      <c r="J367" t="n">
        <v>0</v>
      </c>
      <c r="K367" t="n">
        <v>0</v>
      </c>
      <c r="L367" t="n">
        <v>0</v>
      </c>
      <c r="M367" t="n">
        <v>0</v>
      </c>
      <c r="N367" t="n">
        <v>0</v>
      </c>
      <c r="O367" t="n">
        <v>0</v>
      </c>
      <c r="P367" t="n">
        <v>0</v>
      </c>
      <c r="Q367" t="n">
        <v>0</v>
      </c>
      <c r="R367" s="2" t="inlineStr"/>
    </row>
    <row r="368" ht="15" customHeight="1">
      <c r="A368" t="inlineStr">
        <is>
          <t>A 39424-2025</t>
        </is>
      </c>
      <c r="B368" s="1" t="n">
        <v>45889</v>
      </c>
      <c r="C368" s="1" t="n">
        <v>46195</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39429-2025</t>
        </is>
      </c>
      <c r="B369" s="1" t="n">
        <v>45889</v>
      </c>
      <c r="C369" s="1" t="n">
        <v>46195</v>
      </c>
      <c r="D369" t="inlineStr">
        <is>
          <t>ÖREBRO LÄN</t>
        </is>
      </c>
      <c r="E369" t="inlineStr">
        <is>
          <t>LINDESBERG</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53189-2023</t>
        </is>
      </c>
      <c r="B370" s="1" t="n">
        <v>45194</v>
      </c>
      <c r="C370" s="1" t="n">
        <v>46195</v>
      </c>
      <c r="D370" t="inlineStr">
        <is>
          <t>ÖREBRO LÄN</t>
        </is>
      </c>
      <c r="E370" t="inlineStr">
        <is>
          <t>LINDESBERG</t>
        </is>
      </c>
      <c r="G370" t="n">
        <v>2</v>
      </c>
      <c r="H370" t="n">
        <v>0</v>
      </c>
      <c r="I370" t="n">
        <v>0</v>
      </c>
      <c r="J370" t="n">
        <v>0</v>
      </c>
      <c r="K370" t="n">
        <v>0</v>
      </c>
      <c r="L370" t="n">
        <v>0</v>
      </c>
      <c r="M370" t="n">
        <v>0</v>
      </c>
      <c r="N370" t="n">
        <v>0</v>
      </c>
      <c r="O370" t="n">
        <v>0</v>
      </c>
      <c r="P370" t="n">
        <v>0</v>
      </c>
      <c r="Q370" t="n">
        <v>0</v>
      </c>
      <c r="R370" s="2" t="inlineStr"/>
    </row>
    <row r="371" ht="15" customHeight="1">
      <c r="A371" t="inlineStr">
        <is>
          <t>A 30767-2023</t>
        </is>
      </c>
      <c r="B371" s="1" t="n">
        <v>45112</v>
      </c>
      <c r="C371" s="1" t="n">
        <v>46195</v>
      </c>
      <c r="D371" t="inlineStr">
        <is>
          <t>ÖREBRO LÄN</t>
        </is>
      </c>
      <c r="E371" t="inlineStr">
        <is>
          <t>LINDESBERG</t>
        </is>
      </c>
      <c r="G371" t="n">
        <v>3.9</v>
      </c>
      <c r="H371" t="n">
        <v>0</v>
      </c>
      <c r="I371" t="n">
        <v>0</v>
      </c>
      <c r="J371" t="n">
        <v>0</v>
      </c>
      <c r="K371" t="n">
        <v>0</v>
      </c>
      <c r="L371" t="n">
        <v>0</v>
      </c>
      <c r="M371" t="n">
        <v>0</v>
      </c>
      <c r="N371" t="n">
        <v>0</v>
      </c>
      <c r="O371" t="n">
        <v>0</v>
      </c>
      <c r="P371" t="n">
        <v>0</v>
      </c>
      <c r="Q371" t="n">
        <v>0</v>
      </c>
      <c r="R371" s="2" t="inlineStr"/>
    </row>
    <row r="372" ht="15" customHeight="1">
      <c r="A372" t="inlineStr">
        <is>
          <t>A 60926-2024</t>
        </is>
      </c>
      <c r="B372" s="1" t="n">
        <v>45645</v>
      </c>
      <c r="C372" s="1" t="n">
        <v>46195</v>
      </c>
      <c r="D372" t="inlineStr">
        <is>
          <t>ÖREBRO LÄN</t>
        </is>
      </c>
      <c r="E372" t="inlineStr">
        <is>
          <t>LINDESBERG</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63508-2023</t>
        </is>
      </c>
      <c r="B373" s="1" t="n">
        <v>45274</v>
      </c>
      <c r="C373" s="1" t="n">
        <v>46195</v>
      </c>
      <c r="D373" t="inlineStr">
        <is>
          <t>ÖREBRO LÄN</t>
        </is>
      </c>
      <c r="E373" t="inlineStr">
        <is>
          <t>LINDESBERG</t>
        </is>
      </c>
      <c r="G373" t="n">
        <v>1.4</v>
      </c>
      <c r="H373" t="n">
        <v>0</v>
      </c>
      <c r="I373" t="n">
        <v>0</v>
      </c>
      <c r="J373" t="n">
        <v>0</v>
      </c>
      <c r="K373" t="n">
        <v>0</v>
      </c>
      <c r="L373" t="n">
        <v>0</v>
      </c>
      <c r="M373" t="n">
        <v>0</v>
      </c>
      <c r="N373" t="n">
        <v>0</v>
      </c>
      <c r="O373" t="n">
        <v>0</v>
      </c>
      <c r="P373" t="n">
        <v>0</v>
      </c>
      <c r="Q373" t="n">
        <v>0</v>
      </c>
      <c r="R373" s="2" t="inlineStr"/>
    </row>
    <row r="374" ht="15" customHeight="1">
      <c r="A374" t="inlineStr">
        <is>
          <t>A 36280-2023</t>
        </is>
      </c>
      <c r="B374" s="1" t="n">
        <v>45152</v>
      </c>
      <c r="C374" s="1" t="n">
        <v>46195</v>
      </c>
      <c r="D374" t="inlineStr">
        <is>
          <t>ÖREBRO LÄN</t>
        </is>
      </c>
      <c r="E374" t="inlineStr">
        <is>
          <t>LINDESBERG</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33284-2024</t>
        </is>
      </c>
      <c r="B375" s="1" t="n">
        <v>45518</v>
      </c>
      <c r="C375" s="1" t="n">
        <v>46195</v>
      </c>
      <c r="D375" t="inlineStr">
        <is>
          <t>ÖREBRO LÄN</t>
        </is>
      </c>
      <c r="E375" t="inlineStr">
        <is>
          <t>LINDESBERG</t>
        </is>
      </c>
      <c r="G375" t="n">
        <v>1.7</v>
      </c>
      <c r="H375" t="n">
        <v>0</v>
      </c>
      <c r="I375" t="n">
        <v>0</v>
      </c>
      <c r="J375" t="n">
        <v>0</v>
      </c>
      <c r="K375" t="n">
        <v>0</v>
      </c>
      <c r="L375" t="n">
        <v>0</v>
      </c>
      <c r="M375" t="n">
        <v>0</v>
      </c>
      <c r="N375" t="n">
        <v>0</v>
      </c>
      <c r="O375" t="n">
        <v>0</v>
      </c>
      <c r="P375" t="n">
        <v>0</v>
      </c>
      <c r="Q375" t="n">
        <v>0</v>
      </c>
      <c r="R375" s="2" t="inlineStr"/>
    </row>
    <row r="376" ht="15" customHeight="1">
      <c r="A376" t="inlineStr">
        <is>
          <t>A 33978-2023</t>
        </is>
      </c>
      <c r="B376" s="1" t="n">
        <v>45134</v>
      </c>
      <c r="C376" s="1" t="n">
        <v>46195</v>
      </c>
      <c r="D376" t="inlineStr">
        <is>
          <t>ÖREBRO LÄN</t>
        </is>
      </c>
      <c r="E376" t="inlineStr">
        <is>
          <t>LINDESBERG</t>
        </is>
      </c>
      <c r="G376" t="n">
        <v>4.1</v>
      </c>
      <c r="H376" t="n">
        <v>0</v>
      </c>
      <c r="I376" t="n">
        <v>0</v>
      </c>
      <c r="J376" t="n">
        <v>0</v>
      </c>
      <c r="K376" t="n">
        <v>0</v>
      </c>
      <c r="L376" t="n">
        <v>0</v>
      </c>
      <c r="M376" t="n">
        <v>0</v>
      </c>
      <c r="N376" t="n">
        <v>0</v>
      </c>
      <c r="O376" t="n">
        <v>0</v>
      </c>
      <c r="P376" t="n">
        <v>0</v>
      </c>
      <c r="Q376" t="n">
        <v>0</v>
      </c>
      <c r="R376" s="2" t="inlineStr"/>
    </row>
    <row r="377" ht="15" customHeight="1">
      <c r="A377" t="inlineStr">
        <is>
          <t>A 14231-2023</t>
        </is>
      </c>
      <c r="B377" s="1" t="n">
        <v>45009</v>
      </c>
      <c r="C377" s="1" t="n">
        <v>46195</v>
      </c>
      <c r="D377" t="inlineStr">
        <is>
          <t>ÖREBRO LÄN</t>
        </is>
      </c>
      <c r="E377" t="inlineStr">
        <is>
          <t>LINDESBERG</t>
        </is>
      </c>
      <c r="G377" t="n">
        <v>4.3</v>
      </c>
      <c r="H377" t="n">
        <v>0</v>
      </c>
      <c r="I377" t="n">
        <v>0</v>
      </c>
      <c r="J377" t="n">
        <v>0</v>
      </c>
      <c r="K377" t="n">
        <v>0</v>
      </c>
      <c r="L377" t="n">
        <v>0</v>
      </c>
      <c r="M377" t="n">
        <v>0</v>
      </c>
      <c r="N377" t="n">
        <v>0</v>
      </c>
      <c r="O377" t="n">
        <v>0</v>
      </c>
      <c r="P377" t="n">
        <v>0</v>
      </c>
      <c r="Q377" t="n">
        <v>0</v>
      </c>
      <c r="R377" s="2" t="inlineStr"/>
    </row>
    <row r="378" ht="15" customHeight="1">
      <c r="A378" t="inlineStr">
        <is>
          <t>A 39421-2025</t>
        </is>
      </c>
      <c r="B378" s="1" t="n">
        <v>45889</v>
      </c>
      <c r="C378" s="1" t="n">
        <v>46195</v>
      </c>
      <c r="D378" t="inlineStr">
        <is>
          <t>ÖREBRO LÄN</t>
        </is>
      </c>
      <c r="E378" t="inlineStr">
        <is>
          <t>LINDESBERG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62608-2021</t>
        </is>
      </c>
      <c r="B379" s="1" t="n">
        <v>44503</v>
      </c>
      <c r="C379" s="1" t="n">
        <v>46195</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38762-2021</t>
        </is>
      </c>
      <c r="B380" s="1" t="n">
        <v>44410</v>
      </c>
      <c r="C380" s="1" t="n">
        <v>46195</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43247-2023</t>
        </is>
      </c>
      <c r="B381" s="1" t="n">
        <v>45183</v>
      </c>
      <c r="C381" s="1" t="n">
        <v>46195</v>
      </c>
      <c r="D381" t="inlineStr">
        <is>
          <t>ÖREBRO LÄN</t>
        </is>
      </c>
      <c r="E381" t="inlineStr">
        <is>
          <t>LINDESBERG</t>
        </is>
      </c>
      <c r="G381" t="n">
        <v>3</v>
      </c>
      <c r="H381" t="n">
        <v>0</v>
      </c>
      <c r="I381" t="n">
        <v>0</v>
      </c>
      <c r="J381" t="n">
        <v>0</v>
      </c>
      <c r="K381" t="n">
        <v>0</v>
      </c>
      <c r="L381" t="n">
        <v>0</v>
      </c>
      <c r="M381" t="n">
        <v>0</v>
      </c>
      <c r="N381" t="n">
        <v>0</v>
      </c>
      <c r="O381" t="n">
        <v>0</v>
      </c>
      <c r="P381" t="n">
        <v>0</v>
      </c>
      <c r="Q381" t="n">
        <v>0</v>
      </c>
      <c r="R381" s="2" t="inlineStr"/>
    </row>
    <row r="382" ht="15" customHeight="1">
      <c r="A382" t="inlineStr">
        <is>
          <t>A 35140-2023</t>
        </is>
      </c>
      <c r="B382" s="1" t="n">
        <v>45145</v>
      </c>
      <c r="C382" s="1" t="n">
        <v>46195</v>
      </c>
      <c r="D382" t="inlineStr">
        <is>
          <t>ÖREBRO LÄN</t>
        </is>
      </c>
      <c r="E382" t="inlineStr">
        <is>
          <t>LINDESBERG</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626-2025</t>
        </is>
      </c>
      <c r="B383" s="1" t="n">
        <v>45664</v>
      </c>
      <c r="C383" s="1" t="n">
        <v>46195</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37616-2023</t>
        </is>
      </c>
      <c r="B384" s="1" t="n">
        <v>45159</v>
      </c>
      <c r="C384" s="1" t="n">
        <v>46195</v>
      </c>
      <c r="D384" t="inlineStr">
        <is>
          <t>ÖREBRO LÄN</t>
        </is>
      </c>
      <c r="E384" t="inlineStr">
        <is>
          <t>LINDESBERG</t>
        </is>
      </c>
      <c r="G384" t="n">
        <v>5.3</v>
      </c>
      <c r="H384" t="n">
        <v>0</v>
      </c>
      <c r="I384" t="n">
        <v>0</v>
      </c>
      <c r="J384" t="n">
        <v>0</v>
      </c>
      <c r="K384" t="n">
        <v>0</v>
      </c>
      <c r="L384" t="n">
        <v>0</v>
      </c>
      <c r="M384" t="n">
        <v>0</v>
      </c>
      <c r="N384" t="n">
        <v>0</v>
      </c>
      <c r="O384" t="n">
        <v>0</v>
      </c>
      <c r="P384" t="n">
        <v>0</v>
      </c>
      <c r="Q384" t="n">
        <v>0</v>
      </c>
      <c r="R384" s="2" t="inlineStr"/>
    </row>
    <row r="385" ht="15" customHeight="1">
      <c r="A385" t="inlineStr">
        <is>
          <t>A 43046-2022</t>
        </is>
      </c>
      <c r="B385" s="1" t="n">
        <v>44833</v>
      </c>
      <c r="C385" s="1" t="n">
        <v>46195</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36015-2021</t>
        </is>
      </c>
      <c r="B386" s="1" t="n">
        <v>44389</v>
      </c>
      <c r="C386" s="1" t="n">
        <v>46195</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29938-2024</t>
        </is>
      </c>
      <c r="B387" s="1" t="n">
        <v>45488</v>
      </c>
      <c r="C387" s="1" t="n">
        <v>46195</v>
      </c>
      <c r="D387" t="inlineStr">
        <is>
          <t>ÖREBRO LÄN</t>
        </is>
      </c>
      <c r="E387" t="inlineStr">
        <is>
          <t>LINDESBERG</t>
        </is>
      </c>
      <c r="G387" t="n">
        <v>4</v>
      </c>
      <c r="H387" t="n">
        <v>0</v>
      </c>
      <c r="I387" t="n">
        <v>0</v>
      </c>
      <c r="J387" t="n">
        <v>0</v>
      </c>
      <c r="K387" t="n">
        <v>0</v>
      </c>
      <c r="L387" t="n">
        <v>0</v>
      </c>
      <c r="M387" t="n">
        <v>0</v>
      </c>
      <c r="N387" t="n">
        <v>0</v>
      </c>
      <c r="O387" t="n">
        <v>0</v>
      </c>
      <c r="P387" t="n">
        <v>0</v>
      </c>
      <c r="Q387" t="n">
        <v>0</v>
      </c>
      <c r="R387" s="2" t="inlineStr"/>
    </row>
    <row r="388" ht="15" customHeight="1">
      <c r="A388" t="inlineStr">
        <is>
          <t>A 24030-2023</t>
        </is>
      </c>
      <c r="B388" s="1" t="n">
        <v>45078</v>
      </c>
      <c r="C388" s="1" t="n">
        <v>46195</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54705-2022</t>
        </is>
      </c>
      <c r="B389" s="1" t="n">
        <v>44883</v>
      </c>
      <c r="C389" s="1" t="n">
        <v>46195</v>
      </c>
      <c r="D389" t="inlineStr">
        <is>
          <t>ÖREBRO LÄN</t>
        </is>
      </c>
      <c r="E389" t="inlineStr">
        <is>
          <t>LINDESBERG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43433-2024</t>
        </is>
      </c>
      <c r="B390" s="1" t="n">
        <v>45568</v>
      </c>
      <c r="C390" s="1" t="n">
        <v>46195</v>
      </c>
      <c r="D390" t="inlineStr">
        <is>
          <t>ÖREBRO LÄN</t>
        </is>
      </c>
      <c r="E390" t="inlineStr">
        <is>
          <t>LINDESBERG</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6604-2024</t>
        </is>
      </c>
      <c r="B391" s="1" t="n">
        <v>45341</v>
      </c>
      <c r="C391" s="1" t="n">
        <v>46195</v>
      </c>
      <c r="D391" t="inlineStr">
        <is>
          <t>ÖREBRO LÄN</t>
        </is>
      </c>
      <c r="E391" t="inlineStr">
        <is>
          <t>LINDESBERG</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5550-2024</t>
        </is>
      </c>
      <c r="B392" s="1" t="n">
        <v>45334</v>
      </c>
      <c r="C392" s="1" t="n">
        <v>46195</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36747-2024</t>
        </is>
      </c>
      <c r="B393" s="1" t="n">
        <v>45538</v>
      </c>
      <c r="C393" s="1" t="n">
        <v>46195</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32097-2024</t>
        </is>
      </c>
      <c r="B394" s="1" t="n">
        <v>45511</v>
      </c>
      <c r="C394" s="1" t="n">
        <v>46195</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32099-2024</t>
        </is>
      </c>
      <c r="B395" s="1" t="n">
        <v>45511</v>
      </c>
      <c r="C395" s="1" t="n">
        <v>46195</v>
      </c>
      <c r="D395" t="inlineStr">
        <is>
          <t>ÖREBRO LÄN</t>
        </is>
      </c>
      <c r="E395" t="inlineStr">
        <is>
          <t>LINDESBERG</t>
        </is>
      </c>
      <c r="G395" t="n">
        <v>2.3</v>
      </c>
      <c r="H395" t="n">
        <v>0</v>
      </c>
      <c r="I395" t="n">
        <v>0</v>
      </c>
      <c r="J395" t="n">
        <v>0</v>
      </c>
      <c r="K395" t="n">
        <v>0</v>
      </c>
      <c r="L395" t="n">
        <v>0</v>
      </c>
      <c r="M395" t="n">
        <v>0</v>
      </c>
      <c r="N395" t="n">
        <v>0</v>
      </c>
      <c r="O395" t="n">
        <v>0</v>
      </c>
      <c r="P395" t="n">
        <v>0</v>
      </c>
      <c r="Q395" t="n">
        <v>0</v>
      </c>
      <c r="R395" s="2" t="inlineStr"/>
    </row>
    <row r="396" ht="15" customHeight="1">
      <c r="A396" t="inlineStr">
        <is>
          <t>A 3803-2023</t>
        </is>
      </c>
      <c r="B396" s="1" t="n">
        <v>44951</v>
      </c>
      <c r="C396" s="1" t="n">
        <v>46195</v>
      </c>
      <c r="D396" t="inlineStr">
        <is>
          <t>ÖREBRO LÄN</t>
        </is>
      </c>
      <c r="E396" t="inlineStr">
        <is>
          <t>LINDESBERG</t>
        </is>
      </c>
      <c r="G396" t="n">
        <v>0.9</v>
      </c>
      <c r="H396" t="n">
        <v>0</v>
      </c>
      <c r="I396" t="n">
        <v>0</v>
      </c>
      <c r="J396" t="n">
        <v>0</v>
      </c>
      <c r="K396" t="n">
        <v>0</v>
      </c>
      <c r="L396" t="n">
        <v>0</v>
      </c>
      <c r="M396" t="n">
        <v>0</v>
      </c>
      <c r="N396" t="n">
        <v>0</v>
      </c>
      <c r="O396" t="n">
        <v>0</v>
      </c>
      <c r="P396" t="n">
        <v>0</v>
      </c>
      <c r="Q396" t="n">
        <v>0</v>
      </c>
      <c r="R396" s="2" t="inlineStr"/>
    </row>
    <row r="397" ht="15" customHeight="1">
      <c r="A397" t="inlineStr">
        <is>
          <t>A 63125-2023</t>
        </is>
      </c>
      <c r="B397" s="1" t="n">
        <v>45273</v>
      </c>
      <c r="C397" s="1" t="n">
        <v>46195</v>
      </c>
      <c r="D397" t="inlineStr">
        <is>
          <t>ÖREBRO LÄN</t>
        </is>
      </c>
      <c r="E397" t="inlineStr">
        <is>
          <t>LINDESBERG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36748-2024</t>
        </is>
      </c>
      <c r="B398" s="1" t="n">
        <v>45538</v>
      </c>
      <c r="C398" s="1" t="n">
        <v>46195</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v>
      </c>
      <c r="C399" s="1" t="n">
        <v>46195</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v>
      </c>
      <c r="C400" s="1" t="n">
        <v>46195</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13305-2023</t>
        </is>
      </c>
      <c r="B401" s="1" t="n">
        <v>45005</v>
      </c>
      <c r="C401" s="1" t="n">
        <v>46195</v>
      </c>
      <c r="D401" t="inlineStr">
        <is>
          <t>ÖREBRO LÄN</t>
        </is>
      </c>
      <c r="E401" t="inlineStr">
        <is>
          <t>LINDESBERG</t>
        </is>
      </c>
      <c r="G401" t="n">
        <v>5.5</v>
      </c>
      <c r="H401" t="n">
        <v>0</v>
      </c>
      <c r="I401" t="n">
        <v>0</v>
      </c>
      <c r="J401" t="n">
        <v>0</v>
      </c>
      <c r="K401" t="n">
        <v>0</v>
      </c>
      <c r="L401" t="n">
        <v>0</v>
      </c>
      <c r="M401" t="n">
        <v>0</v>
      </c>
      <c r="N401" t="n">
        <v>0</v>
      </c>
      <c r="O401" t="n">
        <v>0</v>
      </c>
      <c r="P401" t="n">
        <v>0</v>
      </c>
      <c r="Q401" t="n">
        <v>0</v>
      </c>
      <c r="R401" s="2" t="inlineStr"/>
    </row>
    <row r="402" ht="15" customHeight="1">
      <c r="A402" t="inlineStr">
        <is>
          <t>A 13368-2023</t>
        </is>
      </c>
      <c r="B402" s="1" t="n">
        <v>45005</v>
      </c>
      <c r="C402" s="1" t="n">
        <v>46195</v>
      </c>
      <c r="D402" t="inlineStr">
        <is>
          <t>ÖREBRO LÄN</t>
        </is>
      </c>
      <c r="E402" t="inlineStr">
        <is>
          <t>LINDESBERG</t>
        </is>
      </c>
      <c r="F402" t="inlineStr">
        <is>
          <t>Kommuner</t>
        </is>
      </c>
      <c r="G402" t="n">
        <v>0.7</v>
      </c>
      <c r="H402" t="n">
        <v>0</v>
      </c>
      <c r="I402" t="n">
        <v>0</v>
      </c>
      <c r="J402" t="n">
        <v>0</v>
      </c>
      <c r="K402" t="n">
        <v>0</v>
      </c>
      <c r="L402" t="n">
        <v>0</v>
      </c>
      <c r="M402" t="n">
        <v>0</v>
      </c>
      <c r="N402" t="n">
        <v>0</v>
      </c>
      <c r="O402" t="n">
        <v>0</v>
      </c>
      <c r="P402" t="n">
        <v>0</v>
      </c>
      <c r="Q402" t="n">
        <v>0</v>
      </c>
      <c r="R402" s="2" t="inlineStr"/>
    </row>
    <row r="403" ht="15" customHeight="1">
      <c r="A403" t="inlineStr">
        <is>
          <t>A 35229-2024</t>
        </is>
      </c>
      <c r="B403" s="1" t="n">
        <v>45530</v>
      </c>
      <c r="C403" s="1" t="n">
        <v>46195</v>
      </c>
      <c r="D403" t="inlineStr">
        <is>
          <t>ÖREBRO LÄN</t>
        </is>
      </c>
      <c r="E403" t="inlineStr">
        <is>
          <t>LINDESBERG</t>
        </is>
      </c>
      <c r="G403" t="n">
        <v>0.8</v>
      </c>
      <c r="H403" t="n">
        <v>0</v>
      </c>
      <c r="I403" t="n">
        <v>0</v>
      </c>
      <c r="J403" t="n">
        <v>0</v>
      </c>
      <c r="K403" t="n">
        <v>0</v>
      </c>
      <c r="L403" t="n">
        <v>0</v>
      </c>
      <c r="M403" t="n">
        <v>0</v>
      </c>
      <c r="N403" t="n">
        <v>0</v>
      </c>
      <c r="O403" t="n">
        <v>0</v>
      </c>
      <c r="P403" t="n">
        <v>0</v>
      </c>
      <c r="Q403" t="n">
        <v>0</v>
      </c>
      <c r="R403" s="2" t="inlineStr"/>
    </row>
    <row r="404" ht="15" customHeight="1">
      <c r="A404" t="inlineStr">
        <is>
          <t>A 50986-2023</t>
        </is>
      </c>
      <c r="B404" s="1" t="n">
        <v>45218</v>
      </c>
      <c r="C404" s="1" t="n">
        <v>46195</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25046-2024</t>
        </is>
      </c>
      <c r="B405" s="1" t="n">
        <v>45462</v>
      </c>
      <c r="C405" s="1" t="n">
        <v>46195</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44675-2021</t>
        </is>
      </c>
      <c r="B406" s="1" t="n">
        <v>44438</v>
      </c>
      <c r="C406" s="1" t="n">
        <v>46195</v>
      </c>
      <c r="D406" t="inlineStr">
        <is>
          <t>ÖREBRO LÄN</t>
        </is>
      </c>
      <c r="E406" t="inlineStr">
        <is>
          <t>LINDESBERG</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32829-2024</t>
        </is>
      </c>
      <c r="B407" s="1" t="n">
        <v>45516</v>
      </c>
      <c r="C407" s="1" t="n">
        <v>46195</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40347-2025</t>
        </is>
      </c>
      <c r="B408" s="1" t="n">
        <v>45895</v>
      </c>
      <c r="C408" s="1" t="n">
        <v>46195</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40346-2025</t>
        </is>
      </c>
      <c r="B409" s="1" t="n">
        <v>45895</v>
      </c>
      <c r="C409" s="1" t="n">
        <v>46195</v>
      </c>
      <c r="D409" t="inlineStr">
        <is>
          <t>ÖREBRO LÄN</t>
        </is>
      </c>
      <c r="E409" t="inlineStr">
        <is>
          <t>LINDESBERG</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43416-2024</t>
        </is>
      </c>
      <c r="B410" s="1" t="n">
        <v>45568</v>
      </c>
      <c r="C410" s="1" t="n">
        <v>46195</v>
      </c>
      <c r="D410" t="inlineStr">
        <is>
          <t>ÖREBRO LÄN</t>
        </is>
      </c>
      <c r="E410" t="inlineStr">
        <is>
          <t>LINDESBERG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10654-2023</t>
        </is>
      </c>
      <c r="B411" s="1" t="n">
        <v>44984</v>
      </c>
      <c r="C411" s="1" t="n">
        <v>46195</v>
      </c>
      <c r="D411" t="inlineStr">
        <is>
          <t>ÖREBRO LÄN</t>
        </is>
      </c>
      <c r="E411" t="inlineStr">
        <is>
          <t>LINDESBERG</t>
        </is>
      </c>
      <c r="G411" t="n">
        <v>1.2</v>
      </c>
      <c r="H411" t="n">
        <v>0</v>
      </c>
      <c r="I411" t="n">
        <v>0</v>
      </c>
      <c r="J411" t="n">
        <v>0</v>
      </c>
      <c r="K411" t="n">
        <v>0</v>
      </c>
      <c r="L411" t="n">
        <v>0</v>
      </c>
      <c r="M411" t="n">
        <v>0</v>
      </c>
      <c r="N411" t="n">
        <v>0</v>
      </c>
      <c r="O411" t="n">
        <v>0</v>
      </c>
      <c r="P411" t="n">
        <v>0</v>
      </c>
      <c r="Q411" t="n">
        <v>0</v>
      </c>
      <c r="R411" s="2" t="inlineStr"/>
    </row>
    <row r="412" ht="15" customHeight="1">
      <c r="A412" t="inlineStr">
        <is>
          <t>A 41889-2025</t>
        </is>
      </c>
      <c r="B412" s="1" t="n">
        <v>45903</v>
      </c>
      <c r="C412" s="1" t="n">
        <v>46195</v>
      </c>
      <c r="D412" t="inlineStr">
        <is>
          <t>ÖREBRO LÄN</t>
        </is>
      </c>
      <c r="E412" t="inlineStr">
        <is>
          <t>LINDESBERG</t>
        </is>
      </c>
      <c r="F412" t="inlineStr">
        <is>
          <t>Sveaskog</t>
        </is>
      </c>
      <c r="G412" t="n">
        <v>7.7</v>
      </c>
      <c r="H412" t="n">
        <v>0</v>
      </c>
      <c r="I412" t="n">
        <v>0</v>
      </c>
      <c r="J412" t="n">
        <v>0</v>
      </c>
      <c r="K412" t="n">
        <v>0</v>
      </c>
      <c r="L412" t="n">
        <v>0</v>
      </c>
      <c r="M412" t="n">
        <v>0</v>
      </c>
      <c r="N412" t="n">
        <v>0</v>
      </c>
      <c r="O412" t="n">
        <v>0</v>
      </c>
      <c r="P412" t="n">
        <v>0</v>
      </c>
      <c r="Q412" t="n">
        <v>0</v>
      </c>
      <c r="R412" s="2" t="inlineStr"/>
    </row>
    <row r="413" ht="15" customHeight="1">
      <c r="A413" t="inlineStr">
        <is>
          <t>A 16054-2022</t>
        </is>
      </c>
      <c r="B413" s="1" t="n">
        <v>44665</v>
      </c>
      <c r="C413" s="1" t="n">
        <v>46195</v>
      </c>
      <c r="D413" t="inlineStr">
        <is>
          <t>ÖREBRO LÄN</t>
        </is>
      </c>
      <c r="E413" t="inlineStr">
        <is>
          <t>LINDESBERG</t>
        </is>
      </c>
      <c r="G413" t="n">
        <v>6.9</v>
      </c>
      <c r="H413" t="n">
        <v>0</v>
      </c>
      <c r="I413" t="n">
        <v>0</v>
      </c>
      <c r="J413" t="n">
        <v>0</v>
      </c>
      <c r="K413" t="n">
        <v>0</v>
      </c>
      <c r="L413" t="n">
        <v>0</v>
      </c>
      <c r="M413" t="n">
        <v>0</v>
      </c>
      <c r="N413" t="n">
        <v>0</v>
      </c>
      <c r="O413" t="n">
        <v>0</v>
      </c>
      <c r="P413" t="n">
        <v>0</v>
      </c>
      <c r="Q413" t="n">
        <v>0</v>
      </c>
      <c r="R413" s="2" t="inlineStr"/>
    </row>
    <row r="414" ht="15" customHeight="1">
      <c r="A414" t="inlineStr">
        <is>
          <t>A 36136-2023</t>
        </is>
      </c>
      <c r="B414" s="1" t="n">
        <v>45149</v>
      </c>
      <c r="C414" s="1" t="n">
        <v>46195</v>
      </c>
      <c r="D414" t="inlineStr">
        <is>
          <t>ÖREBRO LÄN</t>
        </is>
      </c>
      <c r="E414" t="inlineStr">
        <is>
          <t>LINDESBERG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61601-2024</t>
        </is>
      </c>
      <c r="B415" s="1" t="n">
        <v>45646</v>
      </c>
      <c r="C415" s="1" t="n">
        <v>46195</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v>
      </c>
      <c r="C416" s="1" t="n">
        <v>46195</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42630-2025</t>
        </is>
      </c>
      <c r="B417" s="1" t="n">
        <v>45905</v>
      </c>
      <c r="C417" s="1" t="n">
        <v>46195</v>
      </c>
      <c r="D417" t="inlineStr">
        <is>
          <t>ÖREBRO LÄN</t>
        </is>
      </c>
      <c r="E417" t="inlineStr">
        <is>
          <t>LINDESBERG</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40450-2023</t>
        </is>
      </c>
      <c r="B418" s="1" t="n">
        <v>45170</v>
      </c>
      <c r="C418" s="1" t="n">
        <v>46195</v>
      </c>
      <c r="D418" t="inlineStr">
        <is>
          <t>ÖREBRO LÄN</t>
        </is>
      </c>
      <c r="E418" t="inlineStr">
        <is>
          <t>LINDESBERG</t>
        </is>
      </c>
      <c r="F418" t="inlineStr">
        <is>
          <t>Kyrkan</t>
        </is>
      </c>
      <c r="G418" t="n">
        <v>4.3</v>
      </c>
      <c r="H418" t="n">
        <v>0</v>
      </c>
      <c r="I418" t="n">
        <v>0</v>
      </c>
      <c r="J418" t="n">
        <v>0</v>
      </c>
      <c r="K418" t="n">
        <v>0</v>
      </c>
      <c r="L418" t="n">
        <v>0</v>
      </c>
      <c r="M418" t="n">
        <v>0</v>
      </c>
      <c r="N418" t="n">
        <v>0</v>
      </c>
      <c r="O418" t="n">
        <v>0</v>
      </c>
      <c r="P418" t="n">
        <v>0</v>
      </c>
      <c r="Q418" t="n">
        <v>0</v>
      </c>
      <c r="R418" s="2" t="inlineStr"/>
    </row>
    <row r="419" ht="15" customHeight="1">
      <c r="A419" t="inlineStr">
        <is>
          <t>A 42631-2025</t>
        </is>
      </c>
      <c r="B419" s="1" t="n">
        <v>45905</v>
      </c>
      <c r="C419" s="1" t="n">
        <v>46195</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30534-2023</t>
        </is>
      </c>
      <c r="B420" s="1" t="n">
        <v>45111</v>
      </c>
      <c r="C420" s="1" t="n">
        <v>46195</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22824-2023</t>
        </is>
      </c>
      <c r="B421" s="1" t="n">
        <v>45072</v>
      </c>
      <c r="C421" s="1" t="n">
        <v>46195</v>
      </c>
      <c r="D421" t="inlineStr">
        <is>
          <t>ÖREBRO LÄN</t>
        </is>
      </c>
      <c r="E421" t="inlineStr">
        <is>
          <t>LINDESBERG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72698-2021</t>
        </is>
      </c>
      <c r="B422" s="1" t="n">
        <v>44546</v>
      </c>
      <c r="C422" s="1" t="n">
        <v>46195</v>
      </c>
      <c r="D422" t="inlineStr">
        <is>
          <t>ÖREBRO LÄN</t>
        </is>
      </c>
      <c r="E422" t="inlineStr">
        <is>
          <t>LINDESBERG</t>
        </is>
      </c>
      <c r="G422" t="n">
        <v>1.6</v>
      </c>
      <c r="H422" t="n">
        <v>0</v>
      </c>
      <c r="I422" t="n">
        <v>0</v>
      </c>
      <c r="J422" t="n">
        <v>0</v>
      </c>
      <c r="K422" t="n">
        <v>0</v>
      </c>
      <c r="L422" t="n">
        <v>0</v>
      </c>
      <c r="M422" t="n">
        <v>0</v>
      </c>
      <c r="N422" t="n">
        <v>0</v>
      </c>
      <c r="O422" t="n">
        <v>0</v>
      </c>
      <c r="P422" t="n">
        <v>0</v>
      </c>
      <c r="Q422" t="n">
        <v>0</v>
      </c>
      <c r="R422" s="2" t="inlineStr"/>
    </row>
    <row r="423" ht="15" customHeight="1">
      <c r="A423" t="inlineStr">
        <is>
          <t>A 37843-2025</t>
        </is>
      </c>
      <c r="B423" s="1" t="n">
        <v>45881</v>
      </c>
      <c r="C423" s="1" t="n">
        <v>46195</v>
      </c>
      <c r="D423" t="inlineStr">
        <is>
          <t>ÖREBRO LÄN</t>
        </is>
      </c>
      <c r="E423" t="inlineStr">
        <is>
          <t>LINDESBERG</t>
        </is>
      </c>
      <c r="G423" t="n">
        <v>5.2</v>
      </c>
      <c r="H423" t="n">
        <v>0</v>
      </c>
      <c r="I423" t="n">
        <v>0</v>
      </c>
      <c r="J423" t="n">
        <v>0</v>
      </c>
      <c r="K423" t="n">
        <v>0</v>
      </c>
      <c r="L423" t="n">
        <v>0</v>
      </c>
      <c r="M423" t="n">
        <v>0</v>
      </c>
      <c r="N423" t="n">
        <v>0</v>
      </c>
      <c r="O423" t="n">
        <v>0</v>
      </c>
      <c r="P423" t="n">
        <v>0</v>
      </c>
      <c r="Q423" t="n">
        <v>0</v>
      </c>
      <c r="R423" s="2" t="inlineStr"/>
    </row>
    <row r="424" ht="15" customHeight="1">
      <c r="A424" t="inlineStr">
        <is>
          <t>A 32994-2023</t>
        </is>
      </c>
      <c r="B424" s="1" t="n">
        <v>45113</v>
      </c>
      <c r="C424" s="1" t="n">
        <v>46195</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27013-2024</t>
        </is>
      </c>
      <c r="B425" s="1" t="n">
        <v>45471</v>
      </c>
      <c r="C425" s="1" t="n">
        <v>46195</v>
      </c>
      <c r="D425" t="inlineStr">
        <is>
          <t>ÖREBRO LÄN</t>
        </is>
      </c>
      <c r="E425" t="inlineStr">
        <is>
          <t>LINDESBERG</t>
        </is>
      </c>
      <c r="G425" t="n">
        <v>5.2</v>
      </c>
      <c r="H425" t="n">
        <v>0</v>
      </c>
      <c r="I425" t="n">
        <v>0</v>
      </c>
      <c r="J425" t="n">
        <v>0</v>
      </c>
      <c r="K425" t="n">
        <v>0</v>
      </c>
      <c r="L425" t="n">
        <v>0</v>
      </c>
      <c r="M425" t="n">
        <v>0</v>
      </c>
      <c r="N425" t="n">
        <v>0</v>
      </c>
      <c r="O425" t="n">
        <v>0</v>
      </c>
      <c r="P425" t="n">
        <v>0</v>
      </c>
      <c r="Q425" t="n">
        <v>0</v>
      </c>
      <c r="R425" s="2" t="inlineStr"/>
    </row>
    <row r="426" ht="15" customHeight="1">
      <c r="A426" t="inlineStr">
        <is>
          <t>A 31215-2025</t>
        </is>
      </c>
      <c r="B426" s="1" t="n">
        <v>45832</v>
      </c>
      <c r="C426" s="1" t="n">
        <v>46195</v>
      </c>
      <c r="D426" t="inlineStr">
        <is>
          <t>ÖREBRO LÄN</t>
        </is>
      </c>
      <c r="E426" t="inlineStr">
        <is>
          <t>LINDESBERG</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36170-2021</t>
        </is>
      </c>
      <c r="B427" s="1" t="n">
        <v>44389</v>
      </c>
      <c r="C427" s="1" t="n">
        <v>46195</v>
      </c>
      <c r="D427" t="inlineStr">
        <is>
          <t>ÖREBRO LÄN</t>
        </is>
      </c>
      <c r="E427" t="inlineStr">
        <is>
          <t>LINDESBERG</t>
        </is>
      </c>
      <c r="G427" t="n">
        <v>0.4</v>
      </c>
      <c r="H427" t="n">
        <v>0</v>
      </c>
      <c r="I427" t="n">
        <v>0</v>
      </c>
      <c r="J427" t="n">
        <v>0</v>
      </c>
      <c r="K427" t="n">
        <v>0</v>
      </c>
      <c r="L427" t="n">
        <v>0</v>
      </c>
      <c r="M427" t="n">
        <v>0</v>
      </c>
      <c r="N427" t="n">
        <v>0</v>
      </c>
      <c r="O427" t="n">
        <v>0</v>
      </c>
      <c r="P427" t="n">
        <v>0</v>
      </c>
      <c r="Q427" t="n">
        <v>0</v>
      </c>
      <c r="R427" s="2" t="inlineStr"/>
    </row>
    <row r="428" ht="15" customHeight="1">
      <c r="A428" t="inlineStr">
        <is>
          <t>A 9140-2025</t>
        </is>
      </c>
      <c r="B428" s="1" t="n">
        <v>45714</v>
      </c>
      <c r="C428" s="1" t="n">
        <v>46195</v>
      </c>
      <c r="D428" t="inlineStr">
        <is>
          <t>ÖREBRO LÄN</t>
        </is>
      </c>
      <c r="E428" t="inlineStr">
        <is>
          <t>LINDESBERG</t>
        </is>
      </c>
      <c r="G428" t="n">
        <v>0.8</v>
      </c>
      <c r="H428" t="n">
        <v>0</v>
      </c>
      <c r="I428" t="n">
        <v>0</v>
      </c>
      <c r="J428" t="n">
        <v>0</v>
      </c>
      <c r="K428" t="n">
        <v>0</v>
      </c>
      <c r="L428" t="n">
        <v>0</v>
      </c>
      <c r="M428" t="n">
        <v>0</v>
      </c>
      <c r="N428" t="n">
        <v>0</v>
      </c>
      <c r="O428" t="n">
        <v>0</v>
      </c>
      <c r="P428" t="n">
        <v>0</v>
      </c>
      <c r="Q428" t="n">
        <v>0</v>
      </c>
      <c r="R428" s="2" t="inlineStr"/>
    </row>
    <row r="429" ht="15" customHeight="1">
      <c r="A429" t="inlineStr">
        <is>
          <t>A 10822-2023</t>
        </is>
      </c>
      <c r="B429" s="1" t="n">
        <v>44990</v>
      </c>
      <c r="C429" s="1" t="n">
        <v>46195</v>
      </c>
      <c r="D429" t="inlineStr">
        <is>
          <t>ÖREBRO LÄN</t>
        </is>
      </c>
      <c r="E429" t="inlineStr">
        <is>
          <t>LINDESBERG</t>
        </is>
      </c>
      <c r="G429" t="n">
        <v>1.3</v>
      </c>
      <c r="H429" t="n">
        <v>0</v>
      </c>
      <c r="I429" t="n">
        <v>0</v>
      </c>
      <c r="J429" t="n">
        <v>0</v>
      </c>
      <c r="K429" t="n">
        <v>0</v>
      </c>
      <c r="L429" t="n">
        <v>0</v>
      </c>
      <c r="M429" t="n">
        <v>0</v>
      </c>
      <c r="N429" t="n">
        <v>0</v>
      </c>
      <c r="O429" t="n">
        <v>0</v>
      </c>
      <c r="P429" t="n">
        <v>0</v>
      </c>
      <c r="Q429" t="n">
        <v>0</v>
      </c>
      <c r="R429" s="2" t="inlineStr"/>
    </row>
    <row r="430" ht="15" customHeight="1">
      <c r="A430" t="inlineStr">
        <is>
          <t>A 43847-2025</t>
        </is>
      </c>
      <c r="B430" s="1" t="n">
        <v>45912</v>
      </c>
      <c r="C430" s="1" t="n">
        <v>46195</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28469-2023</t>
        </is>
      </c>
      <c r="B431" s="1" t="n">
        <v>45103</v>
      </c>
      <c r="C431" s="1" t="n">
        <v>46195</v>
      </c>
      <c r="D431" t="inlineStr">
        <is>
          <t>ÖREBRO LÄN</t>
        </is>
      </c>
      <c r="E431" t="inlineStr">
        <is>
          <t>LINDESBERG</t>
        </is>
      </c>
      <c r="G431" t="n">
        <v>0.3</v>
      </c>
      <c r="H431" t="n">
        <v>0</v>
      </c>
      <c r="I431" t="n">
        <v>0</v>
      </c>
      <c r="J431" t="n">
        <v>0</v>
      </c>
      <c r="K431" t="n">
        <v>0</v>
      </c>
      <c r="L431" t="n">
        <v>0</v>
      </c>
      <c r="M431" t="n">
        <v>0</v>
      </c>
      <c r="N431" t="n">
        <v>0</v>
      </c>
      <c r="O431" t="n">
        <v>0</v>
      </c>
      <c r="P431" t="n">
        <v>0</v>
      </c>
      <c r="Q431" t="n">
        <v>0</v>
      </c>
      <c r="R431" s="2" t="inlineStr"/>
    </row>
    <row r="432" ht="15" customHeight="1">
      <c r="A432" t="inlineStr">
        <is>
          <t>A 12278-2025</t>
        </is>
      </c>
      <c r="B432" s="1" t="n">
        <v>45729</v>
      </c>
      <c r="C432" s="1" t="n">
        <v>46195</v>
      </c>
      <c r="D432" t="inlineStr">
        <is>
          <t>ÖREBRO LÄN</t>
        </is>
      </c>
      <c r="E432" t="inlineStr">
        <is>
          <t>LINDESBERG</t>
        </is>
      </c>
      <c r="G432" t="n">
        <v>3.2</v>
      </c>
      <c r="H432" t="n">
        <v>0</v>
      </c>
      <c r="I432" t="n">
        <v>0</v>
      </c>
      <c r="J432" t="n">
        <v>0</v>
      </c>
      <c r="K432" t="n">
        <v>0</v>
      </c>
      <c r="L432" t="n">
        <v>0</v>
      </c>
      <c r="M432" t="n">
        <v>0</v>
      </c>
      <c r="N432" t="n">
        <v>0</v>
      </c>
      <c r="O432" t="n">
        <v>0</v>
      </c>
      <c r="P432" t="n">
        <v>0</v>
      </c>
      <c r="Q432" t="n">
        <v>0</v>
      </c>
      <c r="R432" s="2" t="inlineStr"/>
    </row>
    <row r="433" ht="15" customHeight="1">
      <c r="A433" t="inlineStr">
        <is>
          <t>A 20954-2024</t>
        </is>
      </c>
      <c r="B433" s="1" t="n">
        <v>45439</v>
      </c>
      <c r="C433" s="1" t="n">
        <v>46195</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35230-2024</t>
        </is>
      </c>
      <c r="B434" s="1" t="n">
        <v>45530</v>
      </c>
      <c r="C434" s="1" t="n">
        <v>46195</v>
      </c>
      <c r="D434" t="inlineStr">
        <is>
          <t>ÖREBRO LÄN</t>
        </is>
      </c>
      <c r="E434" t="inlineStr">
        <is>
          <t>LINDESBERG</t>
        </is>
      </c>
      <c r="G434" t="n">
        <v>1.7</v>
      </c>
      <c r="H434" t="n">
        <v>0</v>
      </c>
      <c r="I434" t="n">
        <v>0</v>
      </c>
      <c r="J434" t="n">
        <v>0</v>
      </c>
      <c r="K434" t="n">
        <v>0</v>
      </c>
      <c r="L434" t="n">
        <v>0</v>
      </c>
      <c r="M434" t="n">
        <v>0</v>
      </c>
      <c r="N434" t="n">
        <v>0</v>
      </c>
      <c r="O434" t="n">
        <v>0</v>
      </c>
      <c r="P434" t="n">
        <v>0</v>
      </c>
      <c r="Q434" t="n">
        <v>0</v>
      </c>
      <c r="R434" s="2" t="inlineStr"/>
    </row>
    <row r="435" ht="15" customHeight="1">
      <c r="A435" t="inlineStr">
        <is>
          <t>A 16618-2023</t>
        </is>
      </c>
      <c r="B435" s="1" t="n">
        <v>45030</v>
      </c>
      <c r="C435" s="1" t="n">
        <v>46195</v>
      </c>
      <c r="D435" t="inlineStr">
        <is>
          <t>ÖREBRO LÄN</t>
        </is>
      </c>
      <c r="E435" t="inlineStr">
        <is>
          <t>LINDESBERG</t>
        </is>
      </c>
      <c r="F435" t="inlineStr">
        <is>
          <t>Kommuner</t>
        </is>
      </c>
      <c r="G435" t="n">
        <v>4.6</v>
      </c>
      <c r="H435" t="n">
        <v>0</v>
      </c>
      <c r="I435" t="n">
        <v>0</v>
      </c>
      <c r="J435" t="n">
        <v>0</v>
      </c>
      <c r="K435" t="n">
        <v>0</v>
      </c>
      <c r="L435" t="n">
        <v>0</v>
      </c>
      <c r="M435" t="n">
        <v>0</v>
      </c>
      <c r="N435" t="n">
        <v>0</v>
      </c>
      <c r="O435" t="n">
        <v>0</v>
      </c>
      <c r="P435" t="n">
        <v>0</v>
      </c>
      <c r="Q435" t="n">
        <v>0</v>
      </c>
      <c r="R435" s="2" t="inlineStr"/>
    </row>
    <row r="436" ht="15" customHeight="1">
      <c r="A436" t="inlineStr">
        <is>
          <t>A 7120-2025</t>
        </is>
      </c>
      <c r="B436" s="1" t="n">
        <v>45702</v>
      </c>
      <c r="C436" s="1" t="n">
        <v>46195</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36773-2024</t>
        </is>
      </c>
      <c r="B437" s="1" t="n">
        <v>45538</v>
      </c>
      <c r="C437" s="1" t="n">
        <v>46195</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53897-2024</t>
        </is>
      </c>
      <c r="B438" s="1" t="n">
        <v>45615</v>
      </c>
      <c r="C438" s="1" t="n">
        <v>46195</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12692-2024</t>
        </is>
      </c>
      <c r="B439" s="1" t="n">
        <v>45384</v>
      </c>
      <c r="C439" s="1" t="n">
        <v>46195</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15325-2024</t>
        </is>
      </c>
      <c r="B440" s="1" t="n">
        <v>45400</v>
      </c>
      <c r="C440" s="1" t="n">
        <v>46195</v>
      </c>
      <c r="D440" t="inlineStr">
        <is>
          <t>ÖREBRO LÄN</t>
        </is>
      </c>
      <c r="E440" t="inlineStr">
        <is>
          <t>LINDESBERG</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7119-2025</t>
        </is>
      </c>
      <c r="B441" s="1" t="n">
        <v>45702</v>
      </c>
      <c r="C441" s="1" t="n">
        <v>46195</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45428-2023</t>
        </is>
      </c>
      <c r="B442" s="1" t="n">
        <v>45194</v>
      </c>
      <c r="C442" s="1" t="n">
        <v>46195</v>
      </c>
      <c r="D442" t="inlineStr">
        <is>
          <t>ÖREBRO LÄN</t>
        </is>
      </c>
      <c r="E442" t="inlineStr">
        <is>
          <t>LINDESBERG</t>
        </is>
      </c>
      <c r="G442" t="n">
        <v>7.7</v>
      </c>
      <c r="H442" t="n">
        <v>0</v>
      </c>
      <c r="I442" t="n">
        <v>0</v>
      </c>
      <c r="J442" t="n">
        <v>0</v>
      </c>
      <c r="K442" t="n">
        <v>0</v>
      </c>
      <c r="L442" t="n">
        <v>0</v>
      </c>
      <c r="M442" t="n">
        <v>0</v>
      </c>
      <c r="N442" t="n">
        <v>0</v>
      </c>
      <c r="O442" t="n">
        <v>0</v>
      </c>
      <c r="P442" t="n">
        <v>0</v>
      </c>
      <c r="Q442" t="n">
        <v>0</v>
      </c>
      <c r="R442" s="2" t="inlineStr"/>
    </row>
    <row r="443" ht="15" customHeight="1">
      <c r="A443" t="inlineStr">
        <is>
          <t>A 20804-2025</t>
        </is>
      </c>
      <c r="B443" s="1" t="n">
        <v>45776</v>
      </c>
      <c r="C443" s="1" t="n">
        <v>46195</v>
      </c>
      <c r="D443" t="inlineStr">
        <is>
          <t>ÖREBRO LÄN</t>
        </is>
      </c>
      <c r="E443" t="inlineStr">
        <is>
          <t>LINDESBERG</t>
        </is>
      </c>
      <c r="G443" t="n">
        <v>3.2</v>
      </c>
      <c r="H443" t="n">
        <v>0</v>
      </c>
      <c r="I443" t="n">
        <v>0</v>
      </c>
      <c r="J443" t="n">
        <v>0</v>
      </c>
      <c r="K443" t="n">
        <v>0</v>
      </c>
      <c r="L443" t="n">
        <v>0</v>
      </c>
      <c r="M443" t="n">
        <v>0</v>
      </c>
      <c r="N443" t="n">
        <v>0</v>
      </c>
      <c r="O443" t="n">
        <v>0</v>
      </c>
      <c r="P443" t="n">
        <v>0</v>
      </c>
      <c r="Q443" t="n">
        <v>0</v>
      </c>
      <c r="R443" s="2" t="inlineStr"/>
    </row>
    <row r="444" ht="15" customHeight="1">
      <c r="A444" t="inlineStr">
        <is>
          <t>A 20950-2025</t>
        </is>
      </c>
      <c r="B444" s="1" t="n">
        <v>45777</v>
      </c>
      <c r="C444" s="1" t="n">
        <v>46195</v>
      </c>
      <c r="D444" t="inlineStr">
        <is>
          <t>ÖREBRO LÄN</t>
        </is>
      </c>
      <c r="E444" t="inlineStr">
        <is>
          <t>LINDESBERG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12795-2025</t>
        </is>
      </c>
      <c r="B445" s="1" t="n">
        <v>45733</v>
      </c>
      <c r="C445" s="1" t="n">
        <v>46195</v>
      </c>
      <c r="D445" t="inlineStr">
        <is>
          <t>ÖREBRO LÄN</t>
        </is>
      </c>
      <c r="E445" t="inlineStr">
        <is>
          <t>LINDESBERG</t>
        </is>
      </c>
      <c r="G445" t="n">
        <v>10.8</v>
      </c>
      <c r="H445" t="n">
        <v>0</v>
      </c>
      <c r="I445" t="n">
        <v>0</v>
      </c>
      <c r="J445" t="n">
        <v>0</v>
      </c>
      <c r="K445" t="n">
        <v>0</v>
      </c>
      <c r="L445" t="n">
        <v>0</v>
      </c>
      <c r="M445" t="n">
        <v>0</v>
      </c>
      <c r="N445" t="n">
        <v>0</v>
      </c>
      <c r="O445" t="n">
        <v>0</v>
      </c>
      <c r="P445" t="n">
        <v>0</v>
      </c>
      <c r="Q445" t="n">
        <v>0</v>
      </c>
      <c r="R445" s="2" t="inlineStr"/>
    </row>
    <row r="446" ht="15" customHeight="1">
      <c r="A446" t="inlineStr">
        <is>
          <t>A 20930-2025</t>
        </is>
      </c>
      <c r="B446" s="1" t="n">
        <v>45777</v>
      </c>
      <c r="C446" s="1" t="n">
        <v>46195</v>
      </c>
      <c r="D446" t="inlineStr">
        <is>
          <t>ÖREBRO LÄN</t>
        </is>
      </c>
      <c r="E446" t="inlineStr">
        <is>
          <t>LINDESBERG</t>
        </is>
      </c>
      <c r="F446" t="inlineStr">
        <is>
          <t>Sveaskog</t>
        </is>
      </c>
      <c r="G446" t="n">
        <v>3.9</v>
      </c>
      <c r="H446" t="n">
        <v>0</v>
      </c>
      <c r="I446" t="n">
        <v>0</v>
      </c>
      <c r="J446" t="n">
        <v>0</v>
      </c>
      <c r="K446" t="n">
        <v>0</v>
      </c>
      <c r="L446" t="n">
        <v>0</v>
      </c>
      <c r="M446" t="n">
        <v>0</v>
      </c>
      <c r="N446" t="n">
        <v>0</v>
      </c>
      <c r="O446" t="n">
        <v>0</v>
      </c>
      <c r="P446" t="n">
        <v>0</v>
      </c>
      <c r="Q446" t="n">
        <v>0</v>
      </c>
      <c r="R446" s="2" t="inlineStr"/>
    </row>
    <row r="447" ht="15" customHeight="1">
      <c r="A447" t="inlineStr">
        <is>
          <t>A 20944-2025</t>
        </is>
      </c>
      <c r="B447" s="1" t="n">
        <v>45777</v>
      </c>
      <c r="C447" s="1" t="n">
        <v>46195</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57911-2022</t>
        </is>
      </c>
      <c r="B448" s="1" t="n">
        <v>44900</v>
      </c>
      <c r="C448" s="1" t="n">
        <v>46195</v>
      </c>
      <c r="D448" t="inlineStr">
        <is>
          <t>ÖREBRO LÄN</t>
        </is>
      </c>
      <c r="E448" t="inlineStr">
        <is>
          <t>LINDESBERG</t>
        </is>
      </c>
      <c r="G448" t="n">
        <v>4.9</v>
      </c>
      <c r="H448" t="n">
        <v>0</v>
      </c>
      <c r="I448" t="n">
        <v>0</v>
      </c>
      <c r="J448" t="n">
        <v>0</v>
      </c>
      <c r="K448" t="n">
        <v>0</v>
      </c>
      <c r="L448" t="n">
        <v>0</v>
      </c>
      <c r="M448" t="n">
        <v>0</v>
      </c>
      <c r="N448" t="n">
        <v>0</v>
      </c>
      <c r="O448" t="n">
        <v>0</v>
      </c>
      <c r="P448" t="n">
        <v>0</v>
      </c>
      <c r="Q448" t="n">
        <v>0</v>
      </c>
      <c r="R448" s="2" t="inlineStr"/>
    </row>
    <row r="449" ht="15" customHeight="1">
      <c r="A449" t="inlineStr">
        <is>
          <t>A 64427-2021</t>
        </is>
      </c>
      <c r="B449" s="1" t="n">
        <v>44511</v>
      </c>
      <c r="C449" s="1" t="n">
        <v>46195</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46484-2025</t>
        </is>
      </c>
      <c r="B450" s="1" t="n">
        <v>45925</v>
      </c>
      <c r="C450" s="1" t="n">
        <v>46195</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21812-2025</t>
        </is>
      </c>
      <c r="B451" s="1" t="n">
        <v>45783</v>
      </c>
      <c r="C451" s="1" t="n">
        <v>46195</v>
      </c>
      <c r="D451" t="inlineStr">
        <is>
          <t>ÖREBRO LÄN</t>
        </is>
      </c>
      <c r="E451" t="inlineStr">
        <is>
          <t>LINDESBERG</t>
        </is>
      </c>
      <c r="G451" t="n">
        <v>0.9</v>
      </c>
      <c r="H451" t="n">
        <v>0</v>
      </c>
      <c r="I451" t="n">
        <v>0</v>
      </c>
      <c r="J451" t="n">
        <v>0</v>
      </c>
      <c r="K451" t="n">
        <v>0</v>
      </c>
      <c r="L451" t="n">
        <v>0</v>
      </c>
      <c r="M451" t="n">
        <v>0</v>
      </c>
      <c r="N451" t="n">
        <v>0</v>
      </c>
      <c r="O451" t="n">
        <v>0</v>
      </c>
      <c r="P451" t="n">
        <v>0</v>
      </c>
      <c r="Q451" t="n">
        <v>0</v>
      </c>
      <c r="R451" s="2" t="inlineStr"/>
    </row>
    <row r="452" ht="15" customHeight="1">
      <c r="A452" t="inlineStr">
        <is>
          <t>A 31861-2024</t>
        </is>
      </c>
      <c r="B452" s="1" t="n">
        <v>45509</v>
      </c>
      <c r="C452" s="1" t="n">
        <v>46195</v>
      </c>
      <c r="D452" t="inlineStr">
        <is>
          <t>ÖREBRO LÄN</t>
        </is>
      </c>
      <c r="E452" t="inlineStr">
        <is>
          <t>LINDESBERG</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46404-2025</t>
        </is>
      </c>
      <c r="B453" s="1" t="n">
        <v>45925</v>
      </c>
      <c r="C453" s="1" t="n">
        <v>46195</v>
      </c>
      <c r="D453" t="inlineStr">
        <is>
          <t>ÖREBRO LÄN</t>
        </is>
      </c>
      <c r="E453" t="inlineStr">
        <is>
          <t>LINDESBERG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43195-2024</t>
        </is>
      </c>
      <c r="B454" s="1" t="n">
        <v>45567</v>
      </c>
      <c r="C454" s="1" t="n">
        <v>46195</v>
      </c>
      <c r="D454" t="inlineStr">
        <is>
          <t>ÖREBRO LÄN</t>
        </is>
      </c>
      <c r="E454" t="inlineStr">
        <is>
          <t>LINDESBERG</t>
        </is>
      </c>
      <c r="G454" t="n">
        <v>27.8</v>
      </c>
      <c r="H454" t="n">
        <v>0</v>
      </c>
      <c r="I454" t="n">
        <v>0</v>
      </c>
      <c r="J454" t="n">
        <v>0</v>
      </c>
      <c r="K454" t="n">
        <v>0</v>
      </c>
      <c r="L454" t="n">
        <v>0</v>
      </c>
      <c r="M454" t="n">
        <v>0</v>
      </c>
      <c r="N454" t="n">
        <v>0</v>
      </c>
      <c r="O454" t="n">
        <v>0</v>
      </c>
      <c r="P454" t="n">
        <v>0</v>
      </c>
      <c r="Q454" t="n">
        <v>0</v>
      </c>
      <c r="R454" s="2" t="inlineStr"/>
    </row>
    <row r="455" ht="15" customHeight="1">
      <c r="A455" t="inlineStr">
        <is>
          <t>A 24583-2024</t>
        </is>
      </c>
      <c r="B455" s="1" t="n">
        <v>45460</v>
      </c>
      <c r="C455" s="1" t="n">
        <v>46195</v>
      </c>
      <c r="D455" t="inlineStr">
        <is>
          <t>ÖREBRO LÄN</t>
        </is>
      </c>
      <c r="E455" t="inlineStr">
        <is>
          <t>LINDESBERG</t>
        </is>
      </c>
      <c r="G455" t="n">
        <v>13.7</v>
      </c>
      <c r="H455" t="n">
        <v>0</v>
      </c>
      <c r="I455" t="n">
        <v>0</v>
      </c>
      <c r="J455" t="n">
        <v>0</v>
      </c>
      <c r="K455" t="n">
        <v>0</v>
      </c>
      <c r="L455" t="n">
        <v>0</v>
      </c>
      <c r="M455" t="n">
        <v>0</v>
      </c>
      <c r="N455" t="n">
        <v>0</v>
      </c>
      <c r="O455" t="n">
        <v>0</v>
      </c>
      <c r="P455" t="n">
        <v>0</v>
      </c>
      <c r="Q455" t="n">
        <v>0</v>
      </c>
      <c r="R455" s="2" t="inlineStr"/>
    </row>
    <row r="456" ht="15" customHeight="1">
      <c r="A456" t="inlineStr">
        <is>
          <t>A 28776-2023</t>
        </is>
      </c>
      <c r="B456" s="1" t="n">
        <v>45104</v>
      </c>
      <c r="C456" s="1" t="n">
        <v>46195</v>
      </c>
      <c r="D456" t="inlineStr">
        <is>
          <t>ÖREBRO LÄN</t>
        </is>
      </c>
      <c r="E456" t="inlineStr">
        <is>
          <t>LINDESBERG</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19077-2025</t>
        </is>
      </c>
      <c r="B457" s="1" t="n">
        <v>45766</v>
      </c>
      <c r="C457" s="1" t="n">
        <v>46195</v>
      </c>
      <c r="D457" t="inlineStr">
        <is>
          <t>ÖREBRO LÄN</t>
        </is>
      </c>
      <c r="E457" t="inlineStr">
        <is>
          <t>LINDESBERG</t>
        </is>
      </c>
      <c r="G457" t="n">
        <v>0</v>
      </c>
      <c r="H457" t="n">
        <v>0</v>
      </c>
      <c r="I457" t="n">
        <v>0</v>
      </c>
      <c r="J457" t="n">
        <v>0</v>
      </c>
      <c r="K457" t="n">
        <v>0</v>
      </c>
      <c r="L457" t="n">
        <v>0</v>
      </c>
      <c r="M457" t="n">
        <v>0</v>
      </c>
      <c r="N457" t="n">
        <v>0</v>
      </c>
      <c r="O457" t="n">
        <v>0</v>
      </c>
      <c r="P457" t="n">
        <v>0</v>
      </c>
      <c r="Q457" t="n">
        <v>0</v>
      </c>
      <c r="R457" s="2" t="inlineStr"/>
    </row>
    <row r="458" ht="15" customHeight="1">
      <c r="A458" t="inlineStr">
        <is>
          <t>A 49544-2023</t>
        </is>
      </c>
      <c r="B458" s="1" t="n">
        <v>45211</v>
      </c>
      <c r="C458" s="1" t="n">
        <v>46195</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43532-2024</t>
        </is>
      </c>
      <c r="B459" s="1" t="n">
        <v>45569</v>
      </c>
      <c r="C459" s="1" t="n">
        <v>46195</v>
      </c>
      <c r="D459" t="inlineStr">
        <is>
          <t>ÖREBRO LÄN</t>
        </is>
      </c>
      <c r="E459" t="inlineStr">
        <is>
          <t>LINDESBERG</t>
        </is>
      </c>
      <c r="G459" t="n">
        <v>2.4</v>
      </c>
      <c r="H459" t="n">
        <v>0</v>
      </c>
      <c r="I459" t="n">
        <v>0</v>
      </c>
      <c r="J459" t="n">
        <v>0</v>
      </c>
      <c r="K459" t="n">
        <v>0</v>
      </c>
      <c r="L459" t="n">
        <v>0</v>
      </c>
      <c r="M459" t="n">
        <v>0</v>
      </c>
      <c r="N459" t="n">
        <v>0</v>
      </c>
      <c r="O459" t="n">
        <v>0</v>
      </c>
      <c r="P459" t="n">
        <v>0</v>
      </c>
      <c r="Q459" t="n">
        <v>0</v>
      </c>
      <c r="R459" s="2" t="inlineStr"/>
    </row>
    <row r="460" ht="15" customHeight="1">
      <c r="A460" t="inlineStr">
        <is>
          <t>A 59282-2023</t>
        </is>
      </c>
      <c r="B460" s="1" t="n">
        <v>45253</v>
      </c>
      <c r="C460" s="1" t="n">
        <v>46195</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47601-2023</t>
        </is>
      </c>
      <c r="B461" s="1" t="n">
        <v>45203</v>
      </c>
      <c r="C461" s="1" t="n">
        <v>46195</v>
      </c>
      <c r="D461" t="inlineStr">
        <is>
          <t>ÖREBRO LÄN</t>
        </is>
      </c>
      <c r="E461" t="inlineStr">
        <is>
          <t>LINDESBERG</t>
        </is>
      </c>
      <c r="G461" t="n">
        <v>37.6</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v>
      </c>
      <c r="C462" s="1" t="n">
        <v>46195</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24352-2023</t>
        </is>
      </c>
      <c r="B463" s="1" t="n">
        <v>45082</v>
      </c>
      <c r="C463" s="1" t="n">
        <v>46195</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484-2022</t>
        </is>
      </c>
      <c r="B464" s="1" t="n">
        <v>44566</v>
      </c>
      <c r="C464" s="1" t="n">
        <v>46195</v>
      </c>
      <c r="D464" t="inlineStr">
        <is>
          <t>ÖREBRO LÄN</t>
        </is>
      </c>
      <c r="E464" t="inlineStr">
        <is>
          <t>LINDESBERG</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62308-2023</t>
        </is>
      </c>
      <c r="B465" s="1" t="n">
        <v>45267</v>
      </c>
      <c r="C465" s="1" t="n">
        <v>46195</v>
      </c>
      <c r="D465" t="inlineStr">
        <is>
          <t>ÖREBRO LÄN</t>
        </is>
      </c>
      <c r="E465" t="inlineStr">
        <is>
          <t>LINDESBERG</t>
        </is>
      </c>
      <c r="F465" t="inlineStr">
        <is>
          <t>Naturvårdsverket</t>
        </is>
      </c>
      <c r="G465" t="n">
        <v>3.1</v>
      </c>
      <c r="H465" t="n">
        <v>0</v>
      </c>
      <c r="I465" t="n">
        <v>0</v>
      </c>
      <c r="J465" t="n">
        <v>0</v>
      </c>
      <c r="K465" t="n">
        <v>0</v>
      </c>
      <c r="L465" t="n">
        <v>0</v>
      </c>
      <c r="M465" t="n">
        <v>0</v>
      </c>
      <c r="N465" t="n">
        <v>0</v>
      </c>
      <c r="O465" t="n">
        <v>0</v>
      </c>
      <c r="P465" t="n">
        <v>0</v>
      </c>
      <c r="Q465" t="n">
        <v>0</v>
      </c>
      <c r="R465" s="2" t="inlineStr"/>
    </row>
    <row r="466" ht="15" customHeight="1">
      <c r="A466" t="inlineStr">
        <is>
          <t>A 22078-2025</t>
        </is>
      </c>
      <c r="B466" s="1" t="n">
        <v>45785</v>
      </c>
      <c r="C466" s="1" t="n">
        <v>46195</v>
      </c>
      <c r="D466" t="inlineStr">
        <is>
          <t>ÖREBRO LÄN</t>
        </is>
      </c>
      <c r="E466" t="inlineStr">
        <is>
          <t>LINDESBERG</t>
        </is>
      </c>
      <c r="G466" t="n">
        <v>2.4</v>
      </c>
      <c r="H466" t="n">
        <v>0</v>
      </c>
      <c r="I466" t="n">
        <v>0</v>
      </c>
      <c r="J466" t="n">
        <v>0</v>
      </c>
      <c r="K466" t="n">
        <v>0</v>
      </c>
      <c r="L466" t="n">
        <v>0</v>
      </c>
      <c r="M466" t="n">
        <v>0</v>
      </c>
      <c r="N466" t="n">
        <v>0</v>
      </c>
      <c r="O466" t="n">
        <v>0</v>
      </c>
      <c r="P466" t="n">
        <v>0</v>
      </c>
      <c r="Q466" t="n">
        <v>0</v>
      </c>
      <c r="R466" s="2" t="inlineStr"/>
    </row>
    <row r="467" ht="15" customHeight="1">
      <c r="A467" t="inlineStr">
        <is>
          <t>A 36024-2021</t>
        </is>
      </c>
      <c r="B467" s="1" t="n">
        <v>44389</v>
      </c>
      <c r="C467" s="1" t="n">
        <v>46195</v>
      </c>
      <c r="D467" t="inlineStr">
        <is>
          <t>ÖREBRO LÄN</t>
        </is>
      </c>
      <c r="E467" t="inlineStr">
        <is>
          <t>LINDESBERG</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47678-2025</t>
        </is>
      </c>
      <c r="B468" s="1" t="n">
        <v>45931</v>
      </c>
      <c r="C468" s="1" t="n">
        <v>46195</v>
      </c>
      <c r="D468" t="inlineStr">
        <is>
          <t>ÖREBRO LÄN</t>
        </is>
      </c>
      <c r="E468" t="inlineStr">
        <is>
          <t>LINDESBERG</t>
        </is>
      </c>
      <c r="G468" t="n">
        <v>0.6</v>
      </c>
      <c r="H468" t="n">
        <v>0</v>
      </c>
      <c r="I468" t="n">
        <v>0</v>
      </c>
      <c r="J468" t="n">
        <v>0</v>
      </c>
      <c r="K468" t="n">
        <v>0</v>
      </c>
      <c r="L468" t="n">
        <v>0</v>
      </c>
      <c r="M468" t="n">
        <v>0</v>
      </c>
      <c r="N468" t="n">
        <v>0</v>
      </c>
      <c r="O468" t="n">
        <v>0</v>
      </c>
      <c r="P468" t="n">
        <v>0</v>
      </c>
      <c r="Q468" t="n">
        <v>0</v>
      </c>
      <c r="R468" s="2" t="inlineStr"/>
    </row>
    <row r="469" ht="15" customHeight="1">
      <c r="A469" t="inlineStr">
        <is>
          <t>A 36686-2024</t>
        </is>
      </c>
      <c r="B469" s="1" t="n">
        <v>45537</v>
      </c>
      <c r="C469" s="1" t="n">
        <v>46195</v>
      </c>
      <c r="D469" t="inlineStr">
        <is>
          <t>ÖREBRO LÄN</t>
        </is>
      </c>
      <c r="E469" t="inlineStr">
        <is>
          <t>LINDESBERG</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53355-2023</t>
        </is>
      </c>
      <c r="B470" s="1" t="n">
        <v>45229</v>
      </c>
      <c r="C470" s="1" t="n">
        <v>46195</v>
      </c>
      <c r="D470" t="inlineStr">
        <is>
          <t>ÖREBRO LÄN</t>
        </is>
      </c>
      <c r="E470" t="inlineStr">
        <is>
          <t>LINDESBERG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10823-2023</t>
        </is>
      </c>
      <c r="B471" s="1" t="n">
        <v>44990</v>
      </c>
      <c r="C471" s="1" t="n">
        <v>46195</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36680-2024</t>
        </is>
      </c>
      <c r="B472" s="1" t="n">
        <v>45537</v>
      </c>
      <c r="C472" s="1" t="n">
        <v>46195</v>
      </c>
      <c r="D472" t="inlineStr">
        <is>
          <t>ÖREBRO LÄN</t>
        </is>
      </c>
      <c r="E472" t="inlineStr">
        <is>
          <t>LINDESBERG</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47676-2025</t>
        </is>
      </c>
      <c r="B473" s="1" t="n">
        <v>45931</v>
      </c>
      <c r="C473" s="1" t="n">
        <v>46195</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54793-2024</t>
        </is>
      </c>
      <c r="B474" s="1" t="n">
        <v>45618</v>
      </c>
      <c r="C474" s="1" t="n">
        <v>46195</v>
      </c>
      <c r="D474" t="inlineStr">
        <is>
          <t>ÖREBRO LÄN</t>
        </is>
      </c>
      <c r="E474" t="inlineStr">
        <is>
          <t>LINDESBERG</t>
        </is>
      </c>
      <c r="G474" t="n">
        <v>3</v>
      </c>
      <c r="H474" t="n">
        <v>0</v>
      </c>
      <c r="I474" t="n">
        <v>0</v>
      </c>
      <c r="J474" t="n">
        <v>0</v>
      </c>
      <c r="K474" t="n">
        <v>0</v>
      </c>
      <c r="L474" t="n">
        <v>0</v>
      </c>
      <c r="M474" t="n">
        <v>0</v>
      </c>
      <c r="N474" t="n">
        <v>0</v>
      </c>
      <c r="O474" t="n">
        <v>0</v>
      </c>
      <c r="P474" t="n">
        <v>0</v>
      </c>
      <c r="Q474" t="n">
        <v>0</v>
      </c>
      <c r="R474" s="2" t="inlineStr"/>
    </row>
    <row r="475" ht="15" customHeight="1">
      <c r="A475" t="inlineStr">
        <is>
          <t>A 38380-2024</t>
        </is>
      </c>
      <c r="B475" s="1" t="n">
        <v>45546</v>
      </c>
      <c r="C475" s="1" t="n">
        <v>46195</v>
      </c>
      <c r="D475" t="inlineStr">
        <is>
          <t>ÖREBRO LÄN</t>
        </is>
      </c>
      <c r="E475" t="inlineStr">
        <is>
          <t>LINDESBERG</t>
        </is>
      </c>
      <c r="G475" t="n">
        <v>6.8</v>
      </c>
      <c r="H475" t="n">
        <v>0</v>
      </c>
      <c r="I475" t="n">
        <v>0</v>
      </c>
      <c r="J475" t="n">
        <v>0</v>
      </c>
      <c r="K475" t="n">
        <v>0</v>
      </c>
      <c r="L475" t="n">
        <v>0</v>
      </c>
      <c r="M475" t="n">
        <v>0</v>
      </c>
      <c r="N475" t="n">
        <v>0</v>
      </c>
      <c r="O475" t="n">
        <v>0</v>
      </c>
      <c r="P475" t="n">
        <v>0</v>
      </c>
      <c r="Q475" t="n">
        <v>0</v>
      </c>
      <c r="R475" s="2" t="inlineStr"/>
    </row>
    <row r="476" ht="15" customHeight="1">
      <c r="A476" t="inlineStr">
        <is>
          <t>A 48620-2025</t>
        </is>
      </c>
      <c r="B476" s="1" t="n">
        <v>45936</v>
      </c>
      <c r="C476" s="1" t="n">
        <v>46195</v>
      </c>
      <c r="D476" t="inlineStr">
        <is>
          <t>ÖREBRO LÄN</t>
        </is>
      </c>
      <c r="E476" t="inlineStr">
        <is>
          <t>LINDESBERG</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58603-2023</t>
        </is>
      </c>
      <c r="B477" s="1" t="n">
        <v>45251</v>
      </c>
      <c r="C477" s="1" t="n">
        <v>46195</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13417-2025</t>
        </is>
      </c>
      <c r="B478" s="1" t="n">
        <v>45736</v>
      </c>
      <c r="C478" s="1" t="n">
        <v>46195</v>
      </c>
      <c r="D478" t="inlineStr">
        <is>
          <t>ÖREBRO LÄN</t>
        </is>
      </c>
      <c r="E478" t="inlineStr">
        <is>
          <t>LINDESBERG</t>
        </is>
      </c>
      <c r="G478" t="n">
        <v>2.2</v>
      </c>
      <c r="H478" t="n">
        <v>0</v>
      </c>
      <c r="I478" t="n">
        <v>0</v>
      </c>
      <c r="J478" t="n">
        <v>0</v>
      </c>
      <c r="K478" t="n">
        <v>0</v>
      </c>
      <c r="L478" t="n">
        <v>0</v>
      </c>
      <c r="M478" t="n">
        <v>0</v>
      </c>
      <c r="N478" t="n">
        <v>0</v>
      </c>
      <c r="O478" t="n">
        <v>0</v>
      </c>
      <c r="P478" t="n">
        <v>0</v>
      </c>
      <c r="Q478" t="n">
        <v>0</v>
      </c>
      <c r="R478" s="2" t="inlineStr"/>
    </row>
    <row r="479" ht="15" customHeight="1">
      <c r="A479" t="inlineStr">
        <is>
          <t>A 43066-2021</t>
        </is>
      </c>
      <c r="B479" s="1" t="n">
        <v>44431</v>
      </c>
      <c r="C479" s="1" t="n">
        <v>46195</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23607-2023</t>
        </is>
      </c>
      <c r="B480" s="1" t="n">
        <v>45077</v>
      </c>
      <c r="C480" s="1" t="n">
        <v>46195</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48993-2025</t>
        </is>
      </c>
      <c r="B481" s="1" t="n">
        <v>45937</v>
      </c>
      <c r="C481" s="1" t="n">
        <v>46195</v>
      </c>
      <c r="D481" t="inlineStr">
        <is>
          <t>ÖREBRO LÄN</t>
        </is>
      </c>
      <c r="E481" t="inlineStr">
        <is>
          <t>LINDESBERG</t>
        </is>
      </c>
      <c r="F481" t="inlineStr">
        <is>
          <t>Kyrkan</t>
        </is>
      </c>
      <c r="G481" t="n">
        <v>4</v>
      </c>
      <c r="H481" t="n">
        <v>0</v>
      </c>
      <c r="I481" t="n">
        <v>0</v>
      </c>
      <c r="J481" t="n">
        <v>0</v>
      </c>
      <c r="K481" t="n">
        <v>0</v>
      </c>
      <c r="L481" t="n">
        <v>0</v>
      </c>
      <c r="M481" t="n">
        <v>0</v>
      </c>
      <c r="N481" t="n">
        <v>0</v>
      </c>
      <c r="O481" t="n">
        <v>0</v>
      </c>
      <c r="P481" t="n">
        <v>0</v>
      </c>
      <c r="Q481" t="n">
        <v>0</v>
      </c>
      <c r="R481" s="2" t="inlineStr"/>
    </row>
    <row r="482" ht="15" customHeight="1">
      <c r="A482" t="inlineStr">
        <is>
          <t>A 49183-2025</t>
        </is>
      </c>
      <c r="B482" s="1" t="n">
        <v>45938</v>
      </c>
      <c r="C482" s="1" t="n">
        <v>46195</v>
      </c>
      <c r="D482" t="inlineStr">
        <is>
          <t>ÖREBRO LÄN</t>
        </is>
      </c>
      <c r="E482" t="inlineStr">
        <is>
          <t>LINDESBERG</t>
        </is>
      </c>
      <c r="G482" t="n">
        <v>4.4</v>
      </c>
      <c r="H482" t="n">
        <v>0</v>
      </c>
      <c r="I482" t="n">
        <v>0</v>
      </c>
      <c r="J482" t="n">
        <v>0</v>
      </c>
      <c r="K482" t="n">
        <v>0</v>
      </c>
      <c r="L482" t="n">
        <v>0</v>
      </c>
      <c r="M482" t="n">
        <v>0</v>
      </c>
      <c r="N482" t="n">
        <v>0</v>
      </c>
      <c r="O482" t="n">
        <v>0</v>
      </c>
      <c r="P482" t="n">
        <v>0</v>
      </c>
      <c r="Q482" t="n">
        <v>0</v>
      </c>
      <c r="R482" s="2" t="inlineStr"/>
    </row>
    <row r="483" ht="15" customHeight="1">
      <c r="A483" t="inlineStr">
        <is>
          <t>A 42707-2023</t>
        </is>
      </c>
      <c r="B483" s="1" t="n">
        <v>45181</v>
      </c>
      <c r="C483" s="1" t="n">
        <v>46195</v>
      </c>
      <c r="D483" t="inlineStr">
        <is>
          <t>ÖREBRO LÄN</t>
        </is>
      </c>
      <c r="E483" t="inlineStr">
        <is>
          <t>LINDESBERG</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59641-2024</t>
        </is>
      </c>
      <c r="B484" s="1" t="n">
        <v>45639</v>
      </c>
      <c r="C484" s="1" t="n">
        <v>46195</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23102-2023</t>
        </is>
      </c>
      <c r="B485" s="1" t="n">
        <v>45075</v>
      </c>
      <c r="C485" s="1" t="n">
        <v>46195</v>
      </c>
      <c r="D485" t="inlineStr">
        <is>
          <t>ÖREBRO LÄN</t>
        </is>
      </c>
      <c r="E485" t="inlineStr">
        <is>
          <t>LINDESBERG</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17779-2024</t>
        </is>
      </c>
      <c r="B486" s="1" t="n">
        <v>45418</v>
      </c>
      <c r="C486" s="1" t="n">
        <v>46195</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27702-2025</t>
        </is>
      </c>
      <c r="B487" s="1" t="n">
        <v>45813</v>
      </c>
      <c r="C487" s="1" t="n">
        <v>46195</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48867-2025</t>
        </is>
      </c>
      <c r="B488" s="1" t="n">
        <v>45937</v>
      </c>
      <c r="C488" s="1" t="n">
        <v>46195</v>
      </c>
      <c r="D488" t="inlineStr">
        <is>
          <t>ÖREBRO LÄN</t>
        </is>
      </c>
      <c r="E488" t="inlineStr">
        <is>
          <t>LINDESBERG</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3148-2023</t>
        </is>
      </c>
      <c r="B489" s="1" t="n">
        <v>44946</v>
      </c>
      <c r="C489" s="1" t="n">
        <v>46195</v>
      </c>
      <c r="D489" t="inlineStr">
        <is>
          <t>ÖREBRO LÄN</t>
        </is>
      </c>
      <c r="E489" t="inlineStr">
        <is>
          <t>LINDESBERG</t>
        </is>
      </c>
      <c r="G489" t="n">
        <v>5.5</v>
      </c>
      <c r="H489" t="n">
        <v>0</v>
      </c>
      <c r="I489" t="n">
        <v>0</v>
      </c>
      <c r="J489" t="n">
        <v>0</v>
      </c>
      <c r="K489" t="n">
        <v>0</v>
      </c>
      <c r="L489" t="n">
        <v>0</v>
      </c>
      <c r="M489" t="n">
        <v>0</v>
      </c>
      <c r="N489" t="n">
        <v>0</v>
      </c>
      <c r="O489" t="n">
        <v>0</v>
      </c>
      <c r="P489" t="n">
        <v>0</v>
      </c>
      <c r="Q489" t="n">
        <v>0</v>
      </c>
      <c r="R489" s="2" t="inlineStr"/>
    </row>
    <row r="490" ht="15" customHeight="1">
      <c r="A490" t="inlineStr">
        <is>
          <t>A 49133-2025</t>
        </is>
      </c>
      <c r="B490" s="1" t="n">
        <v>45937</v>
      </c>
      <c r="C490" s="1" t="n">
        <v>46195</v>
      </c>
      <c r="D490" t="inlineStr">
        <is>
          <t>ÖREBRO LÄN</t>
        </is>
      </c>
      <c r="E490" t="inlineStr">
        <is>
          <t>LINDESBERG</t>
        </is>
      </c>
      <c r="G490" t="n">
        <v>5</v>
      </c>
      <c r="H490" t="n">
        <v>0</v>
      </c>
      <c r="I490" t="n">
        <v>0</v>
      </c>
      <c r="J490" t="n">
        <v>0</v>
      </c>
      <c r="K490" t="n">
        <v>0</v>
      </c>
      <c r="L490" t="n">
        <v>0</v>
      </c>
      <c r="M490" t="n">
        <v>0</v>
      </c>
      <c r="N490" t="n">
        <v>0</v>
      </c>
      <c r="O490" t="n">
        <v>0</v>
      </c>
      <c r="P490" t="n">
        <v>0</v>
      </c>
      <c r="Q490" t="n">
        <v>0</v>
      </c>
      <c r="R490" s="2" t="inlineStr"/>
    </row>
    <row r="491" ht="15" customHeight="1">
      <c r="A491" t="inlineStr">
        <is>
          <t>A 49707-2025</t>
        </is>
      </c>
      <c r="B491" s="1" t="n">
        <v>45939</v>
      </c>
      <c r="C491" s="1" t="n">
        <v>46195</v>
      </c>
      <c r="D491" t="inlineStr">
        <is>
          <t>ÖREBRO LÄN</t>
        </is>
      </c>
      <c r="E491" t="inlineStr">
        <is>
          <t>LINDESBERG</t>
        </is>
      </c>
      <c r="F491" t="inlineStr">
        <is>
          <t>Kommuner</t>
        </is>
      </c>
      <c r="G491" t="n">
        <v>0.6</v>
      </c>
      <c r="H491" t="n">
        <v>0</v>
      </c>
      <c r="I491" t="n">
        <v>0</v>
      </c>
      <c r="J491" t="n">
        <v>0</v>
      </c>
      <c r="K491" t="n">
        <v>0</v>
      </c>
      <c r="L491" t="n">
        <v>0</v>
      </c>
      <c r="M491" t="n">
        <v>0</v>
      </c>
      <c r="N491" t="n">
        <v>0</v>
      </c>
      <c r="O491" t="n">
        <v>0</v>
      </c>
      <c r="P491" t="n">
        <v>0</v>
      </c>
      <c r="Q491" t="n">
        <v>0</v>
      </c>
      <c r="R491" s="2" t="inlineStr"/>
    </row>
    <row r="492" ht="15" customHeight="1">
      <c r="A492" t="inlineStr">
        <is>
          <t>A 21202-2024</t>
        </is>
      </c>
      <c r="B492" s="1" t="n">
        <v>45440</v>
      </c>
      <c r="C492" s="1" t="n">
        <v>46195</v>
      </c>
      <c r="D492" t="inlineStr">
        <is>
          <t>ÖREBRO LÄN</t>
        </is>
      </c>
      <c r="E492" t="inlineStr">
        <is>
          <t>LINDESBERG</t>
        </is>
      </c>
      <c r="G492" t="n">
        <v>4</v>
      </c>
      <c r="H492" t="n">
        <v>0</v>
      </c>
      <c r="I492" t="n">
        <v>0</v>
      </c>
      <c r="J492" t="n">
        <v>0</v>
      </c>
      <c r="K492" t="n">
        <v>0</v>
      </c>
      <c r="L492" t="n">
        <v>0</v>
      </c>
      <c r="M492" t="n">
        <v>0</v>
      </c>
      <c r="N492" t="n">
        <v>0</v>
      </c>
      <c r="O492" t="n">
        <v>0</v>
      </c>
      <c r="P492" t="n">
        <v>0</v>
      </c>
      <c r="Q492" t="n">
        <v>0</v>
      </c>
      <c r="R492" s="2" t="inlineStr"/>
    </row>
    <row r="493" ht="15" customHeight="1">
      <c r="A493" t="inlineStr">
        <is>
          <t>A 1400-2025</t>
        </is>
      </c>
      <c r="B493" s="1" t="n">
        <v>45667</v>
      </c>
      <c r="C493" s="1" t="n">
        <v>46195</v>
      </c>
      <c r="D493" t="inlineStr">
        <is>
          <t>ÖREBRO LÄN</t>
        </is>
      </c>
      <c r="E493" t="inlineStr">
        <is>
          <t>LINDESBERG</t>
        </is>
      </c>
      <c r="F493" t="inlineStr">
        <is>
          <t>Allmännings- och besparingsskogar</t>
        </is>
      </c>
      <c r="G493" t="n">
        <v>11.3</v>
      </c>
      <c r="H493" t="n">
        <v>0</v>
      </c>
      <c r="I493" t="n">
        <v>0</v>
      </c>
      <c r="J493" t="n">
        <v>0</v>
      </c>
      <c r="K493" t="n">
        <v>0</v>
      </c>
      <c r="L493" t="n">
        <v>0</v>
      </c>
      <c r="M493" t="n">
        <v>0</v>
      </c>
      <c r="N493" t="n">
        <v>0</v>
      </c>
      <c r="O493" t="n">
        <v>0</v>
      </c>
      <c r="P493" t="n">
        <v>0</v>
      </c>
      <c r="Q493" t="n">
        <v>0</v>
      </c>
      <c r="R493" s="2" t="inlineStr"/>
    </row>
    <row r="494" ht="15" customHeight="1">
      <c r="A494" t="inlineStr">
        <is>
          <t>A 24017-2025</t>
        </is>
      </c>
      <c r="B494" s="1" t="n">
        <v>45796</v>
      </c>
      <c r="C494" s="1" t="n">
        <v>46195</v>
      </c>
      <c r="D494" t="inlineStr">
        <is>
          <t>ÖREBRO LÄN</t>
        </is>
      </c>
      <c r="E494" t="inlineStr">
        <is>
          <t>LINDESBERG</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49946-2025</t>
        </is>
      </c>
      <c r="B495" s="1" t="n">
        <v>45940</v>
      </c>
      <c r="C495" s="1" t="n">
        <v>46195</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24107-2025</t>
        </is>
      </c>
      <c r="B496" s="1" t="n">
        <v>45796</v>
      </c>
      <c r="C496" s="1" t="n">
        <v>46195</v>
      </c>
      <c r="D496" t="inlineStr">
        <is>
          <t>ÖREBRO LÄN</t>
        </is>
      </c>
      <c r="E496" t="inlineStr">
        <is>
          <t>LINDESBERG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49944-2025</t>
        </is>
      </c>
      <c r="B497" s="1" t="n">
        <v>45940</v>
      </c>
      <c r="C497" s="1" t="n">
        <v>46195</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49947-2025</t>
        </is>
      </c>
      <c r="B498" s="1" t="n">
        <v>45940</v>
      </c>
      <c r="C498" s="1" t="n">
        <v>46195</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26707-2026</t>
        </is>
      </c>
      <c r="B499" s="1" t="n">
        <v>46184</v>
      </c>
      <c r="C499" s="1" t="n">
        <v>46195</v>
      </c>
      <c r="D499" t="inlineStr">
        <is>
          <t>ÖREBRO LÄN</t>
        </is>
      </c>
      <c r="E499" t="inlineStr">
        <is>
          <t>LINDESBERG</t>
        </is>
      </c>
      <c r="G499" t="n">
        <v>3.6</v>
      </c>
      <c r="H499" t="n">
        <v>0</v>
      </c>
      <c r="I499" t="n">
        <v>0</v>
      </c>
      <c r="J499" t="n">
        <v>0</v>
      </c>
      <c r="K499" t="n">
        <v>0</v>
      </c>
      <c r="L499" t="n">
        <v>0</v>
      </c>
      <c r="M499" t="n">
        <v>0</v>
      </c>
      <c r="N499" t="n">
        <v>0</v>
      </c>
      <c r="O499" t="n">
        <v>0</v>
      </c>
      <c r="P499" t="n">
        <v>0</v>
      </c>
      <c r="Q499" t="n">
        <v>0</v>
      </c>
      <c r="R499" s="2" t="inlineStr"/>
    </row>
    <row r="500" ht="15" customHeight="1">
      <c r="A500" t="inlineStr">
        <is>
          <t>A 23932-2025</t>
        </is>
      </c>
      <c r="B500" s="1" t="n">
        <v>45795</v>
      </c>
      <c r="C500" s="1" t="n">
        <v>46195</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24011-2025</t>
        </is>
      </c>
      <c r="B501" s="1" t="n">
        <v>45796</v>
      </c>
      <c r="C501" s="1" t="n">
        <v>46195</v>
      </c>
      <c r="D501" t="inlineStr">
        <is>
          <t>ÖREBRO LÄN</t>
        </is>
      </c>
      <c r="E501" t="inlineStr">
        <is>
          <t>LINDESBERG</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24020-2025</t>
        </is>
      </c>
      <c r="B502" s="1" t="n">
        <v>45796</v>
      </c>
      <c r="C502" s="1" t="n">
        <v>46195</v>
      </c>
      <c r="D502" t="inlineStr">
        <is>
          <t>ÖREBRO LÄN</t>
        </is>
      </c>
      <c r="E502" t="inlineStr">
        <is>
          <t>LINDESBERG</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49943-2025</t>
        </is>
      </c>
      <c r="B503" s="1" t="n">
        <v>45940</v>
      </c>
      <c r="C503" s="1" t="n">
        <v>46195</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50225-2021</t>
        </is>
      </c>
      <c r="B504" s="1" t="n">
        <v>44457</v>
      </c>
      <c r="C504" s="1" t="n">
        <v>46195</v>
      </c>
      <c r="D504" t="inlineStr">
        <is>
          <t>ÖREBRO LÄN</t>
        </is>
      </c>
      <c r="E504" t="inlineStr">
        <is>
          <t>LINDESBERG</t>
        </is>
      </c>
      <c r="G504" t="n">
        <v>2.5</v>
      </c>
      <c r="H504" t="n">
        <v>0</v>
      </c>
      <c r="I504" t="n">
        <v>0</v>
      </c>
      <c r="J504" t="n">
        <v>0</v>
      </c>
      <c r="K504" t="n">
        <v>0</v>
      </c>
      <c r="L504" t="n">
        <v>0</v>
      </c>
      <c r="M504" t="n">
        <v>0</v>
      </c>
      <c r="N504" t="n">
        <v>0</v>
      </c>
      <c r="O504" t="n">
        <v>0</v>
      </c>
      <c r="P504" t="n">
        <v>0</v>
      </c>
      <c r="Q504" t="n">
        <v>0</v>
      </c>
      <c r="R504" s="2" t="inlineStr"/>
    </row>
    <row r="505" ht="15" customHeight="1">
      <c r="A505" t="inlineStr">
        <is>
          <t>A 61202-2023</t>
        </is>
      </c>
      <c r="B505" s="1" t="n">
        <v>45264</v>
      </c>
      <c r="C505" s="1" t="n">
        <v>46195</v>
      </c>
      <c r="D505" t="inlineStr">
        <is>
          <t>ÖREBRO LÄN</t>
        </is>
      </c>
      <c r="E505" t="inlineStr">
        <is>
          <t>LINDESBERG</t>
        </is>
      </c>
      <c r="G505" t="n">
        <v>0.9</v>
      </c>
      <c r="H505" t="n">
        <v>0</v>
      </c>
      <c r="I505" t="n">
        <v>0</v>
      </c>
      <c r="J505" t="n">
        <v>0</v>
      </c>
      <c r="K505" t="n">
        <v>0</v>
      </c>
      <c r="L505" t="n">
        <v>0</v>
      </c>
      <c r="M505" t="n">
        <v>0</v>
      </c>
      <c r="N505" t="n">
        <v>0</v>
      </c>
      <c r="O505" t="n">
        <v>0</v>
      </c>
      <c r="P505" t="n">
        <v>0</v>
      </c>
      <c r="Q505" t="n">
        <v>0</v>
      </c>
      <c r="R505" s="2" t="inlineStr"/>
    </row>
    <row r="506" ht="15" customHeight="1">
      <c r="A506" t="inlineStr">
        <is>
          <t>A 50072-2025</t>
        </is>
      </c>
      <c r="B506" s="1" t="n">
        <v>45943</v>
      </c>
      <c r="C506" s="1" t="n">
        <v>46195</v>
      </c>
      <c r="D506" t="inlineStr">
        <is>
          <t>ÖREBRO LÄN</t>
        </is>
      </c>
      <c r="E506" t="inlineStr">
        <is>
          <t>LINDESBERG</t>
        </is>
      </c>
      <c r="G506" t="n">
        <v>1.5</v>
      </c>
      <c r="H506" t="n">
        <v>0</v>
      </c>
      <c r="I506" t="n">
        <v>0</v>
      </c>
      <c r="J506" t="n">
        <v>0</v>
      </c>
      <c r="K506" t="n">
        <v>0</v>
      </c>
      <c r="L506" t="n">
        <v>0</v>
      </c>
      <c r="M506" t="n">
        <v>0</v>
      </c>
      <c r="N506" t="n">
        <v>0</v>
      </c>
      <c r="O506" t="n">
        <v>0</v>
      </c>
      <c r="P506" t="n">
        <v>0</v>
      </c>
      <c r="Q506" t="n">
        <v>0</v>
      </c>
      <c r="R506" s="2" t="inlineStr"/>
    </row>
    <row r="507" ht="15" customHeight="1">
      <c r="A507" t="inlineStr">
        <is>
          <t>A 57944-2023</t>
        </is>
      </c>
      <c r="B507" s="1" t="n">
        <v>45244</v>
      </c>
      <c r="C507" s="1" t="n">
        <v>46195</v>
      </c>
      <c r="D507" t="inlineStr">
        <is>
          <t>ÖREBRO LÄN</t>
        </is>
      </c>
      <c r="E507" t="inlineStr">
        <is>
          <t>LINDESBERG</t>
        </is>
      </c>
      <c r="G507" t="n">
        <v>2.4</v>
      </c>
      <c r="H507" t="n">
        <v>0</v>
      </c>
      <c r="I507" t="n">
        <v>0</v>
      </c>
      <c r="J507" t="n">
        <v>0</v>
      </c>
      <c r="K507" t="n">
        <v>0</v>
      </c>
      <c r="L507" t="n">
        <v>0</v>
      </c>
      <c r="M507" t="n">
        <v>0</v>
      </c>
      <c r="N507" t="n">
        <v>0</v>
      </c>
      <c r="O507" t="n">
        <v>0</v>
      </c>
      <c r="P507" t="n">
        <v>0</v>
      </c>
      <c r="Q507" t="n">
        <v>0</v>
      </c>
      <c r="R507" s="2" t="inlineStr"/>
    </row>
    <row r="508" ht="15" customHeight="1">
      <c r="A508" t="inlineStr">
        <is>
          <t>A 50073-2025</t>
        </is>
      </c>
      <c r="B508" s="1" t="n">
        <v>45943</v>
      </c>
      <c r="C508" s="1" t="n">
        <v>46195</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14187-2024</t>
        </is>
      </c>
      <c r="B509" s="1" t="n">
        <v>45393</v>
      </c>
      <c r="C509" s="1" t="n">
        <v>46195</v>
      </c>
      <c r="D509" t="inlineStr">
        <is>
          <t>ÖREBRO LÄN</t>
        </is>
      </c>
      <c r="E509" t="inlineStr">
        <is>
          <t>LINDESBERG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24043-2024</t>
        </is>
      </c>
      <c r="B510" s="1" t="n">
        <v>45456</v>
      </c>
      <c r="C510" s="1" t="n">
        <v>46195</v>
      </c>
      <c r="D510" t="inlineStr">
        <is>
          <t>ÖREBRO LÄN</t>
        </is>
      </c>
      <c r="E510" t="inlineStr">
        <is>
          <t>LINDESBERG</t>
        </is>
      </c>
      <c r="G510" t="n">
        <v>6.2</v>
      </c>
      <c r="H510" t="n">
        <v>0</v>
      </c>
      <c r="I510" t="n">
        <v>0</v>
      </c>
      <c r="J510" t="n">
        <v>0</v>
      </c>
      <c r="K510" t="n">
        <v>0</v>
      </c>
      <c r="L510" t="n">
        <v>0</v>
      </c>
      <c r="M510" t="n">
        <v>0</v>
      </c>
      <c r="N510" t="n">
        <v>0</v>
      </c>
      <c r="O510" t="n">
        <v>0</v>
      </c>
      <c r="P510" t="n">
        <v>0</v>
      </c>
      <c r="Q510" t="n">
        <v>0</v>
      </c>
      <c r="R510" s="2" t="inlineStr"/>
    </row>
    <row r="511" ht="15" customHeight="1">
      <c r="A511" t="inlineStr">
        <is>
          <t>A 23844-2025</t>
        </is>
      </c>
      <c r="B511" s="1" t="n">
        <v>45793</v>
      </c>
      <c r="C511" s="1" t="n">
        <v>46195</v>
      </c>
      <c r="D511" t="inlineStr">
        <is>
          <t>ÖREBRO LÄN</t>
        </is>
      </c>
      <c r="E511" t="inlineStr">
        <is>
          <t>LINDESBERG</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50936-2025</t>
        </is>
      </c>
      <c r="B512" s="1" t="n">
        <v>45946</v>
      </c>
      <c r="C512" s="1" t="n">
        <v>46195</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39140-2024</t>
        </is>
      </c>
      <c r="B513" s="1" t="n">
        <v>45548</v>
      </c>
      <c r="C513" s="1" t="n">
        <v>46195</v>
      </c>
      <c r="D513" t="inlineStr">
        <is>
          <t>ÖREBRO LÄN</t>
        </is>
      </c>
      <c r="E513" t="inlineStr">
        <is>
          <t>LINDESBERG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265-2023</t>
        </is>
      </c>
      <c r="B514" s="1" t="n">
        <v>44928</v>
      </c>
      <c r="C514" s="1" t="n">
        <v>46195</v>
      </c>
      <c r="D514" t="inlineStr">
        <is>
          <t>ÖREBRO LÄN</t>
        </is>
      </c>
      <c r="E514" t="inlineStr">
        <is>
          <t>LINDESBERG</t>
        </is>
      </c>
      <c r="G514" t="n">
        <v>2.4</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46195</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48231-2024</t>
        </is>
      </c>
      <c r="B516" s="1" t="n">
        <v>45590</v>
      </c>
      <c r="C516" s="1" t="n">
        <v>46195</v>
      </c>
      <c r="D516" t="inlineStr">
        <is>
          <t>ÖREBRO LÄN</t>
        </is>
      </c>
      <c r="E516" t="inlineStr">
        <is>
          <t>LINDESBERG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50933-2025</t>
        </is>
      </c>
      <c r="B517" s="1" t="n">
        <v>45946</v>
      </c>
      <c r="C517" s="1" t="n">
        <v>46195</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26778-2023</t>
        </is>
      </c>
      <c r="B518" s="1" t="n">
        <v>45093</v>
      </c>
      <c r="C518" s="1" t="n">
        <v>46195</v>
      </c>
      <c r="D518" t="inlineStr">
        <is>
          <t>ÖREBRO LÄN</t>
        </is>
      </c>
      <c r="E518" t="inlineStr">
        <is>
          <t>LINDESBERG</t>
        </is>
      </c>
      <c r="G518" t="n">
        <v>7.5</v>
      </c>
      <c r="H518" t="n">
        <v>0</v>
      </c>
      <c r="I518" t="n">
        <v>0</v>
      </c>
      <c r="J518" t="n">
        <v>0</v>
      </c>
      <c r="K518" t="n">
        <v>0</v>
      </c>
      <c r="L518" t="n">
        <v>0</v>
      </c>
      <c r="M518" t="n">
        <v>0</v>
      </c>
      <c r="N518" t="n">
        <v>0</v>
      </c>
      <c r="O518" t="n">
        <v>0</v>
      </c>
      <c r="P518" t="n">
        <v>0</v>
      </c>
      <c r="Q518" t="n">
        <v>0</v>
      </c>
      <c r="R518" s="2" t="inlineStr"/>
    </row>
    <row r="519" ht="15" customHeight="1">
      <c r="A519" t="inlineStr">
        <is>
          <t>A 51030-2025</t>
        </is>
      </c>
      <c r="B519" s="1" t="n">
        <v>45947</v>
      </c>
      <c r="C519" s="1" t="n">
        <v>46195</v>
      </c>
      <c r="D519" t="inlineStr">
        <is>
          <t>ÖREBRO LÄN</t>
        </is>
      </c>
      <c r="E519" t="inlineStr">
        <is>
          <t>LINDESBERG</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37125-2023</t>
        </is>
      </c>
      <c r="B520" s="1" t="n">
        <v>45155</v>
      </c>
      <c r="C520" s="1" t="n">
        <v>46195</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20970-2026</t>
        </is>
      </c>
      <c r="B521" s="1" t="n">
        <v>46142</v>
      </c>
      <c r="C521" s="1" t="n">
        <v>46195</v>
      </c>
      <c r="D521" t="inlineStr">
        <is>
          <t>ÖREBRO LÄN</t>
        </is>
      </c>
      <c r="E521" t="inlineStr">
        <is>
          <t>LINDESBERG</t>
        </is>
      </c>
      <c r="F521" t="inlineStr">
        <is>
          <t>Naturvårdsverket</t>
        </is>
      </c>
      <c r="G521" t="n">
        <v>5</v>
      </c>
      <c r="H521" t="n">
        <v>0</v>
      </c>
      <c r="I521" t="n">
        <v>0</v>
      </c>
      <c r="J521" t="n">
        <v>0</v>
      </c>
      <c r="K521" t="n">
        <v>0</v>
      </c>
      <c r="L521" t="n">
        <v>0</v>
      </c>
      <c r="M521" t="n">
        <v>0</v>
      </c>
      <c r="N521" t="n">
        <v>0</v>
      </c>
      <c r="O521" t="n">
        <v>0</v>
      </c>
      <c r="P521" t="n">
        <v>0</v>
      </c>
      <c r="Q521" t="n">
        <v>0</v>
      </c>
      <c r="R521" s="2" t="inlineStr"/>
    </row>
    <row r="522" ht="15" customHeight="1">
      <c r="A522" t="inlineStr">
        <is>
          <t>A 6-2023</t>
        </is>
      </c>
      <c r="B522" s="1" t="n">
        <v>44927</v>
      </c>
      <c r="C522" s="1" t="n">
        <v>46195</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54864-2024</t>
        </is>
      </c>
      <c r="B523" s="1" t="n">
        <v>45618</v>
      </c>
      <c r="C523" s="1" t="n">
        <v>46195</v>
      </c>
      <c r="D523" t="inlineStr">
        <is>
          <t>ÖREBRO LÄN</t>
        </is>
      </c>
      <c r="E523" t="inlineStr">
        <is>
          <t>LINDESBERG</t>
        </is>
      </c>
      <c r="F523" t="inlineStr">
        <is>
          <t>Sveaskog</t>
        </is>
      </c>
      <c r="G523" t="n">
        <v>4.4</v>
      </c>
      <c r="H523" t="n">
        <v>0</v>
      </c>
      <c r="I523" t="n">
        <v>0</v>
      </c>
      <c r="J523" t="n">
        <v>0</v>
      </c>
      <c r="K523" t="n">
        <v>0</v>
      </c>
      <c r="L523" t="n">
        <v>0</v>
      </c>
      <c r="M523" t="n">
        <v>0</v>
      </c>
      <c r="N523" t="n">
        <v>0</v>
      </c>
      <c r="O523" t="n">
        <v>0</v>
      </c>
      <c r="P523" t="n">
        <v>0</v>
      </c>
      <c r="Q523" t="n">
        <v>0</v>
      </c>
      <c r="R523" s="2" t="inlineStr"/>
    </row>
    <row r="524" ht="15" customHeight="1">
      <c r="A524" t="inlineStr">
        <is>
          <t>A 24186-2024</t>
        </is>
      </c>
      <c r="B524" s="1" t="n">
        <v>45456</v>
      </c>
      <c r="C524" s="1" t="n">
        <v>46195</v>
      </c>
      <c r="D524" t="inlineStr">
        <is>
          <t>ÖREBRO LÄN</t>
        </is>
      </c>
      <c r="E524" t="inlineStr">
        <is>
          <t>LINDESBERG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51172-2025</t>
        </is>
      </c>
      <c r="B525" s="1" t="n">
        <v>45947</v>
      </c>
      <c r="C525" s="1" t="n">
        <v>46195</v>
      </c>
      <c r="D525" t="inlineStr">
        <is>
          <t>ÖREBRO LÄN</t>
        </is>
      </c>
      <c r="E525" t="inlineStr">
        <is>
          <t>LINDESBERG</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52117-2025</t>
        </is>
      </c>
      <c r="B526" s="1" t="n">
        <v>45952</v>
      </c>
      <c r="C526" s="1" t="n">
        <v>46195</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52103-2025</t>
        </is>
      </c>
      <c r="B527" s="1" t="n">
        <v>45952</v>
      </c>
      <c r="C527" s="1" t="n">
        <v>46195</v>
      </c>
      <c r="D527" t="inlineStr">
        <is>
          <t>ÖREBRO LÄN</t>
        </is>
      </c>
      <c r="E527" t="inlineStr">
        <is>
          <t>LINDESBERG</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52104-2025</t>
        </is>
      </c>
      <c r="B528" s="1" t="n">
        <v>45952</v>
      </c>
      <c r="C528" s="1" t="n">
        <v>46195</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25842-2025</t>
        </is>
      </c>
      <c r="B529" s="1" t="n">
        <v>45804</v>
      </c>
      <c r="C529" s="1" t="n">
        <v>46195</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20971-2026</t>
        </is>
      </c>
      <c r="B530" s="1" t="n">
        <v>46142</v>
      </c>
      <c r="C530" s="1" t="n">
        <v>46195</v>
      </c>
      <c r="D530" t="inlineStr">
        <is>
          <t>ÖREBRO LÄN</t>
        </is>
      </c>
      <c r="E530" t="inlineStr">
        <is>
          <t>LINDESBERG</t>
        </is>
      </c>
      <c r="F530" t="inlineStr">
        <is>
          <t>Naturvårdsverket</t>
        </is>
      </c>
      <c r="G530" t="n">
        <v>4.5</v>
      </c>
      <c r="H530" t="n">
        <v>0</v>
      </c>
      <c r="I530" t="n">
        <v>0</v>
      </c>
      <c r="J530" t="n">
        <v>0</v>
      </c>
      <c r="K530" t="n">
        <v>0</v>
      </c>
      <c r="L530" t="n">
        <v>0</v>
      </c>
      <c r="M530" t="n">
        <v>0</v>
      </c>
      <c r="N530" t="n">
        <v>0</v>
      </c>
      <c r="O530" t="n">
        <v>0</v>
      </c>
      <c r="P530" t="n">
        <v>0</v>
      </c>
      <c r="Q530" t="n">
        <v>0</v>
      </c>
      <c r="R530" s="2" t="inlineStr"/>
    </row>
    <row r="531" ht="15" customHeight="1">
      <c r="A531" t="inlineStr">
        <is>
          <t>A 52401-2025</t>
        </is>
      </c>
      <c r="B531" s="1" t="n">
        <v>45954</v>
      </c>
      <c r="C531" s="1" t="n">
        <v>46195</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15899-2025</t>
        </is>
      </c>
      <c r="B532" s="1" t="n">
        <v>45749</v>
      </c>
      <c r="C532" s="1" t="n">
        <v>46195</v>
      </c>
      <c r="D532" t="inlineStr">
        <is>
          <t>ÖREBRO LÄN</t>
        </is>
      </c>
      <c r="E532" t="inlineStr">
        <is>
          <t>LINDESBERG</t>
        </is>
      </c>
      <c r="G532" t="n">
        <v>6.6</v>
      </c>
      <c r="H532" t="n">
        <v>0</v>
      </c>
      <c r="I532" t="n">
        <v>0</v>
      </c>
      <c r="J532" t="n">
        <v>0</v>
      </c>
      <c r="K532" t="n">
        <v>0</v>
      </c>
      <c r="L532" t="n">
        <v>0</v>
      </c>
      <c r="M532" t="n">
        <v>0</v>
      </c>
      <c r="N532" t="n">
        <v>0</v>
      </c>
      <c r="O532" t="n">
        <v>0</v>
      </c>
      <c r="P532" t="n">
        <v>0</v>
      </c>
      <c r="Q532" t="n">
        <v>0</v>
      </c>
      <c r="R532" s="2" t="inlineStr"/>
    </row>
    <row r="533" ht="15" customHeight="1">
      <c r="A533" t="inlineStr">
        <is>
          <t>A 50275-2024</t>
        </is>
      </c>
      <c r="B533" s="1" t="n">
        <v>45600</v>
      </c>
      <c r="C533" s="1" t="n">
        <v>46195</v>
      </c>
      <c r="D533" t="inlineStr">
        <is>
          <t>ÖREBRO LÄN</t>
        </is>
      </c>
      <c r="E533" t="inlineStr">
        <is>
          <t>LINDESBERG</t>
        </is>
      </c>
      <c r="G533" t="n">
        <v>4.3</v>
      </c>
      <c r="H533" t="n">
        <v>0</v>
      </c>
      <c r="I533" t="n">
        <v>0</v>
      </c>
      <c r="J533" t="n">
        <v>0</v>
      </c>
      <c r="K533" t="n">
        <v>0</v>
      </c>
      <c r="L533" t="n">
        <v>0</v>
      </c>
      <c r="M533" t="n">
        <v>0</v>
      </c>
      <c r="N533" t="n">
        <v>0</v>
      </c>
      <c r="O533" t="n">
        <v>0</v>
      </c>
      <c r="P533" t="n">
        <v>0</v>
      </c>
      <c r="Q533" t="n">
        <v>0</v>
      </c>
      <c r="R533" s="2" t="inlineStr"/>
    </row>
    <row r="534" ht="15" customHeight="1">
      <c r="A534" t="inlineStr">
        <is>
          <t>A 34093-2022</t>
        </is>
      </c>
      <c r="B534" s="1" t="n">
        <v>44791</v>
      </c>
      <c r="C534" s="1" t="n">
        <v>46195</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29500-2023</t>
        </is>
      </c>
      <c r="B535" s="1" t="n">
        <v>45106</v>
      </c>
      <c r="C535" s="1" t="n">
        <v>46195</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3294-2024</t>
        </is>
      </c>
      <c r="B536" s="1" t="n">
        <v>45316</v>
      </c>
      <c r="C536" s="1" t="n">
        <v>46195</v>
      </c>
      <c r="D536" t="inlineStr">
        <is>
          <t>ÖREBRO LÄN</t>
        </is>
      </c>
      <c r="E536" t="inlineStr">
        <is>
          <t>LINDESBERG</t>
        </is>
      </c>
      <c r="G536" t="n">
        <v>3</v>
      </c>
      <c r="H536" t="n">
        <v>0</v>
      </c>
      <c r="I536" t="n">
        <v>0</v>
      </c>
      <c r="J536" t="n">
        <v>0</v>
      </c>
      <c r="K536" t="n">
        <v>0</v>
      </c>
      <c r="L536" t="n">
        <v>0</v>
      </c>
      <c r="M536" t="n">
        <v>0</v>
      </c>
      <c r="N536" t="n">
        <v>0</v>
      </c>
      <c r="O536" t="n">
        <v>0</v>
      </c>
      <c r="P536" t="n">
        <v>0</v>
      </c>
      <c r="Q536" t="n">
        <v>0</v>
      </c>
      <c r="R536" s="2" t="inlineStr"/>
    </row>
    <row r="537" ht="15" customHeight="1">
      <c r="A537" t="inlineStr">
        <is>
          <t>A 41947-2023</t>
        </is>
      </c>
      <c r="B537" s="1" t="n">
        <v>45177</v>
      </c>
      <c r="C537" s="1" t="n">
        <v>46195</v>
      </c>
      <c r="D537" t="inlineStr">
        <is>
          <t>ÖREBRO LÄN</t>
        </is>
      </c>
      <c r="E537" t="inlineStr">
        <is>
          <t>LINDESBERG</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16447-2025</t>
        </is>
      </c>
      <c r="B538" s="1" t="n">
        <v>45751</v>
      </c>
      <c r="C538" s="1" t="n">
        <v>46195</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29975-2023</t>
        </is>
      </c>
      <c r="B539" s="1" t="n">
        <v>45108</v>
      </c>
      <c r="C539" s="1" t="n">
        <v>46195</v>
      </c>
      <c r="D539" t="inlineStr">
        <is>
          <t>ÖREBRO LÄN</t>
        </is>
      </c>
      <c r="E539" t="inlineStr">
        <is>
          <t>LINDESBERG</t>
        </is>
      </c>
      <c r="G539" t="n">
        <v>6.4</v>
      </c>
      <c r="H539" t="n">
        <v>0</v>
      </c>
      <c r="I539" t="n">
        <v>0</v>
      </c>
      <c r="J539" t="n">
        <v>0</v>
      </c>
      <c r="K539" t="n">
        <v>0</v>
      </c>
      <c r="L539" t="n">
        <v>0</v>
      </c>
      <c r="M539" t="n">
        <v>0</v>
      </c>
      <c r="N539" t="n">
        <v>0</v>
      </c>
      <c r="O539" t="n">
        <v>0</v>
      </c>
      <c r="P539" t="n">
        <v>0</v>
      </c>
      <c r="Q539" t="n">
        <v>0</v>
      </c>
      <c r="R539" s="2" t="inlineStr"/>
    </row>
    <row r="540" ht="15" customHeight="1">
      <c r="A540" t="inlineStr">
        <is>
          <t>A 16448-2025</t>
        </is>
      </c>
      <c r="B540" s="1" t="n">
        <v>45751</v>
      </c>
      <c r="C540" s="1" t="n">
        <v>46195</v>
      </c>
      <c r="D540" t="inlineStr">
        <is>
          <t>ÖREBRO LÄN</t>
        </is>
      </c>
      <c r="E540" t="inlineStr">
        <is>
          <t>LINDESBERG</t>
        </is>
      </c>
      <c r="G540" t="n">
        <v>20.1</v>
      </c>
      <c r="H540" t="n">
        <v>0</v>
      </c>
      <c r="I540" t="n">
        <v>0</v>
      </c>
      <c r="J540" t="n">
        <v>0</v>
      </c>
      <c r="K540" t="n">
        <v>0</v>
      </c>
      <c r="L540" t="n">
        <v>0</v>
      </c>
      <c r="M540" t="n">
        <v>0</v>
      </c>
      <c r="N540" t="n">
        <v>0</v>
      </c>
      <c r="O540" t="n">
        <v>0</v>
      </c>
      <c r="P540" t="n">
        <v>0</v>
      </c>
      <c r="Q540" t="n">
        <v>0</v>
      </c>
      <c r="R540" s="2" t="inlineStr"/>
    </row>
    <row r="541" ht="15" customHeight="1">
      <c r="A541" t="inlineStr">
        <is>
          <t>A 7126-2025</t>
        </is>
      </c>
      <c r="B541" s="1" t="n">
        <v>45702</v>
      </c>
      <c r="C541" s="1" t="n">
        <v>46195</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52402-2025</t>
        </is>
      </c>
      <c r="B542" s="1" t="n">
        <v>45954</v>
      </c>
      <c r="C542" s="1" t="n">
        <v>46195</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40085-2023</t>
        </is>
      </c>
      <c r="B543" s="1" t="n">
        <v>45168</v>
      </c>
      <c r="C543" s="1" t="n">
        <v>46195</v>
      </c>
      <c r="D543" t="inlineStr">
        <is>
          <t>ÖREBRO LÄN</t>
        </is>
      </c>
      <c r="E543" t="inlineStr">
        <is>
          <t>LINDESBERG</t>
        </is>
      </c>
      <c r="G543" t="n">
        <v>6.1</v>
      </c>
      <c r="H543" t="n">
        <v>0</v>
      </c>
      <c r="I543" t="n">
        <v>0</v>
      </c>
      <c r="J543" t="n">
        <v>0</v>
      </c>
      <c r="K543" t="n">
        <v>0</v>
      </c>
      <c r="L543" t="n">
        <v>0</v>
      </c>
      <c r="M543" t="n">
        <v>0</v>
      </c>
      <c r="N543" t="n">
        <v>0</v>
      </c>
      <c r="O543" t="n">
        <v>0</v>
      </c>
      <c r="P543" t="n">
        <v>0</v>
      </c>
      <c r="Q543" t="n">
        <v>0</v>
      </c>
      <c r="R543" s="2" t="inlineStr"/>
    </row>
    <row r="544" ht="15" customHeight="1">
      <c r="A544" t="inlineStr">
        <is>
          <t>A 28470-2023</t>
        </is>
      </c>
      <c r="B544" s="1" t="n">
        <v>45103</v>
      </c>
      <c r="C544" s="1" t="n">
        <v>46195</v>
      </c>
      <c r="D544" t="inlineStr">
        <is>
          <t>ÖREBRO LÄN</t>
        </is>
      </c>
      <c r="E544" t="inlineStr">
        <is>
          <t>LINDESBERG</t>
        </is>
      </c>
      <c r="G544" t="n">
        <v>6.7</v>
      </c>
      <c r="H544" t="n">
        <v>0</v>
      </c>
      <c r="I544" t="n">
        <v>0</v>
      </c>
      <c r="J544" t="n">
        <v>0</v>
      </c>
      <c r="K544" t="n">
        <v>0</v>
      </c>
      <c r="L544" t="n">
        <v>0</v>
      </c>
      <c r="M544" t="n">
        <v>0</v>
      </c>
      <c r="N544" t="n">
        <v>0</v>
      </c>
      <c r="O544" t="n">
        <v>0</v>
      </c>
      <c r="P544" t="n">
        <v>0</v>
      </c>
      <c r="Q544" t="n">
        <v>0</v>
      </c>
      <c r="R544" s="2" t="inlineStr"/>
    </row>
    <row r="545" ht="15" customHeight="1">
      <c r="A545" t="inlineStr">
        <is>
          <t>A 32002-2023</t>
        </is>
      </c>
      <c r="B545" s="1" t="n">
        <v>45119</v>
      </c>
      <c r="C545" s="1" t="n">
        <v>46195</v>
      </c>
      <c r="D545" t="inlineStr">
        <is>
          <t>ÖREBRO LÄN</t>
        </is>
      </c>
      <c r="E545" t="inlineStr">
        <is>
          <t>LINDESBERG</t>
        </is>
      </c>
      <c r="F545" t="inlineStr">
        <is>
          <t>Kyrkan</t>
        </is>
      </c>
      <c r="G545" t="n">
        <v>0.6</v>
      </c>
      <c r="H545" t="n">
        <v>0</v>
      </c>
      <c r="I545" t="n">
        <v>0</v>
      </c>
      <c r="J545" t="n">
        <v>0</v>
      </c>
      <c r="K545" t="n">
        <v>0</v>
      </c>
      <c r="L545" t="n">
        <v>0</v>
      </c>
      <c r="M545" t="n">
        <v>0</v>
      </c>
      <c r="N545" t="n">
        <v>0</v>
      </c>
      <c r="O545" t="n">
        <v>0</v>
      </c>
      <c r="P545" t="n">
        <v>0</v>
      </c>
      <c r="Q545" t="n">
        <v>0</v>
      </c>
      <c r="R545" s="2" t="inlineStr"/>
    </row>
    <row r="546" ht="15" customHeight="1">
      <c r="A546" t="inlineStr">
        <is>
          <t>A 54070-2025</t>
        </is>
      </c>
      <c r="B546" s="1" t="n">
        <v>45964</v>
      </c>
      <c r="C546" s="1" t="n">
        <v>46195</v>
      </c>
      <c r="D546" t="inlineStr">
        <is>
          <t>ÖREBRO LÄN</t>
        </is>
      </c>
      <c r="E546" t="inlineStr">
        <is>
          <t>LINDESBERG</t>
        </is>
      </c>
      <c r="G546" t="n">
        <v>0.5</v>
      </c>
      <c r="H546" t="n">
        <v>0</v>
      </c>
      <c r="I546" t="n">
        <v>0</v>
      </c>
      <c r="J546" t="n">
        <v>0</v>
      </c>
      <c r="K546" t="n">
        <v>0</v>
      </c>
      <c r="L546" t="n">
        <v>0</v>
      </c>
      <c r="M546" t="n">
        <v>0</v>
      </c>
      <c r="N546" t="n">
        <v>0</v>
      </c>
      <c r="O546" t="n">
        <v>0</v>
      </c>
      <c r="P546" t="n">
        <v>0</v>
      </c>
      <c r="Q546" t="n">
        <v>0</v>
      </c>
      <c r="R546" s="2" t="inlineStr"/>
    </row>
    <row r="547" ht="15" customHeight="1">
      <c r="A547" t="inlineStr">
        <is>
          <t>A 29849-2023</t>
        </is>
      </c>
      <c r="B547" s="1" t="n">
        <v>45107</v>
      </c>
      <c r="C547" s="1" t="n">
        <v>46195</v>
      </c>
      <c r="D547" t="inlineStr">
        <is>
          <t>ÖREBRO LÄN</t>
        </is>
      </c>
      <c r="E547" t="inlineStr">
        <is>
          <t>LINDESBERG</t>
        </is>
      </c>
      <c r="G547" t="n">
        <v>2.1</v>
      </c>
      <c r="H547" t="n">
        <v>0</v>
      </c>
      <c r="I547" t="n">
        <v>0</v>
      </c>
      <c r="J547" t="n">
        <v>0</v>
      </c>
      <c r="K547" t="n">
        <v>0</v>
      </c>
      <c r="L547" t="n">
        <v>0</v>
      </c>
      <c r="M547" t="n">
        <v>0</v>
      </c>
      <c r="N547" t="n">
        <v>0</v>
      </c>
      <c r="O547" t="n">
        <v>0</v>
      </c>
      <c r="P547" t="n">
        <v>0</v>
      </c>
      <c r="Q547" t="n">
        <v>0</v>
      </c>
      <c r="R547" s="2" t="inlineStr"/>
    </row>
    <row r="548" ht="15" customHeight="1">
      <c r="A548" t="inlineStr">
        <is>
          <t>A 27296-2025</t>
        </is>
      </c>
      <c r="B548" s="1" t="n">
        <v>45812</v>
      </c>
      <c r="C548" s="1" t="n">
        <v>46195</v>
      </c>
      <c r="D548" t="inlineStr">
        <is>
          <t>ÖREBRO LÄN</t>
        </is>
      </c>
      <c r="E548" t="inlineStr">
        <is>
          <t>LINDESBERG</t>
        </is>
      </c>
      <c r="F548" t="inlineStr">
        <is>
          <t>Sveaskog</t>
        </is>
      </c>
      <c r="G548" t="n">
        <v>4.5</v>
      </c>
      <c r="H548" t="n">
        <v>0</v>
      </c>
      <c r="I548" t="n">
        <v>0</v>
      </c>
      <c r="J548" t="n">
        <v>0</v>
      </c>
      <c r="K548" t="n">
        <v>0</v>
      </c>
      <c r="L548" t="n">
        <v>0</v>
      </c>
      <c r="M548" t="n">
        <v>0</v>
      </c>
      <c r="N548" t="n">
        <v>0</v>
      </c>
      <c r="O548" t="n">
        <v>0</v>
      </c>
      <c r="P548" t="n">
        <v>0</v>
      </c>
      <c r="Q548" t="n">
        <v>0</v>
      </c>
      <c r="R548" s="2" t="inlineStr"/>
    </row>
    <row r="549" ht="15" customHeight="1">
      <c r="A549" t="inlineStr">
        <is>
          <t>A 54250-2025</t>
        </is>
      </c>
      <c r="B549" s="1" t="n">
        <v>45964</v>
      </c>
      <c r="C549" s="1" t="n">
        <v>46195</v>
      </c>
      <c r="D549" t="inlineStr">
        <is>
          <t>ÖREBRO LÄN</t>
        </is>
      </c>
      <c r="E549" t="inlineStr">
        <is>
          <t>LINDESBERG</t>
        </is>
      </c>
      <c r="F549" t="inlineStr">
        <is>
          <t>Sveaskog</t>
        </is>
      </c>
      <c r="G549" t="n">
        <v>4.5</v>
      </c>
      <c r="H549" t="n">
        <v>0</v>
      </c>
      <c r="I549" t="n">
        <v>0</v>
      </c>
      <c r="J549" t="n">
        <v>0</v>
      </c>
      <c r="K549" t="n">
        <v>0</v>
      </c>
      <c r="L549" t="n">
        <v>0</v>
      </c>
      <c r="M549" t="n">
        <v>0</v>
      </c>
      <c r="N549" t="n">
        <v>0</v>
      </c>
      <c r="O549" t="n">
        <v>0</v>
      </c>
      <c r="P549" t="n">
        <v>0</v>
      </c>
      <c r="Q549" t="n">
        <v>0</v>
      </c>
      <c r="R549" s="2" t="inlineStr"/>
    </row>
    <row r="550" ht="15" customHeight="1">
      <c r="A550" t="inlineStr">
        <is>
          <t>A 54251-2025</t>
        </is>
      </c>
      <c r="B550" s="1" t="n">
        <v>45964</v>
      </c>
      <c r="C550" s="1" t="n">
        <v>46195</v>
      </c>
      <c r="D550" t="inlineStr">
        <is>
          <t>ÖREBRO LÄN</t>
        </is>
      </c>
      <c r="E550" t="inlineStr">
        <is>
          <t>LINDESBERG</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5784-2025</t>
        </is>
      </c>
      <c r="B551" s="1" t="n">
        <v>45694</v>
      </c>
      <c r="C551" s="1" t="n">
        <v>46195</v>
      </c>
      <c r="D551" t="inlineStr">
        <is>
          <t>ÖREBRO LÄN</t>
        </is>
      </c>
      <c r="E551" t="inlineStr">
        <is>
          <t>LINDESBERG</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54072-2025</t>
        </is>
      </c>
      <c r="B552" s="1" t="n">
        <v>45964</v>
      </c>
      <c r="C552" s="1" t="n">
        <v>46195</v>
      </c>
      <c r="D552" t="inlineStr">
        <is>
          <t>ÖREBRO LÄN</t>
        </is>
      </c>
      <c r="E552" t="inlineStr">
        <is>
          <t>LINDESBERG</t>
        </is>
      </c>
      <c r="G552" t="n">
        <v>1.3</v>
      </c>
      <c r="H552" t="n">
        <v>0</v>
      </c>
      <c r="I552" t="n">
        <v>0</v>
      </c>
      <c r="J552" t="n">
        <v>0</v>
      </c>
      <c r="K552" t="n">
        <v>0</v>
      </c>
      <c r="L552" t="n">
        <v>0</v>
      </c>
      <c r="M552" t="n">
        <v>0</v>
      </c>
      <c r="N552" t="n">
        <v>0</v>
      </c>
      <c r="O552" t="n">
        <v>0</v>
      </c>
      <c r="P552" t="n">
        <v>0</v>
      </c>
      <c r="Q552" t="n">
        <v>0</v>
      </c>
      <c r="R552" s="2" t="inlineStr"/>
    </row>
    <row r="553" ht="15" customHeight="1">
      <c r="A553" t="inlineStr">
        <is>
          <t>A 54249-2025</t>
        </is>
      </c>
      <c r="B553" s="1" t="n">
        <v>45964</v>
      </c>
      <c r="C553" s="1" t="n">
        <v>46195</v>
      </c>
      <c r="D553" t="inlineStr">
        <is>
          <t>ÖREBRO LÄN</t>
        </is>
      </c>
      <c r="E553" t="inlineStr">
        <is>
          <t>LINDESBERG</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69208-2021</t>
        </is>
      </c>
      <c r="B554" s="1" t="n">
        <v>44531</v>
      </c>
      <c r="C554" s="1" t="n">
        <v>46195</v>
      </c>
      <c r="D554" t="inlineStr">
        <is>
          <t>ÖREBRO LÄN</t>
        </is>
      </c>
      <c r="E554" t="inlineStr">
        <is>
          <t>LINDESBERG</t>
        </is>
      </c>
      <c r="G554" t="n">
        <v>2</v>
      </c>
      <c r="H554" t="n">
        <v>0</v>
      </c>
      <c r="I554" t="n">
        <v>0</v>
      </c>
      <c r="J554" t="n">
        <v>0</v>
      </c>
      <c r="K554" t="n">
        <v>0</v>
      </c>
      <c r="L554" t="n">
        <v>0</v>
      </c>
      <c r="M554" t="n">
        <v>0</v>
      </c>
      <c r="N554" t="n">
        <v>0</v>
      </c>
      <c r="O554" t="n">
        <v>0</v>
      </c>
      <c r="P554" t="n">
        <v>0</v>
      </c>
      <c r="Q554" t="n">
        <v>0</v>
      </c>
      <c r="R554" s="2" t="inlineStr"/>
    </row>
    <row r="555" ht="15" customHeight="1">
      <c r="A555" t="inlineStr">
        <is>
          <t>A 28040-2025</t>
        </is>
      </c>
      <c r="B555" s="1" t="n">
        <v>45817</v>
      </c>
      <c r="C555" s="1" t="n">
        <v>46195</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55255-2025</t>
        </is>
      </c>
      <c r="B556" s="1" t="n">
        <v>45968</v>
      </c>
      <c r="C556" s="1" t="n">
        <v>46195</v>
      </c>
      <c r="D556" t="inlineStr">
        <is>
          <t>ÖREBRO LÄN</t>
        </is>
      </c>
      <c r="E556" t="inlineStr">
        <is>
          <t>LINDESBERG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45038-2024</t>
        </is>
      </c>
      <c r="B557" s="1" t="n">
        <v>45575</v>
      </c>
      <c r="C557" s="1" t="n">
        <v>46195</v>
      </c>
      <c r="D557" t="inlineStr">
        <is>
          <t>ÖREBRO LÄN</t>
        </is>
      </c>
      <c r="E557" t="inlineStr">
        <is>
          <t>LINDESBERG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28991-2025</t>
        </is>
      </c>
      <c r="B558" s="1" t="n">
        <v>45821</v>
      </c>
      <c r="C558" s="1" t="n">
        <v>46195</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55490-2025</t>
        </is>
      </c>
      <c r="B559" s="1" t="n">
        <v>45971</v>
      </c>
      <c r="C559" s="1" t="n">
        <v>46195</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38552-2023</t>
        </is>
      </c>
      <c r="B560" s="1" t="n">
        <v>45162</v>
      </c>
      <c r="C560" s="1" t="n">
        <v>46195</v>
      </c>
      <c r="D560" t="inlineStr">
        <is>
          <t>ÖREBRO LÄN</t>
        </is>
      </c>
      <c r="E560" t="inlineStr">
        <is>
          <t>LINDESBERG</t>
        </is>
      </c>
      <c r="G560" t="n">
        <v>10.4</v>
      </c>
      <c r="H560" t="n">
        <v>0</v>
      </c>
      <c r="I560" t="n">
        <v>0</v>
      </c>
      <c r="J560" t="n">
        <v>0</v>
      </c>
      <c r="K560" t="n">
        <v>0</v>
      </c>
      <c r="L560" t="n">
        <v>0</v>
      </c>
      <c r="M560" t="n">
        <v>0</v>
      </c>
      <c r="N560" t="n">
        <v>0</v>
      </c>
      <c r="O560" t="n">
        <v>0</v>
      </c>
      <c r="P560" t="n">
        <v>0</v>
      </c>
      <c r="Q560" t="n">
        <v>0</v>
      </c>
      <c r="R560" s="2" t="inlineStr"/>
    </row>
    <row r="561" ht="15" customHeight="1">
      <c r="A561" t="inlineStr">
        <is>
          <t>A 64084-2023</t>
        </is>
      </c>
      <c r="B561" s="1" t="n">
        <v>45279</v>
      </c>
      <c r="C561" s="1" t="n">
        <v>46195</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33424-2024</t>
        </is>
      </c>
      <c r="B562" s="1" t="n">
        <v>45519</v>
      </c>
      <c r="C562" s="1" t="n">
        <v>46195</v>
      </c>
      <c r="D562" t="inlineStr">
        <is>
          <t>ÖREBRO LÄN</t>
        </is>
      </c>
      <c r="E562" t="inlineStr">
        <is>
          <t>LINDESBERG</t>
        </is>
      </c>
      <c r="F562" t="inlineStr">
        <is>
          <t>Sveaskog</t>
        </is>
      </c>
      <c r="G562" t="n">
        <v>0.1</v>
      </c>
      <c r="H562" t="n">
        <v>0</v>
      </c>
      <c r="I562" t="n">
        <v>0</v>
      </c>
      <c r="J562" t="n">
        <v>0</v>
      </c>
      <c r="K562" t="n">
        <v>0</v>
      </c>
      <c r="L562" t="n">
        <v>0</v>
      </c>
      <c r="M562" t="n">
        <v>0</v>
      </c>
      <c r="N562" t="n">
        <v>0</v>
      </c>
      <c r="O562" t="n">
        <v>0</v>
      </c>
      <c r="P562" t="n">
        <v>0</v>
      </c>
      <c r="Q562" t="n">
        <v>0</v>
      </c>
      <c r="R562" s="2" t="inlineStr"/>
    </row>
    <row r="563" ht="15" customHeight="1">
      <c r="A563" t="inlineStr">
        <is>
          <t>A 33427-2024</t>
        </is>
      </c>
      <c r="B563" s="1" t="n">
        <v>45519</v>
      </c>
      <c r="C563" s="1" t="n">
        <v>46195</v>
      </c>
      <c r="D563" t="inlineStr">
        <is>
          <t>ÖREBRO LÄN</t>
        </is>
      </c>
      <c r="E563" t="inlineStr">
        <is>
          <t>LINDESBERG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36509-2024</t>
        </is>
      </c>
      <c r="B564" s="1" t="n">
        <v>45537</v>
      </c>
      <c r="C564" s="1" t="n">
        <v>46195</v>
      </c>
      <c r="D564" t="inlineStr">
        <is>
          <t>ÖREBRO LÄN</t>
        </is>
      </c>
      <c r="E564" t="inlineStr">
        <is>
          <t>LINDESBERG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56232-2025</t>
        </is>
      </c>
      <c r="B565" s="1" t="n">
        <v>45974</v>
      </c>
      <c r="C565" s="1" t="n">
        <v>46195</v>
      </c>
      <c r="D565" t="inlineStr">
        <is>
          <t>ÖREBRO LÄN</t>
        </is>
      </c>
      <c r="E565" t="inlineStr">
        <is>
          <t>LINDESBERG</t>
        </is>
      </c>
      <c r="G565" t="n">
        <v>3.2</v>
      </c>
      <c r="H565" t="n">
        <v>0</v>
      </c>
      <c r="I565" t="n">
        <v>0</v>
      </c>
      <c r="J565" t="n">
        <v>0</v>
      </c>
      <c r="K565" t="n">
        <v>0</v>
      </c>
      <c r="L565" t="n">
        <v>0</v>
      </c>
      <c r="M565" t="n">
        <v>0</v>
      </c>
      <c r="N565" t="n">
        <v>0</v>
      </c>
      <c r="O565" t="n">
        <v>0</v>
      </c>
      <c r="P565" t="n">
        <v>0</v>
      </c>
      <c r="Q565" t="n">
        <v>0</v>
      </c>
      <c r="R565" s="2" t="inlineStr"/>
    </row>
    <row r="566" ht="15" customHeight="1">
      <c r="A566" t="inlineStr">
        <is>
          <t>A 29894-2023</t>
        </is>
      </c>
      <c r="B566" s="1" t="n">
        <v>45107</v>
      </c>
      <c r="C566" s="1" t="n">
        <v>46195</v>
      </c>
      <c r="D566" t="inlineStr">
        <is>
          <t>ÖREBRO LÄN</t>
        </is>
      </c>
      <c r="E566" t="inlineStr">
        <is>
          <t>LINDESBERG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30341-2025</t>
        </is>
      </c>
      <c r="B567" s="1" t="n">
        <v>45827</v>
      </c>
      <c r="C567" s="1" t="n">
        <v>46195</v>
      </c>
      <c r="D567" t="inlineStr">
        <is>
          <t>ÖREBRO LÄN</t>
        </is>
      </c>
      <c r="E567" t="inlineStr">
        <is>
          <t>LINDESBERG</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56308-2025</t>
        </is>
      </c>
      <c r="B568" s="1" t="n">
        <v>45974</v>
      </c>
      <c r="C568" s="1" t="n">
        <v>46195</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56226-2025</t>
        </is>
      </c>
      <c r="B569" s="1" t="n">
        <v>45974</v>
      </c>
      <c r="C569" s="1" t="n">
        <v>46195</v>
      </c>
      <c r="D569" t="inlineStr">
        <is>
          <t>ÖREBRO LÄN</t>
        </is>
      </c>
      <c r="E569" t="inlineStr">
        <is>
          <t>LINDESBERG</t>
        </is>
      </c>
      <c r="G569" t="n">
        <v>1.8</v>
      </c>
      <c r="H569" t="n">
        <v>0</v>
      </c>
      <c r="I569" t="n">
        <v>0</v>
      </c>
      <c r="J569" t="n">
        <v>0</v>
      </c>
      <c r="K569" t="n">
        <v>0</v>
      </c>
      <c r="L569" t="n">
        <v>0</v>
      </c>
      <c r="M569" t="n">
        <v>0</v>
      </c>
      <c r="N569" t="n">
        <v>0</v>
      </c>
      <c r="O569" t="n">
        <v>0</v>
      </c>
      <c r="P569" t="n">
        <v>0</v>
      </c>
      <c r="Q569" t="n">
        <v>0</v>
      </c>
      <c r="R569" s="2" t="inlineStr"/>
    </row>
    <row r="570" ht="15" customHeight="1">
      <c r="A570" t="inlineStr">
        <is>
          <t>A 56306-2025</t>
        </is>
      </c>
      <c r="B570" s="1" t="n">
        <v>45974</v>
      </c>
      <c r="C570" s="1" t="n">
        <v>46195</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30340-2025</t>
        </is>
      </c>
      <c r="B571" s="1" t="n">
        <v>45827</v>
      </c>
      <c r="C571" s="1" t="n">
        <v>46195</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30339-2025</t>
        </is>
      </c>
      <c r="B572" s="1" t="n">
        <v>45827</v>
      </c>
      <c r="C572" s="1" t="n">
        <v>46195</v>
      </c>
      <c r="D572" t="inlineStr">
        <is>
          <t>ÖREBRO LÄN</t>
        </is>
      </c>
      <c r="E572" t="inlineStr">
        <is>
          <t>LINDESBERG</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34029-2024</t>
        </is>
      </c>
      <c r="B573" s="1" t="n">
        <v>45523</v>
      </c>
      <c r="C573" s="1" t="n">
        <v>46195</v>
      </c>
      <c r="D573" t="inlineStr">
        <is>
          <t>ÖREBRO LÄN</t>
        </is>
      </c>
      <c r="E573" t="inlineStr">
        <is>
          <t>LINDESBERG</t>
        </is>
      </c>
      <c r="G573" t="n">
        <v>1.9</v>
      </c>
      <c r="H573" t="n">
        <v>0</v>
      </c>
      <c r="I573" t="n">
        <v>0</v>
      </c>
      <c r="J573" t="n">
        <v>0</v>
      </c>
      <c r="K573" t="n">
        <v>0</v>
      </c>
      <c r="L573" t="n">
        <v>0</v>
      </c>
      <c r="M573" t="n">
        <v>0</v>
      </c>
      <c r="N573" t="n">
        <v>0</v>
      </c>
      <c r="O573" t="n">
        <v>0</v>
      </c>
      <c r="P573" t="n">
        <v>0</v>
      </c>
      <c r="Q573" t="n">
        <v>0</v>
      </c>
      <c r="R573" s="2" t="inlineStr"/>
    </row>
    <row r="574" ht="15" customHeight="1">
      <c r="A574" t="inlineStr">
        <is>
          <t>A 31014-2025</t>
        </is>
      </c>
      <c r="B574" s="1" t="n">
        <v>45832</v>
      </c>
      <c r="C574" s="1" t="n">
        <v>46195</v>
      </c>
      <c r="D574" t="inlineStr">
        <is>
          <t>ÖREBRO LÄN</t>
        </is>
      </c>
      <c r="E574" t="inlineStr">
        <is>
          <t>LINDESBERG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13472-2023</t>
        </is>
      </c>
      <c r="B575" s="1" t="n">
        <v>45005</v>
      </c>
      <c r="C575" s="1" t="n">
        <v>46195</v>
      </c>
      <c r="D575" t="inlineStr">
        <is>
          <t>ÖREBRO LÄN</t>
        </is>
      </c>
      <c r="E575" t="inlineStr">
        <is>
          <t>LINDESBERG</t>
        </is>
      </c>
      <c r="G575" t="n">
        <v>2.5</v>
      </c>
      <c r="H575" t="n">
        <v>0</v>
      </c>
      <c r="I575" t="n">
        <v>0</v>
      </c>
      <c r="J575" t="n">
        <v>0</v>
      </c>
      <c r="K575" t="n">
        <v>0</v>
      </c>
      <c r="L575" t="n">
        <v>0</v>
      </c>
      <c r="M575" t="n">
        <v>0</v>
      </c>
      <c r="N575" t="n">
        <v>0</v>
      </c>
      <c r="O575" t="n">
        <v>0</v>
      </c>
      <c r="P575" t="n">
        <v>0</v>
      </c>
      <c r="Q575" t="n">
        <v>0</v>
      </c>
      <c r="R575" s="2" t="inlineStr"/>
    </row>
    <row r="576" ht="15" customHeight="1">
      <c r="A576" t="inlineStr">
        <is>
          <t>A 31018-2025</t>
        </is>
      </c>
      <c r="B576" s="1" t="n">
        <v>45832</v>
      </c>
      <c r="C576" s="1" t="n">
        <v>46195</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52284-2024</t>
        </is>
      </c>
      <c r="B577" s="1" t="n">
        <v>45608</v>
      </c>
      <c r="C577" s="1" t="n">
        <v>46195</v>
      </c>
      <c r="D577" t="inlineStr">
        <is>
          <t>ÖREBRO LÄN</t>
        </is>
      </c>
      <c r="E577" t="inlineStr">
        <is>
          <t>LINDESBERG</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31003-2025</t>
        </is>
      </c>
      <c r="B578" s="1" t="n">
        <v>45832</v>
      </c>
      <c r="C578" s="1" t="n">
        <v>46195</v>
      </c>
      <c r="D578" t="inlineStr">
        <is>
          <t>ÖREBRO LÄN</t>
        </is>
      </c>
      <c r="E578" t="inlineStr">
        <is>
          <t>LINDESBERG</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31085-2025</t>
        </is>
      </c>
      <c r="B579" s="1" t="n">
        <v>45832</v>
      </c>
      <c r="C579" s="1" t="n">
        <v>46195</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38613-2024</t>
        </is>
      </c>
      <c r="B580" s="1" t="n">
        <v>45546</v>
      </c>
      <c r="C580" s="1" t="n">
        <v>46195</v>
      </c>
      <c r="D580" t="inlineStr">
        <is>
          <t>ÖREBRO LÄN</t>
        </is>
      </c>
      <c r="E580" t="inlineStr">
        <is>
          <t>LINDESBERG</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73500-2021</t>
        </is>
      </c>
      <c r="B581" s="1" t="n">
        <v>44551</v>
      </c>
      <c r="C581" s="1" t="n">
        <v>46195</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56507-2021</t>
        </is>
      </c>
      <c r="B582" s="1" t="n">
        <v>44480</v>
      </c>
      <c r="C582" s="1" t="n">
        <v>46195</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65194-2023</t>
        </is>
      </c>
      <c r="B583" s="1" t="n">
        <v>45289</v>
      </c>
      <c r="C583" s="1" t="n">
        <v>46195</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9436-2023</t>
        </is>
      </c>
      <c r="B584" s="1" t="n">
        <v>44981</v>
      </c>
      <c r="C584" s="1" t="n">
        <v>46195</v>
      </c>
      <c r="D584" t="inlineStr">
        <is>
          <t>ÖREBRO LÄN</t>
        </is>
      </c>
      <c r="E584" t="inlineStr">
        <is>
          <t>LINDESBERG</t>
        </is>
      </c>
      <c r="G584" t="n">
        <v>2.8</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v>
      </c>
      <c r="C585" s="1" t="n">
        <v>46195</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57299-2025</t>
        </is>
      </c>
      <c r="B586" s="1" t="n">
        <v>45979</v>
      </c>
      <c r="C586" s="1" t="n">
        <v>46195</v>
      </c>
      <c r="D586" t="inlineStr">
        <is>
          <t>ÖREBRO LÄN</t>
        </is>
      </c>
      <c r="E586" t="inlineStr">
        <is>
          <t>LINDESBERG</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36121-2023</t>
        </is>
      </c>
      <c r="B587" s="1" t="n">
        <v>45148</v>
      </c>
      <c r="C587" s="1" t="n">
        <v>46195</v>
      </c>
      <c r="D587" t="inlineStr">
        <is>
          <t>ÖREBRO LÄN</t>
        </is>
      </c>
      <c r="E587" t="inlineStr">
        <is>
          <t>LINDESBERG</t>
        </is>
      </c>
      <c r="G587" t="n">
        <v>7.1</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v>
      </c>
      <c r="C588" s="1" t="n">
        <v>46195</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57300-2025</t>
        </is>
      </c>
      <c r="B589" s="1" t="n">
        <v>45979</v>
      </c>
      <c r="C589" s="1" t="n">
        <v>46195</v>
      </c>
      <c r="D589" t="inlineStr">
        <is>
          <t>ÖREBRO LÄN</t>
        </is>
      </c>
      <c r="E589" t="inlineStr">
        <is>
          <t>LINDESBERG</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32284-2025</t>
        </is>
      </c>
      <c r="B590" s="1" t="n">
        <v>45835</v>
      </c>
      <c r="C590" s="1" t="n">
        <v>46195</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34838-2023</t>
        </is>
      </c>
      <c r="B591" s="1" t="n">
        <v>45141</v>
      </c>
      <c r="C591" s="1" t="n">
        <v>46195</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57313-2025</t>
        </is>
      </c>
      <c r="B592" s="1" t="n">
        <v>45979</v>
      </c>
      <c r="C592" s="1" t="n">
        <v>46195</v>
      </c>
      <c r="D592" t="inlineStr">
        <is>
          <t>ÖREBRO LÄN</t>
        </is>
      </c>
      <c r="E592" t="inlineStr">
        <is>
          <t>LINDESBERG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57314-2025</t>
        </is>
      </c>
      <c r="B593" s="1" t="n">
        <v>45980</v>
      </c>
      <c r="C593" s="1" t="n">
        <v>46195</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57315-2025</t>
        </is>
      </c>
      <c r="B594" s="1" t="n">
        <v>45980</v>
      </c>
      <c r="C594" s="1" t="n">
        <v>46195</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57316-2025</t>
        </is>
      </c>
      <c r="B595" s="1" t="n">
        <v>45980</v>
      </c>
      <c r="C595" s="1" t="n">
        <v>46195</v>
      </c>
      <c r="D595" t="inlineStr">
        <is>
          <t>ÖREBRO LÄN</t>
        </is>
      </c>
      <c r="E595" t="inlineStr">
        <is>
          <t>LINDESBERG</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57317-2025</t>
        </is>
      </c>
      <c r="B596" s="1" t="n">
        <v>45980</v>
      </c>
      <c r="C596" s="1" t="n">
        <v>46195</v>
      </c>
      <c r="D596" t="inlineStr">
        <is>
          <t>ÖREBRO LÄN</t>
        </is>
      </c>
      <c r="E596" t="inlineStr">
        <is>
          <t>LINDESBERG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31024-2023</t>
        </is>
      </c>
      <c r="B597" s="1" t="n">
        <v>45113</v>
      </c>
      <c r="C597" s="1" t="n">
        <v>46195</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32727-2024</t>
        </is>
      </c>
      <c r="B598" s="1" t="n">
        <v>45516</v>
      </c>
      <c r="C598" s="1" t="n">
        <v>46195</v>
      </c>
      <c r="D598" t="inlineStr">
        <is>
          <t>ÖREBRO LÄN</t>
        </is>
      </c>
      <c r="E598" t="inlineStr">
        <is>
          <t>LINDESBERG</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33281-2024</t>
        </is>
      </c>
      <c r="B599" s="1" t="n">
        <v>45518</v>
      </c>
      <c r="C599" s="1" t="n">
        <v>46195</v>
      </c>
      <c r="D599" t="inlineStr">
        <is>
          <t>ÖREBRO LÄN</t>
        </is>
      </c>
      <c r="E599" t="inlineStr">
        <is>
          <t>LINDESBERG</t>
        </is>
      </c>
      <c r="G599" t="n">
        <v>2</v>
      </c>
      <c r="H599" t="n">
        <v>0</v>
      </c>
      <c r="I599" t="n">
        <v>0</v>
      </c>
      <c r="J599" t="n">
        <v>0</v>
      </c>
      <c r="K599" t="n">
        <v>0</v>
      </c>
      <c r="L599" t="n">
        <v>0</v>
      </c>
      <c r="M599" t="n">
        <v>0</v>
      </c>
      <c r="N599" t="n">
        <v>0</v>
      </c>
      <c r="O599" t="n">
        <v>0</v>
      </c>
      <c r="P599" t="n">
        <v>0</v>
      </c>
      <c r="Q599" t="n">
        <v>0</v>
      </c>
      <c r="R599" s="2" t="inlineStr"/>
    </row>
    <row r="600" ht="15" customHeight="1">
      <c r="A600" t="inlineStr">
        <is>
          <t>A 33283-2024</t>
        </is>
      </c>
      <c r="B600" s="1" t="n">
        <v>45518</v>
      </c>
      <c r="C600" s="1" t="n">
        <v>46195</v>
      </c>
      <c r="D600" t="inlineStr">
        <is>
          <t>ÖREBRO LÄN</t>
        </is>
      </c>
      <c r="E600" t="inlineStr">
        <is>
          <t>LINDESBERG</t>
        </is>
      </c>
      <c r="G600" t="n">
        <v>3.9</v>
      </c>
      <c r="H600" t="n">
        <v>0</v>
      </c>
      <c r="I600" t="n">
        <v>0</v>
      </c>
      <c r="J600" t="n">
        <v>0</v>
      </c>
      <c r="K600" t="n">
        <v>0</v>
      </c>
      <c r="L600" t="n">
        <v>0</v>
      </c>
      <c r="M600" t="n">
        <v>0</v>
      </c>
      <c r="N600" t="n">
        <v>0</v>
      </c>
      <c r="O600" t="n">
        <v>0</v>
      </c>
      <c r="P600" t="n">
        <v>0</v>
      </c>
      <c r="Q600" t="n">
        <v>0</v>
      </c>
      <c r="R600" s="2" t="inlineStr"/>
    </row>
    <row r="601" ht="15" customHeight="1">
      <c r="A601" t="inlineStr">
        <is>
          <t>A 60449-2024</t>
        </is>
      </c>
      <c r="B601" s="1" t="n">
        <v>45643</v>
      </c>
      <c r="C601" s="1" t="n">
        <v>46195</v>
      </c>
      <c r="D601" t="inlineStr">
        <is>
          <t>ÖREBRO LÄN</t>
        </is>
      </c>
      <c r="E601" t="inlineStr">
        <is>
          <t>LINDESBERG</t>
        </is>
      </c>
      <c r="G601" t="n">
        <v>1.2</v>
      </c>
      <c r="H601" t="n">
        <v>0</v>
      </c>
      <c r="I601" t="n">
        <v>0</v>
      </c>
      <c r="J601" t="n">
        <v>0</v>
      </c>
      <c r="K601" t="n">
        <v>0</v>
      </c>
      <c r="L601" t="n">
        <v>0</v>
      </c>
      <c r="M601" t="n">
        <v>0</v>
      </c>
      <c r="N601" t="n">
        <v>0</v>
      </c>
      <c r="O601" t="n">
        <v>0</v>
      </c>
      <c r="P601" t="n">
        <v>0</v>
      </c>
      <c r="Q601" t="n">
        <v>0</v>
      </c>
      <c r="R601" s="2" t="inlineStr"/>
    </row>
    <row r="602" ht="15" customHeight="1">
      <c r="A602" t="inlineStr">
        <is>
          <t>A 33574-2024</t>
        </is>
      </c>
      <c r="B602" s="1" t="n">
        <v>45520</v>
      </c>
      <c r="C602" s="1" t="n">
        <v>46195</v>
      </c>
      <c r="D602" t="inlineStr">
        <is>
          <t>ÖREBRO LÄN</t>
        </is>
      </c>
      <c r="E602" t="inlineStr">
        <is>
          <t>LINDESBERG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34097-2025</t>
        </is>
      </c>
      <c r="B603" s="1" t="n">
        <v>45845</v>
      </c>
      <c r="C603" s="1" t="n">
        <v>46195</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34104-2025</t>
        </is>
      </c>
      <c r="B604" s="1" t="n">
        <v>45845</v>
      </c>
      <c r="C604" s="1" t="n">
        <v>46195</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34676-2023</t>
        </is>
      </c>
      <c r="B605" s="1" t="n">
        <v>45140</v>
      </c>
      <c r="C605" s="1" t="n">
        <v>46195</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61594-2024</t>
        </is>
      </c>
      <c r="B606" s="1" t="n">
        <v>45646</v>
      </c>
      <c r="C606" s="1" t="n">
        <v>46195</v>
      </c>
      <c r="D606" t="inlineStr">
        <is>
          <t>ÖREBRO LÄN</t>
        </is>
      </c>
      <c r="E606" t="inlineStr">
        <is>
          <t>LINDESBERG</t>
        </is>
      </c>
      <c r="G606" t="n">
        <v>2</v>
      </c>
      <c r="H606" t="n">
        <v>0</v>
      </c>
      <c r="I606" t="n">
        <v>0</v>
      </c>
      <c r="J606" t="n">
        <v>0</v>
      </c>
      <c r="K606" t="n">
        <v>0</v>
      </c>
      <c r="L606" t="n">
        <v>0</v>
      </c>
      <c r="M606" t="n">
        <v>0</v>
      </c>
      <c r="N606" t="n">
        <v>0</v>
      </c>
      <c r="O606" t="n">
        <v>0</v>
      </c>
      <c r="P606" t="n">
        <v>0</v>
      </c>
      <c r="Q606" t="n">
        <v>0</v>
      </c>
      <c r="R606" s="2" t="inlineStr"/>
    </row>
    <row r="607" ht="15" customHeight="1">
      <c r="A607" t="inlineStr">
        <is>
          <t>A 5677-2025</t>
        </is>
      </c>
      <c r="B607" s="1" t="n">
        <v>45694</v>
      </c>
      <c r="C607" s="1" t="n">
        <v>46195</v>
      </c>
      <c r="D607" t="inlineStr">
        <is>
          <t>ÖREBRO LÄN</t>
        </is>
      </c>
      <c r="E607" t="inlineStr">
        <is>
          <t>LINDESBERG</t>
        </is>
      </c>
      <c r="G607" t="n">
        <v>1.6</v>
      </c>
      <c r="H607" t="n">
        <v>0</v>
      </c>
      <c r="I607" t="n">
        <v>0</v>
      </c>
      <c r="J607" t="n">
        <v>0</v>
      </c>
      <c r="K607" t="n">
        <v>0</v>
      </c>
      <c r="L607" t="n">
        <v>0</v>
      </c>
      <c r="M607" t="n">
        <v>0</v>
      </c>
      <c r="N607" t="n">
        <v>0</v>
      </c>
      <c r="O607" t="n">
        <v>0</v>
      </c>
      <c r="P607" t="n">
        <v>0</v>
      </c>
      <c r="Q607" t="n">
        <v>0</v>
      </c>
      <c r="R607" s="2" t="inlineStr"/>
    </row>
    <row r="608" ht="15" customHeight="1">
      <c r="A608" t="inlineStr">
        <is>
          <t>A 24916-2022</t>
        </is>
      </c>
      <c r="B608" s="1" t="n">
        <v>44728</v>
      </c>
      <c r="C608" s="1" t="n">
        <v>46195</v>
      </c>
      <c r="D608" t="inlineStr">
        <is>
          <t>ÖREBRO LÄN</t>
        </is>
      </c>
      <c r="E608" t="inlineStr">
        <is>
          <t>LINDESBERG</t>
        </is>
      </c>
      <c r="G608" t="n">
        <v>8.1</v>
      </c>
      <c r="H608" t="n">
        <v>0</v>
      </c>
      <c r="I608" t="n">
        <v>0</v>
      </c>
      <c r="J608" t="n">
        <v>0</v>
      </c>
      <c r="K608" t="n">
        <v>0</v>
      </c>
      <c r="L608" t="n">
        <v>0</v>
      </c>
      <c r="M608" t="n">
        <v>0</v>
      </c>
      <c r="N608" t="n">
        <v>0</v>
      </c>
      <c r="O608" t="n">
        <v>0</v>
      </c>
      <c r="P608" t="n">
        <v>0</v>
      </c>
      <c r="Q608" t="n">
        <v>0</v>
      </c>
      <c r="R608" s="2" t="inlineStr"/>
    </row>
    <row r="609" ht="15" customHeight="1">
      <c r="A609" t="inlineStr">
        <is>
          <t>A 1681-2025</t>
        </is>
      </c>
      <c r="B609" s="1" t="n">
        <v>45670</v>
      </c>
      <c r="C609" s="1" t="n">
        <v>46195</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40563-2023</t>
        </is>
      </c>
      <c r="B610" s="1" t="n">
        <v>45170</v>
      </c>
      <c r="C610" s="1" t="n">
        <v>46195</v>
      </c>
      <c r="D610" t="inlineStr">
        <is>
          <t>ÖREBRO LÄN</t>
        </is>
      </c>
      <c r="E610" t="inlineStr">
        <is>
          <t>LINDESBERG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7026-2024</t>
        </is>
      </c>
      <c r="B611" s="1" t="n">
        <v>45343</v>
      </c>
      <c r="C611" s="1" t="n">
        <v>46195</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47304-2024</t>
        </is>
      </c>
      <c r="B612" s="1" t="n">
        <v>45587</v>
      </c>
      <c r="C612" s="1" t="n">
        <v>46195</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60400-2025</t>
        </is>
      </c>
      <c r="B613" s="1" t="n">
        <v>45995</v>
      </c>
      <c r="C613" s="1" t="n">
        <v>46195</v>
      </c>
      <c r="D613" t="inlineStr">
        <is>
          <t>ÖREBRO LÄN</t>
        </is>
      </c>
      <c r="E613" t="inlineStr">
        <is>
          <t>LINDESBERG</t>
        </is>
      </c>
      <c r="G613" t="n">
        <v>11.2</v>
      </c>
      <c r="H613" t="n">
        <v>0</v>
      </c>
      <c r="I613" t="n">
        <v>0</v>
      </c>
      <c r="J613" t="n">
        <v>0</v>
      </c>
      <c r="K613" t="n">
        <v>0</v>
      </c>
      <c r="L613" t="n">
        <v>0</v>
      </c>
      <c r="M613" t="n">
        <v>0</v>
      </c>
      <c r="N613" t="n">
        <v>0</v>
      </c>
      <c r="O613" t="n">
        <v>0</v>
      </c>
      <c r="P613" t="n">
        <v>0</v>
      </c>
      <c r="Q613" t="n">
        <v>0</v>
      </c>
      <c r="R613" s="2" t="inlineStr"/>
    </row>
    <row r="614" ht="15" customHeight="1">
      <c r="A614" t="inlineStr">
        <is>
          <t>A 60450-2025</t>
        </is>
      </c>
      <c r="B614" s="1" t="n">
        <v>45995</v>
      </c>
      <c r="C614" s="1" t="n">
        <v>46195</v>
      </c>
      <c r="D614" t="inlineStr">
        <is>
          <t>ÖREBRO LÄN</t>
        </is>
      </c>
      <c r="E614" t="inlineStr">
        <is>
          <t>LINDESBERG</t>
        </is>
      </c>
      <c r="G614" t="n">
        <v>4.1</v>
      </c>
      <c r="H614" t="n">
        <v>0</v>
      </c>
      <c r="I614" t="n">
        <v>0</v>
      </c>
      <c r="J614" t="n">
        <v>0</v>
      </c>
      <c r="K614" t="n">
        <v>0</v>
      </c>
      <c r="L614" t="n">
        <v>0</v>
      </c>
      <c r="M614" t="n">
        <v>0</v>
      </c>
      <c r="N614" t="n">
        <v>0</v>
      </c>
      <c r="O614" t="n">
        <v>0</v>
      </c>
      <c r="P614" t="n">
        <v>0</v>
      </c>
      <c r="Q614" t="n">
        <v>0</v>
      </c>
      <c r="R614" s="2" t="inlineStr"/>
    </row>
    <row r="615" ht="15" customHeight="1">
      <c r="A615" t="inlineStr">
        <is>
          <t>A 51379-2023</t>
        </is>
      </c>
      <c r="B615" s="1" t="n">
        <v>45219</v>
      </c>
      <c r="C615" s="1" t="n">
        <v>46195</v>
      </c>
      <c r="D615" t="inlineStr">
        <is>
          <t>ÖREBRO LÄN</t>
        </is>
      </c>
      <c r="E615" t="inlineStr">
        <is>
          <t>LINDESBERG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45173-2024</t>
        </is>
      </c>
      <c r="B616" s="1" t="n">
        <v>45575</v>
      </c>
      <c r="C616" s="1" t="n">
        <v>46195</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5080-2024</t>
        </is>
      </c>
      <c r="B617" s="1" t="n">
        <v>45330</v>
      </c>
      <c r="C617" s="1" t="n">
        <v>46195</v>
      </c>
      <c r="D617" t="inlineStr">
        <is>
          <t>ÖREBRO LÄN</t>
        </is>
      </c>
      <c r="E617" t="inlineStr">
        <is>
          <t>LINDESBERG</t>
        </is>
      </c>
      <c r="G617" t="n">
        <v>1.5</v>
      </c>
      <c r="H617" t="n">
        <v>0</v>
      </c>
      <c r="I617" t="n">
        <v>0</v>
      </c>
      <c r="J617" t="n">
        <v>0</v>
      </c>
      <c r="K617" t="n">
        <v>0</v>
      </c>
      <c r="L617" t="n">
        <v>0</v>
      </c>
      <c r="M617" t="n">
        <v>0</v>
      </c>
      <c r="N617" t="n">
        <v>0</v>
      </c>
      <c r="O617" t="n">
        <v>0</v>
      </c>
      <c r="P617" t="n">
        <v>0</v>
      </c>
      <c r="Q617" t="n">
        <v>0</v>
      </c>
      <c r="R617" s="2" t="inlineStr"/>
    </row>
    <row r="618" ht="15" customHeight="1">
      <c r="A618" t="inlineStr">
        <is>
          <t>A 30514-2025</t>
        </is>
      </c>
      <c r="B618" s="1" t="n">
        <v>45831</v>
      </c>
      <c r="C618" s="1" t="n">
        <v>46195</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36253-2024</t>
        </is>
      </c>
      <c r="B619" s="1" t="n">
        <v>45534</v>
      </c>
      <c r="C619" s="1" t="n">
        <v>46195</v>
      </c>
      <c r="D619" t="inlineStr">
        <is>
          <t>ÖREBRO LÄN</t>
        </is>
      </c>
      <c r="E619" t="inlineStr">
        <is>
          <t>LINDESBERG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30512-2025</t>
        </is>
      </c>
      <c r="B620" s="1" t="n">
        <v>45831</v>
      </c>
      <c r="C620" s="1" t="n">
        <v>46195</v>
      </c>
      <c r="D620" t="inlineStr">
        <is>
          <t>ÖREBRO LÄN</t>
        </is>
      </c>
      <c r="E620" t="inlineStr">
        <is>
          <t>LINDESBERG</t>
        </is>
      </c>
      <c r="G620" t="n">
        <v>4.5</v>
      </c>
      <c r="H620" t="n">
        <v>0</v>
      </c>
      <c r="I620" t="n">
        <v>0</v>
      </c>
      <c r="J620" t="n">
        <v>0</v>
      </c>
      <c r="K620" t="n">
        <v>0</v>
      </c>
      <c r="L620" t="n">
        <v>0</v>
      </c>
      <c r="M620" t="n">
        <v>0</v>
      </c>
      <c r="N620" t="n">
        <v>0</v>
      </c>
      <c r="O620" t="n">
        <v>0</v>
      </c>
      <c r="P620" t="n">
        <v>0</v>
      </c>
      <c r="Q620" t="n">
        <v>0</v>
      </c>
      <c r="R620" s="2" t="inlineStr"/>
    </row>
    <row r="621" ht="15" customHeight="1">
      <c r="A621" t="inlineStr">
        <is>
          <t>A 12307-2025</t>
        </is>
      </c>
      <c r="B621" s="1" t="n">
        <v>45729</v>
      </c>
      <c r="C621" s="1" t="n">
        <v>46195</v>
      </c>
      <c r="D621" t="inlineStr">
        <is>
          <t>ÖREBRO LÄN</t>
        </is>
      </c>
      <c r="E621" t="inlineStr">
        <is>
          <t>LINDESBERG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45072-2024</t>
        </is>
      </c>
      <c r="B622" s="1" t="n">
        <v>45575</v>
      </c>
      <c r="C622" s="1" t="n">
        <v>46195</v>
      </c>
      <c r="D622" t="inlineStr">
        <is>
          <t>ÖREBRO LÄN</t>
        </is>
      </c>
      <c r="E622" t="inlineStr">
        <is>
          <t>LINDESBERG</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45075-2024</t>
        </is>
      </c>
      <c r="B623" s="1" t="n">
        <v>45575</v>
      </c>
      <c r="C623" s="1" t="n">
        <v>46195</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41948-2023</t>
        </is>
      </c>
      <c r="B624" s="1" t="n">
        <v>45177</v>
      </c>
      <c r="C624" s="1" t="n">
        <v>46195</v>
      </c>
      <c r="D624" t="inlineStr">
        <is>
          <t>ÖREBRO LÄN</t>
        </is>
      </c>
      <c r="E624" t="inlineStr">
        <is>
          <t>LINDESBERG</t>
        </is>
      </c>
      <c r="F624" t="inlineStr">
        <is>
          <t>Kyrkan</t>
        </is>
      </c>
      <c r="G624" t="n">
        <v>1.4</v>
      </c>
      <c r="H624" t="n">
        <v>0</v>
      </c>
      <c r="I624" t="n">
        <v>0</v>
      </c>
      <c r="J624" t="n">
        <v>0</v>
      </c>
      <c r="K624" t="n">
        <v>0</v>
      </c>
      <c r="L624" t="n">
        <v>0</v>
      </c>
      <c r="M624" t="n">
        <v>0</v>
      </c>
      <c r="N624" t="n">
        <v>0</v>
      </c>
      <c r="O624" t="n">
        <v>0</v>
      </c>
      <c r="P624" t="n">
        <v>0</v>
      </c>
      <c r="Q624" t="n">
        <v>0</v>
      </c>
      <c r="R624" s="2" t="inlineStr"/>
    </row>
    <row r="625" ht="15" customHeight="1">
      <c r="A625" t="inlineStr">
        <is>
          <t>A 67016-2021</t>
        </is>
      </c>
      <c r="B625" s="1" t="n">
        <v>44522</v>
      </c>
      <c r="C625" s="1" t="n">
        <v>46195</v>
      </c>
      <c r="D625" t="inlineStr">
        <is>
          <t>ÖREBRO LÄN</t>
        </is>
      </c>
      <c r="E625" t="inlineStr">
        <is>
          <t>LINDESBERG</t>
        </is>
      </c>
      <c r="G625" t="n">
        <v>8</v>
      </c>
      <c r="H625" t="n">
        <v>0</v>
      </c>
      <c r="I625" t="n">
        <v>0</v>
      </c>
      <c r="J625" t="n">
        <v>0</v>
      </c>
      <c r="K625" t="n">
        <v>0</v>
      </c>
      <c r="L625" t="n">
        <v>0</v>
      </c>
      <c r="M625" t="n">
        <v>0</v>
      </c>
      <c r="N625" t="n">
        <v>0</v>
      </c>
      <c r="O625" t="n">
        <v>0</v>
      </c>
      <c r="P625" t="n">
        <v>0</v>
      </c>
      <c r="Q625" t="n">
        <v>0</v>
      </c>
      <c r="R625" s="2" t="inlineStr"/>
    </row>
    <row r="626" ht="15" customHeight="1">
      <c r="A626" t="inlineStr">
        <is>
          <t>A 61761-2025</t>
        </is>
      </c>
      <c r="B626" s="1" t="n">
        <v>46002</v>
      </c>
      <c r="C626" s="1" t="n">
        <v>46195</v>
      </c>
      <c r="D626" t="inlineStr">
        <is>
          <t>ÖREBRO LÄN</t>
        </is>
      </c>
      <c r="E626" t="inlineStr">
        <is>
          <t>LINDESBERG</t>
        </is>
      </c>
      <c r="G626" t="n">
        <v>3.8</v>
      </c>
      <c r="H626" t="n">
        <v>0</v>
      </c>
      <c r="I626" t="n">
        <v>0</v>
      </c>
      <c r="J626" t="n">
        <v>0</v>
      </c>
      <c r="K626" t="n">
        <v>0</v>
      </c>
      <c r="L626" t="n">
        <v>0</v>
      </c>
      <c r="M626" t="n">
        <v>0</v>
      </c>
      <c r="N626" t="n">
        <v>0</v>
      </c>
      <c r="O626" t="n">
        <v>0</v>
      </c>
      <c r="P626" t="n">
        <v>0</v>
      </c>
      <c r="Q626" t="n">
        <v>0</v>
      </c>
      <c r="R626" s="2" t="inlineStr"/>
    </row>
    <row r="627" ht="15" customHeight="1">
      <c r="A627" t="inlineStr">
        <is>
          <t>A 61745-2025</t>
        </is>
      </c>
      <c r="B627" s="1" t="n">
        <v>46002</v>
      </c>
      <c r="C627" s="1" t="n">
        <v>46195</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10111-2022</t>
        </is>
      </c>
      <c r="B628" s="1" t="n">
        <v>44621</v>
      </c>
      <c r="C628" s="1" t="n">
        <v>46195</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19960-2023</t>
        </is>
      </c>
      <c r="B629" s="1" t="n">
        <v>45054</v>
      </c>
      <c r="C629" s="1" t="n">
        <v>46195</v>
      </c>
      <c r="D629" t="inlineStr">
        <is>
          <t>ÖREBRO LÄN</t>
        </is>
      </c>
      <c r="E629" t="inlineStr">
        <is>
          <t>LINDESBERG</t>
        </is>
      </c>
      <c r="G629" t="n">
        <v>6.2</v>
      </c>
      <c r="H629" t="n">
        <v>0</v>
      </c>
      <c r="I629" t="n">
        <v>0</v>
      </c>
      <c r="J629" t="n">
        <v>0</v>
      </c>
      <c r="K629" t="n">
        <v>0</v>
      </c>
      <c r="L629" t="n">
        <v>0</v>
      </c>
      <c r="M629" t="n">
        <v>0</v>
      </c>
      <c r="N629" t="n">
        <v>0</v>
      </c>
      <c r="O629" t="n">
        <v>0</v>
      </c>
      <c r="P629" t="n">
        <v>0</v>
      </c>
      <c r="Q629" t="n">
        <v>0</v>
      </c>
      <c r="R629" s="2" t="inlineStr"/>
    </row>
    <row r="630" ht="15" customHeight="1">
      <c r="A630" t="inlineStr">
        <is>
          <t>A 27432-2026</t>
        </is>
      </c>
      <c r="B630" s="1" t="n">
        <v>46189</v>
      </c>
      <c r="C630" s="1" t="n">
        <v>46195</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27438-2026</t>
        </is>
      </c>
      <c r="B631" s="1" t="n">
        <v>46189</v>
      </c>
      <c r="C631" s="1" t="n">
        <v>46195</v>
      </c>
      <c r="D631" t="inlineStr">
        <is>
          <t>ÖREBRO LÄN</t>
        </is>
      </c>
      <c r="E631" t="inlineStr">
        <is>
          <t>LINDESBERG</t>
        </is>
      </c>
      <c r="G631" t="n">
        <v>1</v>
      </c>
      <c r="H631" t="n">
        <v>0</v>
      </c>
      <c r="I631" t="n">
        <v>0</v>
      </c>
      <c r="J631" t="n">
        <v>0</v>
      </c>
      <c r="K631" t="n">
        <v>0</v>
      </c>
      <c r="L631" t="n">
        <v>0</v>
      </c>
      <c r="M631" t="n">
        <v>0</v>
      </c>
      <c r="N631" t="n">
        <v>0</v>
      </c>
      <c r="O631" t="n">
        <v>0</v>
      </c>
      <c r="P631" t="n">
        <v>0</v>
      </c>
      <c r="Q631" t="n">
        <v>0</v>
      </c>
      <c r="R631" s="2" t="inlineStr"/>
    </row>
    <row r="632" ht="15" customHeight="1">
      <c r="A632" t="inlineStr">
        <is>
          <t>A 61758-2025</t>
        </is>
      </c>
      <c r="B632" s="1" t="n">
        <v>46002</v>
      </c>
      <c r="C632" s="1" t="n">
        <v>46195</v>
      </c>
      <c r="D632" t="inlineStr">
        <is>
          <t>ÖREBRO LÄN</t>
        </is>
      </c>
      <c r="E632" t="inlineStr">
        <is>
          <t>LINDESBERG</t>
        </is>
      </c>
      <c r="G632" t="n">
        <v>1.8</v>
      </c>
      <c r="H632" t="n">
        <v>0</v>
      </c>
      <c r="I632" t="n">
        <v>0</v>
      </c>
      <c r="J632" t="n">
        <v>0</v>
      </c>
      <c r="K632" t="n">
        <v>0</v>
      </c>
      <c r="L632" t="n">
        <v>0</v>
      </c>
      <c r="M632" t="n">
        <v>0</v>
      </c>
      <c r="N632" t="n">
        <v>0</v>
      </c>
      <c r="O632" t="n">
        <v>0</v>
      </c>
      <c r="P632" t="n">
        <v>0</v>
      </c>
      <c r="Q632" t="n">
        <v>0</v>
      </c>
      <c r="R632" s="2" t="inlineStr"/>
    </row>
    <row r="633" ht="15" customHeight="1">
      <c r="A633" t="inlineStr">
        <is>
          <t>A 50972-2023</t>
        </is>
      </c>
      <c r="B633" s="1" t="n">
        <v>45218</v>
      </c>
      <c r="C633" s="1" t="n">
        <v>46195</v>
      </c>
      <c r="D633" t="inlineStr">
        <is>
          <t>ÖREBRO LÄN</t>
        </is>
      </c>
      <c r="E633" t="inlineStr">
        <is>
          <t>LINDESBERG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36859-2025</t>
        </is>
      </c>
      <c r="B634" s="1" t="n">
        <v>45874</v>
      </c>
      <c r="C634" s="1" t="n">
        <v>46195</v>
      </c>
      <c r="D634" t="inlineStr">
        <is>
          <t>ÖREBRO LÄN</t>
        </is>
      </c>
      <c r="E634" t="inlineStr">
        <is>
          <t>LINDESBERG</t>
        </is>
      </c>
      <c r="F634" t="inlineStr">
        <is>
          <t>Övriga Aktiebolag</t>
        </is>
      </c>
      <c r="G634" t="n">
        <v>1.4</v>
      </c>
      <c r="H634" t="n">
        <v>0</v>
      </c>
      <c r="I634" t="n">
        <v>0</v>
      </c>
      <c r="J634" t="n">
        <v>0</v>
      </c>
      <c r="K634" t="n">
        <v>0</v>
      </c>
      <c r="L634" t="n">
        <v>0</v>
      </c>
      <c r="M634" t="n">
        <v>0</v>
      </c>
      <c r="N634" t="n">
        <v>0</v>
      </c>
      <c r="O634" t="n">
        <v>0</v>
      </c>
      <c r="P634" t="n">
        <v>0</v>
      </c>
      <c r="Q634" t="n">
        <v>0</v>
      </c>
      <c r="R634" s="2" t="inlineStr"/>
    </row>
    <row r="635" ht="15" customHeight="1">
      <c r="A635" t="inlineStr">
        <is>
          <t>A 58050-2025</t>
        </is>
      </c>
      <c r="B635" s="1" t="n">
        <v>45982</v>
      </c>
      <c r="C635" s="1" t="n">
        <v>46195</v>
      </c>
      <c r="D635" t="inlineStr">
        <is>
          <t>ÖREBRO LÄN</t>
        </is>
      </c>
      <c r="E635" t="inlineStr">
        <is>
          <t>LINDESBERG</t>
        </is>
      </c>
      <c r="G635" t="n">
        <v>0.6</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46195</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27714-2026</t>
        </is>
      </c>
      <c r="B637" s="1" t="n">
        <v>46190</v>
      </c>
      <c r="C637" s="1" t="n">
        <v>46195</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37301-2025</t>
        </is>
      </c>
      <c r="B638" s="1" t="n">
        <v>45876</v>
      </c>
      <c r="C638" s="1" t="n">
        <v>46195</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33507-2023</t>
        </is>
      </c>
      <c r="B639" s="1" t="n">
        <v>45131</v>
      </c>
      <c r="C639" s="1" t="n">
        <v>46195</v>
      </c>
      <c r="D639" t="inlineStr">
        <is>
          <t>ÖREBRO LÄN</t>
        </is>
      </c>
      <c r="E639" t="inlineStr">
        <is>
          <t>LINDESBERG</t>
        </is>
      </c>
      <c r="G639" t="n">
        <v>3.2</v>
      </c>
      <c r="H639" t="n">
        <v>0</v>
      </c>
      <c r="I639" t="n">
        <v>0</v>
      </c>
      <c r="J639" t="n">
        <v>0</v>
      </c>
      <c r="K639" t="n">
        <v>0</v>
      </c>
      <c r="L639" t="n">
        <v>0</v>
      </c>
      <c r="M639" t="n">
        <v>0</v>
      </c>
      <c r="N639" t="n">
        <v>0</v>
      </c>
      <c r="O639" t="n">
        <v>0</v>
      </c>
      <c r="P639" t="n">
        <v>0</v>
      </c>
      <c r="Q639" t="n">
        <v>0</v>
      </c>
      <c r="R639" s="2" t="inlineStr"/>
    </row>
    <row r="640" ht="15" customHeight="1">
      <c r="A640" t="inlineStr">
        <is>
          <t>A 2406-2024</t>
        </is>
      </c>
      <c r="B640" s="1" t="n">
        <v>45310</v>
      </c>
      <c r="C640" s="1" t="n">
        <v>46195</v>
      </c>
      <c r="D640" t="inlineStr">
        <is>
          <t>ÖREBRO LÄN</t>
        </is>
      </c>
      <c r="E640" t="inlineStr">
        <is>
          <t>LINDESBERG</t>
        </is>
      </c>
      <c r="G640" t="n">
        <v>16.1</v>
      </c>
      <c r="H640" t="n">
        <v>0</v>
      </c>
      <c r="I640" t="n">
        <v>0</v>
      </c>
      <c r="J640" t="n">
        <v>0</v>
      </c>
      <c r="K640" t="n">
        <v>0</v>
      </c>
      <c r="L640" t="n">
        <v>0</v>
      </c>
      <c r="M640" t="n">
        <v>0</v>
      </c>
      <c r="N640" t="n">
        <v>0</v>
      </c>
      <c r="O640" t="n">
        <v>0</v>
      </c>
      <c r="P640" t="n">
        <v>0</v>
      </c>
      <c r="Q640" t="n">
        <v>0</v>
      </c>
      <c r="R640" s="2" t="inlineStr"/>
    </row>
    <row r="641" ht="15" customHeight="1">
      <c r="A641" t="inlineStr">
        <is>
          <t>A 63083-2025</t>
        </is>
      </c>
      <c r="B641" s="1" t="n">
        <v>46009</v>
      </c>
      <c r="C641" s="1" t="n">
        <v>46195</v>
      </c>
      <c r="D641" t="inlineStr">
        <is>
          <t>ÖREBRO LÄN</t>
        </is>
      </c>
      <c r="E641" t="inlineStr">
        <is>
          <t>LINDESBERG</t>
        </is>
      </c>
      <c r="G641" t="n">
        <v>0.7</v>
      </c>
      <c r="H641" t="n">
        <v>0</v>
      </c>
      <c r="I641" t="n">
        <v>0</v>
      </c>
      <c r="J641" t="n">
        <v>0</v>
      </c>
      <c r="K641" t="n">
        <v>0</v>
      </c>
      <c r="L641" t="n">
        <v>0</v>
      </c>
      <c r="M641" t="n">
        <v>0</v>
      </c>
      <c r="N641" t="n">
        <v>0</v>
      </c>
      <c r="O641" t="n">
        <v>0</v>
      </c>
      <c r="P641" t="n">
        <v>0</v>
      </c>
      <c r="Q641" t="n">
        <v>0</v>
      </c>
      <c r="R641" s="2" t="inlineStr"/>
    </row>
    <row r="642" ht="15" customHeight="1">
      <c r="A642" t="inlineStr">
        <is>
          <t>A 17895-2022</t>
        </is>
      </c>
      <c r="B642" s="1" t="n">
        <v>44683</v>
      </c>
      <c r="C642" s="1" t="n">
        <v>46195</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37602-2025</t>
        </is>
      </c>
      <c r="B643" s="1" t="n">
        <v>45880</v>
      </c>
      <c r="C643" s="1" t="n">
        <v>46195</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37625-2025</t>
        </is>
      </c>
      <c r="B644" s="1" t="n">
        <v>45880</v>
      </c>
      <c r="C644" s="1" t="n">
        <v>46195</v>
      </c>
      <c r="D644" t="inlineStr">
        <is>
          <t>ÖREBRO LÄN</t>
        </is>
      </c>
      <c r="E644" t="inlineStr">
        <is>
          <t>LINDESBERG</t>
        </is>
      </c>
      <c r="G644" t="n">
        <v>12.5</v>
      </c>
      <c r="H644" t="n">
        <v>0</v>
      </c>
      <c r="I644" t="n">
        <v>0</v>
      </c>
      <c r="J644" t="n">
        <v>0</v>
      </c>
      <c r="K644" t="n">
        <v>0</v>
      </c>
      <c r="L644" t="n">
        <v>0</v>
      </c>
      <c r="M644" t="n">
        <v>0</v>
      </c>
      <c r="N644" t="n">
        <v>0</v>
      </c>
      <c r="O644" t="n">
        <v>0</v>
      </c>
      <c r="P644" t="n">
        <v>0</v>
      </c>
      <c r="Q644" t="n">
        <v>0</v>
      </c>
      <c r="R644" s="2" t="inlineStr"/>
    </row>
    <row r="645" ht="15" customHeight="1">
      <c r="A645" t="inlineStr">
        <is>
          <t>A 37553-2025</t>
        </is>
      </c>
      <c r="B645" s="1" t="n">
        <v>45880</v>
      </c>
      <c r="C645" s="1" t="n">
        <v>46195</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37497-2025</t>
        </is>
      </c>
      <c r="B646" s="1" t="n">
        <v>45877</v>
      </c>
      <c r="C646" s="1" t="n">
        <v>46195</v>
      </c>
      <c r="D646" t="inlineStr">
        <is>
          <t>ÖREBRO LÄN</t>
        </is>
      </c>
      <c r="E646" t="inlineStr">
        <is>
          <t>LINDESBERG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27501-2026</t>
        </is>
      </c>
      <c r="B647" s="1" t="n">
        <v>46189</v>
      </c>
      <c r="C647" s="1" t="n">
        <v>46195</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1395-2025</t>
        </is>
      </c>
      <c r="B648" s="1" t="n">
        <v>45667</v>
      </c>
      <c r="C648" s="1" t="n">
        <v>46195</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63526-2025</t>
        </is>
      </c>
      <c r="B649" s="1" t="n">
        <v>46013</v>
      </c>
      <c r="C649" s="1" t="n">
        <v>46195</v>
      </c>
      <c r="D649" t="inlineStr">
        <is>
          <t>ÖREBRO LÄN</t>
        </is>
      </c>
      <c r="E649" t="inlineStr">
        <is>
          <t>LINDESBERG</t>
        </is>
      </c>
      <c r="G649" t="n">
        <v>1.7</v>
      </c>
      <c r="H649" t="n">
        <v>0</v>
      </c>
      <c r="I649" t="n">
        <v>0</v>
      </c>
      <c r="J649" t="n">
        <v>0</v>
      </c>
      <c r="K649" t="n">
        <v>0</v>
      </c>
      <c r="L649" t="n">
        <v>0</v>
      </c>
      <c r="M649" t="n">
        <v>0</v>
      </c>
      <c r="N649" t="n">
        <v>0</v>
      </c>
      <c r="O649" t="n">
        <v>0</v>
      </c>
      <c r="P649" t="n">
        <v>0</v>
      </c>
      <c r="Q649" t="n">
        <v>0</v>
      </c>
      <c r="R649" s="2" t="inlineStr"/>
    </row>
    <row r="650" ht="15" customHeight="1">
      <c r="A650" t="inlineStr">
        <is>
          <t>A 52928-2024</t>
        </is>
      </c>
      <c r="B650" s="1" t="n">
        <v>45610</v>
      </c>
      <c r="C650" s="1" t="n">
        <v>46195</v>
      </c>
      <c r="D650" t="inlineStr">
        <is>
          <t>ÖREBRO LÄN</t>
        </is>
      </c>
      <c r="E650" t="inlineStr">
        <is>
          <t>LINDESBERG</t>
        </is>
      </c>
      <c r="G650" t="n">
        <v>8.6</v>
      </c>
      <c r="H650" t="n">
        <v>0</v>
      </c>
      <c r="I650" t="n">
        <v>0</v>
      </c>
      <c r="J650" t="n">
        <v>0</v>
      </c>
      <c r="K650" t="n">
        <v>0</v>
      </c>
      <c r="L650" t="n">
        <v>0</v>
      </c>
      <c r="M650" t="n">
        <v>0</v>
      </c>
      <c r="N650" t="n">
        <v>0</v>
      </c>
      <c r="O650" t="n">
        <v>0</v>
      </c>
      <c r="P650" t="n">
        <v>0</v>
      </c>
      <c r="Q650" t="n">
        <v>0</v>
      </c>
      <c r="R650" s="2" t="inlineStr"/>
    </row>
    <row r="651" ht="15" customHeight="1">
      <c r="A651" t="inlineStr">
        <is>
          <t>A 33716-2021</t>
        </is>
      </c>
      <c r="B651" s="1" t="n">
        <v>44378</v>
      </c>
      <c r="C651" s="1" t="n">
        <v>46195</v>
      </c>
      <c r="D651" t="inlineStr">
        <is>
          <t>ÖREBRO LÄN</t>
        </is>
      </c>
      <c r="E651" t="inlineStr">
        <is>
          <t>LINDESBERG</t>
        </is>
      </c>
      <c r="G651" t="n">
        <v>4.6</v>
      </c>
      <c r="H651" t="n">
        <v>0</v>
      </c>
      <c r="I651" t="n">
        <v>0</v>
      </c>
      <c r="J651" t="n">
        <v>0</v>
      </c>
      <c r="K651" t="n">
        <v>0</v>
      </c>
      <c r="L651" t="n">
        <v>0</v>
      </c>
      <c r="M651" t="n">
        <v>0</v>
      </c>
      <c r="N651" t="n">
        <v>0</v>
      </c>
      <c r="O651" t="n">
        <v>0</v>
      </c>
      <c r="P651" t="n">
        <v>0</v>
      </c>
      <c r="Q651" t="n">
        <v>0</v>
      </c>
      <c r="R651" s="2" t="inlineStr"/>
    </row>
    <row r="652" ht="15" customHeight="1">
      <c r="A652" t="inlineStr">
        <is>
          <t>A 40970-2023</t>
        </is>
      </c>
      <c r="B652" s="1" t="n">
        <v>45173</v>
      </c>
      <c r="C652" s="1" t="n">
        <v>46195</v>
      </c>
      <c r="D652" t="inlineStr">
        <is>
          <t>ÖREBRO LÄN</t>
        </is>
      </c>
      <c r="E652" t="inlineStr">
        <is>
          <t>LINDESBERG</t>
        </is>
      </c>
      <c r="G652" t="n">
        <v>2.1</v>
      </c>
      <c r="H652" t="n">
        <v>0</v>
      </c>
      <c r="I652" t="n">
        <v>0</v>
      </c>
      <c r="J652" t="n">
        <v>0</v>
      </c>
      <c r="K652" t="n">
        <v>0</v>
      </c>
      <c r="L652" t="n">
        <v>0</v>
      </c>
      <c r="M652" t="n">
        <v>0</v>
      </c>
      <c r="N652" t="n">
        <v>0</v>
      </c>
      <c r="O652" t="n">
        <v>0</v>
      </c>
      <c r="P652" t="n">
        <v>0</v>
      </c>
      <c r="Q652" t="n">
        <v>0</v>
      </c>
      <c r="R652" s="2" t="inlineStr"/>
    </row>
    <row r="653" ht="15" customHeight="1">
      <c r="A653" t="inlineStr">
        <is>
          <t>A 37834-2025</t>
        </is>
      </c>
      <c r="B653" s="1" t="n">
        <v>45881</v>
      </c>
      <c r="C653" s="1" t="n">
        <v>46195</v>
      </c>
      <c r="D653" t="inlineStr">
        <is>
          <t>ÖREBRO LÄN</t>
        </is>
      </c>
      <c r="E653" t="inlineStr">
        <is>
          <t>LINDESBERG</t>
        </is>
      </c>
      <c r="G653" t="n">
        <v>3.1</v>
      </c>
      <c r="H653" t="n">
        <v>0</v>
      </c>
      <c r="I653" t="n">
        <v>0</v>
      </c>
      <c r="J653" t="n">
        <v>0</v>
      </c>
      <c r="K653" t="n">
        <v>0</v>
      </c>
      <c r="L653" t="n">
        <v>0</v>
      </c>
      <c r="M653" t="n">
        <v>0</v>
      </c>
      <c r="N653" t="n">
        <v>0</v>
      </c>
      <c r="O653" t="n">
        <v>0</v>
      </c>
      <c r="P653" t="n">
        <v>0</v>
      </c>
      <c r="Q653" t="n">
        <v>0</v>
      </c>
      <c r="R653" s="2" t="inlineStr"/>
    </row>
    <row r="654" ht="15" customHeight="1">
      <c r="A654" t="inlineStr">
        <is>
          <t>A 37837-2025</t>
        </is>
      </c>
      <c r="B654" s="1" t="n">
        <v>45881</v>
      </c>
      <c r="C654" s="1" t="n">
        <v>46195</v>
      </c>
      <c r="D654" t="inlineStr">
        <is>
          <t>ÖREBRO LÄN</t>
        </is>
      </c>
      <c r="E654" t="inlineStr">
        <is>
          <t>LINDESBERG</t>
        </is>
      </c>
      <c r="G654" t="n">
        <v>1.3</v>
      </c>
      <c r="H654" t="n">
        <v>0</v>
      </c>
      <c r="I654" t="n">
        <v>0</v>
      </c>
      <c r="J654" t="n">
        <v>0</v>
      </c>
      <c r="K654" t="n">
        <v>0</v>
      </c>
      <c r="L654" t="n">
        <v>0</v>
      </c>
      <c r="M654" t="n">
        <v>0</v>
      </c>
      <c r="N654" t="n">
        <v>0</v>
      </c>
      <c r="O654" t="n">
        <v>0</v>
      </c>
      <c r="P654" t="n">
        <v>0</v>
      </c>
      <c r="Q654" t="n">
        <v>0</v>
      </c>
      <c r="R654" s="2" t="inlineStr"/>
    </row>
    <row r="655" ht="15" customHeight="1">
      <c r="A655" t="inlineStr">
        <is>
          <t>A 27715-2026</t>
        </is>
      </c>
      <c r="B655" s="1" t="n">
        <v>46190</v>
      </c>
      <c r="C655" s="1" t="n">
        <v>46195</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40117-2023</t>
        </is>
      </c>
      <c r="B656" s="1" t="n">
        <v>45168</v>
      </c>
      <c r="C656" s="1" t="n">
        <v>46195</v>
      </c>
      <c r="D656" t="inlineStr">
        <is>
          <t>ÖREBRO LÄN</t>
        </is>
      </c>
      <c r="E656" t="inlineStr">
        <is>
          <t>LINDESBERG</t>
        </is>
      </c>
      <c r="G656" t="n">
        <v>2.3</v>
      </c>
      <c r="H656" t="n">
        <v>0</v>
      </c>
      <c r="I656" t="n">
        <v>0</v>
      </c>
      <c r="J656" t="n">
        <v>0</v>
      </c>
      <c r="K656" t="n">
        <v>0</v>
      </c>
      <c r="L656" t="n">
        <v>0</v>
      </c>
      <c r="M656" t="n">
        <v>0</v>
      </c>
      <c r="N656" t="n">
        <v>0</v>
      </c>
      <c r="O656" t="n">
        <v>0</v>
      </c>
      <c r="P656" t="n">
        <v>0</v>
      </c>
      <c r="Q656" t="n">
        <v>0</v>
      </c>
      <c r="R656" s="2" t="inlineStr"/>
    </row>
    <row r="657" ht="15" customHeight="1">
      <c r="A657" t="inlineStr">
        <is>
          <t>A 21796-2026</t>
        </is>
      </c>
      <c r="B657" s="1" t="n">
        <v>46150</v>
      </c>
      <c r="C657" s="1" t="n">
        <v>46195</v>
      </c>
      <c r="D657" t="inlineStr">
        <is>
          <t>ÖREBRO LÄN</t>
        </is>
      </c>
      <c r="E657" t="inlineStr">
        <is>
          <t>LINDESBERG</t>
        </is>
      </c>
      <c r="F657" t="inlineStr">
        <is>
          <t>Naturvårdsverket</t>
        </is>
      </c>
      <c r="G657" t="n">
        <v>5.1</v>
      </c>
      <c r="H657" t="n">
        <v>0</v>
      </c>
      <c r="I657" t="n">
        <v>0</v>
      </c>
      <c r="J657" t="n">
        <v>0</v>
      </c>
      <c r="K657" t="n">
        <v>0</v>
      </c>
      <c r="L657" t="n">
        <v>0</v>
      </c>
      <c r="M657" t="n">
        <v>0</v>
      </c>
      <c r="N657" t="n">
        <v>0</v>
      </c>
      <c r="O657" t="n">
        <v>0</v>
      </c>
      <c r="P657" t="n">
        <v>0</v>
      </c>
      <c r="Q657" t="n">
        <v>0</v>
      </c>
      <c r="R657" s="2" t="inlineStr"/>
    </row>
    <row r="658" ht="15" customHeight="1">
      <c r="A658" t="inlineStr">
        <is>
          <t>A 11366-2024</t>
        </is>
      </c>
      <c r="B658" s="1" t="n">
        <v>45372</v>
      </c>
      <c r="C658" s="1" t="n">
        <v>46195</v>
      </c>
      <c r="D658" t="inlineStr">
        <is>
          <t>ÖREBRO LÄN</t>
        </is>
      </c>
      <c r="E658" t="inlineStr">
        <is>
          <t>LINDESBERG</t>
        </is>
      </c>
      <c r="G658" t="n">
        <v>4.4</v>
      </c>
      <c r="H658" t="n">
        <v>0</v>
      </c>
      <c r="I658" t="n">
        <v>0</v>
      </c>
      <c r="J658" t="n">
        <v>0</v>
      </c>
      <c r="K658" t="n">
        <v>0</v>
      </c>
      <c r="L658" t="n">
        <v>0</v>
      </c>
      <c r="M658" t="n">
        <v>0</v>
      </c>
      <c r="N658" t="n">
        <v>0</v>
      </c>
      <c r="O658" t="n">
        <v>0</v>
      </c>
      <c r="P658" t="n">
        <v>0</v>
      </c>
      <c r="Q658" t="n">
        <v>0</v>
      </c>
      <c r="R658" s="2" t="inlineStr"/>
    </row>
    <row r="659" ht="15" customHeight="1">
      <c r="A659" t="inlineStr">
        <is>
          <t>A 60943-2024</t>
        </is>
      </c>
      <c r="B659" s="1" t="n">
        <v>45645</v>
      </c>
      <c r="C659" s="1" t="n">
        <v>46195</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56912-2024</t>
        </is>
      </c>
      <c r="B660" s="1" t="n">
        <v>45628</v>
      </c>
      <c r="C660" s="1" t="n">
        <v>46195</v>
      </c>
      <c r="D660" t="inlineStr">
        <is>
          <t>ÖREBRO LÄN</t>
        </is>
      </c>
      <c r="E660" t="inlineStr">
        <is>
          <t>LINDESBERG</t>
        </is>
      </c>
      <c r="G660" t="n">
        <v>1</v>
      </c>
      <c r="H660" t="n">
        <v>0</v>
      </c>
      <c r="I660" t="n">
        <v>0</v>
      </c>
      <c r="J660" t="n">
        <v>0</v>
      </c>
      <c r="K660" t="n">
        <v>0</v>
      </c>
      <c r="L660" t="n">
        <v>0</v>
      </c>
      <c r="M660" t="n">
        <v>0</v>
      </c>
      <c r="N660" t="n">
        <v>0</v>
      </c>
      <c r="O660" t="n">
        <v>0</v>
      </c>
      <c r="P660" t="n">
        <v>0</v>
      </c>
      <c r="Q660" t="n">
        <v>0</v>
      </c>
      <c r="R660" s="2" t="inlineStr"/>
    </row>
    <row r="661" ht="15" customHeight="1">
      <c r="A661" t="inlineStr">
        <is>
          <t>A 27724-2026</t>
        </is>
      </c>
      <c r="B661" s="1" t="n">
        <v>46191</v>
      </c>
      <c r="C661" s="1" t="n">
        <v>46195</v>
      </c>
      <c r="D661" t="inlineStr">
        <is>
          <t>ÖREBRO LÄN</t>
        </is>
      </c>
      <c r="E661" t="inlineStr">
        <is>
          <t>LINDESBERG</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27909-2026</t>
        </is>
      </c>
      <c r="B662" s="1" t="n">
        <v>46191</v>
      </c>
      <c r="C662" s="1" t="n">
        <v>46195</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27914-2026</t>
        </is>
      </c>
      <c r="B663" s="1" t="n">
        <v>46191</v>
      </c>
      <c r="C663" s="1" t="n">
        <v>46195</v>
      </c>
      <c r="D663" t="inlineStr">
        <is>
          <t>ÖREBRO LÄN</t>
        </is>
      </c>
      <c r="E663" t="inlineStr">
        <is>
          <t>LINDESBERG</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27917-2026</t>
        </is>
      </c>
      <c r="B664" s="1" t="n">
        <v>46191</v>
      </c>
      <c r="C664" s="1" t="n">
        <v>46195</v>
      </c>
      <c r="D664" t="inlineStr">
        <is>
          <t>ÖREBRO LÄN</t>
        </is>
      </c>
      <c r="E664" t="inlineStr">
        <is>
          <t>LINDESBERG</t>
        </is>
      </c>
      <c r="F664" t="inlineStr">
        <is>
          <t>Sveaskog</t>
        </is>
      </c>
      <c r="G664" t="n">
        <v>6.9</v>
      </c>
      <c r="H664" t="n">
        <v>0</v>
      </c>
      <c r="I664" t="n">
        <v>0</v>
      </c>
      <c r="J664" t="n">
        <v>0</v>
      </c>
      <c r="K664" t="n">
        <v>0</v>
      </c>
      <c r="L664" t="n">
        <v>0</v>
      </c>
      <c r="M664" t="n">
        <v>0</v>
      </c>
      <c r="N664" t="n">
        <v>0</v>
      </c>
      <c r="O664" t="n">
        <v>0</v>
      </c>
      <c r="P664" t="n">
        <v>0</v>
      </c>
      <c r="Q664" t="n">
        <v>0</v>
      </c>
      <c r="R664" s="2" t="inlineStr"/>
    </row>
    <row r="665" ht="15" customHeight="1">
      <c r="A665" t="inlineStr">
        <is>
          <t>A 44010-2023</t>
        </is>
      </c>
      <c r="B665" s="1" t="n">
        <v>45188</v>
      </c>
      <c r="C665" s="1" t="n">
        <v>46195</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610-2026</t>
        </is>
      </c>
      <c r="B666" s="1" t="n">
        <v>46029</v>
      </c>
      <c r="C666" s="1" t="n">
        <v>46195</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911-2026</t>
        </is>
      </c>
      <c r="B667" s="1" t="n">
        <v>46030</v>
      </c>
      <c r="C667" s="1" t="n">
        <v>46195</v>
      </c>
      <c r="D667" t="inlineStr">
        <is>
          <t>ÖREBRO LÄN</t>
        </is>
      </c>
      <c r="E667" t="inlineStr">
        <is>
          <t>LINDESBERG</t>
        </is>
      </c>
      <c r="G667" t="n">
        <v>1.6</v>
      </c>
      <c r="H667" t="n">
        <v>0</v>
      </c>
      <c r="I667" t="n">
        <v>0</v>
      </c>
      <c r="J667" t="n">
        <v>0</v>
      </c>
      <c r="K667" t="n">
        <v>0</v>
      </c>
      <c r="L667" t="n">
        <v>0</v>
      </c>
      <c r="M667" t="n">
        <v>0</v>
      </c>
      <c r="N667" t="n">
        <v>0</v>
      </c>
      <c r="O667" t="n">
        <v>0</v>
      </c>
      <c r="P667" t="n">
        <v>0</v>
      </c>
      <c r="Q667" t="n">
        <v>0</v>
      </c>
      <c r="R667" s="2" t="inlineStr"/>
    </row>
    <row r="668" ht="15" customHeight="1">
      <c r="A668" t="inlineStr">
        <is>
          <t>A 27918-2026</t>
        </is>
      </c>
      <c r="B668" s="1" t="n">
        <v>46191</v>
      </c>
      <c r="C668" s="1" t="n">
        <v>46195</v>
      </c>
      <c r="D668" t="inlineStr">
        <is>
          <t>ÖREBRO LÄN</t>
        </is>
      </c>
      <c r="E668" t="inlineStr">
        <is>
          <t>LINDESBERG</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27756-2026</t>
        </is>
      </c>
      <c r="B669" s="1" t="n">
        <v>46191</v>
      </c>
      <c r="C669" s="1" t="n">
        <v>46195</v>
      </c>
      <c r="D669" t="inlineStr">
        <is>
          <t>ÖREBRO LÄN</t>
        </is>
      </c>
      <c r="E669" t="inlineStr">
        <is>
          <t>LINDESBERG</t>
        </is>
      </c>
      <c r="F669" t="inlineStr">
        <is>
          <t>Sveaskog</t>
        </is>
      </c>
      <c r="G669" t="n">
        <v>17.8</v>
      </c>
      <c r="H669" t="n">
        <v>0</v>
      </c>
      <c r="I669" t="n">
        <v>0</v>
      </c>
      <c r="J669" t="n">
        <v>0</v>
      </c>
      <c r="K669" t="n">
        <v>0</v>
      </c>
      <c r="L669" t="n">
        <v>0</v>
      </c>
      <c r="M669" t="n">
        <v>0</v>
      </c>
      <c r="N669" t="n">
        <v>0</v>
      </c>
      <c r="O669" t="n">
        <v>0</v>
      </c>
      <c r="P669" t="n">
        <v>0</v>
      </c>
      <c r="Q669" t="n">
        <v>0</v>
      </c>
      <c r="R669" s="2" t="inlineStr"/>
    </row>
    <row r="670" ht="15" customHeight="1">
      <c r="A670" t="inlineStr">
        <is>
          <t>A 27761-2026</t>
        </is>
      </c>
      <c r="B670" s="1" t="n">
        <v>46191</v>
      </c>
      <c r="C670" s="1" t="n">
        <v>46195</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27766-2026</t>
        </is>
      </c>
      <c r="B671" s="1" t="n">
        <v>46191</v>
      </c>
      <c r="C671" s="1" t="n">
        <v>46195</v>
      </c>
      <c r="D671" t="inlineStr">
        <is>
          <t>ÖREBRO LÄN</t>
        </is>
      </c>
      <c r="E671" t="inlineStr">
        <is>
          <t>LINDESBERG</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27775-2026</t>
        </is>
      </c>
      <c r="B672" s="1" t="n">
        <v>46191</v>
      </c>
      <c r="C672" s="1" t="n">
        <v>46195</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2107-2022</t>
        </is>
      </c>
      <c r="B673" s="1" t="n">
        <v>44577</v>
      </c>
      <c r="C673" s="1" t="n">
        <v>46195</v>
      </c>
      <c r="D673" t="inlineStr">
        <is>
          <t>ÖREBRO LÄN</t>
        </is>
      </c>
      <c r="E673" t="inlineStr">
        <is>
          <t>LINDESBERG</t>
        </is>
      </c>
      <c r="G673" t="n">
        <v>2.9</v>
      </c>
      <c r="H673" t="n">
        <v>0</v>
      </c>
      <c r="I673" t="n">
        <v>0</v>
      </c>
      <c r="J673" t="n">
        <v>0</v>
      </c>
      <c r="K673" t="n">
        <v>0</v>
      </c>
      <c r="L673" t="n">
        <v>0</v>
      </c>
      <c r="M673" t="n">
        <v>0</v>
      </c>
      <c r="N673" t="n">
        <v>0</v>
      </c>
      <c r="O673" t="n">
        <v>0</v>
      </c>
      <c r="P673" t="n">
        <v>0</v>
      </c>
      <c r="Q673" t="n">
        <v>0</v>
      </c>
      <c r="R673" s="2" t="inlineStr"/>
    </row>
    <row r="674" ht="15" customHeight="1">
      <c r="A674" t="inlineStr">
        <is>
          <t>A 16864-2022</t>
        </is>
      </c>
      <c r="B674" s="1" t="n">
        <v>44675</v>
      </c>
      <c r="C674" s="1" t="n">
        <v>46195</v>
      </c>
      <c r="D674" t="inlineStr">
        <is>
          <t>ÖREBRO LÄN</t>
        </is>
      </c>
      <c r="E674" t="inlineStr">
        <is>
          <t>LINDESBERG</t>
        </is>
      </c>
      <c r="F674" t="inlineStr">
        <is>
          <t>Kyrkan</t>
        </is>
      </c>
      <c r="G674" t="n">
        <v>1.7</v>
      </c>
      <c r="H674" t="n">
        <v>0</v>
      </c>
      <c r="I674" t="n">
        <v>0</v>
      </c>
      <c r="J674" t="n">
        <v>0</v>
      </c>
      <c r="K674" t="n">
        <v>0</v>
      </c>
      <c r="L674" t="n">
        <v>0</v>
      </c>
      <c r="M674" t="n">
        <v>0</v>
      </c>
      <c r="N674" t="n">
        <v>0</v>
      </c>
      <c r="O674" t="n">
        <v>0</v>
      </c>
      <c r="P674" t="n">
        <v>0</v>
      </c>
      <c r="Q674" t="n">
        <v>0</v>
      </c>
      <c r="R674" s="2" t="inlineStr"/>
    </row>
    <row r="675" ht="15" customHeight="1">
      <c r="A675" t="inlineStr">
        <is>
          <t>A 32928-2023</t>
        </is>
      </c>
      <c r="B675" s="1" t="n">
        <v>45125</v>
      </c>
      <c r="C675" s="1" t="n">
        <v>46195</v>
      </c>
      <c r="D675" t="inlineStr">
        <is>
          <t>ÖREBRO LÄN</t>
        </is>
      </c>
      <c r="E675" t="inlineStr">
        <is>
          <t>LINDESBERG</t>
        </is>
      </c>
      <c r="G675" t="n">
        <v>4.8</v>
      </c>
      <c r="H675" t="n">
        <v>0</v>
      </c>
      <c r="I675" t="n">
        <v>0</v>
      </c>
      <c r="J675" t="n">
        <v>0</v>
      </c>
      <c r="K675" t="n">
        <v>0</v>
      </c>
      <c r="L675" t="n">
        <v>0</v>
      </c>
      <c r="M675" t="n">
        <v>0</v>
      </c>
      <c r="N675" t="n">
        <v>0</v>
      </c>
      <c r="O675" t="n">
        <v>0</v>
      </c>
      <c r="P675" t="n">
        <v>0</v>
      </c>
      <c r="Q675" t="n">
        <v>0</v>
      </c>
      <c r="R675" s="2" t="inlineStr"/>
    </row>
    <row r="676" ht="15" customHeight="1">
      <c r="A676" t="inlineStr">
        <is>
          <t>A 27773-2026</t>
        </is>
      </c>
      <c r="B676" s="1" t="n">
        <v>46191</v>
      </c>
      <c r="C676" s="1" t="n">
        <v>46195</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27769-2026</t>
        </is>
      </c>
      <c r="B677" s="1" t="n">
        <v>46191</v>
      </c>
      <c r="C677" s="1" t="n">
        <v>46195</v>
      </c>
      <c r="D677" t="inlineStr">
        <is>
          <t>ÖREBRO LÄN</t>
        </is>
      </c>
      <c r="E677" t="inlineStr">
        <is>
          <t>LINDESBERG</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1749-2026</t>
        </is>
      </c>
      <c r="B678" s="1" t="n">
        <v>46034</v>
      </c>
      <c r="C678" s="1" t="n">
        <v>46195</v>
      </c>
      <c r="D678" t="inlineStr">
        <is>
          <t>ÖREBRO LÄN</t>
        </is>
      </c>
      <c r="E678" t="inlineStr">
        <is>
          <t>LINDESBERG</t>
        </is>
      </c>
      <c r="G678" t="n">
        <v>2.2</v>
      </c>
      <c r="H678" t="n">
        <v>0</v>
      </c>
      <c r="I678" t="n">
        <v>0</v>
      </c>
      <c r="J678" t="n">
        <v>0</v>
      </c>
      <c r="K678" t="n">
        <v>0</v>
      </c>
      <c r="L678" t="n">
        <v>0</v>
      </c>
      <c r="M678" t="n">
        <v>0</v>
      </c>
      <c r="N678" t="n">
        <v>0</v>
      </c>
      <c r="O678" t="n">
        <v>0</v>
      </c>
      <c r="P678" t="n">
        <v>0</v>
      </c>
      <c r="Q678" t="n">
        <v>0</v>
      </c>
      <c r="R678" s="2" t="inlineStr"/>
    </row>
    <row r="679" ht="15" customHeight="1">
      <c r="A679" t="inlineStr">
        <is>
          <t>A 21016-2023</t>
        </is>
      </c>
      <c r="B679" s="1" t="n">
        <v>45061</v>
      </c>
      <c r="C679" s="1" t="n">
        <v>46195</v>
      </c>
      <c r="D679" t="inlineStr">
        <is>
          <t>ÖREBRO LÄN</t>
        </is>
      </c>
      <c r="E679" t="inlineStr">
        <is>
          <t>LINDESBERG</t>
        </is>
      </c>
      <c r="G679" t="n">
        <v>8.1</v>
      </c>
      <c r="H679" t="n">
        <v>0</v>
      </c>
      <c r="I679" t="n">
        <v>0</v>
      </c>
      <c r="J679" t="n">
        <v>0</v>
      </c>
      <c r="K679" t="n">
        <v>0</v>
      </c>
      <c r="L679" t="n">
        <v>0</v>
      </c>
      <c r="M679" t="n">
        <v>0</v>
      </c>
      <c r="N679" t="n">
        <v>0</v>
      </c>
      <c r="O679" t="n">
        <v>0</v>
      </c>
      <c r="P679" t="n">
        <v>0</v>
      </c>
      <c r="Q679" t="n">
        <v>0</v>
      </c>
      <c r="R679" s="2" t="inlineStr"/>
    </row>
    <row r="680" ht="15" customHeight="1">
      <c r="A680" t="inlineStr">
        <is>
          <t>A 27728-2026</t>
        </is>
      </c>
      <c r="B680" s="1" t="n">
        <v>46191</v>
      </c>
      <c r="C680" s="1" t="n">
        <v>46195</v>
      </c>
      <c r="D680" t="inlineStr">
        <is>
          <t>ÖREBRO LÄN</t>
        </is>
      </c>
      <c r="E680" t="inlineStr">
        <is>
          <t>LINDESBERG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40306-2022</t>
        </is>
      </c>
      <c r="B681" s="1" t="n">
        <v>44822</v>
      </c>
      <c r="C681" s="1" t="n">
        <v>46195</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27440-2023</t>
        </is>
      </c>
      <c r="B682" s="1" t="n">
        <v>45097</v>
      </c>
      <c r="C682" s="1" t="n">
        <v>46195</v>
      </c>
      <c r="D682" t="inlineStr">
        <is>
          <t>ÖREBRO LÄN</t>
        </is>
      </c>
      <c r="E682" t="inlineStr">
        <is>
          <t>LINDESBERG</t>
        </is>
      </c>
      <c r="G682" t="n">
        <v>6.6</v>
      </c>
      <c r="H682" t="n">
        <v>0</v>
      </c>
      <c r="I682" t="n">
        <v>0</v>
      </c>
      <c r="J682" t="n">
        <v>0</v>
      </c>
      <c r="K682" t="n">
        <v>0</v>
      </c>
      <c r="L682" t="n">
        <v>0</v>
      </c>
      <c r="M682" t="n">
        <v>0</v>
      </c>
      <c r="N682" t="n">
        <v>0</v>
      </c>
      <c r="O682" t="n">
        <v>0</v>
      </c>
      <c r="P682" t="n">
        <v>0</v>
      </c>
      <c r="Q682" t="n">
        <v>0</v>
      </c>
      <c r="R682" s="2" t="inlineStr"/>
    </row>
    <row r="683" ht="15" customHeight="1">
      <c r="A683" t="inlineStr">
        <is>
          <t>A 40905-2023</t>
        </is>
      </c>
      <c r="B683" s="1" t="n">
        <v>45173</v>
      </c>
      <c r="C683" s="1" t="n">
        <v>46195</v>
      </c>
      <c r="D683" t="inlineStr">
        <is>
          <t>ÖREBRO LÄN</t>
        </is>
      </c>
      <c r="E683" t="inlineStr">
        <is>
          <t>LINDESBERG</t>
        </is>
      </c>
      <c r="G683" t="n">
        <v>0.5</v>
      </c>
      <c r="H683" t="n">
        <v>0</v>
      </c>
      <c r="I683" t="n">
        <v>0</v>
      </c>
      <c r="J683" t="n">
        <v>0</v>
      </c>
      <c r="K683" t="n">
        <v>0</v>
      </c>
      <c r="L683" t="n">
        <v>0</v>
      </c>
      <c r="M683" t="n">
        <v>0</v>
      </c>
      <c r="N683" t="n">
        <v>0</v>
      </c>
      <c r="O683" t="n">
        <v>0</v>
      </c>
      <c r="P683" t="n">
        <v>0</v>
      </c>
      <c r="Q683" t="n">
        <v>0</v>
      </c>
      <c r="R683" s="2" t="inlineStr"/>
    </row>
    <row r="684" ht="15" customHeight="1">
      <c r="A684" t="inlineStr">
        <is>
          <t>A 2556-2026</t>
        </is>
      </c>
      <c r="B684" s="1" t="n">
        <v>46035</v>
      </c>
      <c r="C684" s="1" t="n">
        <v>46195</v>
      </c>
      <c r="D684" t="inlineStr">
        <is>
          <t>ÖREBRO LÄN</t>
        </is>
      </c>
      <c r="E684" t="inlineStr">
        <is>
          <t>LINDESBERG</t>
        </is>
      </c>
      <c r="G684" t="n">
        <v>3.4</v>
      </c>
      <c r="H684" t="n">
        <v>0</v>
      </c>
      <c r="I684" t="n">
        <v>0</v>
      </c>
      <c r="J684" t="n">
        <v>0</v>
      </c>
      <c r="K684" t="n">
        <v>0</v>
      </c>
      <c r="L684" t="n">
        <v>0</v>
      </c>
      <c r="M684" t="n">
        <v>0</v>
      </c>
      <c r="N684" t="n">
        <v>0</v>
      </c>
      <c r="O684" t="n">
        <v>0</v>
      </c>
      <c r="P684" t="n">
        <v>0</v>
      </c>
      <c r="Q684" t="n">
        <v>0</v>
      </c>
      <c r="R684" s="2" t="inlineStr"/>
    </row>
    <row r="685" ht="15" customHeight="1">
      <c r="A685" t="inlineStr">
        <is>
          <t>A 2958-2026</t>
        </is>
      </c>
      <c r="B685" s="1" t="n">
        <v>46038</v>
      </c>
      <c r="C685" s="1" t="n">
        <v>46195</v>
      </c>
      <c r="D685" t="inlineStr">
        <is>
          <t>ÖREBRO LÄN</t>
        </is>
      </c>
      <c r="E685" t="inlineStr">
        <is>
          <t>LINDESBERG</t>
        </is>
      </c>
      <c r="G685" t="n">
        <v>5.8</v>
      </c>
      <c r="H685" t="n">
        <v>0</v>
      </c>
      <c r="I685" t="n">
        <v>0</v>
      </c>
      <c r="J685" t="n">
        <v>0</v>
      </c>
      <c r="K685" t="n">
        <v>0</v>
      </c>
      <c r="L685" t="n">
        <v>0</v>
      </c>
      <c r="M685" t="n">
        <v>0</v>
      </c>
      <c r="N685" t="n">
        <v>0</v>
      </c>
      <c r="O685" t="n">
        <v>0</v>
      </c>
      <c r="P685" t="n">
        <v>0</v>
      </c>
      <c r="Q685" t="n">
        <v>0</v>
      </c>
      <c r="R685" s="2" t="inlineStr"/>
    </row>
    <row r="686" ht="15" customHeight="1">
      <c r="A686" t="inlineStr">
        <is>
          <t>A 27763-2026</t>
        </is>
      </c>
      <c r="B686" s="1" t="n">
        <v>46191</v>
      </c>
      <c r="C686" s="1" t="n">
        <v>46195</v>
      </c>
      <c r="D686" t="inlineStr">
        <is>
          <t>ÖREBRO LÄN</t>
        </is>
      </c>
      <c r="E686" t="inlineStr">
        <is>
          <t>LINDESBERG</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27772-2026</t>
        </is>
      </c>
      <c r="B687" s="1" t="n">
        <v>46191</v>
      </c>
      <c r="C687" s="1" t="n">
        <v>46195</v>
      </c>
      <c r="D687" t="inlineStr">
        <is>
          <t>ÖREBRO LÄN</t>
        </is>
      </c>
      <c r="E687" t="inlineStr">
        <is>
          <t>LINDESBERG</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41951-2023</t>
        </is>
      </c>
      <c r="B688" s="1" t="n">
        <v>45177</v>
      </c>
      <c r="C688" s="1" t="n">
        <v>46195</v>
      </c>
      <c r="D688" t="inlineStr">
        <is>
          <t>ÖREBRO LÄN</t>
        </is>
      </c>
      <c r="E688" t="inlineStr">
        <is>
          <t>LINDESBERG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4310-2025</t>
        </is>
      </c>
      <c r="B689" s="1" t="n">
        <v>45685</v>
      </c>
      <c r="C689" s="1" t="n">
        <v>46195</v>
      </c>
      <c r="D689" t="inlineStr">
        <is>
          <t>ÖREBRO LÄN</t>
        </is>
      </c>
      <c r="E689" t="inlineStr">
        <is>
          <t>LINDESBERG</t>
        </is>
      </c>
      <c r="G689" t="n">
        <v>1.2</v>
      </c>
      <c r="H689" t="n">
        <v>0</v>
      </c>
      <c r="I689" t="n">
        <v>0</v>
      </c>
      <c r="J689" t="n">
        <v>0</v>
      </c>
      <c r="K689" t="n">
        <v>0</v>
      </c>
      <c r="L689" t="n">
        <v>0</v>
      </c>
      <c r="M689" t="n">
        <v>0</v>
      </c>
      <c r="N689" t="n">
        <v>0</v>
      </c>
      <c r="O689" t="n">
        <v>0</v>
      </c>
      <c r="P689" t="n">
        <v>0</v>
      </c>
      <c r="Q689" t="n">
        <v>0</v>
      </c>
      <c r="R689" s="2" t="inlineStr"/>
    </row>
    <row r="690" ht="15" customHeight="1">
      <c r="A690" t="inlineStr">
        <is>
          <t>A 2704-2026</t>
        </is>
      </c>
      <c r="B690" s="1" t="n">
        <v>46037</v>
      </c>
      <c r="C690" s="1" t="n">
        <v>46195</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2859-2026</t>
        </is>
      </c>
      <c r="B691" s="1" t="n">
        <v>46038</v>
      </c>
      <c r="C691" s="1" t="n">
        <v>46195</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34025-2024</t>
        </is>
      </c>
      <c r="B692" s="1" t="n">
        <v>45523</v>
      </c>
      <c r="C692" s="1" t="n">
        <v>46195</v>
      </c>
      <c r="D692" t="inlineStr">
        <is>
          <t>ÖREBRO LÄN</t>
        </is>
      </c>
      <c r="E692" t="inlineStr">
        <is>
          <t>LINDESBERG</t>
        </is>
      </c>
      <c r="G692" t="n">
        <v>1.3</v>
      </c>
      <c r="H692" t="n">
        <v>0</v>
      </c>
      <c r="I692" t="n">
        <v>0</v>
      </c>
      <c r="J692" t="n">
        <v>0</v>
      </c>
      <c r="K692" t="n">
        <v>0</v>
      </c>
      <c r="L692" t="n">
        <v>0</v>
      </c>
      <c r="M692" t="n">
        <v>0</v>
      </c>
      <c r="N692" t="n">
        <v>0</v>
      </c>
      <c r="O692" t="n">
        <v>0</v>
      </c>
      <c r="P692" t="n">
        <v>0</v>
      </c>
      <c r="Q692" t="n">
        <v>0</v>
      </c>
      <c r="R692" s="2" t="inlineStr"/>
    </row>
    <row r="693" ht="15" customHeight="1">
      <c r="A693" t="inlineStr">
        <is>
          <t>A 2929-2026</t>
        </is>
      </c>
      <c r="B693" s="1" t="n">
        <v>46038</v>
      </c>
      <c r="C693" s="1" t="n">
        <v>46195</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2902-2026</t>
        </is>
      </c>
      <c r="B694" s="1" t="n">
        <v>46038</v>
      </c>
      <c r="C694" s="1" t="n">
        <v>46195</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2949-2026</t>
        </is>
      </c>
      <c r="B695" s="1" t="n">
        <v>46038</v>
      </c>
      <c r="C695" s="1" t="n">
        <v>46195</v>
      </c>
      <c r="D695" t="inlineStr">
        <is>
          <t>ÖREBRO LÄN</t>
        </is>
      </c>
      <c r="E695" t="inlineStr">
        <is>
          <t>LINDESBERG</t>
        </is>
      </c>
      <c r="G695" t="n">
        <v>4</v>
      </c>
      <c r="H695" t="n">
        <v>0</v>
      </c>
      <c r="I695" t="n">
        <v>0</v>
      </c>
      <c r="J695" t="n">
        <v>0</v>
      </c>
      <c r="K695" t="n">
        <v>0</v>
      </c>
      <c r="L695" t="n">
        <v>0</v>
      </c>
      <c r="M695" t="n">
        <v>0</v>
      </c>
      <c r="N695" t="n">
        <v>0</v>
      </c>
      <c r="O695" t="n">
        <v>0</v>
      </c>
      <c r="P695" t="n">
        <v>0</v>
      </c>
      <c r="Q695" t="n">
        <v>0</v>
      </c>
      <c r="R695" s="2" t="inlineStr"/>
    </row>
    <row r="696" ht="15" customHeight="1">
      <c r="A696" t="inlineStr">
        <is>
          <t>A 27731-2026</t>
        </is>
      </c>
      <c r="B696" s="1" t="n">
        <v>46191</v>
      </c>
      <c r="C696" s="1" t="n">
        <v>46195</v>
      </c>
      <c r="D696" t="inlineStr">
        <is>
          <t>ÖREBRO LÄN</t>
        </is>
      </c>
      <c r="E696" t="inlineStr">
        <is>
          <t>LINDESBERG</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2969-2026</t>
        </is>
      </c>
      <c r="B697" s="1" t="n">
        <v>46038</v>
      </c>
      <c r="C697" s="1" t="n">
        <v>46195</v>
      </c>
      <c r="D697" t="inlineStr">
        <is>
          <t>ÖREBRO LÄN</t>
        </is>
      </c>
      <c r="E697" t="inlineStr">
        <is>
          <t>LINDESBERG</t>
        </is>
      </c>
      <c r="G697" t="n">
        <v>2.6</v>
      </c>
      <c r="H697" t="n">
        <v>0</v>
      </c>
      <c r="I697" t="n">
        <v>0</v>
      </c>
      <c r="J697" t="n">
        <v>0</v>
      </c>
      <c r="K697" t="n">
        <v>0</v>
      </c>
      <c r="L697" t="n">
        <v>0</v>
      </c>
      <c r="M697" t="n">
        <v>0</v>
      </c>
      <c r="N697" t="n">
        <v>0</v>
      </c>
      <c r="O697" t="n">
        <v>0</v>
      </c>
      <c r="P697" t="n">
        <v>0</v>
      </c>
      <c r="Q697" t="n">
        <v>0</v>
      </c>
      <c r="R697" s="2" t="inlineStr"/>
    </row>
    <row r="698" ht="15" customHeight="1">
      <c r="A698" t="inlineStr">
        <is>
          <t>A 3315-2026</t>
        </is>
      </c>
      <c r="B698" s="1" t="n">
        <v>46041</v>
      </c>
      <c r="C698" s="1" t="n">
        <v>46195</v>
      </c>
      <c r="D698" t="inlineStr">
        <is>
          <t>ÖREBRO LÄN</t>
        </is>
      </c>
      <c r="E698" t="inlineStr">
        <is>
          <t>LINDESBERG</t>
        </is>
      </c>
      <c r="G698" t="n">
        <v>7.6</v>
      </c>
      <c r="H698" t="n">
        <v>0</v>
      </c>
      <c r="I698" t="n">
        <v>0</v>
      </c>
      <c r="J698" t="n">
        <v>0</v>
      </c>
      <c r="K698" t="n">
        <v>0</v>
      </c>
      <c r="L698" t="n">
        <v>0</v>
      </c>
      <c r="M698" t="n">
        <v>0</v>
      </c>
      <c r="N698" t="n">
        <v>0</v>
      </c>
      <c r="O698" t="n">
        <v>0</v>
      </c>
      <c r="P698" t="n">
        <v>0</v>
      </c>
      <c r="Q698" t="n">
        <v>0</v>
      </c>
      <c r="R698" s="2" t="inlineStr"/>
    </row>
    <row r="699" ht="15" customHeight="1">
      <c r="A699" t="inlineStr">
        <is>
          <t>A 3660-2026</t>
        </is>
      </c>
      <c r="B699" s="1" t="n">
        <v>46043</v>
      </c>
      <c r="C699" s="1" t="n">
        <v>46195</v>
      </c>
      <c r="D699" t="inlineStr">
        <is>
          <t>ÖREBRO LÄN</t>
        </is>
      </c>
      <c r="E699" t="inlineStr">
        <is>
          <t>LINDESBERG</t>
        </is>
      </c>
      <c r="G699" t="n">
        <v>3.4</v>
      </c>
      <c r="H699" t="n">
        <v>0</v>
      </c>
      <c r="I699" t="n">
        <v>0</v>
      </c>
      <c r="J699" t="n">
        <v>0</v>
      </c>
      <c r="K699" t="n">
        <v>0</v>
      </c>
      <c r="L699" t="n">
        <v>0</v>
      </c>
      <c r="M699" t="n">
        <v>0</v>
      </c>
      <c r="N699" t="n">
        <v>0</v>
      </c>
      <c r="O699" t="n">
        <v>0</v>
      </c>
      <c r="P699" t="n">
        <v>0</v>
      </c>
      <c r="Q699" t="n">
        <v>0</v>
      </c>
      <c r="R699" s="2" t="inlineStr"/>
    </row>
    <row r="700" ht="15" customHeight="1">
      <c r="A700" t="inlineStr">
        <is>
          <t>A 3659-2026</t>
        </is>
      </c>
      <c r="B700" s="1" t="n">
        <v>46043</v>
      </c>
      <c r="C700" s="1" t="n">
        <v>46195</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3951-2026</t>
        </is>
      </c>
      <c r="B701" s="1" t="n">
        <v>46044</v>
      </c>
      <c r="C701" s="1" t="n">
        <v>46195</v>
      </c>
      <c r="D701" t="inlineStr">
        <is>
          <t>ÖREBRO LÄN</t>
        </is>
      </c>
      <c r="E701" t="inlineStr">
        <is>
          <t>LINDESBERG</t>
        </is>
      </c>
      <c r="G701" t="n">
        <v>0.6</v>
      </c>
      <c r="H701" t="n">
        <v>0</v>
      </c>
      <c r="I701" t="n">
        <v>0</v>
      </c>
      <c r="J701" t="n">
        <v>0</v>
      </c>
      <c r="K701" t="n">
        <v>0</v>
      </c>
      <c r="L701" t="n">
        <v>0</v>
      </c>
      <c r="M701" t="n">
        <v>0</v>
      </c>
      <c r="N701" t="n">
        <v>0</v>
      </c>
      <c r="O701" t="n">
        <v>0</v>
      </c>
      <c r="P701" t="n">
        <v>0</v>
      </c>
      <c r="Q701" t="n">
        <v>0</v>
      </c>
      <c r="R701" s="2" t="inlineStr"/>
    </row>
    <row r="702" ht="15" customHeight="1">
      <c r="A702" t="inlineStr">
        <is>
          <t>A 61691-2023</t>
        </is>
      </c>
      <c r="B702" s="1" t="n">
        <v>45265</v>
      </c>
      <c r="C702" s="1" t="n">
        <v>46195</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37507-2023</t>
        </is>
      </c>
      <c r="B703" s="1" t="n">
        <v>45158</v>
      </c>
      <c r="C703" s="1" t="n">
        <v>46195</v>
      </c>
      <c r="D703" t="inlineStr">
        <is>
          <t>ÖREBRO LÄN</t>
        </is>
      </c>
      <c r="E703" t="inlineStr">
        <is>
          <t>LINDESBERG</t>
        </is>
      </c>
      <c r="G703" t="n">
        <v>0.6</v>
      </c>
      <c r="H703" t="n">
        <v>0</v>
      </c>
      <c r="I703" t="n">
        <v>0</v>
      </c>
      <c r="J703" t="n">
        <v>0</v>
      </c>
      <c r="K703" t="n">
        <v>0</v>
      </c>
      <c r="L703" t="n">
        <v>0</v>
      </c>
      <c r="M703" t="n">
        <v>0</v>
      </c>
      <c r="N703" t="n">
        <v>0</v>
      </c>
      <c r="O703" t="n">
        <v>0</v>
      </c>
      <c r="P703" t="n">
        <v>0</v>
      </c>
      <c r="Q703" t="n">
        <v>0</v>
      </c>
      <c r="R703" s="2" t="inlineStr"/>
    </row>
    <row r="704" ht="15" customHeight="1">
      <c r="A704" t="inlineStr">
        <is>
          <t>A 41576-2021</t>
        </is>
      </c>
      <c r="B704" s="1" t="n">
        <v>44425</v>
      </c>
      <c r="C704" s="1" t="n">
        <v>46195</v>
      </c>
      <c r="D704" t="inlineStr">
        <is>
          <t>ÖREBRO LÄN</t>
        </is>
      </c>
      <c r="E704" t="inlineStr">
        <is>
          <t>LINDESBERG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46675-2023</t>
        </is>
      </c>
      <c r="B705" s="1" t="n">
        <v>45194</v>
      </c>
      <c r="C705" s="1" t="n">
        <v>46195</v>
      </c>
      <c r="D705" t="inlineStr">
        <is>
          <t>ÖREBRO LÄN</t>
        </is>
      </c>
      <c r="E705" t="inlineStr">
        <is>
          <t>LINDESBERG</t>
        </is>
      </c>
      <c r="G705" t="n">
        <v>3.8</v>
      </c>
      <c r="H705" t="n">
        <v>0</v>
      </c>
      <c r="I705" t="n">
        <v>0</v>
      </c>
      <c r="J705" t="n">
        <v>0</v>
      </c>
      <c r="K705" t="n">
        <v>0</v>
      </c>
      <c r="L705" t="n">
        <v>0</v>
      </c>
      <c r="M705" t="n">
        <v>0</v>
      </c>
      <c r="N705" t="n">
        <v>0</v>
      </c>
      <c r="O705" t="n">
        <v>0</v>
      </c>
      <c r="P705" t="n">
        <v>0</v>
      </c>
      <c r="Q705" t="n">
        <v>0</v>
      </c>
      <c r="R705" s="2" t="inlineStr"/>
    </row>
    <row r="706" ht="15" customHeight="1">
      <c r="A706" t="inlineStr">
        <is>
          <t>A 5235-2026</t>
        </is>
      </c>
      <c r="B706" s="1" t="n">
        <v>46049</v>
      </c>
      <c r="C706" s="1" t="n">
        <v>46195</v>
      </c>
      <c r="D706" t="inlineStr">
        <is>
          <t>ÖREBRO LÄN</t>
        </is>
      </c>
      <c r="E706" t="inlineStr">
        <is>
          <t>LINDESBERG</t>
        </is>
      </c>
      <c r="G706" t="n">
        <v>4.8</v>
      </c>
      <c r="H706" t="n">
        <v>0</v>
      </c>
      <c r="I706" t="n">
        <v>0</v>
      </c>
      <c r="J706" t="n">
        <v>0</v>
      </c>
      <c r="K706" t="n">
        <v>0</v>
      </c>
      <c r="L706" t="n">
        <v>0</v>
      </c>
      <c r="M706" t="n">
        <v>0</v>
      </c>
      <c r="N706" t="n">
        <v>0</v>
      </c>
      <c r="O706" t="n">
        <v>0</v>
      </c>
      <c r="P706" t="n">
        <v>0</v>
      </c>
      <c r="Q706" t="n">
        <v>0</v>
      </c>
      <c r="R706" s="2" t="inlineStr"/>
    </row>
    <row r="707" ht="15" customHeight="1">
      <c r="A707" t="inlineStr">
        <is>
          <t>A 54432-2023</t>
        </is>
      </c>
      <c r="B707" s="1" t="n">
        <v>45233</v>
      </c>
      <c r="C707" s="1" t="n">
        <v>46195</v>
      </c>
      <c r="D707" t="inlineStr">
        <is>
          <t>ÖREBRO LÄN</t>
        </is>
      </c>
      <c r="E707" t="inlineStr">
        <is>
          <t>LINDESBERG</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15933-2025</t>
        </is>
      </c>
      <c r="B708" s="1" t="n">
        <v>45749</v>
      </c>
      <c r="C708" s="1" t="n">
        <v>46195</v>
      </c>
      <c r="D708" t="inlineStr">
        <is>
          <t>ÖREBRO LÄN</t>
        </is>
      </c>
      <c r="E708" t="inlineStr">
        <is>
          <t>LINDESBERG</t>
        </is>
      </c>
      <c r="G708" t="n">
        <v>6.1</v>
      </c>
      <c r="H708" t="n">
        <v>0</v>
      </c>
      <c r="I708" t="n">
        <v>0</v>
      </c>
      <c r="J708" t="n">
        <v>0</v>
      </c>
      <c r="K708" t="n">
        <v>0</v>
      </c>
      <c r="L708" t="n">
        <v>0</v>
      </c>
      <c r="M708" t="n">
        <v>0</v>
      </c>
      <c r="N708" t="n">
        <v>0</v>
      </c>
      <c r="O708" t="n">
        <v>0</v>
      </c>
      <c r="P708" t="n">
        <v>0</v>
      </c>
      <c r="Q708" t="n">
        <v>0</v>
      </c>
      <c r="R708" s="2" t="inlineStr"/>
    </row>
    <row r="709" ht="15" customHeight="1">
      <c r="A709" t="inlineStr">
        <is>
          <t>A 15936-2025</t>
        </is>
      </c>
      <c r="B709" s="1" t="n">
        <v>45749</v>
      </c>
      <c r="C709" s="1" t="n">
        <v>46195</v>
      </c>
      <c r="D709" t="inlineStr">
        <is>
          <t>ÖREBRO LÄN</t>
        </is>
      </c>
      <c r="E709" t="inlineStr">
        <is>
          <t>LINDESBERG</t>
        </is>
      </c>
      <c r="G709" t="n">
        <v>22.3</v>
      </c>
      <c r="H709" t="n">
        <v>0</v>
      </c>
      <c r="I709" t="n">
        <v>0</v>
      </c>
      <c r="J709" t="n">
        <v>0</v>
      </c>
      <c r="K709" t="n">
        <v>0</v>
      </c>
      <c r="L709" t="n">
        <v>0</v>
      </c>
      <c r="M709" t="n">
        <v>0</v>
      </c>
      <c r="N709" t="n">
        <v>0</v>
      </c>
      <c r="O709" t="n">
        <v>0</v>
      </c>
      <c r="P709" t="n">
        <v>0</v>
      </c>
      <c r="Q709" t="n">
        <v>0</v>
      </c>
      <c r="R709" s="2" t="inlineStr"/>
    </row>
    <row r="710" ht="15" customHeight="1">
      <c r="A710" t="inlineStr">
        <is>
          <t>A 1490-2024</t>
        </is>
      </c>
      <c r="B710" s="1" t="n">
        <v>45305</v>
      </c>
      <c r="C710" s="1" t="n">
        <v>46195</v>
      </c>
      <c r="D710" t="inlineStr">
        <is>
          <t>ÖREBRO LÄN</t>
        </is>
      </c>
      <c r="E710" t="inlineStr">
        <is>
          <t>LINDESBERG</t>
        </is>
      </c>
      <c r="G710" t="n">
        <v>17.6</v>
      </c>
      <c r="H710" t="n">
        <v>0</v>
      </c>
      <c r="I710" t="n">
        <v>0</v>
      </c>
      <c r="J710" t="n">
        <v>0</v>
      </c>
      <c r="K710" t="n">
        <v>0</v>
      </c>
      <c r="L710" t="n">
        <v>0</v>
      </c>
      <c r="M710" t="n">
        <v>0</v>
      </c>
      <c r="N710" t="n">
        <v>0</v>
      </c>
      <c r="O710" t="n">
        <v>0</v>
      </c>
      <c r="P710" t="n">
        <v>0</v>
      </c>
      <c r="Q710" t="n">
        <v>0</v>
      </c>
      <c r="R710" s="2" t="inlineStr"/>
    </row>
    <row r="711" ht="15" customHeight="1">
      <c r="A711" t="inlineStr">
        <is>
          <t>A 5715-2026</t>
        </is>
      </c>
      <c r="B711" s="1" t="n">
        <v>46051</v>
      </c>
      <c r="C711" s="1" t="n">
        <v>46195</v>
      </c>
      <c r="D711" t="inlineStr">
        <is>
          <t>ÖREBRO LÄN</t>
        </is>
      </c>
      <c r="E711" t="inlineStr">
        <is>
          <t>LINDESBERG</t>
        </is>
      </c>
      <c r="G711" t="n">
        <v>0.7</v>
      </c>
      <c r="H711" t="n">
        <v>0</v>
      </c>
      <c r="I711" t="n">
        <v>0</v>
      </c>
      <c r="J711" t="n">
        <v>0</v>
      </c>
      <c r="K711" t="n">
        <v>0</v>
      </c>
      <c r="L711" t="n">
        <v>0</v>
      </c>
      <c r="M711" t="n">
        <v>0</v>
      </c>
      <c r="N711" t="n">
        <v>0</v>
      </c>
      <c r="O711" t="n">
        <v>0</v>
      </c>
      <c r="P711" t="n">
        <v>0</v>
      </c>
      <c r="Q711" t="n">
        <v>0</v>
      </c>
      <c r="R711" s="2" t="inlineStr"/>
    </row>
    <row r="712" ht="15" customHeight="1">
      <c r="A712" t="inlineStr">
        <is>
          <t>A 53168-2023</t>
        </is>
      </c>
      <c r="B712" s="1" t="n">
        <v>45229</v>
      </c>
      <c r="C712" s="1" t="n">
        <v>46195</v>
      </c>
      <c r="D712" t="inlineStr">
        <is>
          <t>ÖREBRO LÄN</t>
        </is>
      </c>
      <c r="E712" t="inlineStr">
        <is>
          <t>LINDESBERG</t>
        </is>
      </c>
      <c r="G712" t="n">
        <v>1.5</v>
      </c>
      <c r="H712" t="n">
        <v>0</v>
      </c>
      <c r="I712" t="n">
        <v>0</v>
      </c>
      <c r="J712" t="n">
        <v>0</v>
      </c>
      <c r="K712" t="n">
        <v>0</v>
      </c>
      <c r="L712" t="n">
        <v>0</v>
      </c>
      <c r="M712" t="n">
        <v>0</v>
      </c>
      <c r="N712" t="n">
        <v>0</v>
      </c>
      <c r="O712" t="n">
        <v>0</v>
      </c>
      <c r="P712" t="n">
        <v>0</v>
      </c>
      <c r="Q712" t="n">
        <v>0</v>
      </c>
      <c r="R712" s="2" t="inlineStr"/>
    </row>
    <row r="713" ht="15" customHeight="1">
      <c r="A713" t="inlineStr">
        <is>
          <t>A 6524-2026</t>
        </is>
      </c>
      <c r="B713" s="1" t="n">
        <v>46056</v>
      </c>
      <c r="C713" s="1" t="n">
        <v>46195</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17242-2025</t>
        </is>
      </c>
      <c r="B714" s="1" t="n">
        <v>45756</v>
      </c>
      <c r="C714" s="1" t="n">
        <v>46195</v>
      </c>
      <c r="D714" t="inlineStr">
        <is>
          <t>ÖREBRO LÄN</t>
        </is>
      </c>
      <c r="E714" t="inlineStr">
        <is>
          <t>LINDESBERG</t>
        </is>
      </c>
      <c r="G714" t="n">
        <v>7.3</v>
      </c>
      <c r="H714" t="n">
        <v>0</v>
      </c>
      <c r="I714" t="n">
        <v>0</v>
      </c>
      <c r="J714" t="n">
        <v>0</v>
      </c>
      <c r="K714" t="n">
        <v>0</v>
      </c>
      <c r="L714" t="n">
        <v>0</v>
      </c>
      <c r="M714" t="n">
        <v>0</v>
      </c>
      <c r="N714" t="n">
        <v>0</v>
      </c>
      <c r="O714" t="n">
        <v>0</v>
      </c>
      <c r="P714" t="n">
        <v>0</v>
      </c>
      <c r="Q714" t="n">
        <v>0</v>
      </c>
      <c r="R714" s="2" t="inlineStr"/>
    </row>
    <row r="715" ht="15" customHeight="1">
      <c r="A715" t="inlineStr">
        <is>
          <t>A 6616-2026</t>
        </is>
      </c>
      <c r="B715" s="1" t="n">
        <v>46056</v>
      </c>
      <c r="C715" s="1" t="n">
        <v>46195</v>
      </c>
      <c r="D715" t="inlineStr">
        <is>
          <t>ÖREBRO LÄN</t>
        </is>
      </c>
      <c r="E715" t="inlineStr">
        <is>
          <t>LINDESBERG</t>
        </is>
      </c>
      <c r="G715" t="n">
        <v>9</v>
      </c>
      <c r="H715" t="n">
        <v>0</v>
      </c>
      <c r="I715" t="n">
        <v>0</v>
      </c>
      <c r="J715" t="n">
        <v>0</v>
      </c>
      <c r="K715" t="n">
        <v>0</v>
      </c>
      <c r="L715" t="n">
        <v>0</v>
      </c>
      <c r="M715" t="n">
        <v>0</v>
      </c>
      <c r="N715" t="n">
        <v>0</v>
      </c>
      <c r="O715" t="n">
        <v>0</v>
      </c>
      <c r="P715" t="n">
        <v>0</v>
      </c>
      <c r="Q715" t="n">
        <v>0</v>
      </c>
      <c r="R715" s="2" t="inlineStr"/>
    </row>
    <row r="716" ht="15" customHeight="1">
      <c r="A716" t="inlineStr">
        <is>
          <t>A 7069-2026</t>
        </is>
      </c>
      <c r="B716" s="1" t="n">
        <v>46058</v>
      </c>
      <c r="C716" s="1" t="n">
        <v>46195</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7202-2026</t>
        </is>
      </c>
      <c r="B717" s="1" t="n">
        <v>46058</v>
      </c>
      <c r="C717" s="1" t="n">
        <v>46195</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53062-2023</t>
        </is>
      </c>
      <c r="B718" s="1" t="n">
        <v>45227</v>
      </c>
      <c r="C718" s="1" t="n">
        <v>46195</v>
      </c>
      <c r="D718" t="inlineStr">
        <is>
          <t>ÖREBRO LÄN</t>
        </is>
      </c>
      <c r="E718" t="inlineStr">
        <is>
          <t>LINDESBERG</t>
        </is>
      </c>
      <c r="G718" t="n">
        <v>3.1</v>
      </c>
      <c r="H718" t="n">
        <v>0</v>
      </c>
      <c r="I718" t="n">
        <v>0</v>
      </c>
      <c r="J718" t="n">
        <v>0</v>
      </c>
      <c r="K718" t="n">
        <v>0</v>
      </c>
      <c r="L718" t="n">
        <v>0</v>
      </c>
      <c r="M718" t="n">
        <v>0</v>
      </c>
      <c r="N718" t="n">
        <v>0</v>
      </c>
      <c r="O718" t="n">
        <v>0</v>
      </c>
      <c r="P718" t="n">
        <v>0</v>
      </c>
      <c r="Q718" t="n">
        <v>0</v>
      </c>
      <c r="R718" s="2" t="inlineStr"/>
    </row>
    <row r="719" ht="15" customHeight="1">
      <c r="A719" t="inlineStr">
        <is>
          <t>A 8902-2024</t>
        </is>
      </c>
      <c r="B719" s="1" t="n">
        <v>45357</v>
      </c>
      <c r="C719" s="1" t="n">
        <v>46195</v>
      </c>
      <c r="D719" t="inlineStr">
        <is>
          <t>ÖREBRO LÄN</t>
        </is>
      </c>
      <c r="E719" t="inlineStr">
        <is>
          <t>LINDESBERG</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6989-2026</t>
        </is>
      </c>
      <c r="B720" s="1" t="n">
        <v>46057</v>
      </c>
      <c r="C720" s="1" t="n">
        <v>46195</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59631-2023</t>
        </is>
      </c>
      <c r="B721" s="1" t="n">
        <v>45254</v>
      </c>
      <c r="C721" s="1" t="n">
        <v>46195</v>
      </c>
      <c r="D721" t="inlineStr">
        <is>
          <t>ÖREBRO LÄN</t>
        </is>
      </c>
      <c r="E721" t="inlineStr">
        <is>
          <t>LINDESBERG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19110-2025</t>
        </is>
      </c>
      <c r="B722" s="1" t="n">
        <v>45768</v>
      </c>
      <c r="C722" s="1" t="n">
        <v>46195</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21245-2024</t>
        </is>
      </c>
      <c r="B723" s="1" t="n">
        <v>45440</v>
      </c>
      <c r="C723" s="1" t="n">
        <v>46195</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29350-2022</t>
        </is>
      </c>
      <c r="B724" s="1" t="n">
        <v>44753</v>
      </c>
      <c r="C724" s="1" t="n">
        <v>46195</v>
      </c>
      <c r="D724" t="inlineStr">
        <is>
          <t>ÖREBRO LÄN</t>
        </is>
      </c>
      <c r="E724" t="inlineStr">
        <is>
          <t>LINDESBERG</t>
        </is>
      </c>
      <c r="G724" t="n">
        <v>7.7</v>
      </c>
      <c r="H724" t="n">
        <v>0</v>
      </c>
      <c r="I724" t="n">
        <v>0</v>
      </c>
      <c r="J724" t="n">
        <v>0</v>
      </c>
      <c r="K724" t="n">
        <v>0</v>
      </c>
      <c r="L724" t="n">
        <v>0</v>
      </c>
      <c r="M724" t="n">
        <v>0</v>
      </c>
      <c r="N724" t="n">
        <v>0</v>
      </c>
      <c r="O724" t="n">
        <v>0</v>
      </c>
      <c r="P724" t="n">
        <v>0</v>
      </c>
      <c r="Q724" t="n">
        <v>0</v>
      </c>
      <c r="R724" s="2" t="inlineStr"/>
    </row>
    <row r="725" ht="15" customHeight="1">
      <c r="A725" t="inlineStr">
        <is>
          <t>A 10836-2024</t>
        </is>
      </c>
      <c r="B725" s="1" t="n">
        <v>45369</v>
      </c>
      <c r="C725" s="1" t="n">
        <v>46195</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2414-2024</t>
        </is>
      </c>
      <c r="B726" s="1" t="n">
        <v>45310</v>
      </c>
      <c r="C726" s="1" t="n">
        <v>46195</v>
      </c>
      <c r="D726" t="inlineStr">
        <is>
          <t>ÖREBRO LÄN</t>
        </is>
      </c>
      <c r="E726" t="inlineStr">
        <is>
          <t>LINDESBERG</t>
        </is>
      </c>
      <c r="G726" t="n">
        <v>7.2</v>
      </c>
      <c r="H726" t="n">
        <v>0</v>
      </c>
      <c r="I726" t="n">
        <v>0</v>
      </c>
      <c r="J726" t="n">
        <v>0</v>
      </c>
      <c r="K726" t="n">
        <v>0</v>
      </c>
      <c r="L726" t="n">
        <v>0</v>
      </c>
      <c r="M726" t="n">
        <v>0</v>
      </c>
      <c r="N726" t="n">
        <v>0</v>
      </c>
      <c r="O726" t="n">
        <v>0</v>
      </c>
      <c r="P726" t="n">
        <v>0</v>
      </c>
      <c r="Q726" t="n">
        <v>0</v>
      </c>
      <c r="R726" s="2" t="inlineStr"/>
    </row>
    <row r="727" ht="15" customHeight="1">
      <c r="A727" t="inlineStr">
        <is>
          <t>A 28463-2024</t>
        </is>
      </c>
      <c r="B727" s="1" t="n">
        <v>45477</v>
      </c>
      <c r="C727" s="1" t="n">
        <v>46195</v>
      </c>
      <c r="D727" t="inlineStr">
        <is>
          <t>ÖREBRO LÄN</t>
        </is>
      </c>
      <c r="E727" t="inlineStr">
        <is>
          <t>LINDESBERG</t>
        </is>
      </c>
      <c r="G727" t="n">
        <v>6.3</v>
      </c>
      <c r="H727" t="n">
        <v>0</v>
      </c>
      <c r="I727" t="n">
        <v>0</v>
      </c>
      <c r="J727" t="n">
        <v>0</v>
      </c>
      <c r="K727" t="n">
        <v>0</v>
      </c>
      <c r="L727" t="n">
        <v>0</v>
      </c>
      <c r="M727" t="n">
        <v>0</v>
      </c>
      <c r="N727" t="n">
        <v>0</v>
      </c>
      <c r="O727" t="n">
        <v>0</v>
      </c>
      <c r="P727" t="n">
        <v>0</v>
      </c>
      <c r="Q727" t="n">
        <v>0</v>
      </c>
      <c r="R727" s="2" t="inlineStr"/>
    </row>
    <row r="728" ht="15" customHeight="1">
      <c r="A728" t="inlineStr">
        <is>
          <t>A 63668-2023</t>
        </is>
      </c>
      <c r="B728" s="1" t="n">
        <v>45274</v>
      </c>
      <c r="C728" s="1" t="n">
        <v>46195</v>
      </c>
      <c r="D728" t="inlineStr">
        <is>
          <t>ÖREBRO LÄN</t>
        </is>
      </c>
      <c r="E728" t="inlineStr">
        <is>
          <t>LINDESBERG</t>
        </is>
      </c>
      <c r="G728" t="n">
        <v>0.7</v>
      </c>
      <c r="H728" t="n">
        <v>0</v>
      </c>
      <c r="I728" t="n">
        <v>0</v>
      </c>
      <c r="J728" t="n">
        <v>0</v>
      </c>
      <c r="K728" t="n">
        <v>0</v>
      </c>
      <c r="L728" t="n">
        <v>0</v>
      </c>
      <c r="M728" t="n">
        <v>0</v>
      </c>
      <c r="N728" t="n">
        <v>0</v>
      </c>
      <c r="O728" t="n">
        <v>0</v>
      </c>
      <c r="P728" t="n">
        <v>0</v>
      </c>
      <c r="Q728" t="n">
        <v>0</v>
      </c>
      <c r="R728" s="2" t="inlineStr"/>
    </row>
    <row r="729" ht="15" customHeight="1">
      <c r="A729" t="inlineStr">
        <is>
          <t>A 12276-2025</t>
        </is>
      </c>
      <c r="B729" s="1" t="n">
        <v>45729</v>
      </c>
      <c r="C729" s="1" t="n">
        <v>46195</v>
      </c>
      <c r="D729" t="inlineStr">
        <is>
          <t>ÖREBRO LÄN</t>
        </is>
      </c>
      <c r="E729" t="inlineStr">
        <is>
          <t>LINDESBERG</t>
        </is>
      </c>
      <c r="G729" t="n">
        <v>7.6</v>
      </c>
      <c r="H729" t="n">
        <v>0</v>
      </c>
      <c r="I729" t="n">
        <v>0</v>
      </c>
      <c r="J729" t="n">
        <v>0</v>
      </c>
      <c r="K729" t="n">
        <v>0</v>
      </c>
      <c r="L729" t="n">
        <v>0</v>
      </c>
      <c r="M729" t="n">
        <v>0</v>
      </c>
      <c r="N729" t="n">
        <v>0</v>
      </c>
      <c r="O729" t="n">
        <v>0</v>
      </c>
      <c r="P729" t="n">
        <v>0</v>
      </c>
      <c r="Q729" t="n">
        <v>0</v>
      </c>
      <c r="R729" s="2" t="inlineStr"/>
    </row>
    <row r="730" ht="15" customHeight="1">
      <c r="A730" t="inlineStr">
        <is>
          <t>A 36291-2022</t>
        </is>
      </c>
      <c r="B730" s="1" t="n">
        <v>44803</v>
      </c>
      <c r="C730" s="1" t="n">
        <v>46195</v>
      </c>
      <c r="D730" t="inlineStr">
        <is>
          <t>ÖREBRO LÄN</t>
        </is>
      </c>
      <c r="E730" t="inlineStr">
        <is>
          <t>LINDESBERG</t>
        </is>
      </c>
      <c r="G730" t="n">
        <v>3.8</v>
      </c>
      <c r="H730" t="n">
        <v>0</v>
      </c>
      <c r="I730" t="n">
        <v>0</v>
      </c>
      <c r="J730" t="n">
        <v>0</v>
      </c>
      <c r="K730" t="n">
        <v>0</v>
      </c>
      <c r="L730" t="n">
        <v>0</v>
      </c>
      <c r="M730" t="n">
        <v>0</v>
      </c>
      <c r="N730" t="n">
        <v>0</v>
      </c>
      <c r="O730" t="n">
        <v>0</v>
      </c>
      <c r="P730" t="n">
        <v>0</v>
      </c>
      <c r="Q730" t="n">
        <v>0</v>
      </c>
      <c r="R730" s="2" t="inlineStr"/>
    </row>
    <row r="731" ht="15" customHeight="1">
      <c r="A731" t="inlineStr">
        <is>
          <t>A 9577-2026</t>
        </is>
      </c>
      <c r="B731" s="1" t="n">
        <v>46071</v>
      </c>
      <c r="C731" s="1" t="n">
        <v>46195</v>
      </c>
      <c r="D731" t="inlineStr">
        <is>
          <t>ÖREBRO LÄN</t>
        </is>
      </c>
      <c r="E731" t="inlineStr">
        <is>
          <t>LINDESBERG</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61597-2023</t>
        </is>
      </c>
      <c r="B732" s="1" t="n">
        <v>45265</v>
      </c>
      <c r="C732" s="1" t="n">
        <v>46195</v>
      </c>
      <c r="D732" t="inlineStr">
        <is>
          <t>ÖREBRO LÄN</t>
        </is>
      </c>
      <c r="E732" t="inlineStr">
        <is>
          <t>LINDESBERG</t>
        </is>
      </c>
      <c r="G732" t="n">
        <v>10.3</v>
      </c>
      <c r="H732" t="n">
        <v>0</v>
      </c>
      <c r="I732" t="n">
        <v>0</v>
      </c>
      <c r="J732" t="n">
        <v>0</v>
      </c>
      <c r="K732" t="n">
        <v>0</v>
      </c>
      <c r="L732" t="n">
        <v>0</v>
      </c>
      <c r="M732" t="n">
        <v>0</v>
      </c>
      <c r="N732" t="n">
        <v>0</v>
      </c>
      <c r="O732" t="n">
        <v>0</v>
      </c>
      <c r="P732" t="n">
        <v>0</v>
      </c>
      <c r="Q732" t="n">
        <v>0</v>
      </c>
      <c r="R732" s="2" t="inlineStr"/>
    </row>
    <row r="733" ht="15" customHeight="1">
      <c r="A733" t="inlineStr">
        <is>
          <t>A 62968-2023</t>
        </is>
      </c>
      <c r="B733" s="1" t="n">
        <v>45272</v>
      </c>
      <c r="C733" s="1" t="n">
        <v>46195</v>
      </c>
      <c r="D733" t="inlineStr">
        <is>
          <t>ÖREBRO LÄN</t>
        </is>
      </c>
      <c r="E733" t="inlineStr">
        <is>
          <t>LINDESBERG</t>
        </is>
      </c>
      <c r="G733" t="n">
        <v>0.6</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v>
      </c>
      <c r="C734" s="1" t="n">
        <v>46195</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24270-2023</t>
        </is>
      </c>
      <c r="B735" s="1" t="n">
        <v>45079</v>
      </c>
      <c r="C735" s="1" t="n">
        <v>46195</v>
      </c>
      <c r="D735" t="inlineStr">
        <is>
          <t>ÖREBRO LÄN</t>
        </is>
      </c>
      <c r="E735" t="inlineStr">
        <is>
          <t>LINDESBERG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24271-2023</t>
        </is>
      </c>
      <c r="B736" s="1" t="n">
        <v>45079</v>
      </c>
      <c r="C736" s="1" t="n">
        <v>46195</v>
      </c>
      <c r="D736" t="inlineStr">
        <is>
          <t>ÖREBRO LÄN</t>
        </is>
      </c>
      <c r="E736" t="inlineStr">
        <is>
          <t>LINDESBERG</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13416-2025</t>
        </is>
      </c>
      <c r="B737" s="1" t="n">
        <v>45736</v>
      </c>
      <c r="C737" s="1" t="n">
        <v>46195</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4013-2025</t>
        </is>
      </c>
      <c r="B738" s="1" t="n">
        <v>45684</v>
      </c>
      <c r="C738" s="1" t="n">
        <v>46195</v>
      </c>
      <c r="D738" t="inlineStr">
        <is>
          <t>ÖREBRO LÄN</t>
        </is>
      </c>
      <c r="E738" t="inlineStr">
        <is>
          <t>LINDESBERG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59804-2023</t>
        </is>
      </c>
      <c r="B739" s="1" t="n">
        <v>45257</v>
      </c>
      <c r="C739" s="1" t="n">
        <v>46195</v>
      </c>
      <c r="D739" t="inlineStr">
        <is>
          <t>ÖREBRO LÄN</t>
        </is>
      </c>
      <c r="E739" t="inlineStr">
        <is>
          <t>LINDESBERG</t>
        </is>
      </c>
      <c r="G739" t="n">
        <v>1.2</v>
      </c>
      <c r="H739" t="n">
        <v>0</v>
      </c>
      <c r="I739" t="n">
        <v>0</v>
      </c>
      <c r="J739" t="n">
        <v>0</v>
      </c>
      <c r="K739" t="n">
        <v>0</v>
      </c>
      <c r="L739" t="n">
        <v>0</v>
      </c>
      <c r="M739" t="n">
        <v>0</v>
      </c>
      <c r="N739" t="n">
        <v>0</v>
      </c>
      <c r="O739" t="n">
        <v>0</v>
      </c>
      <c r="P739" t="n">
        <v>0</v>
      </c>
      <c r="Q739" t="n">
        <v>0</v>
      </c>
      <c r="R739" s="2" t="inlineStr"/>
    </row>
    <row r="740" ht="15" customHeight="1">
      <c r="A740" t="inlineStr">
        <is>
          <t>A 27434-2023</t>
        </is>
      </c>
      <c r="B740" s="1" t="n">
        <v>45097</v>
      </c>
      <c r="C740" s="1" t="n">
        <v>46195</v>
      </c>
      <c r="D740" t="inlineStr">
        <is>
          <t>ÖREBRO LÄN</t>
        </is>
      </c>
      <c r="E740" t="inlineStr">
        <is>
          <t>LINDESBERG</t>
        </is>
      </c>
      <c r="G740" t="n">
        <v>10.7</v>
      </c>
      <c r="H740" t="n">
        <v>0</v>
      </c>
      <c r="I740" t="n">
        <v>0</v>
      </c>
      <c r="J740" t="n">
        <v>0</v>
      </c>
      <c r="K740" t="n">
        <v>0</v>
      </c>
      <c r="L740" t="n">
        <v>0</v>
      </c>
      <c r="M740" t="n">
        <v>0</v>
      </c>
      <c r="N740" t="n">
        <v>0</v>
      </c>
      <c r="O740" t="n">
        <v>0</v>
      </c>
      <c r="P740" t="n">
        <v>0</v>
      </c>
      <c r="Q740" t="n">
        <v>0</v>
      </c>
      <c r="R740" s="2" t="inlineStr"/>
    </row>
    <row r="741" ht="15" customHeight="1">
      <c r="A741" t="inlineStr">
        <is>
          <t>A 45060-2024</t>
        </is>
      </c>
      <c r="B741" s="1" t="n">
        <v>45575</v>
      </c>
      <c r="C741" s="1" t="n">
        <v>46195</v>
      </c>
      <c r="D741" t="inlineStr">
        <is>
          <t>ÖREBRO LÄN</t>
        </is>
      </c>
      <c r="E741" t="inlineStr">
        <is>
          <t>LINDESBERG</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72706-2021</t>
        </is>
      </c>
      <c r="B742" s="1" t="n">
        <v>44546</v>
      </c>
      <c r="C742" s="1" t="n">
        <v>46195</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53366-2023</t>
        </is>
      </c>
      <c r="B743" s="1" t="n">
        <v>45229</v>
      </c>
      <c r="C743" s="1" t="n">
        <v>46195</v>
      </c>
      <c r="D743" t="inlineStr">
        <is>
          <t>ÖREBRO LÄN</t>
        </is>
      </c>
      <c r="E743" t="inlineStr">
        <is>
          <t>LINDESBERG</t>
        </is>
      </c>
      <c r="G743" t="n">
        <v>1.9</v>
      </c>
      <c r="H743" t="n">
        <v>0</v>
      </c>
      <c r="I743" t="n">
        <v>0</v>
      </c>
      <c r="J743" t="n">
        <v>0</v>
      </c>
      <c r="K743" t="n">
        <v>0</v>
      </c>
      <c r="L743" t="n">
        <v>0</v>
      </c>
      <c r="M743" t="n">
        <v>0</v>
      </c>
      <c r="N743" t="n">
        <v>0</v>
      </c>
      <c r="O743" t="n">
        <v>0</v>
      </c>
      <c r="P743" t="n">
        <v>0</v>
      </c>
      <c r="Q743" t="n">
        <v>0</v>
      </c>
      <c r="R743" s="2" t="inlineStr"/>
    </row>
    <row r="744" ht="15" customHeight="1">
      <c r="A744" t="inlineStr">
        <is>
          <t>A 19219-2023</t>
        </is>
      </c>
      <c r="B744" s="1" t="n">
        <v>45048</v>
      </c>
      <c r="C744" s="1" t="n">
        <v>46195</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19043-2023</t>
        </is>
      </c>
      <c r="B745" s="1" t="n">
        <v>45047</v>
      </c>
      <c r="C745" s="1" t="n">
        <v>46195</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27031-2024</t>
        </is>
      </c>
      <c r="B746" s="1" t="n">
        <v>45471</v>
      </c>
      <c r="C746" s="1" t="n">
        <v>46195</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38696-2024</t>
        </is>
      </c>
      <c r="B747" s="1" t="n">
        <v>45547</v>
      </c>
      <c r="C747" s="1" t="n">
        <v>46195</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54663-2021</t>
        </is>
      </c>
      <c r="B748" s="1" t="n">
        <v>44473</v>
      </c>
      <c r="C748" s="1" t="n">
        <v>46195</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32262-2021</t>
        </is>
      </c>
      <c r="B749" s="1" t="n">
        <v>44371</v>
      </c>
      <c r="C749" s="1" t="n">
        <v>46195</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14028-2023</t>
        </is>
      </c>
      <c r="B750" s="1" t="n">
        <v>45008</v>
      </c>
      <c r="C750" s="1" t="n">
        <v>46195</v>
      </c>
      <c r="D750" t="inlineStr">
        <is>
          <t>ÖREBRO LÄN</t>
        </is>
      </c>
      <c r="E750" t="inlineStr">
        <is>
          <t>LINDESBERG</t>
        </is>
      </c>
      <c r="F750" t="inlineStr">
        <is>
          <t>Kyrkan</t>
        </is>
      </c>
      <c r="G750" t="n">
        <v>1.1</v>
      </c>
      <c r="H750" t="n">
        <v>0</v>
      </c>
      <c r="I750" t="n">
        <v>0</v>
      </c>
      <c r="J750" t="n">
        <v>0</v>
      </c>
      <c r="K750" t="n">
        <v>0</v>
      </c>
      <c r="L750" t="n">
        <v>0</v>
      </c>
      <c r="M750" t="n">
        <v>0</v>
      </c>
      <c r="N750" t="n">
        <v>0</v>
      </c>
      <c r="O750" t="n">
        <v>0</v>
      </c>
      <c r="P750" t="n">
        <v>0</v>
      </c>
      <c r="Q750" t="n">
        <v>0</v>
      </c>
      <c r="R750" s="2" t="inlineStr"/>
    </row>
    <row r="751" ht="15" customHeight="1">
      <c r="A751" t="inlineStr">
        <is>
          <t>A 20387-2026</t>
        </is>
      </c>
      <c r="B751" s="1" t="n">
        <v>46139</v>
      </c>
      <c r="C751" s="1" t="n">
        <v>46195</v>
      </c>
      <c r="D751" t="inlineStr">
        <is>
          <t>ÖREBRO LÄN</t>
        </is>
      </c>
      <c r="E751" t="inlineStr">
        <is>
          <t>LINDESBERG</t>
        </is>
      </c>
      <c r="G751" t="n">
        <v>1.2</v>
      </c>
      <c r="H751" t="n">
        <v>0</v>
      </c>
      <c r="I751" t="n">
        <v>0</v>
      </c>
      <c r="J751" t="n">
        <v>0</v>
      </c>
      <c r="K751" t="n">
        <v>0</v>
      </c>
      <c r="L751" t="n">
        <v>0</v>
      </c>
      <c r="M751" t="n">
        <v>0</v>
      </c>
      <c r="N751" t="n">
        <v>0</v>
      </c>
      <c r="O751" t="n">
        <v>0</v>
      </c>
      <c r="P751" t="n">
        <v>0</v>
      </c>
      <c r="Q751" t="n">
        <v>0</v>
      </c>
      <c r="R751" s="2" t="inlineStr"/>
    </row>
    <row r="752" ht="15" customHeight="1">
      <c r="A752" t="inlineStr">
        <is>
          <t>A 14034-2026</t>
        </is>
      </c>
      <c r="B752" s="1" t="n">
        <v>46098</v>
      </c>
      <c r="C752" s="1" t="n">
        <v>46195</v>
      </c>
      <c r="D752" t="inlineStr">
        <is>
          <t>ÖREBRO LÄN</t>
        </is>
      </c>
      <c r="E752" t="inlineStr">
        <is>
          <t>LINDESBERG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57069-2022</t>
        </is>
      </c>
      <c r="B753" s="1" t="n">
        <v>44895</v>
      </c>
      <c r="C753" s="1" t="n">
        <v>46195</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61405-2022</t>
        </is>
      </c>
      <c r="B754" s="1" t="n">
        <v>44916</v>
      </c>
      <c r="C754" s="1" t="n">
        <v>46195</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9961-2023</t>
        </is>
      </c>
      <c r="B755" s="1" t="n">
        <v>44979</v>
      </c>
      <c r="C755" s="1" t="n">
        <v>46195</v>
      </c>
      <c r="D755" t="inlineStr">
        <is>
          <t>ÖREBRO LÄN</t>
        </is>
      </c>
      <c r="E755" t="inlineStr">
        <is>
          <t>LINDESBERG</t>
        </is>
      </c>
      <c r="G755" t="n">
        <v>4.8</v>
      </c>
      <c r="H755" t="n">
        <v>0</v>
      </c>
      <c r="I755" t="n">
        <v>0</v>
      </c>
      <c r="J755" t="n">
        <v>0</v>
      </c>
      <c r="K755" t="n">
        <v>0</v>
      </c>
      <c r="L755" t="n">
        <v>0</v>
      </c>
      <c r="M755" t="n">
        <v>0</v>
      </c>
      <c r="N755" t="n">
        <v>0</v>
      </c>
      <c r="O755" t="n">
        <v>0</v>
      </c>
      <c r="P755" t="n">
        <v>0</v>
      </c>
      <c r="Q755" t="n">
        <v>0</v>
      </c>
      <c r="R755" s="2" t="inlineStr"/>
    </row>
    <row r="756" ht="15" customHeight="1">
      <c r="A756" t="inlineStr">
        <is>
          <t>A 14680-2026</t>
        </is>
      </c>
      <c r="B756" s="1" t="n">
        <v>46101</v>
      </c>
      <c r="C756" s="1" t="n">
        <v>46195</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15050-2026</t>
        </is>
      </c>
      <c r="B757" s="1" t="n">
        <v>46104</v>
      </c>
      <c r="C757" s="1" t="n">
        <v>46195</v>
      </c>
      <c r="D757" t="inlineStr">
        <is>
          <t>ÖREBRO LÄN</t>
        </is>
      </c>
      <c r="E757" t="inlineStr">
        <is>
          <t>LINDESBERG</t>
        </is>
      </c>
      <c r="F757" t="inlineStr">
        <is>
          <t>Sveaskog</t>
        </is>
      </c>
      <c r="G757" t="n">
        <v>2.9</v>
      </c>
      <c r="H757" t="n">
        <v>0</v>
      </c>
      <c r="I757" t="n">
        <v>0</v>
      </c>
      <c r="J757" t="n">
        <v>0</v>
      </c>
      <c r="K757" t="n">
        <v>0</v>
      </c>
      <c r="L757" t="n">
        <v>0</v>
      </c>
      <c r="M757" t="n">
        <v>0</v>
      </c>
      <c r="N757" t="n">
        <v>0</v>
      </c>
      <c r="O757" t="n">
        <v>0</v>
      </c>
      <c r="P757" t="n">
        <v>0</v>
      </c>
      <c r="Q757" t="n">
        <v>0</v>
      </c>
      <c r="R757" s="2" t="inlineStr"/>
    </row>
    <row r="758" ht="15" customHeight="1">
      <c r="A758" t="inlineStr">
        <is>
          <t>A 16090-2026</t>
        </is>
      </c>
      <c r="B758" s="1" t="n">
        <v>46108</v>
      </c>
      <c r="C758" s="1" t="n">
        <v>46195</v>
      </c>
      <c r="D758" t="inlineStr">
        <is>
          <t>ÖREBRO LÄN</t>
        </is>
      </c>
      <c r="E758" t="inlineStr">
        <is>
          <t>LINDESBERG</t>
        </is>
      </c>
      <c r="G758" t="n">
        <v>4</v>
      </c>
      <c r="H758" t="n">
        <v>0</v>
      </c>
      <c r="I758" t="n">
        <v>0</v>
      </c>
      <c r="J758" t="n">
        <v>0</v>
      </c>
      <c r="K758" t="n">
        <v>0</v>
      </c>
      <c r="L758" t="n">
        <v>0</v>
      </c>
      <c r="M758" t="n">
        <v>0</v>
      </c>
      <c r="N758" t="n">
        <v>0</v>
      </c>
      <c r="O758" t="n">
        <v>0</v>
      </c>
      <c r="P758" t="n">
        <v>0</v>
      </c>
      <c r="Q758" t="n">
        <v>0</v>
      </c>
      <c r="R758" s="2" t="inlineStr"/>
    </row>
    <row r="759" ht="15" customHeight="1">
      <c r="A759" t="inlineStr">
        <is>
          <t>A 16094-2026</t>
        </is>
      </c>
      <c r="B759" s="1" t="n">
        <v>46108</v>
      </c>
      <c r="C759" s="1" t="n">
        <v>46195</v>
      </c>
      <c r="D759" t="inlineStr">
        <is>
          <t>ÖREBRO LÄN</t>
        </is>
      </c>
      <c r="E759" t="inlineStr">
        <is>
          <t>LINDESBERG</t>
        </is>
      </c>
      <c r="G759" t="n">
        <v>3.9</v>
      </c>
      <c r="H759" t="n">
        <v>0</v>
      </c>
      <c r="I759" t="n">
        <v>0</v>
      </c>
      <c r="J759" t="n">
        <v>0</v>
      </c>
      <c r="K759" t="n">
        <v>0</v>
      </c>
      <c r="L759" t="n">
        <v>0</v>
      </c>
      <c r="M759" t="n">
        <v>0</v>
      </c>
      <c r="N759" t="n">
        <v>0</v>
      </c>
      <c r="O759" t="n">
        <v>0</v>
      </c>
      <c r="P759" t="n">
        <v>0</v>
      </c>
      <c r="Q759" t="n">
        <v>0</v>
      </c>
      <c r="R759" s="2" t="inlineStr"/>
    </row>
    <row r="760" ht="15" customHeight="1">
      <c r="A760" t="inlineStr">
        <is>
          <t>A 16092-2026</t>
        </is>
      </c>
      <c r="B760" s="1" t="n">
        <v>46108</v>
      </c>
      <c r="C760" s="1" t="n">
        <v>46195</v>
      </c>
      <c r="D760" t="inlineStr">
        <is>
          <t>ÖREBRO LÄN</t>
        </is>
      </c>
      <c r="E760" t="inlineStr">
        <is>
          <t>LINDESBERG</t>
        </is>
      </c>
      <c r="G760" t="n">
        <v>2.3</v>
      </c>
      <c r="H760" t="n">
        <v>0</v>
      </c>
      <c r="I760" t="n">
        <v>0</v>
      </c>
      <c r="J760" t="n">
        <v>0</v>
      </c>
      <c r="K760" t="n">
        <v>0</v>
      </c>
      <c r="L760" t="n">
        <v>0</v>
      </c>
      <c r="M760" t="n">
        <v>0</v>
      </c>
      <c r="N760" t="n">
        <v>0</v>
      </c>
      <c r="O760" t="n">
        <v>0</v>
      </c>
      <c r="P760" t="n">
        <v>0</v>
      </c>
      <c r="Q760" t="n">
        <v>0</v>
      </c>
      <c r="R760" s="2" t="inlineStr"/>
    </row>
    <row r="761" ht="15" customHeight="1">
      <c r="A761" t="inlineStr">
        <is>
          <t>A 16812-2026</t>
        </is>
      </c>
      <c r="B761" s="1" t="n">
        <v>46113</v>
      </c>
      <c r="C761" s="1" t="n">
        <v>46195</v>
      </c>
      <c r="D761" t="inlineStr">
        <is>
          <t>ÖREBRO LÄN</t>
        </is>
      </c>
      <c r="E761" t="inlineStr">
        <is>
          <t>LINDESBERG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17155-2026</t>
        </is>
      </c>
      <c r="B762" s="1" t="n">
        <v>46115</v>
      </c>
      <c r="C762" s="1" t="n">
        <v>46195</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17156-2026</t>
        </is>
      </c>
      <c r="B763" s="1" t="n">
        <v>46115</v>
      </c>
      <c r="C763" s="1" t="n">
        <v>46195</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17013-2026</t>
        </is>
      </c>
      <c r="B764" s="1" t="n">
        <v>46114</v>
      </c>
      <c r="C764" s="1" t="n">
        <v>46195</v>
      </c>
      <c r="D764" t="inlineStr">
        <is>
          <t>ÖREBRO LÄN</t>
        </is>
      </c>
      <c r="E764" t="inlineStr">
        <is>
          <t>LINDESBERG</t>
        </is>
      </c>
      <c r="G764" t="n">
        <v>1.3</v>
      </c>
      <c r="H764" t="n">
        <v>0</v>
      </c>
      <c r="I764" t="n">
        <v>0</v>
      </c>
      <c r="J764" t="n">
        <v>0</v>
      </c>
      <c r="K764" t="n">
        <v>0</v>
      </c>
      <c r="L764" t="n">
        <v>0</v>
      </c>
      <c r="M764" t="n">
        <v>0</v>
      </c>
      <c r="N764" t="n">
        <v>0</v>
      </c>
      <c r="O764" t="n">
        <v>0</v>
      </c>
      <c r="P764" t="n">
        <v>0</v>
      </c>
      <c r="Q764" t="n">
        <v>0</v>
      </c>
      <c r="R764" s="2" t="inlineStr"/>
    </row>
    <row r="765" ht="15" customHeight="1">
      <c r="A765" t="inlineStr">
        <is>
          <t>A 17010-2026</t>
        </is>
      </c>
      <c r="B765" s="1" t="n">
        <v>46114</v>
      </c>
      <c r="C765" s="1" t="n">
        <v>46195</v>
      </c>
      <c r="D765" t="inlineStr">
        <is>
          <t>ÖREBRO LÄN</t>
        </is>
      </c>
      <c r="E765" t="inlineStr">
        <is>
          <t>LINDESBERG</t>
        </is>
      </c>
      <c r="G765" t="n">
        <v>3.7</v>
      </c>
      <c r="H765" t="n">
        <v>0</v>
      </c>
      <c r="I765" t="n">
        <v>0</v>
      </c>
      <c r="J765" t="n">
        <v>0</v>
      </c>
      <c r="K765" t="n">
        <v>0</v>
      </c>
      <c r="L765" t="n">
        <v>0</v>
      </c>
      <c r="M765" t="n">
        <v>0</v>
      </c>
      <c r="N765" t="n">
        <v>0</v>
      </c>
      <c r="O765" t="n">
        <v>0</v>
      </c>
      <c r="P765" t="n">
        <v>0</v>
      </c>
      <c r="Q765" t="n">
        <v>0</v>
      </c>
      <c r="R765" s="2" t="inlineStr"/>
    </row>
    <row r="766" ht="15" customHeight="1">
      <c r="A766" t="inlineStr">
        <is>
          <t>A 17159-2026</t>
        </is>
      </c>
      <c r="B766" s="1" t="n">
        <v>46115</v>
      </c>
      <c r="C766" s="1" t="n">
        <v>46195</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22748-2026</t>
        </is>
      </c>
      <c r="B767" s="1" t="n">
        <v>46157</v>
      </c>
      <c r="C767" s="1" t="n">
        <v>46195</v>
      </c>
      <c r="D767" t="inlineStr">
        <is>
          <t>ÖREBRO LÄN</t>
        </is>
      </c>
      <c r="E767" t="inlineStr">
        <is>
          <t>LINDESBERG</t>
        </is>
      </c>
      <c r="G767" t="n">
        <v>3.1</v>
      </c>
      <c r="H767" t="n">
        <v>0</v>
      </c>
      <c r="I767" t="n">
        <v>0</v>
      </c>
      <c r="J767" t="n">
        <v>0</v>
      </c>
      <c r="K767" t="n">
        <v>0</v>
      </c>
      <c r="L767" t="n">
        <v>0</v>
      </c>
      <c r="M767" t="n">
        <v>0</v>
      </c>
      <c r="N767" t="n">
        <v>0</v>
      </c>
      <c r="O767" t="n">
        <v>0</v>
      </c>
      <c r="P767" t="n">
        <v>0</v>
      </c>
      <c r="Q767" t="n">
        <v>0</v>
      </c>
      <c r="R767" s="2" t="inlineStr"/>
    </row>
    <row r="768" ht="15" customHeight="1">
      <c r="A768" t="inlineStr">
        <is>
          <t>A 22745-2026</t>
        </is>
      </c>
      <c r="B768" s="1" t="n">
        <v>46157</v>
      </c>
      <c r="C768" s="1" t="n">
        <v>46195</v>
      </c>
      <c r="D768" t="inlineStr">
        <is>
          <t>ÖREBRO LÄN</t>
        </is>
      </c>
      <c r="E768" t="inlineStr">
        <is>
          <t>LINDESBERG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22752-2026</t>
        </is>
      </c>
      <c r="B769" s="1" t="n">
        <v>46157</v>
      </c>
      <c r="C769" s="1" t="n">
        <v>46195</v>
      </c>
      <c r="D769" t="inlineStr">
        <is>
          <t>ÖREBRO LÄN</t>
        </is>
      </c>
      <c r="E769" t="inlineStr">
        <is>
          <t>LINDESBERG</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17154-2026</t>
        </is>
      </c>
      <c r="B770" s="1" t="n">
        <v>46115</v>
      </c>
      <c r="C770" s="1" t="n">
        <v>46195</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17157-2026</t>
        </is>
      </c>
      <c r="B771" s="1" t="n">
        <v>46115</v>
      </c>
      <c r="C771" s="1" t="n">
        <v>46195</v>
      </c>
      <c r="D771" t="inlineStr">
        <is>
          <t>ÖREBRO LÄN</t>
        </is>
      </c>
      <c r="E771" t="inlineStr">
        <is>
          <t>LINDESBERG</t>
        </is>
      </c>
      <c r="G771" t="n">
        <v>1.2</v>
      </c>
      <c r="H771" t="n">
        <v>0</v>
      </c>
      <c r="I771" t="n">
        <v>0</v>
      </c>
      <c r="J771" t="n">
        <v>0</v>
      </c>
      <c r="K771" t="n">
        <v>0</v>
      </c>
      <c r="L771" t="n">
        <v>0</v>
      </c>
      <c r="M771" t="n">
        <v>0</v>
      </c>
      <c r="N771" t="n">
        <v>0</v>
      </c>
      <c r="O771" t="n">
        <v>0</v>
      </c>
      <c r="P771" t="n">
        <v>0</v>
      </c>
      <c r="Q771" t="n">
        <v>0</v>
      </c>
      <c r="R771" s="2" t="inlineStr"/>
    </row>
    <row r="772" ht="15" customHeight="1">
      <c r="A772" t="inlineStr">
        <is>
          <t>A 17162-2026</t>
        </is>
      </c>
      <c r="B772" s="1" t="n">
        <v>46115</v>
      </c>
      <c r="C772" s="1" t="n">
        <v>46195</v>
      </c>
      <c r="D772" t="inlineStr">
        <is>
          <t>ÖREBRO LÄN</t>
        </is>
      </c>
      <c r="E772" t="inlineStr">
        <is>
          <t>LINDESBERG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17158-2026</t>
        </is>
      </c>
      <c r="B773" s="1" t="n">
        <v>46115</v>
      </c>
      <c r="C773" s="1" t="n">
        <v>46195</v>
      </c>
      <c r="D773" t="inlineStr">
        <is>
          <t>ÖREBRO LÄN</t>
        </is>
      </c>
      <c r="E773" t="inlineStr">
        <is>
          <t>LINDESBERG</t>
        </is>
      </c>
      <c r="G773" t="n">
        <v>7.8</v>
      </c>
      <c r="H773" t="n">
        <v>0</v>
      </c>
      <c r="I773" t="n">
        <v>0</v>
      </c>
      <c r="J773" t="n">
        <v>0</v>
      </c>
      <c r="K773" t="n">
        <v>0</v>
      </c>
      <c r="L773" t="n">
        <v>0</v>
      </c>
      <c r="M773" t="n">
        <v>0</v>
      </c>
      <c r="N773" t="n">
        <v>0</v>
      </c>
      <c r="O773" t="n">
        <v>0</v>
      </c>
      <c r="P773" t="n">
        <v>0</v>
      </c>
      <c r="Q773" t="n">
        <v>0</v>
      </c>
      <c r="R773" s="2" t="inlineStr"/>
    </row>
    <row r="774" ht="15" customHeight="1">
      <c r="A774" t="inlineStr">
        <is>
          <t>A 17161-2026</t>
        </is>
      </c>
      <c r="B774" s="1" t="n">
        <v>46115</v>
      </c>
      <c r="C774" s="1" t="n">
        <v>46195</v>
      </c>
      <c r="D774" t="inlineStr">
        <is>
          <t>ÖREBRO LÄN</t>
        </is>
      </c>
      <c r="E774" t="inlineStr">
        <is>
          <t>LINDESBERG</t>
        </is>
      </c>
      <c r="G774" t="n">
        <v>3.3</v>
      </c>
      <c r="H774" t="n">
        <v>0</v>
      </c>
      <c r="I774" t="n">
        <v>0</v>
      </c>
      <c r="J774" t="n">
        <v>0</v>
      </c>
      <c r="K774" t="n">
        <v>0</v>
      </c>
      <c r="L774" t="n">
        <v>0</v>
      </c>
      <c r="M774" t="n">
        <v>0</v>
      </c>
      <c r="N774" t="n">
        <v>0</v>
      </c>
      <c r="O774" t="n">
        <v>0</v>
      </c>
      <c r="P774" t="n">
        <v>0</v>
      </c>
      <c r="Q774" t="n">
        <v>0</v>
      </c>
      <c r="R774" s="2" t="inlineStr"/>
    </row>
    <row r="775" ht="15" customHeight="1">
      <c r="A775" t="inlineStr">
        <is>
          <t>A 23175-2026</t>
        </is>
      </c>
      <c r="B775" s="1" t="n">
        <v>46161</v>
      </c>
      <c r="C775" s="1" t="n">
        <v>46195</v>
      </c>
      <c r="D775" t="inlineStr">
        <is>
          <t>ÖREBRO LÄN</t>
        </is>
      </c>
      <c r="E775" t="inlineStr">
        <is>
          <t>LINDESBERG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23180-2026</t>
        </is>
      </c>
      <c r="B776" s="1" t="n">
        <v>46161</v>
      </c>
      <c r="C776" s="1" t="n">
        <v>46195</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23190-2026</t>
        </is>
      </c>
      <c r="B777" s="1" t="n">
        <v>46161</v>
      </c>
      <c r="C777" s="1" t="n">
        <v>46195</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23191-2026</t>
        </is>
      </c>
      <c r="B778" s="1" t="n">
        <v>46161</v>
      </c>
      <c r="C778" s="1" t="n">
        <v>46195</v>
      </c>
      <c r="D778" t="inlineStr">
        <is>
          <t>ÖREBRO LÄN</t>
        </is>
      </c>
      <c r="E778" t="inlineStr">
        <is>
          <t>LINDESBERG</t>
        </is>
      </c>
      <c r="F778" t="inlineStr">
        <is>
          <t>Sveaskog</t>
        </is>
      </c>
      <c r="G778" t="n">
        <v>1.8</v>
      </c>
      <c r="H778" t="n">
        <v>0</v>
      </c>
      <c r="I778" t="n">
        <v>0</v>
      </c>
      <c r="J778" t="n">
        <v>0</v>
      </c>
      <c r="K778" t="n">
        <v>0</v>
      </c>
      <c r="L778" t="n">
        <v>0</v>
      </c>
      <c r="M778" t="n">
        <v>0</v>
      </c>
      <c r="N778" t="n">
        <v>0</v>
      </c>
      <c r="O778" t="n">
        <v>0</v>
      </c>
      <c r="P778" t="n">
        <v>0</v>
      </c>
      <c r="Q778" t="n">
        <v>0</v>
      </c>
      <c r="R778" s="2" t="inlineStr"/>
    </row>
    <row r="779" ht="15" customHeight="1">
      <c r="A779" t="inlineStr">
        <is>
          <t>A 23177-2026</t>
        </is>
      </c>
      <c r="B779" s="1" t="n">
        <v>46161</v>
      </c>
      <c r="C779" s="1" t="n">
        <v>46195</v>
      </c>
      <c r="D779" t="inlineStr">
        <is>
          <t>ÖREBRO LÄN</t>
        </is>
      </c>
      <c r="E779" t="inlineStr">
        <is>
          <t>LINDESBERG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23188-2026</t>
        </is>
      </c>
      <c r="B780" s="1" t="n">
        <v>46161</v>
      </c>
      <c r="C780" s="1" t="n">
        <v>46195</v>
      </c>
      <c r="D780" t="inlineStr">
        <is>
          <t>ÖREBRO LÄN</t>
        </is>
      </c>
      <c r="E780" t="inlineStr">
        <is>
          <t>LINDESBERG</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23173-2026</t>
        </is>
      </c>
      <c r="B781" s="1" t="n">
        <v>46161</v>
      </c>
      <c r="C781" s="1" t="n">
        <v>46195</v>
      </c>
      <c r="D781" t="inlineStr">
        <is>
          <t>ÖREBRO LÄN</t>
        </is>
      </c>
      <c r="E781" t="inlineStr">
        <is>
          <t>LINDESBERG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23174-2026</t>
        </is>
      </c>
      <c r="B782" s="1" t="n">
        <v>46161</v>
      </c>
      <c r="C782" s="1" t="n">
        <v>46195</v>
      </c>
      <c r="D782" t="inlineStr">
        <is>
          <t>ÖREBRO LÄN</t>
        </is>
      </c>
      <c r="E782" t="inlineStr">
        <is>
          <t>LINDESBERG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23181-2026</t>
        </is>
      </c>
      <c r="B783" s="1" t="n">
        <v>46161</v>
      </c>
      <c r="C783" s="1" t="n">
        <v>46195</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22861-2026</t>
        </is>
      </c>
      <c r="B784" s="1" t="n">
        <v>46160</v>
      </c>
      <c r="C784" s="1" t="n">
        <v>46195</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22862-2026</t>
        </is>
      </c>
      <c r="B785" s="1" t="n">
        <v>46160</v>
      </c>
      <c r="C785" s="1" t="n">
        <v>46195</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23184-2026</t>
        </is>
      </c>
      <c r="B786" s="1" t="n">
        <v>46161</v>
      </c>
      <c r="C786" s="1" t="n">
        <v>46195</v>
      </c>
      <c r="D786" t="inlineStr">
        <is>
          <t>ÖREBRO LÄN</t>
        </is>
      </c>
      <c r="E786" t="inlineStr">
        <is>
          <t>LINDESBERG</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23187-2026</t>
        </is>
      </c>
      <c r="B787" s="1" t="n">
        <v>46161</v>
      </c>
      <c r="C787" s="1" t="n">
        <v>46195</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23393-2026</t>
        </is>
      </c>
      <c r="B788" s="1" t="n">
        <v>46162</v>
      </c>
      <c r="C788" s="1" t="n">
        <v>46195</v>
      </c>
      <c r="D788" t="inlineStr">
        <is>
          <t>ÖREBRO LÄN</t>
        </is>
      </c>
      <c r="E788" t="inlineStr">
        <is>
          <t>LINDESBERG</t>
        </is>
      </c>
      <c r="F788" t="inlineStr">
        <is>
          <t>Naturvårdsverket</t>
        </is>
      </c>
      <c r="G788" t="n">
        <v>1.9</v>
      </c>
      <c r="H788" t="n">
        <v>0</v>
      </c>
      <c r="I788" t="n">
        <v>0</v>
      </c>
      <c r="J788" t="n">
        <v>0</v>
      </c>
      <c r="K788" t="n">
        <v>0</v>
      </c>
      <c r="L788" t="n">
        <v>0</v>
      </c>
      <c r="M788" t="n">
        <v>0</v>
      </c>
      <c r="N788" t="n">
        <v>0</v>
      </c>
      <c r="O788" t="n">
        <v>0</v>
      </c>
      <c r="P788" t="n">
        <v>0</v>
      </c>
      <c r="Q788" t="n">
        <v>0</v>
      </c>
      <c r="R788" s="2" t="inlineStr"/>
    </row>
    <row r="789" ht="15" customHeight="1">
      <c r="A789" t="inlineStr">
        <is>
          <t>A 17663-2026</t>
        </is>
      </c>
      <c r="B789" s="1" t="n">
        <v>46121</v>
      </c>
      <c r="C789" s="1" t="n">
        <v>46195</v>
      </c>
      <c r="D789" t="inlineStr">
        <is>
          <t>ÖREBRO LÄN</t>
        </is>
      </c>
      <c r="E789" t="inlineStr">
        <is>
          <t>LINDESBERG</t>
        </is>
      </c>
      <c r="G789" t="n">
        <v>3.2</v>
      </c>
      <c r="H789" t="n">
        <v>0</v>
      </c>
      <c r="I789" t="n">
        <v>0</v>
      </c>
      <c r="J789" t="n">
        <v>0</v>
      </c>
      <c r="K789" t="n">
        <v>0</v>
      </c>
      <c r="L789" t="n">
        <v>0</v>
      </c>
      <c r="M789" t="n">
        <v>0</v>
      </c>
      <c r="N789" t="n">
        <v>0</v>
      </c>
      <c r="O789" t="n">
        <v>0</v>
      </c>
      <c r="P789" t="n">
        <v>0</v>
      </c>
      <c r="Q789" t="n">
        <v>0</v>
      </c>
      <c r="R789" s="2" t="inlineStr"/>
    </row>
    <row r="790" ht="15" customHeight="1">
      <c r="A790" t="inlineStr">
        <is>
          <t>A 23338-2026</t>
        </is>
      </c>
      <c r="B790" s="1" t="n">
        <v>46162</v>
      </c>
      <c r="C790" s="1" t="n">
        <v>46195</v>
      </c>
      <c r="D790" t="inlineStr">
        <is>
          <t>ÖREBRO LÄN</t>
        </is>
      </c>
      <c r="E790" t="inlineStr">
        <is>
          <t>LINDESBERG</t>
        </is>
      </c>
      <c r="F790" t="inlineStr">
        <is>
          <t>Naturvårdsverket</t>
        </is>
      </c>
      <c r="G790" t="n">
        <v>2.2</v>
      </c>
      <c r="H790" t="n">
        <v>0</v>
      </c>
      <c r="I790" t="n">
        <v>0</v>
      </c>
      <c r="J790" t="n">
        <v>0</v>
      </c>
      <c r="K790" t="n">
        <v>0</v>
      </c>
      <c r="L790" t="n">
        <v>0</v>
      </c>
      <c r="M790" t="n">
        <v>0</v>
      </c>
      <c r="N790" t="n">
        <v>0</v>
      </c>
      <c r="O790" t="n">
        <v>0</v>
      </c>
      <c r="P790" t="n">
        <v>0</v>
      </c>
      <c r="Q790" t="n">
        <v>0</v>
      </c>
      <c r="R790" s="2" t="inlineStr"/>
    </row>
    <row r="791" ht="15" customHeight="1">
      <c r="A791" t="inlineStr">
        <is>
          <t>A 23912-2026</t>
        </is>
      </c>
      <c r="B791" s="1" t="n">
        <v>46167</v>
      </c>
      <c r="C791" s="1" t="n">
        <v>46195</v>
      </c>
      <c r="D791" t="inlineStr">
        <is>
          <t>ÖREBRO LÄN</t>
        </is>
      </c>
      <c r="E791" t="inlineStr">
        <is>
          <t>LINDESBERG</t>
        </is>
      </c>
      <c r="F791" t="inlineStr">
        <is>
          <t>Naturvårdsverket</t>
        </is>
      </c>
      <c r="G791" t="n">
        <v>5.5</v>
      </c>
      <c r="H791" t="n">
        <v>0</v>
      </c>
      <c r="I791" t="n">
        <v>0</v>
      </c>
      <c r="J791" t="n">
        <v>0</v>
      </c>
      <c r="K791" t="n">
        <v>0</v>
      </c>
      <c r="L791" t="n">
        <v>0</v>
      </c>
      <c r="M791" t="n">
        <v>0</v>
      </c>
      <c r="N791" t="n">
        <v>0</v>
      </c>
      <c r="O791" t="n">
        <v>0</v>
      </c>
      <c r="P791" t="n">
        <v>0</v>
      </c>
      <c r="Q791" t="n">
        <v>0</v>
      </c>
      <c r="R791" s="2" t="inlineStr"/>
    </row>
    <row r="792" ht="15" customHeight="1">
      <c r="A792" t="inlineStr">
        <is>
          <t>A 23910-2026</t>
        </is>
      </c>
      <c r="B792" s="1" t="n">
        <v>46167</v>
      </c>
      <c r="C792" s="1" t="n">
        <v>46195</v>
      </c>
      <c r="D792" t="inlineStr">
        <is>
          <t>ÖREBRO LÄN</t>
        </is>
      </c>
      <c r="E792" t="inlineStr">
        <is>
          <t>LINDESBERG</t>
        </is>
      </c>
      <c r="F792" t="inlineStr">
        <is>
          <t>Naturvårdsverket</t>
        </is>
      </c>
      <c r="G792" t="n">
        <v>2.7</v>
      </c>
      <c r="H792" t="n">
        <v>0</v>
      </c>
      <c r="I792" t="n">
        <v>0</v>
      </c>
      <c r="J792" t="n">
        <v>0</v>
      </c>
      <c r="K792" t="n">
        <v>0</v>
      </c>
      <c r="L792" t="n">
        <v>0</v>
      </c>
      <c r="M792" t="n">
        <v>0</v>
      </c>
      <c r="N792" t="n">
        <v>0</v>
      </c>
      <c r="O792" t="n">
        <v>0</v>
      </c>
      <c r="P792" t="n">
        <v>0</v>
      </c>
      <c r="Q792" t="n">
        <v>0</v>
      </c>
      <c r="R792" s="2" t="inlineStr"/>
    </row>
    <row r="793" ht="15" customHeight="1">
      <c r="A793" t="inlineStr">
        <is>
          <t>A 23914-2026</t>
        </is>
      </c>
      <c r="B793" s="1" t="n">
        <v>46167</v>
      </c>
      <c r="C793" s="1" t="n">
        <v>46195</v>
      </c>
      <c r="D793" t="inlineStr">
        <is>
          <t>ÖREBRO LÄN</t>
        </is>
      </c>
      <c r="E793" t="inlineStr">
        <is>
          <t>LINDESBERG</t>
        </is>
      </c>
      <c r="F793" t="inlineStr">
        <is>
          <t>Naturvårdsverket</t>
        </is>
      </c>
      <c r="G793" t="n">
        <v>3</v>
      </c>
      <c r="H793" t="n">
        <v>0</v>
      </c>
      <c r="I793" t="n">
        <v>0</v>
      </c>
      <c r="J793" t="n">
        <v>0</v>
      </c>
      <c r="K793" t="n">
        <v>0</v>
      </c>
      <c r="L793" t="n">
        <v>0</v>
      </c>
      <c r="M793" t="n">
        <v>0</v>
      </c>
      <c r="N793" t="n">
        <v>0</v>
      </c>
      <c r="O793" t="n">
        <v>0</v>
      </c>
      <c r="P793" t="n">
        <v>0</v>
      </c>
      <c r="Q793" t="n">
        <v>0</v>
      </c>
      <c r="R793" s="2" t="inlineStr"/>
    </row>
    <row r="794" ht="15" customHeight="1">
      <c r="A794" t="inlineStr">
        <is>
          <t>A 18061-2026</t>
        </is>
      </c>
      <c r="B794" s="1" t="n">
        <v>46125</v>
      </c>
      <c r="C794" s="1" t="n">
        <v>46195</v>
      </c>
      <c r="D794" t="inlineStr">
        <is>
          <t>ÖREBRO LÄN</t>
        </is>
      </c>
      <c r="E794" t="inlineStr">
        <is>
          <t>LINDESBERG</t>
        </is>
      </c>
      <c r="G794" t="n">
        <v>0.7</v>
      </c>
      <c r="H794" t="n">
        <v>0</v>
      </c>
      <c r="I794" t="n">
        <v>0</v>
      </c>
      <c r="J794" t="n">
        <v>0</v>
      </c>
      <c r="K794" t="n">
        <v>0</v>
      </c>
      <c r="L794" t="n">
        <v>0</v>
      </c>
      <c r="M794" t="n">
        <v>0</v>
      </c>
      <c r="N794" t="n">
        <v>0</v>
      </c>
      <c r="O794" t="n">
        <v>0</v>
      </c>
      <c r="P794" t="n">
        <v>0</v>
      </c>
      <c r="Q794" t="n">
        <v>0</v>
      </c>
      <c r="R794" s="2" t="inlineStr"/>
    </row>
    <row r="795" ht="15" customHeight="1">
      <c r="A795" t="inlineStr">
        <is>
          <t>A 18220-2026</t>
        </is>
      </c>
      <c r="B795" s="1" t="n">
        <v>46126</v>
      </c>
      <c r="C795" s="1" t="n">
        <v>46195</v>
      </c>
      <c r="D795" t="inlineStr">
        <is>
          <t>ÖREBRO LÄN</t>
        </is>
      </c>
      <c r="E795" t="inlineStr">
        <is>
          <t>LINDESBERG</t>
        </is>
      </c>
      <c r="G795" t="n">
        <v>5.7</v>
      </c>
      <c r="H795" t="n">
        <v>0</v>
      </c>
      <c r="I795" t="n">
        <v>0</v>
      </c>
      <c r="J795" t="n">
        <v>0</v>
      </c>
      <c r="K795" t="n">
        <v>0</v>
      </c>
      <c r="L795" t="n">
        <v>0</v>
      </c>
      <c r="M795" t="n">
        <v>0</v>
      </c>
      <c r="N795" t="n">
        <v>0</v>
      </c>
      <c r="O795" t="n">
        <v>0</v>
      </c>
      <c r="P795" t="n">
        <v>0</v>
      </c>
      <c r="Q795" t="n">
        <v>0</v>
      </c>
      <c r="R795" s="2" t="inlineStr"/>
    </row>
    <row r="796" ht="15" customHeight="1">
      <c r="A796" t="inlineStr">
        <is>
          <t>A 24977-2026</t>
        </is>
      </c>
      <c r="B796" s="1" t="n">
        <v>46174</v>
      </c>
      <c r="C796" s="1" t="n">
        <v>46195</v>
      </c>
      <c r="D796" t="inlineStr">
        <is>
          <t>ÖREBRO LÄN</t>
        </is>
      </c>
      <c r="E796" t="inlineStr">
        <is>
          <t>LINDESBERG</t>
        </is>
      </c>
      <c r="G796" t="n">
        <v>11.3</v>
      </c>
      <c r="H796" t="n">
        <v>0</v>
      </c>
      <c r="I796" t="n">
        <v>0</v>
      </c>
      <c r="J796" t="n">
        <v>0</v>
      </c>
      <c r="K796" t="n">
        <v>0</v>
      </c>
      <c r="L796" t="n">
        <v>0</v>
      </c>
      <c r="M796" t="n">
        <v>0</v>
      </c>
      <c r="N796" t="n">
        <v>0</v>
      </c>
      <c r="O796" t="n">
        <v>0</v>
      </c>
      <c r="P796" t="n">
        <v>0</v>
      </c>
      <c r="Q796" t="n">
        <v>0</v>
      </c>
      <c r="R796" s="2" t="inlineStr"/>
    </row>
    <row r="797" ht="15" customHeight="1">
      <c r="A797" t="inlineStr">
        <is>
          <t>A 18637-2026</t>
        </is>
      </c>
      <c r="B797" s="1" t="n">
        <v>46128</v>
      </c>
      <c r="C797" s="1" t="n">
        <v>46195</v>
      </c>
      <c r="D797" t="inlineStr">
        <is>
          <t>ÖREBRO LÄN</t>
        </is>
      </c>
      <c r="E797" t="inlineStr">
        <is>
          <t>LINDESBERG</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24970-2026</t>
        </is>
      </c>
      <c r="B798" s="1" t="n">
        <v>46174</v>
      </c>
      <c r="C798" s="1" t="n">
        <v>46195</v>
      </c>
      <c r="D798" t="inlineStr">
        <is>
          <t>ÖREBRO LÄN</t>
        </is>
      </c>
      <c r="E798" t="inlineStr">
        <is>
          <t>LINDESBERG</t>
        </is>
      </c>
      <c r="G798" t="n">
        <v>3.3</v>
      </c>
      <c r="H798" t="n">
        <v>0</v>
      </c>
      <c r="I798" t="n">
        <v>0</v>
      </c>
      <c r="J798" t="n">
        <v>0</v>
      </c>
      <c r="K798" t="n">
        <v>0</v>
      </c>
      <c r="L798" t="n">
        <v>0</v>
      </c>
      <c r="M798" t="n">
        <v>0</v>
      </c>
      <c r="N798" t="n">
        <v>0</v>
      </c>
      <c r="O798" t="n">
        <v>0</v>
      </c>
      <c r="P798" t="n">
        <v>0</v>
      </c>
      <c r="Q798" t="n">
        <v>0</v>
      </c>
      <c r="R798" s="2" t="inlineStr"/>
    </row>
    <row r="799" ht="15" customHeight="1">
      <c r="A799" t="inlineStr">
        <is>
          <t>A 24565-2026</t>
        </is>
      </c>
      <c r="B799" s="1" t="n">
        <v>46170</v>
      </c>
      <c r="C799" s="1" t="n">
        <v>46195</v>
      </c>
      <c r="D799" t="inlineStr">
        <is>
          <t>ÖREBRO LÄN</t>
        </is>
      </c>
      <c r="E799" t="inlineStr">
        <is>
          <t>LINDESBERG</t>
        </is>
      </c>
      <c r="F799" t="inlineStr">
        <is>
          <t>Kommuner</t>
        </is>
      </c>
      <c r="G799" t="n">
        <v>2.6</v>
      </c>
      <c r="H799" t="n">
        <v>0</v>
      </c>
      <c r="I799" t="n">
        <v>0</v>
      </c>
      <c r="J799" t="n">
        <v>0</v>
      </c>
      <c r="K799" t="n">
        <v>0</v>
      </c>
      <c r="L799" t="n">
        <v>0</v>
      </c>
      <c r="M799" t="n">
        <v>0</v>
      </c>
      <c r="N799" t="n">
        <v>0</v>
      </c>
      <c r="O799" t="n">
        <v>0</v>
      </c>
      <c r="P799" t="n">
        <v>0</v>
      </c>
      <c r="Q799" t="n">
        <v>0</v>
      </c>
      <c r="R799" s="2" t="inlineStr"/>
    </row>
    <row r="800" ht="15" customHeight="1">
      <c r="A800" t="inlineStr">
        <is>
          <t>A 18634-2026</t>
        </is>
      </c>
      <c r="B800" s="1" t="n">
        <v>46128</v>
      </c>
      <c r="C800" s="1" t="n">
        <v>46195</v>
      </c>
      <c r="D800" t="inlineStr">
        <is>
          <t>ÖREBRO LÄN</t>
        </is>
      </c>
      <c r="E800" t="inlineStr">
        <is>
          <t>LINDESBERG</t>
        </is>
      </c>
      <c r="F800" t="inlineStr">
        <is>
          <t>Sveaskog</t>
        </is>
      </c>
      <c r="G800" t="n">
        <v>11.7</v>
      </c>
      <c r="H800" t="n">
        <v>0</v>
      </c>
      <c r="I800" t="n">
        <v>0</v>
      </c>
      <c r="J800" t="n">
        <v>0</v>
      </c>
      <c r="K800" t="n">
        <v>0</v>
      </c>
      <c r="L800" t="n">
        <v>0</v>
      </c>
      <c r="M800" t="n">
        <v>0</v>
      </c>
      <c r="N800" t="n">
        <v>0</v>
      </c>
      <c r="O800" t="n">
        <v>0</v>
      </c>
      <c r="P800" t="n">
        <v>0</v>
      </c>
      <c r="Q800" t="n">
        <v>0</v>
      </c>
      <c r="R800" s="2" t="inlineStr"/>
    </row>
    <row r="801" ht="15" customHeight="1">
      <c r="A801" t="inlineStr">
        <is>
          <t>A 24975-2026</t>
        </is>
      </c>
      <c r="B801" s="1" t="n">
        <v>46174</v>
      </c>
      <c r="C801" s="1" t="n">
        <v>46195</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18636-2026</t>
        </is>
      </c>
      <c r="B802" s="1" t="n">
        <v>46128</v>
      </c>
      <c r="C802" s="1" t="n">
        <v>46195</v>
      </c>
      <c r="D802" t="inlineStr">
        <is>
          <t>ÖREBRO LÄN</t>
        </is>
      </c>
      <c r="E802" t="inlineStr">
        <is>
          <t>LINDESBERG</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24601-2026</t>
        </is>
      </c>
      <c r="B803" s="1" t="n">
        <v>46170</v>
      </c>
      <c r="C803" s="1" t="n">
        <v>46195</v>
      </c>
      <c r="D803" t="inlineStr">
        <is>
          <t>ÖREBRO LÄN</t>
        </is>
      </c>
      <c r="E803" t="inlineStr">
        <is>
          <t>LINDESBERG</t>
        </is>
      </c>
      <c r="G803" t="n">
        <v>2.7</v>
      </c>
      <c r="H803" t="n">
        <v>0</v>
      </c>
      <c r="I803" t="n">
        <v>0</v>
      </c>
      <c r="J803" t="n">
        <v>0</v>
      </c>
      <c r="K803" t="n">
        <v>0</v>
      </c>
      <c r="L803" t="n">
        <v>0</v>
      </c>
      <c r="M803" t="n">
        <v>0</v>
      </c>
      <c r="N803" t="n">
        <v>0</v>
      </c>
      <c r="O803" t="n">
        <v>0</v>
      </c>
      <c r="P803" t="n">
        <v>0</v>
      </c>
      <c r="Q803" t="n">
        <v>0</v>
      </c>
      <c r="R803" s="2" t="inlineStr"/>
    </row>
    <row r="804" ht="15" customHeight="1">
      <c r="A804" t="inlineStr">
        <is>
          <t>A 24638-2026</t>
        </is>
      </c>
      <c r="B804" s="1" t="n">
        <v>46171</v>
      </c>
      <c r="C804" s="1" t="n">
        <v>46195</v>
      </c>
      <c r="D804" t="inlineStr">
        <is>
          <t>ÖREBRO LÄN</t>
        </is>
      </c>
      <c r="E804" t="inlineStr">
        <is>
          <t>LINDESBERG</t>
        </is>
      </c>
      <c r="G804" t="n">
        <v>2.8</v>
      </c>
      <c r="H804" t="n">
        <v>0</v>
      </c>
      <c r="I804" t="n">
        <v>0</v>
      </c>
      <c r="J804" t="n">
        <v>0</v>
      </c>
      <c r="K804" t="n">
        <v>0</v>
      </c>
      <c r="L804" t="n">
        <v>0</v>
      </c>
      <c r="M804" t="n">
        <v>0</v>
      </c>
      <c r="N804" t="n">
        <v>0</v>
      </c>
      <c r="O804" t="n">
        <v>0</v>
      </c>
      <c r="P804" t="n">
        <v>0</v>
      </c>
      <c r="Q804" t="n">
        <v>0</v>
      </c>
      <c r="R804" s="2" t="inlineStr"/>
    </row>
    <row r="805" ht="15" customHeight="1">
      <c r="A805" t="inlineStr">
        <is>
          <t>A 25023-2026</t>
        </is>
      </c>
      <c r="B805" s="1" t="n">
        <v>46174</v>
      </c>
      <c r="C805" s="1" t="n">
        <v>46195</v>
      </c>
      <c r="D805" t="inlineStr">
        <is>
          <t>ÖREBRO LÄN</t>
        </is>
      </c>
      <c r="E805" t="inlineStr">
        <is>
          <t>LINDESBERG</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24958-2026</t>
        </is>
      </c>
      <c r="B806" s="1" t="n">
        <v>46174</v>
      </c>
      <c r="C806" s="1" t="n">
        <v>46195</v>
      </c>
      <c r="D806" t="inlineStr">
        <is>
          <t>ÖREBRO LÄN</t>
        </is>
      </c>
      <c r="E806" t="inlineStr">
        <is>
          <t>LINDESBERG</t>
        </is>
      </c>
      <c r="G806" t="n">
        <v>4.1</v>
      </c>
      <c r="H806" t="n">
        <v>0</v>
      </c>
      <c r="I806" t="n">
        <v>0</v>
      </c>
      <c r="J806" t="n">
        <v>0</v>
      </c>
      <c r="K806" t="n">
        <v>0</v>
      </c>
      <c r="L806" t="n">
        <v>0</v>
      </c>
      <c r="M806" t="n">
        <v>0</v>
      </c>
      <c r="N806" t="n">
        <v>0</v>
      </c>
      <c r="O806" t="n">
        <v>0</v>
      </c>
      <c r="P806" t="n">
        <v>0</v>
      </c>
      <c r="Q806" t="n">
        <v>0</v>
      </c>
      <c r="R806" s="2" t="inlineStr"/>
    </row>
    <row r="807" ht="15" customHeight="1">
      <c r="A807" t="inlineStr">
        <is>
          <t>A 24600-2026</t>
        </is>
      </c>
      <c r="B807" s="1" t="n">
        <v>46170</v>
      </c>
      <c r="C807" s="1" t="n">
        <v>46195</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19292-2026</t>
        </is>
      </c>
      <c r="B808" s="1" t="n">
        <v>46133</v>
      </c>
      <c r="C808" s="1" t="n">
        <v>46195</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25116-2026</t>
        </is>
      </c>
      <c r="B809" s="1" t="n">
        <v>46175</v>
      </c>
      <c r="C809" s="1" t="n">
        <v>46195</v>
      </c>
      <c r="D809" t="inlineStr">
        <is>
          <t>ÖREBRO LÄN</t>
        </is>
      </c>
      <c r="E809" t="inlineStr">
        <is>
          <t>LINDESBERG</t>
        </is>
      </c>
      <c r="F809" t="inlineStr">
        <is>
          <t>Sveaskog</t>
        </is>
      </c>
      <c r="G809" t="n">
        <v>3.8</v>
      </c>
      <c r="H809" t="n">
        <v>0</v>
      </c>
      <c r="I809" t="n">
        <v>0</v>
      </c>
      <c r="J809" t="n">
        <v>0</v>
      </c>
      <c r="K809" t="n">
        <v>0</v>
      </c>
      <c r="L809" t="n">
        <v>0</v>
      </c>
      <c r="M809" t="n">
        <v>0</v>
      </c>
      <c r="N809" t="n">
        <v>0</v>
      </c>
      <c r="O809" t="n">
        <v>0</v>
      </c>
      <c r="P809" t="n">
        <v>0</v>
      </c>
      <c r="Q809" t="n">
        <v>0</v>
      </c>
      <c r="R809" s="2" t="inlineStr"/>
    </row>
    <row r="810" ht="15" customHeight="1">
      <c r="A810" t="inlineStr">
        <is>
          <t>A 25117-2026</t>
        </is>
      </c>
      <c r="B810" s="1" t="n">
        <v>46175</v>
      </c>
      <c r="C810" s="1" t="n">
        <v>46195</v>
      </c>
      <c r="D810" t="inlineStr">
        <is>
          <t>ÖREBRO LÄN</t>
        </is>
      </c>
      <c r="E810" t="inlineStr">
        <is>
          <t>LINDESBERG</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31221-2025</t>
        </is>
      </c>
      <c r="B811" s="1" t="n">
        <v>45832</v>
      </c>
      <c r="C811" s="1" t="n">
        <v>46195</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36754-2024</t>
        </is>
      </c>
      <c r="B812" s="1" t="n">
        <v>45538</v>
      </c>
      <c r="C812" s="1" t="n">
        <v>46195</v>
      </c>
      <c r="D812" t="inlineStr">
        <is>
          <t>ÖREBRO LÄN</t>
        </is>
      </c>
      <c r="E812" t="inlineStr">
        <is>
          <t>LINDESBERG</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23245-2025</t>
        </is>
      </c>
      <c r="B813" s="1" t="n">
        <v>45791</v>
      </c>
      <c r="C813" s="1" t="n">
        <v>46195</v>
      </c>
      <c r="D813" t="inlineStr">
        <is>
          <t>ÖREBRO LÄN</t>
        </is>
      </c>
      <c r="E813" t="inlineStr">
        <is>
          <t>LINDESBERG</t>
        </is>
      </c>
      <c r="G813" t="n">
        <v>6.8</v>
      </c>
      <c r="H813" t="n">
        <v>0</v>
      </c>
      <c r="I813" t="n">
        <v>0</v>
      </c>
      <c r="J813" t="n">
        <v>0</v>
      </c>
      <c r="K813" t="n">
        <v>0</v>
      </c>
      <c r="L813" t="n">
        <v>0</v>
      </c>
      <c r="M813" t="n">
        <v>0</v>
      </c>
      <c r="N813" t="n">
        <v>0</v>
      </c>
      <c r="O813" t="n">
        <v>0</v>
      </c>
      <c r="P813" t="n">
        <v>0</v>
      </c>
      <c r="Q813" t="n">
        <v>0</v>
      </c>
      <c r="R813" s="2" t="inlineStr"/>
    </row>
    <row r="814" ht="15" customHeight="1">
      <c r="A814" t="inlineStr">
        <is>
          <t>A 44067-2025</t>
        </is>
      </c>
      <c r="B814" s="1" t="n">
        <v>45915</v>
      </c>
      <c r="C814" s="1" t="n">
        <v>46195</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34434-2023</t>
        </is>
      </c>
      <c r="B815" s="1" t="n">
        <v>45139</v>
      </c>
      <c r="C815" s="1" t="n">
        <v>46195</v>
      </c>
      <c r="D815" t="inlineStr">
        <is>
          <t>ÖREBRO LÄN</t>
        </is>
      </c>
      <c r="E815" t="inlineStr">
        <is>
          <t>LINDESBERG</t>
        </is>
      </c>
      <c r="F815" t="inlineStr">
        <is>
          <t>Kyrkan</t>
        </is>
      </c>
      <c r="G815" t="n">
        <v>1.7</v>
      </c>
      <c r="H815" t="n">
        <v>0</v>
      </c>
      <c r="I815" t="n">
        <v>0</v>
      </c>
      <c r="J815" t="n">
        <v>0</v>
      </c>
      <c r="K815" t="n">
        <v>0</v>
      </c>
      <c r="L815" t="n">
        <v>0</v>
      </c>
      <c r="M815" t="n">
        <v>0</v>
      </c>
      <c r="N815" t="n">
        <v>0</v>
      </c>
      <c r="O815" t="n">
        <v>0</v>
      </c>
      <c r="P815" t="n">
        <v>0</v>
      </c>
      <c r="Q815" t="n">
        <v>0</v>
      </c>
      <c r="R815" s="2" t="inlineStr"/>
    </row>
    <row r="816" ht="15" customHeight="1">
      <c r="A816" t="inlineStr">
        <is>
          <t>A 48061-2025</t>
        </is>
      </c>
      <c r="B816" s="1" t="n">
        <v>45932</v>
      </c>
      <c r="C816" s="1" t="n">
        <v>46195</v>
      </c>
      <c r="D816" t="inlineStr">
        <is>
          <t>ÖREBRO LÄN</t>
        </is>
      </c>
      <c r="E816" t="inlineStr">
        <is>
          <t>LINDESBERG</t>
        </is>
      </c>
      <c r="G816" t="n">
        <v>1.5</v>
      </c>
      <c r="H816" t="n">
        <v>0</v>
      </c>
      <c r="I816" t="n">
        <v>0</v>
      </c>
      <c r="J816" t="n">
        <v>0</v>
      </c>
      <c r="K816" t="n">
        <v>0</v>
      </c>
      <c r="L816" t="n">
        <v>0</v>
      </c>
      <c r="M816" t="n">
        <v>0</v>
      </c>
      <c r="N816" t="n">
        <v>0</v>
      </c>
      <c r="O816" t="n">
        <v>0</v>
      </c>
      <c r="P816" t="n">
        <v>0</v>
      </c>
      <c r="Q816" t="n">
        <v>0</v>
      </c>
      <c r="R816" s="2" t="inlineStr"/>
    </row>
    <row r="817" ht="15" customHeight="1">
      <c r="A817" t="inlineStr">
        <is>
          <t>A 59052-2023</t>
        </is>
      </c>
      <c r="B817" s="1" t="n">
        <v>45252</v>
      </c>
      <c r="C817" s="1" t="n">
        <v>46195</v>
      </c>
      <c r="D817" t="inlineStr">
        <is>
          <t>ÖREBRO LÄN</t>
        </is>
      </c>
      <c r="E817" t="inlineStr">
        <is>
          <t>LINDESBERG</t>
        </is>
      </c>
      <c r="G817" t="n">
        <v>4.2</v>
      </c>
      <c r="H817" t="n">
        <v>0</v>
      </c>
      <c r="I817" t="n">
        <v>0</v>
      </c>
      <c r="J817" t="n">
        <v>0</v>
      </c>
      <c r="K817" t="n">
        <v>0</v>
      </c>
      <c r="L817" t="n">
        <v>0</v>
      </c>
      <c r="M817" t="n">
        <v>0</v>
      </c>
      <c r="N817" t="n">
        <v>0</v>
      </c>
      <c r="O817" t="n">
        <v>0</v>
      </c>
      <c r="P817" t="n">
        <v>0</v>
      </c>
      <c r="Q817" t="n">
        <v>0</v>
      </c>
      <c r="R817" s="2" t="inlineStr"/>
    </row>
    <row r="818" ht="15" customHeight="1">
      <c r="A818" t="inlineStr">
        <is>
          <t>A 4603-2024</t>
        </is>
      </c>
      <c r="B818" s="1" t="n">
        <v>45328</v>
      </c>
      <c r="C818" s="1" t="n">
        <v>46195</v>
      </c>
      <c r="D818" t="inlineStr">
        <is>
          <t>ÖREBRO LÄN</t>
        </is>
      </c>
      <c r="E818" t="inlineStr">
        <is>
          <t>LINDESBERG</t>
        </is>
      </c>
      <c r="F818" t="inlineStr">
        <is>
          <t>BillerudKorsnäs AB</t>
        </is>
      </c>
      <c r="G818" t="n">
        <v>4.3</v>
      </c>
      <c r="H818" t="n">
        <v>0</v>
      </c>
      <c r="I818" t="n">
        <v>0</v>
      </c>
      <c r="J818" t="n">
        <v>0</v>
      </c>
      <c r="K818" t="n">
        <v>0</v>
      </c>
      <c r="L818" t="n">
        <v>0</v>
      </c>
      <c r="M818" t="n">
        <v>0</v>
      </c>
      <c r="N818" t="n">
        <v>0</v>
      </c>
      <c r="O818" t="n">
        <v>0</v>
      </c>
      <c r="P818" t="n">
        <v>0</v>
      </c>
      <c r="Q818" t="n">
        <v>0</v>
      </c>
      <c r="R818" s="2" t="inlineStr"/>
    </row>
    <row r="819" ht="15" customHeight="1">
      <c r="A819" t="inlineStr">
        <is>
          <t>A 52098-2025</t>
        </is>
      </c>
      <c r="B819" s="1" t="n">
        <v>45952</v>
      </c>
      <c r="C819" s="1" t="n">
        <v>46195</v>
      </c>
      <c r="D819" t="inlineStr">
        <is>
          <t>ÖREBRO LÄN</t>
        </is>
      </c>
      <c r="E819" t="inlineStr">
        <is>
          <t>LINDESBERG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60492-2024</t>
        </is>
      </c>
      <c r="B820" s="1" t="n">
        <v>45642</v>
      </c>
      <c r="C820" s="1" t="n">
        <v>46195</v>
      </c>
      <c r="D820" t="inlineStr">
        <is>
          <t>ÖREBRO LÄN</t>
        </is>
      </c>
      <c r="E820" t="inlineStr">
        <is>
          <t>LINDESBERG</t>
        </is>
      </c>
      <c r="G820" t="n">
        <v>2.6</v>
      </c>
      <c r="H820" t="n">
        <v>0</v>
      </c>
      <c r="I820" t="n">
        <v>0</v>
      </c>
      <c r="J820" t="n">
        <v>0</v>
      </c>
      <c r="K820" t="n">
        <v>0</v>
      </c>
      <c r="L820" t="n">
        <v>0</v>
      </c>
      <c r="M820" t="n">
        <v>0</v>
      </c>
      <c r="N820" t="n">
        <v>0</v>
      </c>
      <c r="O820" t="n">
        <v>0</v>
      </c>
      <c r="P820" t="n">
        <v>0</v>
      </c>
      <c r="Q820" t="n">
        <v>0</v>
      </c>
      <c r="R820" s="2" t="inlineStr"/>
    </row>
    <row r="821" ht="15" customHeight="1">
      <c r="A821" t="inlineStr">
        <is>
          <t>A 53510-2024</t>
        </is>
      </c>
      <c r="B821" s="1" t="n">
        <v>45614</v>
      </c>
      <c r="C821" s="1" t="n">
        <v>46195</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c r="A822" t="inlineStr">
        <is>
          <t>A 41353-2024</t>
        </is>
      </c>
      <c r="B822" s="1" t="n">
        <v>45559</v>
      </c>
      <c r="C822" s="1" t="n">
        <v>46195</v>
      </c>
      <c r="D822" t="inlineStr">
        <is>
          <t>ÖREBRO LÄN</t>
        </is>
      </c>
      <c r="E822" t="inlineStr">
        <is>
          <t>LINDESBERG</t>
        </is>
      </c>
      <c r="F822" t="inlineStr">
        <is>
          <t>Sveaskog</t>
        </is>
      </c>
      <c r="G822" t="n">
        <v>1</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2026-06-22T00:45:29Z</dcterms:created>
  <dcterms:modified xmlns:dcterms="http://purl.org/dc/terms/" xmlns:xsi="http://www.w3.org/2001/XMLSchema-instance" xsi:type="dcterms:W3CDTF">2026-06-22T00:45:30Z</dcterms:modified>
</cp:coreProperties>
</file>