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46035</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46035</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46035</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46035</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46035</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46035</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46035</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49945-2025</t>
        </is>
      </c>
      <c r="B22" s="1" t="n">
        <v>45940.69754629629</v>
      </c>
      <c r="C22" s="1" t="n">
        <v>46035</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34266-2025</t>
        </is>
      </c>
      <c r="B23" s="1" t="n">
        <v>45845.75751157408</v>
      </c>
      <c r="C23" s="1" t="n">
        <v>46035</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46035</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46035</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46035</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46035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38380-2024</t>
        </is>
      </c>
      <c r="B29" s="1" t="n">
        <v>45546.28121527778</v>
      </c>
      <c r="C29" s="1" t="n">
        <v>46035</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46035</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46035</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46035</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1475-2025</t>
        </is>
      </c>
      <c r="B33" s="1" t="n">
        <v>45670</v>
      </c>
      <c r="C33" s="1" t="n">
        <v>46035</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54093-2025</t>
        </is>
      </c>
      <c r="B34" s="1" t="n">
        <v>45964.40112268519</v>
      </c>
      <c r="C34" s="1" t="n">
        <v>46035</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46035</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53686-2024</t>
        </is>
      </c>
      <c r="B36" s="1" t="n">
        <v>45615</v>
      </c>
      <c r="C36" s="1" t="n">
        <v>46035</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14807-2021</t>
        </is>
      </c>
      <c r="B37" s="1" t="n">
        <v>44280</v>
      </c>
      <c r="C37" s="1" t="n">
        <v>46035</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46035</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46035</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32713-2021</t>
        </is>
      </c>
      <c r="B40" s="1" t="n">
        <v>44375</v>
      </c>
      <c r="C40" s="1" t="n">
        <v>46035</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46035</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46035</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46035</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46035</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46035</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21440-2025</t>
        </is>
      </c>
      <c r="B46" s="1" t="n">
        <v>45782.5300462963</v>
      </c>
      <c r="C46" s="1" t="n">
        <v>46035</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58206-2023</t>
        </is>
      </c>
      <c r="B47" s="1" t="n">
        <v>45250</v>
      </c>
      <c r="C47" s="1" t="n">
        <v>46035</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21779-2025</t>
        </is>
      </c>
      <c r="B48" s="1" t="n">
        <v>45783.66537037037</v>
      </c>
      <c r="C48" s="1" t="n">
        <v>46035</v>
      </c>
      <c r="D48" t="inlineStr">
        <is>
          <t>ÖREBRO LÄN</t>
        </is>
      </c>
      <c r="E48" t="inlineStr">
        <is>
          <t>LINDESBERG</t>
        </is>
      </c>
      <c r="G48" t="n">
        <v>8.5</v>
      </c>
      <c r="H48" t="n">
        <v>1</v>
      </c>
      <c r="I48" t="n">
        <v>0</v>
      </c>
      <c r="J48" t="n">
        <v>0</v>
      </c>
      <c r="K48" t="n">
        <v>0</v>
      </c>
      <c r="L48" t="n">
        <v>0</v>
      </c>
      <c r="M48" t="n">
        <v>0</v>
      </c>
      <c r="N48" t="n">
        <v>0</v>
      </c>
      <c r="O48" t="n">
        <v>0</v>
      </c>
      <c r="P48" t="n">
        <v>0</v>
      </c>
      <c r="Q48" t="n">
        <v>1</v>
      </c>
      <c r="R48" s="2" t="inlineStr">
        <is>
          <t>Mindre vattensalamander</t>
        </is>
      </c>
      <c r="S48">
        <f>HYPERLINK("https://klasma.github.io/Logging_1885/artfynd/A 21779-2025 artfynd.xlsx", "A 21779-2025")</f>
        <v/>
      </c>
      <c r="T48">
        <f>HYPERLINK("https://klasma.github.io/Logging_1885/kartor/A 21779-2025 karta.png", "A 21779-2025")</f>
        <v/>
      </c>
      <c r="V48">
        <f>HYPERLINK("https://klasma.github.io/Logging_1885/klagomål/A 21779-2025 FSC-klagomål.docx", "A 21779-2025")</f>
        <v/>
      </c>
      <c r="W48">
        <f>HYPERLINK("https://klasma.github.io/Logging_1885/klagomålsmail/A 21779-2025 FSC-klagomål mail.docx", "A 21779-2025")</f>
        <v/>
      </c>
      <c r="X48">
        <f>HYPERLINK("https://klasma.github.io/Logging_1885/tillsyn/A 21779-2025 tillsynsbegäran.docx", "A 21779-2025")</f>
        <v/>
      </c>
      <c r="Y48">
        <f>HYPERLINK("https://klasma.github.io/Logging_1885/tillsynsmail/A 21779-2025 tillsynsbegäran mail.docx", "A 21779-2025")</f>
        <v/>
      </c>
    </row>
    <row r="49" ht="15" customHeight="1">
      <c r="A49" t="inlineStr">
        <is>
          <t>A 30347-2025</t>
        </is>
      </c>
      <c r="B49" s="1" t="n">
        <v>45827.53077546296</v>
      </c>
      <c r="C49" s="1" t="n">
        <v>46035</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48956-2025</t>
        </is>
      </c>
      <c r="B50" s="1" t="n">
        <v>45937.54982638889</v>
      </c>
      <c r="C50" s="1" t="n">
        <v>46035</v>
      </c>
      <c r="D50" t="inlineStr">
        <is>
          <t>ÖREBRO LÄN</t>
        </is>
      </c>
      <c r="E50" t="inlineStr">
        <is>
          <t>LINDESBERG</t>
        </is>
      </c>
      <c r="F50" t="inlineStr">
        <is>
          <t>Sveaskog</t>
        </is>
      </c>
      <c r="G50" t="n">
        <v>2.7</v>
      </c>
      <c r="H50" t="n">
        <v>1</v>
      </c>
      <c r="I50" t="n">
        <v>0</v>
      </c>
      <c r="J50" t="n">
        <v>0</v>
      </c>
      <c r="K50" t="n">
        <v>0</v>
      </c>
      <c r="L50" t="n">
        <v>0</v>
      </c>
      <c r="M50" t="n">
        <v>0</v>
      </c>
      <c r="N50" t="n">
        <v>0</v>
      </c>
      <c r="O50" t="n">
        <v>0</v>
      </c>
      <c r="P50" t="n">
        <v>0</v>
      </c>
      <c r="Q50" t="n">
        <v>1</v>
      </c>
      <c r="R50" s="2" t="inlineStr">
        <is>
          <t>Mattlummer</t>
        </is>
      </c>
      <c r="S50">
        <f>HYPERLINK("https://klasma.github.io/Logging_1885/artfynd/A 48956-2025 artfynd.xlsx", "A 48956-2025")</f>
        <v/>
      </c>
      <c r="T50">
        <f>HYPERLINK("https://klasma.github.io/Logging_1885/kartor/A 48956-2025 karta.png", "A 48956-2025")</f>
        <v/>
      </c>
      <c r="V50">
        <f>HYPERLINK("https://klasma.github.io/Logging_1885/klagomål/A 48956-2025 FSC-klagomål.docx", "A 48956-2025")</f>
        <v/>
      </c>
      <c r="W50">
        <f>HYPERLINK("https://klasma.github.io/Logging_1885/klagomålsmail/A 48956-2025 FSC-klagomål mail.docx", "A 48956-2025")</f>
        <v/>
      </c>
      <c r="X50">
        <f>HYPERLINK("https://klasma.github.io/Logging_1885/tillsyn/A 48956-2025 tillsynsbegäran.docx", "A 48956-2025")</f>
        <v/>
      </c>
      <c r="Y50">
        <f>HYPERLINK("https://klasma.github.io/Logging_1885/tillsynsmail/A 48956-2025 tillsynsbegäran mail.docx", "A 48956-2025")</f>
        <v/>
      </c>
    </row>
    <row r="51" ht="15" customHeight="1">
      <c r="A51" t="inlineStr">
        <is>
          <t>A 45467-2025</t>
        </is>
      </c>
      <c r="B51" s="1" t="n">
        <v>45922.49990740741</v>
      </c>
      <c r="C51" s="1" t="n">
        <v>46035</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33286-2024</t>
        </is>
      </c>
      <c r="B52" s="1" t="n">
        <v>45518</v>
      </c>
      <c r="C52" s="1" t="n">
        <v>46035</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46035</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50766-2025</t>
        </is>
      </c>
      <c r="B54" s="1" t="n">
        <v>45946.44423611111</v>
      </c>
      <c r="C54" s="1" t="n">
        <v>46035</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46035</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31052-2025</t>
        </is>
      </c>
      <c r="B56" s="1" t="n">
        <v>45832.56153935185</v>
      </c>
      <c r="C56" s="1" t="n">
        <v>46035</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50768-2025</t>
        </is>
      </c>
      <c r="B57" s="1" t="n">
        <v>45946.44790509259</v>
      </c>
      <c r="C57" s="1" t="n">
        <v>46035</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52105-2025</t>
        </is>
      </c>
      <c r="B58" s="1" t="n">
        <v>45952.68596064814</v>
      </c>
      <c r="C58" s="1" t="n">
        <v>46035</v>
      </c>
      <c r="D58" t="inlineStr">
        <is>
          <t>ÖREBRO LÄN</t>
        </is>
      </c>
      <c r="E58" t="inlineStr">
        <is>
          <t>LINDESBERG</t>
        </is>
      </c>
      <c r="F58" t="inlineStr">
        <is>
          <t>Sveaskog</t>
        </is>
      </c>
      <c r="G58" t="n">
        <v>3.8</v>
      </c>
      <c r="H58" t="n">
        <v>1</v>
      </c>
      <c r="I58" t="n">
        <v>0</v>
      </c>
      <c r="J58" t="n">
        <v>0</v>
      </c>
      <c r="K58" t="n">
        <v>0</v>
      </c>
      <c r="L58" t="n">
        <v>0</v>
      </c>
      <c r="M58" t="n">
        <v>0</v>
      </c>
      <c r="N58" t="n">
        <v>0</v>
      </c>
      <c r="O58" t="n">
        <v>0</v>
      </c>
      <c r="P58" t="n">
        <v>0</v>
      </c>
      <c r="Q58" t="n">
        <v>1</v>
      </c>
      <c r="R58" s="2" t="inlineStr">
        <is>
          <t>Revlummer</t>
        </is>
      </c>
      <c r="S58">
        <f>HYPERLINK("https://klasma.github.io/Logging_1885/artfynd/A 52105-2025 artfynd.xlsx", "A 52105-2025")</f>
        <v/>
      </c>
      <c r="T58">
        <f>HYPERLINK("https://klasma.github.io/Logging_1885/kartor/A 52105-2025 karta.png", "A 52105-2025")</f>
        <v/>
      </c>
      <c r="V58">
        <f>HYPERLINK("https://klasma.github.io/Logging_1885/klagomål/A 52105-2025 FSC-klagomål.docx", "A 52105-2025")</f>
        <v/>
      </c>
      <c r="W58">
        <f>HYPERLINK("https://klasma.github.io/Logging_1885/klagomålsmail/A 52105-2025 FSC-klagomål mail.docx", "A 52105-2025")</f>
        <v/>
      </c>
      <c r="X58">
        <f>HYPERLINK("https://klasma.github.io/Logging_1885/tillsyn/A 52105-2025 tillsynsbegäran.docx", "A 52105-2025")</f>
        <v/>
      </c>
      <c r="Y58">
        <f>HYPERLINK("https://klasma.github.io/Logging_1885/tillsynsmail/A 52105-2025 tillsynsbegäran mail.docx", "A 52105-2025")</f>
        <v/>
      </c>
    </row>
    <row r="59" ht="15" customHeight="1">
      <c r="A59" t="inlineStr">
        <is>
          <t>A 36669-2024</t>
        </is>
      </c>
      <c r="B59" s="1" t="n">
        <v>45537.64484953704</v>
      </c>
      <c r="C59" s="1" t="n">
        <v>46035</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52337-2025</t>
        </is>
      </c>
      <c r="B60" s="1" t="n">
        <v>45953.69287037037</v>
      </c>
      <c r="C60" s="1" t="n">
        <v>46035</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37834-2025</t>
        </is>
      </c>
      <c r="B61" s="1" t="n">
        <v>45881.42446759259</v>
      </c>
      <c r="C61" s="1" t="n">
        <v>46035</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54092-2025</t>
        </is>
      </c>
      <c r="B62" s="1" t="n">
        <v>45964.3965625</v>
      </c>
      <c r="C62" s="1" t="n">
        <v>46035</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28787-2023</t>
        </is>
      </c>
      <c r="B63" s="1" t="n">
        <v>45104.3483912037</v>
      </c>
      <c r="C63" s="1" t="n">
        <v>46035</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57362-2025</t>
        </is>
      </c>
      <c r="B64" s="1" t="n">
        <v>45980.37108796297</v>
      </c>
      <c r="C64" s="1" t="n">
        <v>46035</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46035</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27900-2024</t>
        </is>
      </c>
      <c r="B66" s="1" t="n">
        <v>45475.92849537037</v>
      </c>
      <c r="C66" s="1" t="n">
        <v>46035</v>
      </c>
      <c r="D66" t="inlineStr">
        <is>
          <t>ÖREBRO LÄN</t>
        </is>
      </c>
      <c r="E66" t="inlineStr">
        <is>
          <t>LINDESBERG</t>
        </is>
      </c>
      <c r="F66" t="inlineStr">
        <is>
          <t>Sveaskog</t>
        </is>
      </c>
      <c r="G66" t="n">
        <v>4.1</v>
      </c>
      <c r="H66" t="n">
        <v>1</v>
      </c>
      <c r="I66" t="n">
        <v>0</v>
      </c>
      <c r="J66" t="n">
        <v>0</v>
      </c>
      <c r="K66" t="n">
        <v>0</v>
      </c>
      <c r="L66" t="n">
        <v>0</v>
      </c>
      <c r="M66" t="n">
        <v>0</v>
      </c>
      <c r="N66" t="n">
        <v>0</v>
      </c>
      <c r="O66" t="n">
        <v>0</v>
      </c>
      <c r="P66" t="n">
        <v>0</v>
      </c>
      <c r="Q66" t="n">
        <v>1</v>
      </c>
      <c r="R66" s="2" t="inlineStr">
        <is>
          <t>Fläcknycklar</t>
        </is>
      </c>
      <c r="S66">
        <f>HYPERLINK("https://klasma.github.io/Logging_1885/artfynd/A 27900-2024 artfynd.xlsx", "A 27900-2024")</f>
        <v/>
      </c>
      <c r="T66">
        <f>HYPERLINK("https://klasma.github.io/Logging_1885/kartor/A 27900-2024 karta.png", "A 27900-2024")</f>
        <v/>
      </c>
      <c r="V66">
        <f>HYPERLINK("https://klasma.github.io/Logging_1885/klagomål/A 27900-2024 FSC-klagomål.docx", "A 27900-2024")</f>
        <v/>
      </c>
      <c r="W66">
        <f>HYPERLINK("https://klasma.github.io/Logging_1885/klagomålsmail/A 27900-2024 FSC-klagomål mail.docx", "A 27900-2024")</f>
        <v/>
      </c>
      <c r="X66">
        <f>HYPERLINK("https://klasma.github.io/Logging_1885/tillsyn/A 27900-2024 tillsynsbegäran.docx", "A 27900-2024")</f>
        <v/>
      </c>
      <c r="Y66">
        <f>HYPERLINK("https://klasma.github.io/Logging_1885/tillsynsmail/A 27900-2024 tillsynsbegäran mail.docx", "A 27900-2024")</f>
        <v/>
      </c>
    </row>
    <row r="67" ht="15" customHeight="1">
      <c r="A67" t="inlineStr">
        <is>
          <t>A 53598-2024</t>
        </is>
      </c>
      <c r="B67" s="1" t="n">
        <v>45614.68287037037</v>
      </c>
      <c r="C67" s="1" t="n">
        <v>46035</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70466-2021</t>
        </is>
      </c>
      <c r="B68" s="1" t="n">
        <v>44536</v>
      </c>
      <c r="C68" s="1" t="n">
        <v>46035</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53600-2024</t>
        </is>
      </c>
      <c r="B69" s="1" t="n">
        <v>45614.68596064814</v>
      </c>
      <c r="C69" s="1" t="n">
        <v>46035</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45051-2024</t>
        </is>
      </c>
      <c r="B70" s="1" t="n">
        <v>45575.54934027778</v>
      </c>
      <c r="C70" s="1" t="n">
        <v>46035</v>
      </c>
      <c r="D70" t="inlineStr">
        <is>
          <t>ÖREBRO LÄN</t>
        </is>
      </c>
      <c r="E70" t="inlineStr">
        <is>
          <t>LINDESBERG</t>
        </is>
      </c>
      <c r="F70" t="inlineStr">
        <is>
          <t>Sveaskog</t>
        </is>
      </c>
      <c r="G70" t="n">
        <v>2.2</v>
      </c>
      <c r="H70" t="n">
        <v>1</v>
      </c>
      <c r="I70" t="n">
        <v>0</v>
      </c>
      <c r="J70" t="n">
        <v>1</v>
      </c>
      <c r="K70" t="n">
        <v>0</v>
      </c>
      <c r="L70" t="n">
        <v>0</v>
      </c>
      <c r="M70" t="n">
        <v>0</v>
      </c>
      <c r="N70" t="n">
        <v>0</v>
      </c>
      <c r="O70" t="n">
        <v>1</v>
      </c>
      <c r="P70" t="n">
        <v>0</v>
      </c>
      <c r="Q70" t="n">
        <v>1</v>
      </c>
      <c r="R70" s="2" t="inlineStr">
        <is>
          <t>Spillkråka</t>
        </is>
      </c>
      <c r="S70">
        <f>HYPERLINK("https://klasma.github.io/Logging_1885/artfynd/A 45051-2024 artfynd.xlsx", "A 45051-2024")</f>
        <v/>
      </c>
      <c r="T70">
        <f>HYPERLINK("https://klasma.github.io/Logging_1885/kartor/A 45051-2024 karta.png", "A 45051-2024")</f>
        <v/>
      </c>
      <c r="V70">
        <f>HYPERLINK("https://klasma.github.io/Logging_1885/klagomål/A 45051-2024 FSC-klagomål.docx", "A 45051-2024")</f>
        <v/>
      </c>
      <c r="W70">
        <f>HYPERLINK("https://klasma.github.io/Logging_1885/klagomålsmail/A 45051-2024 FSC-klagomål mail.docx", "A 45051-2024")</f>
        <v/>
      </c>
      <c r="X70">
        <f>HYPERLINK("https://klasma.github.io/Logging_1885/tillsyn/A 45051-2024 tillsynsbegäran.docx", "A 45051-2024")</f>
        <v/>
      </c>
      <c r="Y70">
        <f>HYPERLINK("https://klasma.github.io/Logging_1885/tillsynsmail/A 45051-2024 tillsynsbegäran mail.docx", "A 45051-2024")</f>
        <v/>
      </c>
      <c r="Z70">
        <f>HYPERLINK("https://klasma.github.io/Logging_1885/fåglar/A 45051-2024 prioriterade fågelarter.docx", "A 45051-2024")</f>
        <v/>
      </c>
    </row>
    <row r="71" ht="15" customHeight="1">
      <c r="A71" t="inlineStr">
        <is>
          <t>A 64513-2023</t>
        </is>
      </c>
      <c r="B71" s="1" t="n">
        <v>45281</v>
      </c>
      <c r="C71" s="1" t="n">
        <v>46035</v>
      </c>
      <c r="D71" t="inlineStr">
        <is>
          <t>ÖREBRO LÄN</t>
        </is>
      </c>
      <c r="E71" t="inlineStr">
        <is>
          <t>LINDESBERG</t>
        </is>
      </c>
      <c r="G71" t="n">
        <v>4.7</v>
      </c>
      <c r="H71" t="n">
        <v>0</v>
      </c>
      <c r="I71" t="n">
        <v>1</v>
      </c>
      <c r="J71" t="n">
        <v>0</v>
      </c>
      <c r="K71" t="n">
        <v>0</v>
      </c>
      <c r="L71" t="n">
        <v>0</v>
      </c>
      <c r="M71" t="n">
        <v>0</v>
      </c>
      <c r="N71" t="n">
        <v>0</v>
      </c>
      <c r="O71" t="n">
        <v>0</v>
      </c>
      <c r="P71" t="n">
        <v>0</v>
      </c>
      <c r="Q71" t="n">
        <v>1</v>
      </c>
      <c r="R71" s="2" t="inlineStr">
        <is>
          <t>Västlig hakmossa</t>
        </is>
      </c>
      <c r="S71">
        <f>HYPERLINK("https://klasma.github.io/Logging_1885/artfynd/A 64513-2023 artfynd.xlsx", "A 64513-2023")</f>
        <v/>
      </c>
      <c r="T71">
        <f>HYPERLINK("https://klasma.github.io/Logging_1885/kartor/A 64513-2023 karta.png", "A 64513-2023")</f>
        <v/>
      </c>
      <c r="V71">
        <f>HYPERLINK("https://klasma.github.io/Logging_1885/klagomål/A 64513-2023 FSC-klagomål.docx", "A 64513-2023")</f>
        <v/>
      </c>
      <c r="W71">
        <f>HYPERLINK("https://klasma.github.io/Logging_1885/klagomålsmail/A 64513-2023 FSC-klagomål mail.docx", "A 64513-2023")</f>
        <v/>
      </c>
      <c r="X71">
        <f>HYPERLINK("https://klasma.github.io/Logging_1885/tillsyn/A 64513-2023 tillsynsbegäran.docx", "A 64513-2023")</f>
        <v/>
      </c>
      <c r="Y71">
        <f>HYPERLINK("https://klasma.github.io/Logging_1885/tillsynsmail/A 64513-2023 tillsynsbegäran mail.docx", "A 64513-2023")</f>
        <v/>
      </c>
    </row>
    <row r="72" ht="15" customHeight="1">
      <c r="A72" t="inlineStr">
        <is>
          <t>A 28569-2024</t>
        </is>
      </c>
      <c r="B72" s="1" t="n">
        <v>45478.39592592593</v>
      </c>
      <c r="C72" s="1" t="n">
        <v>46035</v>
      </c>
      <c r="D72" t="inlineStr">
        <is>
          <t>ÖREBRO LÄN</t>
        </is>
      </c>
      <c r="E72" t="inlineStr">
        <is>
          <t>LINDESBERG</t>
        </is>
      </c>
      <c r="F72" t="inlineStr">
        <is>
          <t>Sveaskog</t>
        </is>
      </c>
      <c r="G72" t="n">
        <v>2.6</v>
      </c>
      <c r="H72" t="n">
        <v>0</v>
      </c>
      <c r="I72" t="n">
        <v>0</v>
      </c>
      <c r="J72" t="n">
        <v>1</v>
      </c>
      <c r="K72" t="n">
        <v>0</v>
      </c>
      <c r="L72" t="n">
        <v>0</v>
      </c>
      <c r="M72" t="n">
        <v>0</v>
      </c>
      <c r="N72" t="n">
        <v>0</v>
      </c>
      <c r="O72" t="n">
        <v>1</v>
      </c>
      <c r="P72" t="n">
        <v>0</v>
      </c>
      <c r="Q72" t="n">
        <v>1</v>
      </c>
      <c r="R72" s="2" t="inlineStr">
        <is>
          <t>Granticka</t>
        </is>
      </c>
      <c r="S72">
        <f>HYPERLINK("https://klasma.github.io/Logging_1885/artfynd/A 28569-2024 artfynd.xlsx", "A 28569-2024")</f>
        <v/>
      </c>
      <c r="T72">
        <f>HYPERLINK("https://klasma.github.io/Logging_1885/kartor/A 28569-2024 karta.png", "A 28569-2024")</f>
        <v/>
      </c>
      <c r="V72">
        <f>HYPERLINK("https://klasma.github.io/Logging_1885/klagomål/A 28569-2024 FSC-klagomål.docx", "A 28569-2024")</f>
        <v/>
      </c>
      <c r="W72">
        <f>HYPERLINK("https://klasma.github.io/Logging_1885/klagomålsmail/A 28569-2024 FSC-klagomål mail.docx", "A 28569-2024")</f>
        <v/>
      </c>
      <c r="X72">
        <f>HYPERLINK("https://klasma.github.io/Logging_1885/tillsyn/A 28569-2024 tillsynsbegäran.docx", "A 28569-2024")</f>
        <v/>
      </c>
      <c r="Y72">
        <f>HYPERLINK("https://klasma.github.io/Logging_1885/tillsynsmail/A 28569-2024 tillsynsbegäran mail.docx", "A 28569-2024")</f>
        <v/>
      </c>
    </row>
    <row r="73" ht="15" customHeight="1">
      <c r="A73" t="inlineStr">
        <is>
          <t>A 61129-2024</t>
        </is>
      </c>
      <c r="B73" s="1" t="n">
        <v>45645</v>
      </c>
      <c r="C73" s="1" t="n">
        <v>46035</v>
      </c>
      <c r="D73" t="inlineStr">
        <is>
          <t>ÖREBRO LÄN</t>
        </is>
      </c>
      <c r="E73" t="inlineStr">
        <is>
          <t>LINDESBERG</t>
        </is>
      </c>
      <c r="F73" t="inlineStr">
        <is>
          <t>Sveaskog</t>
        </is>
      </c>
      <c r="G73" t="n">
        <v>6.6</v>
      </c>
      <c r="H73" t="n">
        <v>1</v>
      </c>
      <c r="I73" t="n">
        <v>0</v>
      </c>
      <c r="J73" t="n">
        <v>1</v>
      </c>
      <c r="K73" t="n">
        <v>0</v>
      </c>
      <c r="L73" t="n">
        <v>0</v>
      </c>
      <c r="M73" t="n">
        <v>0</v>
      </c>
      <c r="N73" t="n">
        <v>0</v>
      </c>
      <c r="O73" t="n">
        <v>1</v>
      </c>
      <c r="P73" t="n">
        <v>0</v>
      </c>
      <c r="Q73" t="n">
        <v>1</v>
      </c>
      <c r="R73" s="2" t="inlineStr">
        <is>
          <t>Tretåig hackspett</t>
        </is>
      </c>
      <c r="S73">
        <f>HYPERLINK("https://klasma.github.io/Logging_1885/artfynd/A 61129-2024 artfynd.xlsx", "A 61129-2024")</f>
        <v/>
      </c>
      <c r="T73">
        <f>HYPERLINK("https://klasma.github.io/Logging_1885/kartor/A 61129-2024 karta.png", "A 61129-2024")</f>
        <v/>
      </c>
      <c r="V73">
        <f>HYPERLINK("https://klasma.github.io/Logging_1885/klagomål/A 61129-2024 FSC-klagomål.docx", "A 61129-2024")</f>
        <v/>
      </c>
      <c r="W73">
        <f>HYPERLINK("https://klasma.github.io/Logging_1885/klagomålsmail/A 61129-2024 FSC-klagomål mail.docx", "A 61129-2024")</f>
        <v/>
      </c>
      <c r="X73">
        <f>HYPERLINK("https://klasma.github.io/Logging_1885/tillsyn/A 61129-2024 tillsynsbegäran.docx", "A 61129-2024")</f>
        <v/>
      </c>
      <c r="Y73">
        <f>HYPERLINK("https://klasma.github.io/Logging_1885/tillsynsmail/A 61129-2024 tillsynsbegäran mail.docx", "A 61129-2024")</f>
        <v/>
      </c>
      <c r="Z73">
        <f>HYPERLINK("https://klasma.github.io/Logging_1885/fåglar/A 61129-2024 prioriterade fågelarter.docx", "A 61129-2024")</f>
        <v/>
      </c>
    </row>
    <row r="74" ht="15" customHeight="1">
      <c r="A74" t="inlineStr">
        <is>
          <t>A 54857-2024</t>
        </is>
      </c>
      <c r="B74" s="1" t="n">
        <v>45618.58876157407</v>
      </c>
      <c r="C74" s="1" t="n">
        <v>46035</v>
      </c>
      <c r="D74" t="inlineStr">
        <is>
          <t>ÖREBRO LÄN</t>
        </is>
      </c>
      <c r="E74" t="inlineStr">
        <is>
          <t>LINDESBERG</t>
        </is>
      </c>
      <c r="F74" t="inlineStr">
        <is>
          <t>Sveaskog</t>
        </is>
      </c>
      <c r="G74" t="n">
        <v>6.1</v>
      </c>
      <c r="H74" t="n">
        <v>0</v>
      </c>
      <c r="I74" t="n">
        <v>0</v>
      </c>
      <c r="J74" t="n">
        <v>1</v>
      </c>
      <c r="K74" t="n">
        <v>0</v>
      </c>
      <c r="L74" t="n">
        <v>0</v>
      </c>
      <c r="M74" t="n">
        <v>0</v>
      </c>
      <c r="N74" t="n">
        <v>0</v>
      </c>
      <c r="O74" t="n">
        <v>1</v>
      </c>
      <c r="P74" t="n">
        <v>0</v>
      </c>
      <c r="Q74" t="n">
        <v>1</v>
      </c>
      <c r="R74" s="2" t="inlineStr">
        <is>
          <t>Sexfläckig bastardsvärmare</t>
        </is>
      </c>
      <c r="S74">
        <f>HYPERLINK("https://klasma.github.io/Logging_1885/artfynd/A 54857-2024 artfynd.xlsx", "A 54857-2024")</f>
        <v/>
      </c>
      <c r="T74">
        <f>HYPERLINK("https://klasma.github.io/Logging_1885/kartor/A 54857-2024 karta.png", "A 54857-2024")</f>
        <v/>
      </c>
      <c r="V74">
        <f>HYPERLINK("https://klasma.github.io/Logging_1885/klagomål/A 54857-2024 FSC-klagomål.docx", "A 54857-2024")</f>
        <v/>
      </c>
      <c r="W74">
        <f>HYPERLINK("https://klasma.github.io/Logging_1885/klagomålsmail/A 54857-2024 FSC-klagomål mail.docx", "A 54857-2024")</f>
        <v/>
      </c>
      <c r="X74">
        <f>HYPERLINK("https://klasma.github.io/Logging_1885/tillsyn/A 54857-2024 tillsynsbegäran.docx", "A 54857-2024")</f>
        <v/>
      </c>
      <c r="Y74">
        <f>HYPERLINK("https://klasma.github.io/Logging_1885/tillsynsmail/A 54857-2024 tillsynsbegäran mail.docx", "A 54857-2024")</f>
        <v/>
      </c>
    </row>
    <row r="75" ht="15" customHeight="1">
      <c r="A75" t="inlineStr">
        <is>
          <t>A 67013-2021</t>
        </is>
      </c>
      <c r="B75" s="1" t="n">
        <v>44522</v>
      </c>
      <c r="C75" s="1" t="n">
        <v>46035</v>
      </c>
      <c r="D75" t="inlineStr">
        <is>
          <t>ÖREBRO LÄN</t>
        </is>
      </c>
      <c r="E75" t="inlineStr">
        <is>
          <t>LINDESBERG</t>
        </is>
      </c>
      <c r="G75" t="n">
        <v>0.5</v>
      </c>
      <c r="H75" t="n">
        <v>0</v>
      </c>
      <c r="I75" t="n">
        <v>0</v>
      </c>
      <c r="J75" t="n">
        <v>1</v>
      </c>
      <c r="K75" t="n">
        <v>0</v>
      </c>
      <c r="L75" t="n">
        <v>0</v>
      </c>
      <c r="M75" t="n">
        <v>0</v>
      </c>
      <c r="N75" t="n">
        <v>0</v>
      </c>
      <c r="O75" t="n">
        <v>1</v>
      </c>
      <c r="P75" t="n">
        <v>0</v>
      </c>
      <c r="Q75" t="n">
        <v>1</v>
      </c>
      <c r="R75" s="2" t="inlineStr">
        <is>
          <t>Skogsklocka</t>
        </is>
      </c>
      <c r="S75">
        <f>HYPERLINK("https://klasma.github.io/Logging_1885/artfynd/A 67013-2021 artfynd.xlsx", "A 67013-2021")</f>
        <v/>
      </c>
      <c r="T75">
        <f>HYPERLINK("https://klasma.github.io/Logging_1885/kartor/A 67013-2021 karta.png", "A 67013-2021")</f>
        <v/>
      </c>
      <c r="V75">
        <f>HYPERLINK("https://klasma.github.io/Logging_1885/klagomål/A 67013-2021 FSC-klagomål.docx", "A 67013-2021")</f>
        <v/>
      </c>
      <c r="W75">
        <f>HYPERLINK("https://klasma.github.io/Logging_1885/klagomålsmail/A 67013-2021 FSC-klagomål mail.docx", "A 67013-2021")</f>
        <v/>
      </c>
      <c r="X75">
        <f>HYPERLINK("https://klasma.github.io/Logging_1885/tillsyn/A 67013-2021 tillsynsbegäran.docx", "A 67013-2021")</f>
        <v/>
      </c>
      <c r="Y75">
        <f>HYPERLINK("https://klasma.github.io/Logging_1885/tillsynsmail/A 67013-2021 tillsynsbegäran mail.docx", "A 67013-2021")</f>
        <v/>
      </c>
    </row>
    <row r="76" ht="15" customHeight="1">
      <c r="A76" t="inlineStr">
        <is>
          <t>A 61132-2024</t>
        </is>
      </c>
      <c r="B76" s="1" t="n">
        <v>45645</v>
      </c>
      <c r="C76" s="1" t="n">
        <v>46035</v>
      </c>
      <c r="D76" t="inlineStr">
        <is>
          <t>ÖREBRO LÄN</t>
        </is>
      </c>
      <c r="E76" t="inlineStr">
        <is>
          <t>LINDESBERG</t>
        </is>
      </c>
      <c r="F76" t="inlineStr">
        <is>
          <t>Sveaskog</t>
        </is>
      </c>
      <c r="G76" t="n">
        <v>2.5</v>
      </c>
      <c r="H76" t="n">
        <v>0</v>
      </c>
      <c r="I76" t="n">
        <v>1</v>
      </c>
      <c r="J76" t="n">
        <v>0</v>
      </c>
      <c r="K76" t="n">
        <v>0</v>
      </c>
      <c r="L76" t="n">
        <v>0</v>
      </c>
      <c r="M76" t="n">
        <v>0</v>
      </c>
      <c r="N76" t="n">
        <v>0</v>
      </c>
      <c r="O76" t="n">
        <v>0</v>
      </c>
      <c r="P76" t="n">
        <v>0</v>
      </c>
      <c r="Q76" t="n">
        <v>1</v>
      </c>
      <c r="R76" s="2" t="inlineStr">
        <is>
          <t>Bollvitmossa</t>
        </is>
      </c>
      <c r="S76">
        <f>HYPERLINK("https://klasma.github.io/Logging_1885/artfynd/A 61132-2024 artfynd.xlsx", "A 61132-2024")</f>
        <v/>
      </c>
      <c r="T76">
        <f>HYPERLINK("https://klasma.github.io/Logging_1885/kartor/A 61132-2024 karta.png", "A 61132-2024")</f>
        <v/>
      </c>
      <c r="V76">
        <f>HYPERLINK("https://klasma.github.io/Logging_1885/klagomål/A 61132-2024 FSC-klagomål.docx", "A 61132-2024")</f>
        <v/>
      </c>
      <c r="W76">
        <f>HYPERLINK("https://klasma.github.io/Logging_1885/klagomålsmail/A 61132-2024 FSC-klagomål mail.docx", "A 61132-2024")</f>
        <v/>
      </c>
      <c r="X76">
        <f>HYPERLINK("https://klasma.github.io/Logging_1885/tillsyn/A 61132-2024 tillsynsbegäran.docx", "A 61132-2024")</f>
        <v/>
      </c>
      <c r="Y76">
        <f>HYPERLINK("https://klasma.github.io/Logging_1885/tillsynsmail/A 61132-2024 tillsynsbegäran mail.docx", "A 61132-2024")</f>
        <v/>
      </c>
    </row>
    <row r="77" ht="15" customHeight="1">
      <c r="A77" t="inlineStr">
        <is>
          <t>A 7738-2021</t>
        </is>
      </c>
      <c r="B77" s="1" t="n">
        <v>44242</v>
      </c>
      <c r="C77" s="1" t="n">
        <v>46035</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46035</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46035</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46035</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46035</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46035</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46035</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46035</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46035</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46035</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46035</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46035</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46035</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46035</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46035</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46035</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46035</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46035</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46035</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51468-2021</t>
        </is>
      </c>
      <c r="B96" s="1" t="n">
        <v>44462</v>
      </c>
      <c r="C96" s="1" t="n">
        <v>46035</v>
      </c>
      <c r="D96" t="inlineStr">
        <is>
          <t>ÖREBRO LÄN</t>
        </is>
      </c>
      <c r="E96" t="inlineStr">
        <is>
          <t>LINDESBERG</t>
        </is>
      </c>
      <c r="F96" t="inlineStr">
        <is>
          <t>Kyrkan</t>
        </is>
      </c>
      <c r="G96" t="n">
        <v>0.8</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46035</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46035</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46035</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46035</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46035</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46035</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46035</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46035</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46035</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46035</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46035</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46035</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46035</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46035</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46035</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46035</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46035</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46035</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46035</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46035</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46035</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46035</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46035</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46035</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46035</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46035</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46035</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46035</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46035</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46035</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46035</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46035</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46035</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46035</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46035</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46035</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46035</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46035</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2110-2022</t>
        </is>
      </c>
      <c r="B135" s="1" t="n">
        <v>44577.84596064815</v>
      </c>
      <c r="C135" s="1" t="n">
        <v>46035</v>
      </c>
      <c r="D135" t="inlineStr">
        <is>
          <t>ÖREBRO LÄN</t>
        </is>
      </c>
      <c r="E135" t="inlineStr">
        <is>
          <t>LINDESBERG</t>
        </is>
      </c>
      <c r="G135" t="n">
        <v>4.4</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46035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46035</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46035</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46035</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46035</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46035</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46035</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46035</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46035</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46035</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46035</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46035</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46035</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46035</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46035</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46035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46035</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46035</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46035</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46035</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46035</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46035</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46035</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46035</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46035</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46035</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46035</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46035</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46035</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46035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46035</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46035</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46035</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46035</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46035</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46035</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46035</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46035</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46035</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46035</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46035</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46035</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46035</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46035</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46035</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46035</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46035</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46035</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46035</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46035</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46035</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46035</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46035</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46035</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46035</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46035</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46035</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46035</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44384.56912037037</v>
      </c>
      <c r="C194" s="1" t="n">
        <v>46035</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46035</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46035</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46035</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46035</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46035</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46035</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46035</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46035</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46035</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46035</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44539.31923611111</v>
      </c>
      <c r="C205" s="1" t="n">
        <v>46035</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46035</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7859-2022</t>
        </is>
      </c>
      <c r="B207" s="1" t="n">
        <v>44608</v>
      </c>
      <c r="C207" s="1" t="n">
        <v>46035</v>
      </c>
      <c r="D207" t="inlineStr">
        <is>
          <t>ÖREBRO LÄN</t>
        </is>
      </c>
      <c r="E207" t="inlineStr">
        <is>
          <t>LINDESBERG</t>
        </is>
      </c>
      <c r="F207" t="inlineStr">
        <is>
          <t>Kyrkan</t>
        </is>
      </c>
      <c r="G207" t="n">
        <v>0.7</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46035</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46035</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46035</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46035</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46035</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46035</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59006-2021</t>
        </is>
      </c>
      <c r="B214" s="1" t="n">
        <v>44490</v>
      </c>
      <c r="C214" s="1" t="n">
        <v>46035</v>
      </c>
      <c r="D214" t="inlineStr">
        <is>
          <t>ÖREBRO LÄN</t>
        </is>
      </c>
      <c r="E214" t="inlineStr">
        <is>
          <t>LINDESBERG</t>
        </is>
      </c>
      <c r="G214" t="n">
        <v>5.6</v>
      </c>
      <c r="H214" t="n">
        <v>0</v>
      </c>
      <c r="I214" t="n">
        <v>0</v>
      </c>
      <c r="J214" t="n">
        <v>0</v>
      </c>
      <c r="K214" t="n">
        <v>0</v>
      </c>
      <c r="L214" t="n">
        <v>0</v>
      </c>
      <c r="M214" t="n">
        <v>0</v>
      </c>
      <c r="N214" t="n">
        <v>0</v>
      </c>
      <c r="O214" t="n">
        <v>0</v>
      </c>
      <c r="P214" t="n">
        <v>0</v>
      </c>
      <c r="Q214" t="n">
        <v>0</v>
      </c>
      <c r="R214" s="2" t="inlineStr"/>
    </row>
    <row r="215" ht="15" customHeight="1">
      <c r="A215" t="inlineStr">
        <is>
          <t>A 20238-2022</t>
        </is>
      </c>
      <c r="B215" s="1" t="n">
        <v>44698.62354166667</v>
      </c>
      <c r="C215" s="1" t="n">
        <v>46035</v>
      </c>
      <c r="D215" t="inlineStr">
        <is>
          <t>ÖREBRO LÄN</t>
        </is>
      </c>
      <c r="E215" t="inlineStr">
        <is>
          <t>LINDESBERG</t>
        </is>
      </c>
      <c r="F215" t="inlineStr">
        <is>
          <t>Naturvårdsverket</t>
        </is>
      </c>
      <c r="G215" t="n">
        <v>2.9</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46035</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36001-2021</t>
        </is>
      </c>
      <c r="B217" s="1" t="n">
        <v>44389</v>
      </c>
      <c r="C217" s="1" t="n">
        <v>46035</v>
      </c>
      <c r="D217" t="inlineStr">
        <is>
          <t>ÖREBRO LÄN</t>
        </is>
      </c>
      <c r="E217" t="inlineStr">
        <is>
          <t>LINDESBERG</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46035</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45481-2023</t>
        </is>
      </c>
      <c r="B219" s="1" t="n">
        <v>45194</v>
      </c>
      <c r="C219" s="1" t="n">
        <v>46035</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46035</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46035</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28469-2023</t>
        </is>
      </c>
      <c r="B222" s="1" t="n">
        <v>45103</v>
      </c>
      <c r="C222" s="1" t="n">
        <v>46035</v>
      </c>
      <c r="D222" t="inlineStr">
        <is>
          <t>ÖREBRO LÄN</t>
        </is>
      </c>
      <c r="E222" t="inlineStr">
        <is>
          <t>LINDESBERG</t>
        </is>
      </c>
      <c r="G222" t="n">
        <v>0.3</v>
      </c>
      <c r="H222" t="n">
        <v>0</v>
      </c>
      <c r="I222" t="n">
        <v>0</v>
      </c>
      <c r="J222" t="n">
        <v>0</v>
      </c>
      <c r="K222" t="n">
        <v>0</v>
      </c>
      <c r="L222" t="n">
        <v>0</v>
      </c>
      <c r="M222" t="n">
        <v>0</v>
      </c>
      <c r="N222" t="n">
        <v>0</v>
      </c>
      <c r="O222" t="n">
        <v>0</v>
      </c>
      <c r="P222" t="n">
        <v>0</v>
      </c>
      <c r="Q222" t="n">
        <v>0</v>
      </c>
      <c r="R222" s="2" t="inlineStr"/>
    </row>
    <row r="223" ht="15" customHeight="1">
      <c r="A223" t="inlineStr">
        <is>
          <t>A 12278-2025</t>
        </is>
      </c>
      <c r="B223" s="1" t="n">
        <v>45729.65171296296</v>
      </c>
      <c r="C223" s="1" t="n">
        <v>46035</v>
      </c>
      <c r="D223" t="inlineStr">
        <is>
          <t>ÖREBRO LÄN</t>
        </is>
      </c>
      <c r="E223" t="inlineStr">
        <is>
          <t>LINDESBERG</t>
        </is>
      </c>
      <c r="G223" t="n">
        <v>3.2</v>
      </c>
      <c r="H223" t="n">
        <v>0</v>
      </c>
      <c r="I223" t="n">
        <v>0</v>
      </c>
      <c r="J223" t="n">
        <v>0</v>
      </c>
      <c r="K223" t="n">
        <v>0</v>
      </c>
      <c r="L223" t="n">
        <v>0</v>
      </c>
      <c r="M223" t="n">
        <v>0</v>
      </c>
      <c r="N223" t="n">
        <v>0</v>
      </c>
      <c r="O223" t="n">
        <v>0</v>
      </c>
      <c r="P223" t="n">
        <v>0</v>
      </c>
      <c r="Q223" t="n">
        <v>0</v>
      </c>
      <c r="R223" s="2" t="inlineStr"/>
    </row>
    <row r="224" ht="15" customHeight="1">
      <c r="A224" t="inlineStr">
        <is>
          <t>A 20954-2024</t>
        </is>
      </c>
      <c r="B224" s="1" t="n">
        <v>45439.56605324074</v>
      </c>
      <c r="C224" s="1" t="n">
        <v>46035</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48061-2025</t>
        </is>
      </c>
      <c r="B225" s="1" t="n">
        <v>45932.68006944445</v>
      </c>
      <c r="C225" s="1" t="n">
        <v>46035</v>
      </c>
      <c r="D225" t="inlineStr">
        <is>
          <t>ÖREBRO LÄN</t>
        </is>
      </c>
      <c r="E225" t="inlineStr">
        <is>
          <t>LINDESBERG</t>
        </is>
      </c>
      <c r="G225" t="n">
        <v>1.5</v>
      </c>
      <c r="H225" t="n">
        <v>0</v>
      </c>
      <c r="I225" t="n">
        <v>0</v>
      </c>
      <c r="J225" t="n">
        <v>0</v>
      </c>
      <c r="K225" t="n">
        <v>0</v>
      </c>
      <c r="L225" t="n">
        <v>0</v>
      </c>
      <c r="M225" t="n">
        <v>0</v>
      </c>
      <c r="N225" t="n">
        <v>0</v>
      </c>
      <c r="O225" t="n">
        <v>0</v>
      </c>
      <c r="P225" t="n">
        <v>0</v>
      </c>
      <c r="Q225" t="n">
        <v>0</v>
      </c>
      <c r="R225" s="2" t="inlineStr"/>
    </row>
    <row r="226" ht="15" customHeight="1">
      <c r="A226" t="inlineStr">
        <is>
          <t>A 7120-2025</t>
        </is>
      </c>
      <c r="B226" s="1" t="n">
        <v>45702</v>
      </c>
      <c r="C226" s="1" t="n">
        <v>46035</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47678-2025</t>
        </is>
      </c>
      <c r="B227" s="1" t="n">
        <v>45931.57967592592</v>
      </c>
      <c r="C227" s="1" t="n">
        <v>46035</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63686-2023</t>
        </is>
      </c>
      <c r="B228" s="1" t="n">
        <v>45274</v>
      </c>
      <c r="C228" s="1" t="n">
        <v>46035</v>
      </c>
      <c r="D228" t="inlineStr">
        <is>
          <t>ÖREBRO LÄN</t>
        </is>
      </c>
      <c r="E228" t="inlineStr">
        <is>
          <t>LINDESBERG</t>
        </is>
      </c>
      <c r="G228" t="n">
        <v>0.9</v>
      </c>
      <c r="H228" t="n">
        <v>0</v>
      </c>
      <c r="I228" t="n">
        <v>0</v>
      </c>
      <c r="J228" t="n">
        <v>0</v>
      </c>
      <c r="K228" t="n">
        <v>0</v>
      </c>
      <c r="L228" t="n">
        <v>0</v>
      </c>
      <c r="M228" t="n">
        <v>0</v>
      </c>
      <c r="N228" t="n">
        <v>0</v>
      </c>
      <c r="O228" t="n">
        <v>0</v>
      </c>
      <c r="P228" t="n">
        <v>0</v>
      </c>
      <c r="Q228" t="n">
        <v>0</v>
      </c>
      <c r="R228" s="2" t="inlineStr"/>
    </row>
    <row r="229" ht="15" customHeight="1">
      <c r="A229" t="inlineStr">
        <is>
          <t>A 36773-2024</t>
        </is>
      </c>
      <c r="B229" s="1" t="n">
        <v>45538</v>
      </c>
      <c r="C229" s="1" t="n">
        <v>46035</v>
      </c>
      <c r="D229" t="inlineStr">
        <is>
          <t>ÖREBRO LÄN</t>
        </is>
      </c>
      <c r="E229" t="inlineStr">
        <is>
          <t>LINDESBERG</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53897-2024</t>
        </is>
      </c>
      <c r="B230" s="1" t="n">
        <v>45615.69570601852</v>
      </c>
      <c r="C230" s="1" t="n">
        <v>46035</v>
      </c>
      <c r="D230" t="inlineStr">
        <is>
          <t>ÖREBRO LÄN</t>
        </is>
      </c>
      <c r="E230" t="inlineStr">
        <is>
          <t>LINDESBERG</t>
        </is>
      </c>
      <c r="G230" t="n">
        <v>1.1</v>
      </c>
      <c r="H230" t="n">
        <v>0</v>
      </c>
      <c r="I230" t="n">
        <v>0</v>
      </c>
      <c r="J230" t="n">
        <v>0</v>
      </c>
      <c r="K230" t="n">
        <v>0</v>
      </c>
      <c r="L230" t="n">
        <v>0</v>
      </c>
      <c r="M230" t="n">
        <v>0</v>
      </c>
      <c r="N230" t="n">
        <v>0</v>
      </c>
      <c r="O230" t="n">
        <v>0</v>
      </c>
      <c r="P230" t="n">
        <v>0</v>
      </c>
      <c r="Q230" t="n">
        <v>0</v>
      </c>
      <c r="R230" s="2" t="inlineStr"/>
    </row>
    <row r="231" ht="15" customHeight="1">
      <c r="A231" t="inlineStr">
        <is>
          <t>A 8612-2024</t>
        </is>
      </c>
      <c r="B231" s="1" t="n">
        <v>45355.70009259259</v>
      </c>
      <c r="C231" s="1" t="n">
        <v>46035</v>
      </c>
      <c r="D231" t="inlineStr">
        <is>
          <t>ÖREBRO LÄN</t>
        </is>
      </c>
      <c r="E231" t="inlineStr">
        <is>
          <t>LINDESBERG</t>
        </is>
      </c>
      <c r="G231" t="n">
        <v>4.5</v>
      </c>
      <c r="H231" t="n">
        <v>0</v>
      </c>
      <c r="I231" t="n">
        <v>0</v>
      </c>
      <c r="J231" t="n">
        <v>0</v>
      </c>
      <c r="K231" t="n">
        <v>0</v>
      </c>
      <c r="L231" t="n">
        <v>0</v>
      </c>
      <c r="M231" t="n">
        <v>0</v>
      </c>
      <c r="N231" t="n">
        <v>0</v>
      </c>
      <c r="O231" t="n">
        <v>0</v>
      </c>
      <c r="P231" t="n">
        <v>0</v>
      </c>
      <c r="Q231" t="n">
        <v>0</v>
      </c>
      <c r="R231" s="2" t="inlineStr"/>
    </row>
    <row r="232" ht="15" customHeight="1">
      <c r="A232" t="inlineStr">
        <is>
          <t>A 12692-2024</t>
        </is>
      </c>
      <c r="B232" s="1" t="n">
        <v>45384.43418981481</v>
      </c>
      <c r="C232" s="1" t="n">
        <v>46035</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15325-2024</t>
        </is>
      </c>
      <c r="B233" s="1" t="n">
        <v>45400.6709837963</v>
      </c>
      <c r="C233" s="1" t="n">
        <v>46035</v>
      </c>
      <c r="D233" t="inlineStr">
        <is>
          <t>ÖREBRO LÄN</t>
        </is>
      </c>
      <c r="E233" t="inlineStr">
        <is>
          <t>LINDESBERG</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17104-2024</t>
        </is>
      </c>
      <c r="B234" s="1" t="n">
        <v>45412.54541666667</v>
      </c>
      <c r="C234" s="1" t="n">
        <v>46035</v>
      </c>
      <c r="D234" t="inlineStr">
        <is>
          <t>ÖREBRO LÄN</t>
        </is>
      </c>
      <c r="E234" t="inlineStr">
        <is>
          <t>LINDESBERG</t>
        </is>
      </c>
      <c r="G234" t="n">
        <v>2.2</v>
      </c>
      <c r="H234" t="n">
        <v>0</v>
      </c>
      <c r="I234" t="n">
        <v>0</v>
      </c>
      <c r="J234" t="n">
        <v>0</v>
      </c>
      <c r="K234" t="n">
        <v>0</v>
      </c>
      <c r="L234" t="n">
        <v>0</v>
      </c>
      <c r="M234" t="n">
        <v>0</v>
      </c>
      <c r="N234" t="n">
        <v>0</v>
      </c>
      <c r="O234" t="n">
        <v>0</v>
      </c>
      <c r="P234" t="n">
        <v>0</v>
      </c>
      <c r="Q234" t="n">
        <v>0</v>
      </c>
      <c r="R234" s="2" t="inlineStr"/>
    </row>
    <row r="235" ht="15" customHeight="1">
      <c r="A235" t="inlineStr">
        <is>
          <t>A 47676-2025</t>
        </is>
      </c>
      <c r="B235" s="1" t="n">
        <v>45931.57756944445</v>
      </c>
      <c r="C235" s="1" t="n">
        <v>46035</v>
      </c>
      <c r="D235" t="inlineStr">
        <is>
          <t>ÖREBRO LÄN</t>
        </is>
      </c>
      <c r="E235" t="inlineStr">
        <is>
          <t>LINDESBERG</t>
        </is>
      </c>
      <c r="G235" t="n">
        <v>0.8</v>
      </c>
      <c r="H235" t="n">
        <v>0</v>
      </c>
      <c r="I235" t="n">
        <v>0</v>
      </c>
      <c r="J235" t="n">
        <v>0</v>
      </c>
      <c r="K235" t="n">
        <v>0</v>
      </c>
      <c r="L235" t="n">
        <v>0</v>
      </c>
      <c r="M235" t="n">
        <v>0</v>
      </c>
      <c r="N235" t="n">
        <v>0</v>
      </c>
      <c r="O235" t="n">
        <v>0</v>
      </c>
      <c r="P235" t="n">
        <v>0</v>
      </c>
      <c r="Q235" t="n">
        <v>0</v>
      </c>
      <c r="R235" s="2" t="inlineStr"/>
    </row>
    <row r="236" ht="15" customHeight="1">
      <c r="A236" t="inlineStr">
        <is>
          <t>A 7119-2025</t>
        </is>
      </c>
      <c r="B236" s="1" t="n">
        <v>45702</v>
      </c>
      <c r="C236" s="1" t="n">
        <v>46035</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26093-2023</t>
        </is>
      </c>
      <c r="B237" s="1" t="n">
        <v>45091.39362268519</v>
      </c>
      <c r="C237" s="1" t="n">
        <v>46035</v>
      </c>
      <c r="D237" t="inlineStr">
        <is>
          <t>ÖREBRO LÄN</t>
        </is>
      </c>
      <c r="E237" t="inlineStr">
        <is>
          <t>LINDESBERG</t>
        </is>
      </c>
      <c r="G237" t="n">
        <v>0.4</v>
      </c>
      <c r="H237" t="n">
        <v>0</v>
      </c>
      <c r="I237" t="n">
        <v>0</v>
      </c>
      <c r="J237" t="n">
        <v>0</v>
      </c>
      <c r="K237" t="n">
        <v>0</v>
      </c>
      <c r="L237" t="n">
        <v>0</v>
      </c>
      <c r="M237" t="n">
        <v>0</v>
      </c>
      <c r="N237" t="n">
        <v>0</v>
      </c>
      <c r="O237" t="n">
        <v>0</v>
      </c>
      <c r="P237" t="n">
        <v>0</v>
      </c>
      <c r="Q237" t="n">
        <v>0</v>
      </c>
      <c r="R237" s="2" t="inlineStr"/>
    </row>
    <row r="238" ht="15" customHeight="1">
      <c r="A238" t="inlineStr">
        <is>
          <t>A 17823-2021</t>
        </is>
      </c>
      <c r="B238" s="1" t="n">
        <v>44300</v>
      </c>
      <c r="C238" s="1" t="n">
        <v>46035</v>
      </c>
      <c r="D238" t="inlineStr">
        <is>
          <t>ÖREBRO LÄN</t>
        </is>
      </c>
      <c r="E238" t="inlineStr">
        <is>
          <t>LINDESBERG</t>
        </is>
      </c>
      <c r="G238" t="n">
        <v>3.9</v>
      </c>
      <c r="H238" t="n">
        <v>0</v>
      </c>
      <c r="I238" t="n">
        <v>0</v>
      </c>
      <c r="J238" t="n">
        <v>0</v>
      </c>
      <c r="K238" t="n">
        <v>0</v>
      </c>
      <c r="L238" t="n">
        <v>0</v>
      </c>
      <c r="M238" t="n">
        <v>0</v>
      </c>
      <c r="N238" t="n">
        <v>0</v>
      </c>
      <c r="O238" t="n">
        <v>0</v>
      </c>
      <c r="P238" t="n">
        <v>0</v>
      </c>
      <c r="Q238" t="n">
        <v>0</v>
      </c>
      <c r="R238" s="2" t="inlineStr"/>
    </row>
    <row r="239" ht="15" customHeight="1">
      <c r="A239" t="inlineStr">
        <is>
          <t>A 48489-2025</t>
        </is>
      </c>
      <c r="B239" s="1" t="n">
        <v>45936.36637731481</v>
      </c>
      <c r="C239" s="1" t="n">
        <v>46035</v>
      </c>
      <c r="D239" t="inlineStr">
        <is>
          <t>ÖREBRO LÄN</t>
        </is>
      </c>
      <c r="E239" t="inlineStr">
        <is>
          <t>LINDESBERG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21084-2021</t>
        </is>
      </c>
      <c r="B240" s="1" t="n">
        <v>44319</v>
      </c>
      <c r="C240" s="1" t="n">
        <v>46035</v>
      </c>
      <c r="D240" t="inlineStr">
        <is>
          <t>ÖREBRO LÄN</t>
        </is>
      </c>
      <c r="E240" t="inlineStr">
        <is>
          <t>LINDESBERG</t>
        </is>
      </c>
      <c r="G240" t="n">
        <v>3.1</v>
      </c>
      <c r="H240" t="n">
        <v>0</v>
      </c>
      <c r="I240" t="n">
        <v>0</v>
      </c>
      <c r="J240" t="n">
        <v>0</v>
      </c>
      <c r="K240" t="n">
        <v>0</v>
      </c>
      <c r="L240" t="n">
        <v>0</v>
      </c>
      <c r="M240" t="n">
        <v>0</v>
      </c>
      <c r="N240" t="n">
        <v>0</v>
      </c>
      <c r="O240" t="n">
        <v>0</v>
      </c>
      <c r="P240" t="n">
        <v>0</v>
      </c>
      <c r="Q240" t="n">
        <v>0</v>
      </c>
      <c r="R240" s="2" t="inlineStr"/>
    </row>
    <row r="241" ht="15" customHeight="1">
      <c r="A241" t="inlineStr">
        <is>
          <t>A 6161-2025</t>
        </is>
      </c>
      <c r="B241" s="1" t="n">
        <v>45698</v>
      </c>
      <c r="C241" s="1" t="n">
        <v>46035</v>
      </c>
      <c r="D241" t="inlineStr">
        <is>
          <t>ÖREBRO LÄN</t>
        </is>
      </c>
      <c r="E241" t="inlineStr">
        <is>
          <t>LINDESBERG</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6165-2025</t>
        </is>
      </c>
      <c r="B242" s="1" t="n">
        <v>45698</v>
      </c>
      <c r="C242" s="1" t="n">
        <v>46035</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6181-2025</t>
        </is>
      </c>
      <c r="B243" s="1" t="n">
        <v>45698</v>
      </c>
      <c r="C243" s="1" t="n">
        <v>46035</v>
      </c>
      <c r="D243" t="inlineStr">
        <is>
          <t>ÖREBRO LÄN</t>
        </is>
      </c>
      <c r="E243" t="inlineStr">
        <is>
          <t>LINDESBERG</t>
        </is>
      </c>
      <c r="G243" t="n">
        <v>2.8</v>
      </c>
      <c r="H243" t="n">
        <v>0</v>
      </c>
      <c r="I243" t="n">
        <v>0</v>
      </c>
      <c r="J243" t="n">
        <v>0</v>
      </c>
      <c r="K243" t="n">
        <v>0</v>
      </c>
      <c r="L243" t="n">
        <v>0</v>
      </c>
      <c r="M243" t="n">
        <v>0</v>
      </c>
      <c r="N243" t="n">
        <v>0</v>
      </c>
      <c r="O243" t="n">
        <v>0</v>
      </c>
      <c r="P243" t="n">
        <v>0</v>
      </c>
      <c r="Q243" t="n">
        <v>0</v>
      </c>
      <c r="R243" s="2" t="inlineStr"/>
    </row>
    <row r="244" ht="15" customHeight="1">
      <c r="A244" t="inlineStr">
        <is>
          <t>A 20804-2025</t>
        </is>
      </c>
      <c r="B244" s="1" t="n">
        <v>45776.65518518518</v>
      </c>
      <c r="C244" s="1" t="n">
        <v>46035</v>
      </c>
      <c r="D244" t="inlineStr">
        <is>
          <t>ÖREBRO LÄN</t>
        </is>
      </c>
      <c r="E244" t="inlineStr">
        <is>
          <t>LINDESBERG</t>
        </is>
      </c>
      <c r="G244" t="n">
        <v>3.2</v>
      </c>
      <c r="H244" t="n">
        <v>0</v>
      </c>
      <c r="I244" t="n">
        <v>0</v>
      </c>
      <c r="J244" t="n">
        <v>0</v>
      </c>
      <c r="K244" t="n">
        <v>0</v>
      </c>
      <c r="L244" t="n">
        <v>0</v>
      </c>
      <c r="M244" t="n">
        <v>0</v>
      </c>
      <c r="N244" t="n">
        <v>0</v>
      </c>
      <c r="O244" t="n">
        <v>0</v>
      </c>
      <c r="P244" t="n">
        <v>0</v>
      </c>
      <c r="Q244" t="n">
        <v>0</v>
      </c>
      <c r="R244" s="2" t="inlineStr"/>
    </row>
    <row r="245" ht="15" customHeight="1">
      <c r="A245" t="inlineStr">
        <is>
          <t>A 48750-2025</t>
        </is>
      </c>
      <c r="B245" s="1" t="n">
        <v>45936.68452546297</v>
      </c>
      <c r="C245" s="1" t="n">
        <v>46035</v>
      </c>
      <c r="D245" t="inlineStr">
        <is>
          <t>ÖREBRO LÄN</t>
        </is>
      </c>
      <c r="E245" t="inlineStr">
        <is>
          <t>LINDESBERG</t>
        </is>
      </c>
      <c r="G245" t="n">
        <v>2.1</v>
      </c>
      <c r="H245" t="n">
        <v>0</v>
      </c>
      <c r="I245" t="n">
        <v>0</v>
      </c>
      <c r="J245" t="n">
        <v>0</v>
      </c>
      <c r="K245" t="n">
        <v>0</v>
      </c>
      <c r="L245" t="n">
        <v>0</v>
      </c>
      <c r="M245" t="n">
        <v>0</v>
      </c>
      <c r="N245" t="n">
        <v>0</v>
      </c>
      <c r="O245" t="n">
        <v>0</v>
      </c>
      <c r="P245" t="n">
        <v>0</v>
      </c>
      <c r="Q245" t="n">
        <v>0</v>
      </c>
      <c r="R245" s="2" t="inlineStr"/>
    </row>
    <row r="246" ht="15" customHeight="1">
      <c r="A246" t="inlineStr">
        <is>
          <t>A 17995-2021</t>
        </is>
      </c>
      <c r="B246" s="1" t="n">
        <v>44301</v>
      </c>
      <c r="C246" s="1" t="n">
        <v>46035</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48495-2025</t>
        </is>
      </c>
      <c r="B247" s="1" t="n">
        <v>45936.37237268518</v>
      </c>
      <c r="C247" s="1" t="n">
        <v>46035</v>
      </c>
      <c r="D247" t="inlineStr">
        <is>
          <t>ÖREBRO LÄN</t>
        </is>
      </c>
      <c r="E247" t="inlineStr">
        <is>
          <t>LINDESBERG</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20923-2025</t>
        </is>
      </c>
      <c r="B248" s="1" t="n">
        <v>45777.41673611111</v>
      </c>
      <c r="C248" s="1" t="n">
        <v>46035</v>
      </c>
      <c r="D248" t="inlineStr">
        <is>
          <t>ÖREBRO LÄN</t>
        </is>
      </c>
      <c r="E248" t="inlineStr">
        <is>
          <t>LINDESBERG</t>
        </is>
      </c>
      <c r="F248" t="inlineStr">
        <is>
          <t>Sveaskog</t>
        </is>
      </c>
      <c r="G248" t="n">
        <v>10.3</v>
      </c>
      <c r="H248" t="n">
        <v>0</v>
      </c>
      <c r="I248" t="n">
        <v>0</v>
      </c>
      <c r="J248" t="n">
        <v>0</v>
      </c>
      <c r="K248" t="n">
        <v>0</v>
      </c>
      <c r="L248" t="n">
        <v>0</v>
      </c>
      <c r="M248" t="n">
        <v>0</v>
      </c>
      <c r="N248" t="n">
        <v>0</v>
      </c>
      <c r="O248" t="n">
        <v>0</v>
      </c>
      <c r="P248" t="n">
        <v>0</v>
      </c>
      <c r="Q248" t="n">
        <v>0</v>
      </c>
      <c r="R248" s="2" t="inlineStr"/>
    </row>
    <row r="249" ht="15" customHeight="1">
      <c r="A249" t="inlineStr">
        <is>
          <t>A 20950-2025</t>
        </is>
      </c>
      <c r="B249" s="1" t="n">
        <v>45777.43878472222</v>
      </c>
      <c r="C249" s="1" t="n">
        <v>46035</v>
      </c>
      <c r="D249" t="inlineStr">
        <is>
          <t>ÖREBRO LÄN</t>
        </is>
      </c>
      <c r="E249" t="inlineStr">
        <is>
          <t>LINDESBERG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12795-2025</t>
        </is>
      </c>
      <c r="B250" s="1" t="n">
        <v>45733.60959490741</v>
      </c>
      <c r="C250" s="1" t="n">
        <v>46035</v>
      </c>
      <c r="D250" t="inlineStr">
        <is>
          <t>ÖREBRO LÄN</t>
        </is>
      </c>
      <c r="E250" t="inlineStr">
        <is>
          <t>LINDESBERG</t>
        </is>
      </c>
      <c r="G250" t="n">
        <v>10.8</v>
      </c>
      <c r="H250" t="n">
        <v>0</v>
      </c>
      <c r="I250" t="n">
        <v>0</v>
      </c>
      <c r="J250" t="n">
        <v>0</v>
      </c>
      <c r="K250" t="n">
        <v>0</v>
      </c>
      <c r="L250" t="n">
        <v>0</v>
      </c>
      <c r="M250" t="n">
        <v>0</v>
      </c>
      <c r="N250" t="n">
        <v>0</v>
      </c>
      <c r="O250" t="n">
        <v>0</v>
      </c>
      <c r="P250" t="n">
        <v>0</v>
      </c>
      <c r="Q250" t="n">
        <v>0</v>
      </c>
      <c r="R250" s="2" t="inlineStr"/>
    </row>
    <row r="251" ht="15" customHeight="1">
      <c r="A251" t="inlineStr">
        <is>
          <t>A 20930-2025</t>
        </is>
      </c>
      <c r="B251" s="1" t="n">
        <v>45777.42628472222</v>
      </c>
      <c r="C251" s="1" t="n">
        <v>46035</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20944-2025</t>
        </is>
      </c>
      <c r="B252" s="1" t="n">
        <v>45777</v>
      </c>
      <c r="C252" s="1" t="n">
        <v>46035</v>
      </c>
      <c r="D252" t="inlineStr">
        <is>
          <t>ÖREBRO LÄN</t>
        </is>
      </c>
      <c r="E252" t="inlineStr">
        <is>
          <t>LINDESBERG</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48618-2025</t>
        </is>
      </c>
      <c r="B253" s="1" t="n">
        <v>45936.49026620371</v>
      </c>
      <c r="C253" s="1" t="n">
        <v>46035</v>
      </c>
      <c r="D253" t="inlineStr">
        <is>
          <t>ÖREBRO LÄN</t>
        </is>
      </c>
      <c r="E253" t="inlineStr">
        <is>
          <t>LINDESBERG</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38534-2025</t>
        </is>
      </c>
      <c r="B254" s="1" t="n">
        <v>45884</v>
      </c>
      <c r="C254" s="1" t="n">
        <v>46035</v>
      </c>
      <c r="D254" t="inlineStr">
        <is>
          <t>ÖREBRO LÄN</t>
        </is>
      </c>
      <c r="E254" t="inlineStr">
        <is>
          <t>LINDESBERG</t>
        </is>
      </c>
      <c r="G254" t="n">
        <v>4.9</v>
      </c>
      <c r="H254" t="n">
        <v>0</v>
      </c>
      <c r="I254" t="n">
        <v>0</v>
      </c>
      <c r="J254" t="n">
        <v>0</v>
      </c>
      <c r="K254" t="n">
        <v>0</v>
      </c>
      <c r="L254" t="n">
        <v>0</v>
      </c>
      <c r="M254" t="n">
        <v>0</v>
      </c>
      <c r="N254" t="n">
        <v>0</v>
      </c>
      <c r="O254" t="n">
        <v>0</v>
      </c>
      <c r="P254" t="n">
        <v>0</v>
      </c>
      <c r="Q254" t="n">
        <v>0</v>
      </c>
      <c r="R254" s="2" t="inlineStr"/>
    </row>
    <row r="255" ht="15" customHeight="1">
      <c r="A255" t="inlineStr">
        <is>
          <t>A 48497-2025</t>
        </is>
      </c>
      <c r="B255" s="1" t="n">
        <v>45936.37523148148</v>
      </c>
      <c r="C255" s="1" t="n">
        <v>46035</v>
      </c>
      <c r="D255" t="inlineStr">
        <is>
          <t>ÖREBRO LÄN</t>
        </is>
      </c>
      <c r="E255" t="inlineStr">
        <is>
          <t>LINDESBERG</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51656-2023</t>
        </is>
      </c>
      <c r="B256" s="1" t="n">
        <v>45222</v>
      </c>
      <c r="C256" s="1" t="n">
        <v>46035</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19914-2024</t>
        </is>
      </c>
      <c r="B257" s="1" t="n">
        <v>45433.58099537037</v>
      </c>
      <c r="C257" s="1" t="n">
        <v>46035</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12739-2024</t>
        </is>
      </c>
      <c r="B258" s="1" t="n">
        <v>45384</v>
      </c>
      <c r="C258" s="1" t="n">
        <v>46035</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56561-2023</t>
        </is>
      </c>
      <c r="B259" s="1" t="n">
        <v>45243</v>
      </c>
      <c r="C259" s="1" t="n">
        <v>46035</v>
      </c>
      <c r="D259" t="inlineStr">
        <is>
          <t>ÖREBRO LÄN</t>
        </is>
      </c>
      <c r="E259" t="inlineStr">
        <is>
          <t>LINDESBERG</t>
        </is>
      </c>
      <c r="G259" t="n">
        <v>1.9</v>
      </c>
      <c r="H259" t="n">
        <v>0</v>
      </c>
      <c r="I259" t="n">
        <v>0</v>
      </c>
      <c r="J259" t="n">
        <v>0</v>
      </c>
      <c r="K259" t="n">
        <v>0</v>
      </c>
      <c r="L259" t="n">
        <v>0</v>
      </c>
      <c r="M259" t="n">
        <v>0</v>
      </c>
      <c r="N259" t="n">
        <v>0</v>
      </c>
      <c r="O259" t="n">
        <v>0</v>
      </c>
      <c r="P259" t="n">
        <v>0</v>
      </c>
      <c r="Q259" t="n">
        <v>0</v>
      </c>
      <c r="R259" s="2" t="inlineStr"/>
    </row>
    <row r="260" ht="15" customHeight="1">
      <c r="A260" t="inlineStr">
        <is>
          <t>A 56579-2023</t>
        </is>
      </c>
      <c r="B260" s="1" t="n">
        <v>45243.62420138889</v>
      </c>
      <c r="C260" s="1" t="n">
        <v>46035</v>
      </c>
      <c r="D260" t="inlineStr">
        <is>
          <t>ÖREBRO LÄN</t>
        </is>
      </c>
      <c r="E260" t="inlineStr">
        <is>
          <t>LINDESBERG</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56582-2023</t>
        </is>
      </c>
      <c r="B261" s="1" t="n">
        <v>45243</v>
      </c>
      <c r="C261" s="1" t="n">
        <v>46035</v>
      </c>
      <c r="D261" t="inlineStr">
        <is>
          <t>ÖREBRO LÄN</t>
        </is>
      </c>
      <c r="E261" t="inlineStr">
        <is>
          <t>LINDESBERG</t>
        </is>
      </c>
      <c r="F261" t="inlineStr">
        <is>
          <t>Naturvårdsverket</t>
        </is>
      </c>
      <c r="G261" t="n">
        <v>2.3</v>
      </c>
      <c r="H261" t="n">
        <v>0</v>
      </c>
      <c r="I261" t="n">
        <v>0</v>
      </c>
      <c r="J261" t="n">
        <v>0</v>
      </c>
      <c r="K261" t="n">
        <v>0</v>
      </c>
      <c r="L261" t="n">
        <v>0</v>
      </c>
      <c r="M261" t="n">
        <v>0</v>
      </c>
      <c r="N261" t="n">
        <v>0</v>
      </c>
      <c r="O261" t="n">
        <v>0</v>
      </c>
      <c r="P261" t="n">
        <v>0</v>
      </c>
      <c r="Q261" t="n">
        <v>0</v>
      </c>
      <c r="R261" s="2" t="inlineStr"/>
    </row>
    <row r="262" ht="15" customHeight="1">
      <c r="A262" t="inlineStr">
        <is>
          <t>A 56217-2022</t>
        </is>
      </c>
      <c r="B262" s="1" t="n">
        <v>44890.46174768519</v>
      </c>
      <c r="C262" s="1" t="n">
        <v>46035</v>
      </c>
      <c r="D262" t="inlineStr">
        <is>
          <t>ÖREBRO LÄN</t>
        </is>
      </c>
      <c r="E262" t="inlineStr">
        <is>
          <t>LINDESBERG</t>
        </is>
      </c>
      <c r="G262" t="n">
        <v>6.9</v>
      </c>
      <c r="H262" t="n">
        <v>0</v>
      </c>
      <c r="I262" t="n">
        <v>0</v>
      </c>
      <c r="J262" t="n">
        <v>0</v>
      </c>
      <c r="K262" t="n">
        <v>0</v>
      </c>
      <c r="L262" t="n">
        <v>0</v>
      </c>
      <c r="M262" t="n">
        <v>0</v>
      </c>
      <c r="N262" t="n">
        <v>0</v>
      </c>
      <c r="O262" t="n">
        <v>0</v>
      </c>
      <c r="P262" t="n">
        <v>0</v>
      </c>
      <c r="Q262" t="n">
        <v>0</v>
      </c>
      <c r="R262" s="2" t="inlineStr"/>
    </row>
    <row r="263" ht="15" customHeight="1">
      <c r="A263" t="inlineStr">
        <is>
          <t>A 38861-2025</t>
        </is>
      </c>
      <c r="B263" s="1" t="n">
        <v>45887.56101851852</v>
      </c>
      <c r="C263" s="1" t="n">
        <v>46035</v>
      </c>
      <c r="D263" t="inlineStr">
        <is>
          <t>ÖREBRO LÄN</t>
        </is>
      </c>
      <c r="E263" t="inlineStr">
        <is>
          <t>LINDESBERG</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48620-2025</t>
        </is>
      </c>
      <c r="B264" s="1" t="n">
        <v>45936.49210648148</v>
      </c>
      <c r="C264" s="1" t="n">
        <v>46035</v>
      </c>
      <c r="D264" t="inlineStr">
        <is>
          <t>ÖREBRO LÄN</t>
        </is>
      </c>
      <c r="E264" t="inlineStr">
        <is>
          <t>LINDESBERG</t>
        </is>
      </c>
      <c r="F264" t="inlineStr">
        <is>
          <t>Sveaskog</t>
        </is>
      </c>
      <c r="G264" t="n">
        <v>5.2</v>
      </c>
      <c r="H264" t="n">
        <v>0</v>
      </c>
      <c r="I264" t="n">
        <v>0</v>
      </c>
      <c r="J264" t="n">
        <v>0</v>
      </c>
      <c r="K264" t="n">
        <v>0</v>
      </c>
      <c r="L264" t="n">
        <v>0</v>
      </c>
      <c r="M264" t="n">
        <v>0</v>
      </c>
      <c r="N264" t="n">
        <v>0</v>
      </c>
      <c r="O264" t="n">
        <v>0</v>
      </c>
      <c r="P264" t="n">
        <v>0</v>
      </c>
      <c r="Q264" t="n">
        <v>0</v>
      </c>
      <c r="R264" s="2" t="inlineStr"/>
    </row>
    <row r="265" ht="15" customHeight="1">
      <c r="A265" t="inlineStr">
        <is>
          <t>A 40305-2024</t>
        </is>
      </c>
      <c r="B265" s="1" t="n">
        <v>45554.71863425926</v>
      </c>
      <c r="C265" s="1" t="n">
        <v>46035</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27134-2024</t>
        </is>
      </c>
      <c r="B266" s="1" t="n">
        <v>45471.52878472222</v>
      </c>
      <c r="C266" s="1" t="n">
        <v>46035</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33280-2024</t>
        </is>
      </c>
      <c r="B267" s="1" t="n">
        <v>45518.71048611111</v>
      </c>
      <c r="C267" s="1" t="n">
        <v>46035</v>
      </c>
      <c r="D267" t="inlineStr">
        <is>
          <t>ÖREBRO LÄN</t>
        </is>
      </c>
      <c r="E267" t="inlineStr">
        <is>
          <t>LINDESBERG</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21812-2025</t>
        </is>
      </c>
      <c r="B268" s="1" t="n">
        <v>45783.71833333333</v>
      </c>
      <c r="C268" s="1" t="n">
        <v>46035</v>
      </c>
      <c r="D268" t="inlineStr">
        <is>
          <t>ÖREBRO LÄN</t>
        </is>
      </c>
      <c r="E268" t="inlineStr">
        <is>
          <t>LINDESBERG</t>
        </is>
      </c>
      <c r="G268" t="n">
        <v>0.9</v>
      </c>
      <c r="H268" t="n">
        <v>0</v>
      </c>
      <c r="I268" t="n">
        <v>0</v>
      </c>
      <c r="J268" t="n">
        <v>0</v>
      </c>
      <c r="K268" t="n">
        <v>0</v>
      </c>
      <c r="L268" t="n">
        <v>0</v>
      </c>
      <c r="M268" t="n">
        <v>0</v>
      </c>
      <c r="N268" t="n">
        <v>0</v>
      </c>
      <c r="O268" t="n">
        <v>0</v>
      </c>
      <c r="P268" t="n">
        <v>0</v>
      </c>
      <c r="Q268" t="n">
        <v>0</v>
      </c>
      <c r="R268" s="2" t="inlineStr"/>
    </row>
    <row r="269" ht="15" customHeight="1">
      <c r="A269" t="inlineStr">
        <is>
          <t>A 31861-2024</t>
        </is>
      </c>
      <c r="B269" s="1" t="n">
        <v>45509.73383101852</v>
      </c>
      <c r="C269" s="1" t="n">
        <v>46035</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21012-2023</t>
        </is>
      </c>
      <c r="B270" s="1" t="n">
        <v>45061.52474537037</v>
      </c>
      <c r="C270" s="1" t="n">
        <v>46035</v>
      </c>
      <c r="D270" t="inlineStr">
        <is>
          <t>ÖREBRO LÄN</t>
        </is>
      </c>
      <c r="E270" t="inlineStr">
        <is>
          <t>LINDESBERG</t>
        </is>
      </c>
      <c r="G270" t="n">
        <v>0.5</v>
      </c>
      <c r="H270" t="n">
        <v>0</v>
      </c>
      <c r="I270" t="n">
        <v>0</v>
      </c>
      <c r="J270" t="n">
        <v>0</v>
      </c>
      <c r="K270" t="n">
        <v>0</v>
      </c>
      <c r="L270" t="n">
        <v>0</v>
      </c>
      <c r="M270" t="n">
        <v>0</v>
      </c>
      <c r="N270" t="n">
        <v>0</v>
      </c>
      <c r="O270" t="n">
        <v>0</v>
      </c>
      <c r="P270" t="n">
        <v>0</v>
      </c>
      <c r="Q270" t="n">
        <v>0</v>
      </c>
      <c r="R270" s="2" t="inlineStr"/>
    </row>
    <row r="271" ht="15" customHeight="1">
      <c r="A271" t="inlineStr">
        <is>
          <t>A 43195-2024</t>
        </is>
      </c>
      <c r="B271" s="1" t="n">
        <v>45567.68003472222</v>
      </c>
      <c r="C271" s="1" t="n">
        <v>46035</v>
      </c>
      <c r="D271" t="inlineStr">
        <is>
          <t>ÖREBRO LÄN</t>
        </is>
      </c>
      <c r="E271" t="inlineStr">
        <is>
          <t>LINDESBERG</t>
        </is>
      </c>
      <c r="G271" t="n">
        <v>27.8</v>
      </c>
      <c r="H271" t="n">
        <v>0</v>
      </c>
      <c r="I271" t="n">
        <v>0</v>
      </c>
      <c r="J271" t="n">
        <v>0</v>
      </c>
      <c r="K271" t="n">
        <v>0</v>
      </c>
      <c r="L271" t="n">
        <v>0</v>
      </c>
      <c r="M271" t="n">
        <v>0</v>
      </c>
      <c r="N271" t="n">
        <v>0</v>
      </c>
      <c r="O271" t="n">
        <v>0</v>
      </c>
      <c r="P271" t="n">
        <v>0</v>
      </c>
      <c r="Q271" t="n">
        <v>0</v>
      </c>
      <c r="R271" s="2" t="inlineStr"/>
    </row>
    <row r="272" ht="15" customHeight="1">
      <c r="A272" t="inlineStr">
        <is>
          <t>A 24583-2024</t>
        </is>
      </c>
      <c r="B272" s="1" t="n">
        <v>45460.46358796296</v>
      </c>
      <c r="C272" s="1" t="n">
        <v>46035</v>
      </c>
      <c r="D272" t="inlineStr">
        <is>
          <t>ÖREBRO LÄN</t>
        </is>
      </c>
      <c r="E272" t="inlineStr">
        <is>
          <t>LINDESBERG</t>
        </is>
      </c>
      <c r="G272" t="n">
        <v>13.7</v>
      </c>
      <c r="H272" t="n">
        <v>0</v>
      </c>
      <c r="I272" t="n">
        <v>0</v>
      </c>
      <c r="J272" t="n">
        <v>0</v>
      </c>
      <c r="K272" t="n">
        <v>0</v>
      </c>
      <c r="L272" t="n">
        <v>0</v>
      </c>
      <c r="M272" t="n">
        <v>0</v>
      </c>
      <c r="N272" t="n">
        <v>0</v>
      </c>
      <c r="O272" t="n">
        <v>0</v>
      </c>
      <c r="P272" t="n">
        <v>0</v>
      </c>
      <c r="Q272" t="n">
        <v>0</v>
      </c>
      <c r="R272" s="2" t="inlineStr"/>
    </row>
    <row r="273" ht="15" customHeight="1">
      <c r="A273" t="inlineStr">
        <is>
          <t>A 28776-2023</t>
        </is>
      </c>
      <c r="B273" s="1" t="n">
        <v>45104.34107638889</v>
      </c>
      <c r="C273" s="1" t="n">
        <v>46035</v>
      </c>
      <c r="D273" t="inlineStr">
        <is>
          <t>ÖREBRO LÄN</t>
        </is>
      </c>
      <c r="E273" t="inlineStr">
        <is>
          <t>LINDESBERG</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24944-2024</t>
        </is>
      </c>
      <c r="B274" s="1" t="n">
        <v>45461.62924768519</v>
      </c>
      <c r="C274" s="1" t="n">
        <v>46035</v>
      </c>
      <c r="D274" t="inlineStr">
        <is>
          <t>ÖREBRO LÄN</t>
        </is>
      </c>
      <c r="E274" t="inlineStr">
        <is>
          <t>LINDESBERG</t>
        </is>
      </c>
      <c r="F274" t="inlineStr">
        <is>
          <t>Kyrkan</t>
        </is>
      </c>
      <c r="G274" t="n">
        <v>13.7</v>
      </c>
      <c r="H274" t="n">
        <v>0</v>
      </c>
      <c r="I274" t="n">
        <v>0</v>
      </c>
      <c r="J274" t="n">
        <v>0</v>
      </c>
      <c r="K274" t="n">
        <v>0</v>
      </c>
      <c r="L274" t="n">
        <v>0</v>
      </c>
      <c r="M274" t="n">
        <v>0</v>
      </c>
      <c r="N274" t="n">
        <v>0</v>
      </c>
      <c r="O274" t="n">
        <v>0</v>
      </c>
      <c r="P274" t="n">
        <v>0</v>
      </c>
      <c r="Q274" t="n">
        <v>0</v>
      </c>
      <c r="R274" s="2" t="inlineStr"/>
    </row>
    <row r="275" ht="15" customHeight="1">
      <c r="A275" t="inlineStr">
        <is>
          <t>A 37432-2022</t>
        </is>
      </c>
      <c r="B275" s="1" t="n">
        <v>44809</v>
      </c>
      <c r="C275" s="1" t="n">
        <v>46035</v>
      </c>
      <c r="D275" t="inlineStr">
        <is>
          <t>ÖREBRO LÄN</t>
        </is>
      </c>
      <c r="E275" t="inlineStr">
        <is>
          <t>LINDESBERG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53054-2022</t>
        </is>
      </c>
      <c r="B276" s="1" t="n">
        <v>44876.35706018518</v>
      </c>
      <c r="C276" s="1" t="n">
        <v>46035</v>
      </c>
      <c r="D276" t="inlineStr">
        <is>
          <t>ÖREBRO LÄN</t>
        </is>
      </c>
      <c r="E276" t="inlineStr">
        <is>
          <t>LINDESBERG</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39424-2025</t>
        </is>
      </c>
      <c r="B277" s="1" t="n">
        <v>45889.67290509259</v>
      </c>
      <c r="C277" s="1" t="n">
        <v>46035</v>
      </c>
      <c r="D277" t="inlineStr">
        <is>
          <t>ÖREBRO LÄN</t>
        </is>
      </c>
      <c r="E277" t="inlineStr">
        <is>
          <t>LINDESBERG</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39429-2025</t>
        </is>
      </c>
      <c r="B278" s="1" t="n">
        <v>45889.67577546297</v>
      </c>
      <c r="C278" s="1" t="n">
        <v>46035</v>
      </c>
      <c r="D278" t="inlineStr">
        <is>
          <t>ÖREBRO LÄN</t>
        </is>
      </c>
      <c r="E278" t="inlineStr">
        <is>
          <t>LINDESBERG</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39421-2025</t>
        </is>
      </c>
      <c r="B279" s="1" t="n">
        <v>45889.66935185185</v>
      </c>
      <c r="C279" s="1" t="n">
        <v>46035</v>
      </c>
      <c r="D279" t="inlineStr">
        <is>
          <t>ÖREBRO LÄN</t>
        </is>
      </c>
      <c r="E279" t="inlineStr">
        <is>
          <t>LINDESBERG</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22438-2025</t>
        </is>
      </c>
      <c r="B280" s="1" t="n">
        <v>45786</v>
      </c>
      <c r="C280" s="1" t="n">
        <v>46035</v>
      </c>
      <c r="D280" t="inlineStr">
        <is>
          <t>ÖREBRO LÄN</t>
        </is>
      </c>
      <c r="E280" t="inlineStr">
        <is>
          <t>LINDESBERG</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43532-2024</t>
        </is>
      </c>
      <c r="B281" s="1" t="n">
        <v>45569.3533912037</v>
      </c>
      <c r="C281" s="1" t="n">
        <v>46035</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59282-2023</t>
        </is>
      </c>
      <c r="B282" s="1" t="n">
        <v>45253</v>
      </c>
      <c r="C282" s="1" t="n">
        <v>46035</v>
      </c>
      <c r="D282" t="inlineStr">
        <is>
          <t>ÖREBRO LÄN</t>
        </is>
      </c>
      <c r="E282" t="inlineStr">
        <is>
          <t>LINDESBERG</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50619-2022</t>
        </is>
      </c>
      <c r="B283" s="1" t="n">
        <v>44866.79668981482</v>
      </c>
      <c r="C283" s="1" t="n">
        <v>46035</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47601-2023</t>
        </is>
      </c>
      <c r="B284" s="1" t="n">
        <v>45203.45681712963</v>
      </c>
      <c r="C284" s="1" t="n">
        <v>46035</v>
      </c>
      <c r="D284" t="inlineStr">
        <is>
          <t>ÖREBRO LÄN</t>
        </is>
      </c>
      <c r="E284" t="inlineStr">
        <is>
          <t>LINDESBERG</t>
        </is>
      </c>
      <c r="G284" t="n">
        <v>37.6</v>
      </c>
      <c r="H284" t="n">
        <v>0</v>
      </c>
      <c r="I284" t="n">
        <v>0</v>
      </c>
      <c r="J284" t="n">
        <v>0</v>
      </c>
      <c r="K284" t="n">
        <v>0</v>
      </c>
      <c r="L284" t="n">
        <v>0</v>
      </c>
      <c r="M284" t="n">
        <v>0</v>
      </c>
      <c r="N284" t="n">
        <v>0</v>
      </c>
      <c r="O284" t="n">
        <v>0</v>
      </c>
      <c r="P284" t="n">
        <v>0</v>
      </c>
      <c r="Q284" t="n">
        <v>0</v>
      </c>
      <c r="R284" s="2" t="inlineStr"/>
    </row>
    <row r="285" ht="15" customHeight="1">
      <c r="A285" t="inlineStr">
        <is>
          <t>A 37604-2025</t>
        </is>
      </c>
      <c r="B285" s="1" t="n">
        <v>45880</v>
      </c>
      <c r="C285" s="1" t="n">
        <v>46035</v>
      </c>
      <c r="D285" t="inlineStr">
        <is>
          <t>ÖREBRO LÄN</t>
        </is>
      </c>
      <c r="E285" t="inlineStr">
        <is>
          <t>LINDESBERG</t>
        </is>
      </c>
      <c r="G285" t="n">
        <v>6.3</v>
      </c>
      <c r="H285" t="n">
        <v>0</v>
      </c>
      <c r="I285" t="n">
        <v>0</v>
      </c>
      <c r="J285" t="n">
        <v>0</v>
      </c>
      <c r="K285" t="n">
        <v>0</v>
      </c>
      <c r="L285" t="n">
        <v>0</v>
      </c>
      <c r="M285" t="n">
        <v>0</v>
      </c>
      <c r="N285" t="n">
        <v>0</v>
      </c>
      <c r="O285" t="n">
        <v>0</v>
      </c>
      <c r="P285" t="n">
        <v>0</v>
      </c>
      <c r="Q285" t="n">
        <v>0</v>
      </c>
      <c r="R285" s="2" t="inlineStr"/>
    </row>
    <row r="286" ht="15" customHeight="1">
      <c r="A286" t="inlineStr">
        <is>
          <t>A 62308-2023</t>
        </is>
      </c>
      <c r="B286" s="1" t="n">
        <v>45267.69052083333</v>
      </c>
      <c r="C286" s="1" t="n">
        <v>46035</v>
      </c>
      <c r="D286" t="inlineStr">
        <is>
          <t>ÖREBRO LÄN</t>
        </is>
      </c>
      <c r="E286" t="inlineStr">
        <is>
          <t>LINDESBERG</t>
        </is>
      </c>
      <c r="F286" t="inlineStr">
        <is>
          <t>Naturvårdsverket</t>
        </is>
      </c>
      <c r="G286" t="n">
        <v>3.1</v>
      </c>
      <c r="H286" t="n">
        <v>0</v>
      </c>
      <c r="I286" t="n">
        <v>0</v>
      </c>
      <c r="J286" t="n">
        <v>0</v>
      </c>
      <c r="K286" t="n">
        <v>0</v>
      </c>
      <c r="L286" t="n">
        <v>0</v>
      </c>
      <c r="M286" t="n">
        <v>0</v>
      </c>
      <c r="N286" t="n">
        <v>0</v>
      </c>
      <c r="O286" t="n">
        <v>0</v>
      </c>
      <c r="P286" t="n">
        <v>0</v>
      </c>
      <c r="Q286" t="n">
        <v>0</v>
      </c>
      <c r="R286" s="2" t="inlineStr"/>
    </row>
    <row r="287" ht="15" customHeight="1">
      <c r="A287" t="inlineStr">
        <is>
          <t>A 46603-2021</t>
        </is>
      </c>
      <c r="B287" s="1" t="n">
        <v>44445</v>
      </c>
      <c r="C287" s="1" t="n">
        <v>46035</v>
      </c>
      <c r="D287" t="inlineStr">
        <is>
          <t>ÖREBRO LÄN</t>
        </is>
      </c>
      <c r="E287" t="inlineStr">
        <is>
          <t>LINDESBERG</t>
        </is>
      </c>
      <c r="F287" t="inlineStr">
        <is>
          <t>Sveaskog</t>
        </is>
      </c>
      <c r="G287" t="n">
        <v>2.4</v>
      </c>
      <c r="H287" t="n">
        <v>0</v>
      </c>
      <c r="I287" t="n">
        <v>0</v>
      </c>
      <c r="J287" t="n">
        <v>0</v>
      </c>
      <c r="K287" t="n">
        <v>0</v>
      </c>
      <c r="L287" t="n">
        <v>0</v>
      </c>
      <c r="M287" t="n">
        <v>0</v>
      </c>
      <c r="N287" t="n">
        <v>0</v>
      </c>
      <c r="O287" t="n">
        <v>0</v>
      </c>
      <c r="P287" t="n">
        <v>0</v>
      </c>
      <c r="Q287" t="n">
        <v>0</v>
      </c>
      <c r="R287" s="2" t="inlineStr"/>
    </row>
    <row r="288" ht="15" customHeight="1">
      <c r="A288" t="inlineStr">
        <is>
          <t>A 22078-2025</t>
        </is>
      </c>
      <c r="B288" s="1" t="n">
        <v>45785.4253125</v>
      </c>
      <c r="C288" s="1" t="n">
        <v>46035</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41343-2021</t>
        </is>
      </c>
      <c r="B289" s="1" t="n">
        <v>44424.61709490741</v>
      </c>
      <c r="C289" s="1" t="n">
        <v>46035</v>
      </c>
      <c r="D289" t="inlineStr">
        <is>
          <t>ÖREBRO LÄN</t>
        </is>
      </c>
      <c r="E289" t="inlineStr">
        <is>
          <t>LINDESBERG</t>
        </is>
      </c>
      <c r="G289" t="n">
        <v>8.9</v>
      </c>
      <c r="H289" t="n">
        <v>0</v>
      </c>
      <c r="I289" t="n">
        <v>0</v>
      </c>
      <c r="J289" t="n">
        <v>0</v>
      </c>
      <c r="K289" t="n">
        <v>0</v>
      </c>
      <c r="L289" t="n">
        <v>0</v>
      </c>
      <c r="M289" t="n">
        <v>0</v>
      </c>
      <c r="N289" t="n">
        <v>0</v>
      </c>
      <c r="O289" t="n">
        <v>0</v>
      </c>
      <c r="P289" t="n">
        <v>0</v>
      </c>
      <c r="Q289" t="n">
        <v>0</v>
      </c>
      <c r="R289" s="2" t="inlineStr"/>
    </row>
    <row r="290" ht="15" customHeight="1">
      <c r="A290" t="inlineStr">
        <is>
          <t>A 36686-2024</t>
        </is>
      </c>
      <c r="B290" s="1" t="n">
        <v>45537.665</v>
      </c>
      <c r="C290" s="1" t="n">
        <v>46035</v>
      </c>
      <c r="D290" t="inlineStr">
        <is>
          <t>ÖREBRO LÄN</t>
        </is>
      </c>
      <c r="E290" t="inlineStr">
        <is>
          <t>LINDESBERG</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53355-2023</t>
        </is>
      </c>
      <c r="B291" s="1" t="n">
        <v>45229.66430555555</v>
      </c>
      <c r="C291" s="1" t="n">
        <v>46035</v>
      </c>
      <c r="D291" t="inlineStr">
        <is>
          <t>ÖREBRO LÄN</t>
        </is>
      </c>
      <c r="E291" t="inlineStr">
        <is>
          <t>LINDESBERG</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23641-2024</t>
        </is>
      </c>
      <c r="B292" s="1" t="n">
        <v>45454.49679398148</v>
      </c>
      <c r="C292" s="1" t="n">
        <v>46035</v>
      </c>
      <c r="D292" t="inlineStr">
        <is>
          <t>ÖREBRO LÄN</t>
        </is>
      </c>
      <c r="E292" t="inlineStr">
        <is>
          <t>LINDESBERG</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40366-2025</t>
        </is>
      </c>
      <c r="B293" s="1" t="n">
        <v>45895.49994212963</v>
      </c>
      <c r="C293" s="1" t="n">
        <v>46035</v>
      </c>
      <c r="D293" t="inlineStr">
        <is>
          <t>ÖREBRO LÄN</t>
        </is>
      </c>
      <c r="E293" t="inlineStr">
        <is>
          <t>LINDESBERG</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36680-2024</t>
        </is>
      </c>
      <c r="B294" s="1" t="n">
        <v>45537.65305555556</v>
      </c>
      <c r="C294" s="1" t="n">
        <v>46035</v>
      </c>
      <c r="D294" t="inlineStr">
        <is>
          <t>ÖREBRO LÄN</t>
        </is>
      </c>
      <c r="E294" t="inlineStr">
        <is>
          <t>LINDESBERG</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40357-2025</t>
        </is>
      </c>
      <c r="B295" s="1" t="n">
        <v>45895.48927083334</v>
      </c>
      <c r="C295" s="1" t="n">
        <v>46035</v>
      </c>
      <c r="D295" t="inlineStr">
        <is>
          <t>ÖREBRO LÄN</t>
        </is>
      </c>
      <c r="E295" t="inlineStr">
        <is>
          <t>LINDESBERG</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58662-2022</t>
        </is>
      </c>
      <c r="B296" s="1" t="n">
        <v>44902</v>
      </c>
      <c r="C296" s="1" t="n">
        <v>46035</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54793-2024</t>
        </is>
      </c>
      <c r="B297" s="1" t="n">
        <v>45618</v>
      </c>
      <c r="C297" s="1" t="n">
        <v>46035</v>
      </c>
      <c r="D297" t="inlineStr">
        <is>
          <t>ÖREBRO LÄN</t>
        </is>
      </c>
      <c r="E297" t="inlineStr">
        <is>
          <t>LINDESBERG</t>
        </is>
      </c>
      <c r="G297" t="n">
        <v>3</v>
      </c>
      <c r="H297" t="n">
        <v>0</v>
      </c>
      <c r="I297" t="n">
        <v>0</v>
      </c>
      <c r="J297" t="n">
        <v>0</v>
      </c>
      <c r="K297" t="n">
        <v>0</v>
      </c>
      <c r="L297" t="n">
        <v>0</v>
      </c>
      <c r="M297" t="n">
        <v>0</v>
      </c>
      <c r="N297" t="n">
        <v>0</v>
      </c>
      <c r="O297" t="n">
        <v>0</v>
      </c>
      <c r="P297" t="n">
        <v>0</v>
      </c>
      <c r="Q297" t="n">
        <v>0</v>
      </c>
      <c r="R297" s="2" t="inlineStr"/>
    </row>
    <row r="298" ht="15" customHeight="1">
      <c r="A298" t="inlineStr">
        <is>
          <t>A 40351-2025</t>
        </is>
      </c>
      <c r="B298" s="1" t="n">
        <v>45895.48394675926</v>
      </c>
      <c r="C298" s="1" t="n">
        <v>46035</v>
      </c>
      <c r="D298" t="inlineStr">
        <is>
          <t>ÖREBRO LÄN</t>
        </is>
      </c>
      <c r="E298" t="inlineStr">
        <is>
          <t>LINDESBERG</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40347-2025</t>
        </is>
      </c>
      <c r="B299" s="1" t="n">
        <v>45895.4790625</v>
      </c>
      <c r="C299" s="1" t="n">
        <v>46035</v>
      </c>
      <c r="D299" t="inlineStr">
        <is>
          <t>ÖREBRO LÄN</t>
        </is>
      </c>
      <c r="E299" t="inlineStr">
        <is>
          <t>LINDESBERG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40346-2025</t>
        </is>
      </c>
      <c r="B300" s="1" t="n">
        <v>45895.47704861111</v>
      </c>
      <c r="C300" s="1" t="n">
        <v>46035</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48953-2025</t>
        </is>
      </c>
      <c r="B301" s="1" t="n">
        <v>45937.54697916667</v>
      </c>
      <c r="C301" s="1" t="n">
        <v>46035</v>
      </c>
      <c r="D301" t="inlineStr">
        <is>
          <t>ÖREBRO LÄN</t>
        </is>
      </c>
      <c r="E301" t="inlineStr">
        <is>
          <t>LINDESBERG</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48971-2025</t>
        </is>
      </c>
      <c r="B302" s="1" t="n">
        <v>45937.56420138889</v>
      </c>
      <c r="C302" s="1" t="n">
        <v>46035</v>
      </c>
      <c r="D302" t="inlineStr">
        <is>
          <t>ÖREBRO LÄN</t>
        </is>
      </c>
      <c r="E302" t="inlineStr">
        <is>
          <t>LINDESBERG</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48975-2025</t>
        </is>
      </c>
      <c r="B303" s="1" t="n">
        <v>45937.56798611111</v>
      </c>
      <c r="C303" s="1" t="n">
        <v>46035</v>
      </c>
      <c r="D303" t="inlineStr">
        <is>
          <t>ÖREBRO LÄN</t>
        </is>
      </c>
      <c r="E303" t="inlineStr">
        <is>
          <t>LINDESBERG</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22543-2025</t>
        </is>
      </c>
      <c r="B304" s="1" t="n">
        <v>45788.42467592593</v>
      </c>
      <c r="C304" s="1" t="n">
        <v>46035</v>
      </c>
      <c r="D304" t="inlineStr">
        <is>
          <t>ÖREBRO LÄN</t>
        </is>
      </c>
      <c r="E304" t="inlineStr">
        <is>
          <t>LINDESBERG</t>
        </is>
      </c>
      <c r="G304" t="n">
        <v>6.7</v>
      </c>
      <c r="H304" t="n">
        <v>0</v>
      </c>
      <c r="I304" t="n">
        <v>0</v>
      </c>
      <c r="J304" t="n">
        <v>0</v>
      </c>
      <c r="K304" t="n">
        <v>0</v>
      </c>
      <c r="L304" t="n">
        <v>0</v>
      </c>
      <c r="M304" t="n">
        <v>0</v>
      </c>
      <c r="N304" t="n">
        <v>0</v>
      </c>
      <c r="O304" t="n">
        <v>0</v>
      </c>
      <c r="P304" t="n">
        <v>0</v>
      </c>
      <c r="Q304" t="n">
        <v>0</v>
      </c>
      <c r="R304" s="2" t="inlineStr"/>
    </row>
    <row r="305" ht="15" customHeight="1">
      <c r="A305" t="inlineStr">
        <is>
          <t>A 28032-2023</t>
        </is>
      </c>
      <c r="B305" s="1" t="n">
        <v>45099</v>
      </c>
      <c r="C305" s="1" t="n">
        <v>46035</v>
      </c>
      <c r="D305" t="inlineStr">
        <is>
          <t>ÖREBRO LÄN</t>
        </is>
      </c>
      <c r="E305" t="inlineStr">
        <is>
          <t>LINDESBERG</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4067-2024</t>
        </is>
      </c>
      <c r="B306" s="1" t="n">
        <v>45323</v>
      </c>
      <c r="C306" s="1" t="n">
        <v>46035</v>
      </c>
      <c r="D306" t="inlineStr">
        <is>
          <t>ÖREBRO LÄN</t>
        </is>
      </c>
      <c r="E306" t="inlineStr">
        <is>
          <t>LINDESBERG</t>
        </is>
      </c>
      <c r="G306" t="n">
        <v>1</v>
      </c>
      <c r="H306" t="n">
        <v>0</v>
      </c>
      <c r="I306" t="n">
        <v>0</v>
      </c>
      <c r="J306" t="n">
        <v>0</v>
      </c>
      <c r="K306" t="n">
        <v>0</v>
      </c>
      <c r="L306" t="n">
        <v>0</v>
      </c>
      <c r="M306" t="n">
        <v>0</v>
      </c>
      <c r="N306" t="n">
        <v>0</v>
      </c>
      <c r="O306" t="n">
        <v>0</v>
      </c>
      <c r="P306" t="n">
        <v>0</v>
      </c>
      <c r="Q306" t="n">
        <v>0</v>
      </c>
      <c r="R306" s="2" t="inlineStr"/>
    </row>
    <row r="307" ht="15" customHeight="1">
      <c r="A307" t="inlineStr">
        <is>
          <t>A 48993-2025</t>
        </is>
      </c>
      <c r="B307" s="1" t="n">
        <v>45937.58590277778</v>
      </c>
      <c r="C307" s="1" t="n">
        <v>46035</v>
      </c>
      <c r="D307" t="inlineStr">
        <is>
          <t>ÖREBRO LÄN</t>
        </is>
      </c>
      <c r="E307" t="inlineStr">
        <is>
          <t>LINDESBERG</t>
        </is>
      </c>
      <c r="F307" t="inlineStr">
        <is>
          <t>Kyrkan</t>
        </is>
      </c>
      <c r="G307" t="n">
        <v>4</v>
      </c>
      <c r="H307" t="n">
        <v>0</v>
      </c>
      <c r="I307" t="n">
        <v>0</v>
      </c>
      <c r="J307" t="n">
        <v>0</v>
      </c>
      <c r="K307" t="n">
        <v>0</v>
      </c>
      <c r="L307" t="n">
        <v>0</v>
      </c>
      <c r="M307" t="n">
        <v>0</v>
      </c>
      <c r="N307" t="n">
        <v>0</v>
      </c>
      <c r="O307" t="n">
        <v>0</v>
      </c>
      <c r="P307" t="n">
        <v>0</v>
      </c>
      <c r="Q307" t="n">
        <v>0</v>
      </c>
      <c r="R307" s="2" t="inlineStr"/>
    </row>
    <row r="308" ht="15" customHeight="1">
      <c r="A308" t="inlineStr">
        <is>
          <t>A 23245-2025</t>
        </is>
      </c>
      <c r="B308" s="1" t="n">
        <v>45791.50862268519</v>
      </c>
      <c r="C308" s="1" t="n">
        <v>46035</v>
      </c>
      <c r="D308" t="inlineStr">
        <is>
          <t>ÖREBRO LÄN</t>
        </is>
      </c>
      <c r="E308" t="inlineStr">
        <is>
          <t>LINDESBERG</t>
        </is>
      </c>
      <c r="G308" t="n">
        <v>6.8</v>
      </c>
      <c r="H308" t="n">
        <v>0</v>
      </c>
      <c r="I308" t="n">
        <v>0</v>
      </c>
      <c r="J308" t="n">
        <v>0</v>
      </c>
      <c r="K308" t="n">
        <v>0</v>
      </c>
      <c r="L308" t="n">
        <v>0</v>
      </c>
      <c r="M308" t="n">
        <v>0</v>
      </c>
      <c r="N308" t="n">
        <v>0</v>
      </c>
      <c r="O308" t="n">
        <v>0</v>
      </c>
      <c r="P308" t="n">
        <v>0</v>
      </c>
      <c r="Q308" t="n">
        <v>0</v>
      </c>
      <c r="R308" s="2" t="inlineStr"/>
    </row>
    <row r="309" ht="15" customHeight="1">
      <c r="A309" t="inlineStr">
        <is>
          <t>A 41027-2025</t>
        </is>
      </c>
      <c r="B309" s="1" t="n">
        <v>45898.37138888889</v>
      </c>
      <c r="C309" s="1" t="n">
        <v>46035</v>
      </c>
      <c r="D309" t="inlineStr">
        <is>
          <t>ÖREBRO LÄN</t>
        </is>
      </c>
      <c r="E309" t="inlineStr">
        <is>
          <t>LINDESBERG</t>
        </is>
      </c>
      <c r="G309" t="n">
        <v>4.7</v>
      </c>
      <c r="H309" t="n">
        <v>0</v>
      </c>
      <c r="I309" t="n">
        <v>0</v>
      </c>
      <c r="J309" t="n">
        <v>0</v>
      </c>
      <c r="K309" t="n">
        <v>0</v>
      </c>
      <c r="L309" t="n">
        <v>0</v>
      </c>
      <c r="M309" t="n">
        <v>0</v>
      </c>
      <c r="N309" t="n">
        <v>0</v>
      </c>
      <c r="O309" t="n">
        <v>0</v>
      </c>
      <c r="P309" t="n">
        <v>0</v>
      </c>
      <c r="Q309" t="n">
        <v>0</v>
      </c>
      <c r="R309" s="2" t="inlineStr"/>
    </row>
    <row r="310" ht="15" customHeight="1">
      <c r="A310" t="inlineStr">
        <is>
          <t>A 49183-2025</t>
        </is>
      </c>
      <c r="B310" s="1" t="n">
        <v>45938.39741898148</v>
      </c>
      <c r="C310" s="1" t="n">
        <v>46035</v>
      </c>
      <c r="D310" t="inlineStr">
        <is>
          <t>ÖREBRO LÄN</t>
        </is>
      </c>
      <c r="E310" t="inlineStr">
        <is>
          <t>LINDESBERG</t>
        </is>
      </c>
      <c r="G310" t="n">
        <v>4.4</v>
      </c>
      <c r="H310" t="n">
        <v>0</v>
      </c>
      <c r="I310" t="n">
        <v>0</v>
      </c>
      <c r="J310" t="n">
        <v>0</v>
      </c>
      <c r="K310" t="n">
        <v>0</v>
      </c>
      <c r="L310" t="n">
        <v>0</v>
      </c>
      <c r="M310" t="n">
        <v>0</v>
      </c>
      <c r="N310" t="n">
        <v>0</v>
      </c>
      <c r="O310" t="n">
        <v>0</v>
      </c>
      <c r="P310" t="n">
        <v>0</v>
      </c>
      <c r="Q310" t="n">
        <v>0</v>
      </c>
      <c r="R310" s="2" t="inlineStr"/>
    </row>
    <row r="311" ht="15" customHeight="1">
      <c r="A311" t="inlineStr">
        <is>
          <t>A 30767-2023</t>
        </is>
      </c>
      <c r="B311" s="1" t="n">
        <v>45112.67952546296</v>
      </c>
      <c r="C311" s="1" t="n">
        <v>46035</v>
      </c>
      <c r="D311" t="inlineStr">
        <is>
          <t>ÖREBRO LÄN</t>
        </is>
      </c>
      <c r="E311" t="inlineStr">
        <is>
          <t>LINDESBERG</t>
        </is>
      </c>
      <c r="G311" t="n">
        <v>3.9</v>
      </c>
      <c r="H311" t="n">
        <v>0</v>
      </c>
      <c r="I311" t="n">
        <v>0</v>
      </c>
      <c r="J311" t="n">
        <v>0</v>
      </c>
      <c r="K311" t="n">
        <v>0</v>
      </c>
      <c r="L311" t="n">
        <v>0</v>
      </c>
      <c r="M311" t="n">
        <v>0</v>
      </c>
      <c r="N311" t="n">
        <v>0</v>
      </c>
      <c r="O311" t="n">
        <v>0</v>
      </c>
      <c r="P311" t="n">
        <v>0</v>
      </c>
      <c r="Q311" t="n">
        <v>0</v>
      </c>
      <c r="R311" s="2" t="inlineStr"/>
    </row>
    <row r="312" ht="15" customHeight="1">
      <c r="A312" t="inlineStr">
        <is>
          <t>A 63508-2023</t>
        </is>
      </c>
      <c r="B312" s="1" t="n">
        <v>45274</v>
      </c>
      <c r="C312" s="1" t="n">
        <v>46035</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42707-2023</t>
        </is>
      </c>
      <c r="B313" s="1" t="n">
        <v>45181</v>
      </c>
      <c r="C313" s="1" t="n">
        <v>46035</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36280-2023</t>
        </is>
      </c>
      <c r="B314" s="1" t="n">
        <v>45152.34586805556</v>
      </c>
      <c r="C314" s="1" t="n">
        <v>46035</v>
      </c>
      <c r="D314" t="inlineStr">
        <is>
          <t>ÖREBRO LÄN</t>
        </is>
      </c>
      <c r="E314" t="inlineStr">
        <is>
          <t>LINDESBERG</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41653-2025</t>
        </is>
      </c>
      <c r="B315" s="1" t="n">
        <v>45902.3406712963</v>
      </c>
      <c r="C315" s="1" t="n">
        <v>46035</v>
      </c>
      <c r="D315" t="inlineStr">
        <is>
          <t>ÖREBRO LÄN</t>
        </is>
      </c>
      <c r="E315" t="inlineStr">
        <is>
          <t>LINDESBERG</t>
        </is>
      </c>
      <c r="G315" t="n">
        <v>1.5</v>
      </c>
      <c r="H315" t="n">
        <v>0</v>
      </c>
      <c r="I315" t="n">
        <v>0</v>
      </c>
      <c r="J315" t="n">
        <v>0</v>
      </c>
      <c r="K315" t="n">
        <v>0</v>
      </c>
      <c r="L315" t="n">
        <v>0</v>
      </c>
      <c r="M315" t="n">
        <v>0</v>
      </c>
      <c r="N315" t="n">
        <v>0</v>
      </c>
      <c r="O315" t="n">
        <v>0</v>
      </c>
      <c r="P315" t="n">
        <v>0</v>
      </c>
      <c r="Q315" t="n">
        <v>0</v>
      </c>
      <c r="R315" s="2" t="inlineStr"/>
    </row>
    <row r="316" ht="15" customHeight="1">
      <c r="A316" t="inlineStr">
        <is>
          <t>A 33284-2024</t>
        </is>
      </c>
      <c r="B316" s="1" t="n">
        <v>45518.71721064814</v>
      </c>
      <c r="C316" s="1" t="n">
        <v>46035</v>
      </c>
      <c r="D316" t="inlineStr">
        <is>
          <t>ÖREBRO LÄN</t>
        </is>
      </c>
      <c r="E316" t="inlineStr">
        <is>
          <t>LINDESBERG</t>
        </is>
      </c>
      <c r="G316" t="n">
        <v>1.7</v>
      </c>
      <c r="H316" t="n">
        <v>0</v>
      </c>
      <c r="I316" t="n">
        <v>0</v>
      </c>
      <c r="J316" t="n">
        <v>0</v>
      </c>
      <c r="K316" t="n">
        <v>0</v>
      </c>
      <c r="L316" t="n">
        <v>0</v>
      </c>
      <c r="M316" t="n">
        <v>0</v>
      </c>
      <c r="N316" t="n">
        <v>0</v>
      </c>
      <c r="O316" t="n">
        <v>0</v>
      </c>
      <c r="P316" t="n">
        <v>0</v>
      </c>
      <c r="Q316" t="n">
        <v>0</v>
      </c>
      <c r="R316" s="2" t="inlineStr"/>
    </row>
    <row r="317" ht="15" customHeight="1">
      <c r="A317" t="inlineStr">
        <is>
          <t>A 59641-2024</t>
        </is>
      </c>
      <c r="B317" s="1" t="n">
        <v>45639.30934027778</v>
      </c>
      <c r="C317" s="1" t="n">
        <v>46035</v>
      </c>
      <c r="D317" t="inlineStr">
        <is>
          <t>ÖREBRO LÄN</t>
        </is>
      </c>
      <c r="E317" t="inlineStr">
        <is>
          <t>LINDESBERG</t>
        </is>
      </c>
      <c r="G317" t="n">
        <v>2.1</v>
      </c>
      <c r="H317" t="n">
        <v>0</v>
      </c>
      <c r="I317" t="n">
        <v>0</v>
      </c>
      <c r="J317" t="n">
        <v>0</v>
      </c>
      <c r="K317" t="n">
        <v>0</v>
      </c>
      <c r="L317" t="n">
        <v>0</v>
      </c>
      <c r="M317" t="n">
        <v>0</v>
      </c>
      <c r="N317" t="n">
        <v>0</v>
      </c>
      <c r="O317" t="n">
        <v>0</v>
      </c>
      <c r="P317" t="n">
        <v>0</v>
      </c>
      <c r="Q317" t="n">
        <v>0</v>
      </c>
      <c r="R317" s="2" t="inlineStr"/>
    </row>
    <row r="318" ht="15" customHeight="1">
      <c r="A318" t="inlineStr">
        <is>
          <t>A 33978-2023</t>
        </is>
      </c>
      <c r="B318" s="1" t="n">
        <v>45134.68158564815</v>
      </c>
      <c r="C318" s="1" t="n">
        <v>46035</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41340-2025</t>
        </is>
      </c>
      <c r="B319" s="1" t="n">
        <v>45899.38057870371</v>
      </c>
      <c r="C319" s="1" t="n">
        <v>46035</v>
      </c>
      <c r="D319" t="inlineStr">
        <is>
          <t>ÖREBRO LÄN</t>
        </is>
      </c>
      <c r="E319" t="inlineStr">
        <is>
          <t>LINDESBERG</t>
        </is>
      </c>
      <c r="G319" t="n">
        <v>16.5</v>
      </c>
      <c r="H319" t="n">
        <v>0</v>
      </c>
      <c r="I319" t="n">
        <v>0</v>
      </c>
      <c r="J319" t="n">
        <v>0</v>
      </c>
      <c r="K319" t="n">
        <v>0</v>
      </c>
      <c r="L319" t="n">
        <v>0</v>
      </c>
      <c r="M319" t="n">
        <v>0</v>
      </c>
      <c r="N319" t="n">
        <v>0</v>
      </c>
      <c r="O319" t="n">
        <v>0</v>
      </c>
      <c r="P319" t="n">
        <v>0</v>
      </c>
      <c r="Q319" t="n">
        <v>0</v>
      </c>
      <c r="R319" s="2" t="inlineStr"/>
    </row>
    <row r="320" ht="15" customHeight="1">
      <c r="A320" t="inlineStr">
        <is>
          <t>A 38762-2021</t>
        </is>
      </c>
      <c r="B320" s="1" t="n">
        <v>44410.61837962963</v>
      </c>
      <c r="C320" s="1" t="n">
        <v>46035</v>
      </c>
      <c r="D320" t="inlineStr">
        <is>
          <t>ÖREBRO LÄN</t>
        </is>
      </c>
      <c r="E320" t="inlineStr">
        <is>
          <t>LINDESBERG</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17779-2024</t>
        </is>
      </c>
      <c r="B321" s="1" t="n">
        <v>45418.66800925926</v>
      </c>
      <c r="C321" s="1" t="n">
        <v>46035</v>
      </c>
      <c r="D321" t="inlineStr">
        <is>
          <t>ÖREBRO LÄN</t>
        </is>
      </c>
      <c r="E321" t="inlineStr">
        <is>
          <t>LINDESBERG</t>
        </is>
      </c>
      <c r="G321" t="n">
        <v>3.7</v>
      </c>
      <c r="H321" t="n">
        <v>0</v>
      </c>
      <c r="I321" t="n">
        <v>0</v>
      </c>
      <c r="J321" t="n">
        <v>0</v>
      </c>
      <c r="K321" t="n">
        <v>0</v>
      </c>
      <c r="L321" t="n">
        <v>0</v>
      </c>
      <c r="M321" t="n">
        <v>0</v>
      </c>
      <c r="N321" t="n">
        <v>0</v>
      </c>
      <c r="O321" t="n">
        <v>0</v>
      </c>
      <c r="P321" t="n">
        <v>0</v>
      </c>
      <c r="Q321" t="n">
        <v>0</v>
      </c>
      <c r="R321" s="2" t="inlineStr"/>
    </row>
    <row r="322" ht="15" customHeight="1">
      <c r="A322" t="inlineStr">
        <is>
          <t>A 36015-2021</t>
        </is>
      </c>
      <c r="B322" s="1" t="n">
        <v>44389</v>
      </c>
      <c r="C322" s="1" t="n">
        <v>46035</v>
      </c>
      <c r="D322" t="inlineStr">
        <is>
          <t>ÖREBRO LÄN</t>
        </is>
      </c>
      <c r="E322" t="inlineStr">
        <is>
          <t>LINDESBERG</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41889-2025</t>
        </is>
      </c>
      <c r="B323" s="1" t="n">
        <v>45903.37475694445</v>
      </c>
      <c r="C323" s="1" t="n">
        <v>46035</v>
      </c>
      <c r="D323" t="inlineStr">
        <is>
          <t>ÖREBRO LÄN</t>
        </is>
      </c>
      <c r="E323" t="inlineStr">
        <is>
          <t>LINDESBERG</t>
        </is>
      </c>
      <c r="F323" t="inlineStr">
        <is>
          <t>Sveaskog</t>
        </is>
      </c>
      <c r="G323" t="n">
        <v>7.7</v>
      </c>
      <c r="H323" t="n">
        <v>0</v>
      </c>
      <c r="I323" t="n">
        <v>0</v>
      </c>
      <c r="J323" t="n">
        <v>0</v>
      </c>
      <c r="K323" t="n">
        <v>0</v>
      </c>
      <c r="L323" t="n">
        <v>0</v>
      </c>
      <c r="M323" t="n">
        <v>0</v>
      </c>
      <c r="N323" t="n">
        <v>0</v>
      </c>
      <c r="O323" t="n">
        <v>0</v>
      </c>
      <c r="P323" t="n">
        <v>0</v>
      </c>
      <c r="Q323" t="n">
        <v>0</v>
      </c>
      <c r="R323" s="2" t="inlineStr"/>
    </row>
    <row r="324" ht="15" customHeight="1">
      <c r="A324" t="inlineStr">
        <is>
          <t>A 54705-2022</t>
        </is>
      </c>
      <c r="B324" s="1" t="n">
        <v>44883</v>
      </c>
      <c r="C324" s="1" t="n">
        <v>46035</v>
      </c>
      <c r="D324" t="inlineStr">
        <is>
          <t>ÖREBRO LÄN</t>
        </is>
      </c>
      <c r="E324" t="inlineStr">
        <is>
          <t>LINDESBERG</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21202-2024</t>
        </is>
      </c>
      <c r="B325" s="1" t="n">
        <v>45440.5433912037</v>
      </c>
      <c r="C325" s="1" t="n">
        <v>46035</v>
      </c>
      <c r="D325" t="inlineStr">
        <is>
          <t>ÖREBRO LÄN</t>
        </is>
      </c>
      <c r="E325" t="inlineStr">
        <is>
          <t>LINDESBERG</t>
        </is>
      </c>
      <c r="G325" t="n">
        <v>4</v>
      </c>
      <c r="H325" t="n">
        <v>0</v>
      </c>
      <c r="I325" t="n">
        <v>0</v>
      </c>
      <c r="J325" t="n">
        <v>0</v>
      </c>
      <c r="K325" t="n">
        <v>0</v>
      </c>
      <c r="L325" t="n">
        <v>0</v>
      </c>
      <c r="M325" t="n">
        <v>0</v>
      </c>
      <c r="N325" t="n">
        <v>0</v>
      </c>
      <c r="O325" t="n">
        <v>0</v>
      </c>
      <c r="P325" t="n">
        <v>0</v>
      </c>
      <c r="Q325" t="n">
        <v>0</v>
      </c>
      <c r="R325" s="2" t="inlineStr"/>
    </row>
    <row r="326" ht="15" customHeight="1">
      <c r="A326" t="inlineStr">
        <is>
          <t>A 1400-2025</t>
        </is>
      </c>
      <c r="B326" s="1" t="n">
        <v>45667</v>
      </c>
      <c r="C326" s="1" t="n">
        <v>46035</v>
      </c>
      <c r="D326" t="inlineStr">
        <is>
          <t>ÖREBRO LÄN</t>
        </is>
      </c>
      <c r="E326" t="inlineStr">
        <is>
          <t>LINDESBERG</t>
        </is>
      </c>
      <c r="F326" t="inlineStr">
        <is>
          <t>Allmännings- och besparingsskogar</t>
        </is>
      </c>
      <c r="G326" t="n">
        <v>11.3</v>
      </c>
      <c r="H326" t="n">
        <v>0</v>
      </c>
      <c r="I326" t="n">
        <v>0</v>
      </c>
      <c r="J326" t="n">
        <v>0</v>
      </c>
      <c r="K326" t="n">
        <v>0</v>
      </c>
      <c r="L326" t="n">
        <v>0</v>
      </c>
      <c r="M326" t="n">
        <v>0</v>
      </c>
      <c r="N326" t="n">
        <v>0</v>
      </c>
      <c r="O326" t="n">
        <v>0</v>
      </c>
      <c r="P326" t="n">
        <v>0</v>
      </c>
      <c r="Q326" t="n">
        <v>0</v>
      </c>
      <c r="R326" s="2" t="inlineStr"/>
    </row>
    <row r="327" ht="15" customHeight="1">
      <c r="A327" t="inlineStr">
        <is>
          <t>A 23835-2025</t>
        </is>
      </c>
      <c r="B327" s="1" t="n">
        <v>45793.61047453704</v>
      </c>
      <c r="C327" s="1" t="n">
        <v>46035</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49100-2025</t>
        </is>
      </c>
      <c r="B328" s="1" t="n">
        <v>45937.71556712963</v>
      </c>
      <c r="C328" s="1" t="n">
        <v>46035</v>
      </c>
      <c r="D328" t="inlineStr">
        <is>
          <t>ÖREBRO LÄN</t>
        </is>
      </c>
      <c r="E328" t="inlineStr">
        <is>
          <t>LINDESBERG</t>
        </is>
      </c>
      <c r="G328" t="n">
        <v>2.2</v>
      </c>
      <c r="H328" t="n">
        <v>0</v>
      </c>
      <c r="I328" t="n">
        <v>0</v>
      </c>
      <c r="J328" t="n">
        <v>0</v>
      </c>
      <c r="K328" t="n">
        <v>0</v>
      </c>
      <c r="L328" t="n">
        <v>0</v>
      </c>
      <c r="M328" t="n">
        <v>0</v>
      </c>
      <c r="N328" t="n">
        <v>0</v>
      </c>
      <c r="O328" t="n">
        <v>0</v>
      </c>
      <c r="P328" t="n">
        <v>0</v>
      </c>
      <c r="Q328" t="n">
        <v>0</v>
      </c>
      <c r="R328" s="2" t="inlineStr"/>
    </row>
    <row r="329" ht="15" customHeight="1">
      <c r="A329" t="inlineStr">
        <is>
          <t>A 24017-2025</t>
        </is>
      </c>
      <c r="B329" s="1" t="n">
        <v>45796.44885416667</v>
      </c>
      <c r="C329" s="1" t="n">
        <v>46035</v>
      </c>
      <c r="D329" t="inlineStr">
        <is>
          <t>ÖREBRO LÄN</t>
        </is>
      </c>
      <c r="E329" t="inlineStr">
        <is>
          <t>LINDESBERG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24107-2025</t>
        </is>
      </c>
      <c r="B330" s="1" t="n">
        <v>45796</v>
      </c>
      <c r="C330" s="1" t="n">
        <v>46035</v>
      </c>
      <c r="D330" t="inlineStr">
        <is>
          <t>ÖREBRO LÄN</t>
        </is>
      </c>
      <c r="E330" t="inlineStr">
        <is>
          <t>LINDESBERG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23932-2025</t>
        </is>
      </c>
      <c r="B331" s="1" t="n">
        <v>45795.70912037037</v>
      </c>
      <c r="C331" s="1" t="n">
        <v>46035</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36748-2024</t>
        </is>
      </c>
      <c r="B332" s="1" t="n">
        <v>45538.34460648148</v>
      </c>
      <c r="C332" s="1" t="n">
        <v>46035</v>
      </c>
      <c r="D332" t="inlineStr">
        <is>
          <t>ÖREBRO LÄN</t>
        </is>
      </c>
      <c r="E332" t="inlineStr">
        <is>
          <t>LINDESBERG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21390-2024</t>
        </is>
      </c>
      <c r="B333" s="1" t="n">
        <v>45441.30899305556</v>
      </c>
      <c r="C333" s="1" t="n">
        <v>46035</v>
      </c>
      <c r="D333" t="inlineStr">
        <is>
          <t>ÖREBRO LÄN</t>
        </is>
      </c>
      <c r="E333" t="inlineStr">
        <is>
          <t>LINDESBERG</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21392-2024</t>
        </is>
      </c>
      <c r="B334" s="1" t="n">
        <v>45441.30998842593</v>
      </c>
      <c r="C334" s="1" t="n">
        <v>46035</v>
      </c>
      <c r="D334" t="inlineStr">
        <is>
          <t>ÖREBRO LÄN</t>
        </is>
      </c>
      <c r="E334" t="inlineStr">
        <is>
          <t>LINDESBERG</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24011-2025</t>
        </is>
      </c>
      <c r="B335" s="1" t="n">
        <v>45796</v>
      </c>
      <c r="C335" s="1" t="n">
        <v>46035</v>
      </c>
      <c r="D335" t="inlineStr">
        <is>
          <t>ÖREBRO LÄN</t>
        </is>
      </c>
      <c r="E335" t="inlineStr">
        <is>
          <t>LINDESBERG</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24020-2025</t>
        </is>
      </c>
      <c r="B336" s="1" t="n">
        <v>45796.45054398148</v>
      </c>
      <c r="C336" s="1" t="n">
        <v>46035</v>
      </c>
      <c r="D336" t="inlineStr">
        <is>
          <t>ÖREBRO LÄN</t>
        </is>
      </c>
      <c r="E336" t="inlineStr">
        <is>
          <t>LINDESBERG</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42630-2025</t>
        </is>
      </c>
      <c r="B337" s="1" t="n">
        <v>45905.89143518519</v>
      </c>
      <c r="C337" s="1" t="n">
        <v>46035</v>
      </c>
      <c r="D337" t="inlineStr">
        <is>
          <t>ÖREBRO LÄN</t>
        </is>
      </c>
      <c r="E337" t="inlineStr">
        <is>
          <t>LINDESBERG</t>
        </is>
      </c>
      <c r="F337" t="inlineStr">
        <is>
          <t>Sveaskog</t>
        </is>
      </c>
      <c r="G337" t="n">
        <v>9.9</v>
      </c>
      <c r="H337" t="n">
        <v>0</v>
      </c>
      <c r="I337" t="n">
        <v>0</v>
      </c>
      <c r="J337" t="n">
        <v>0</v>
      </c>
      <c r="K337" t="n">
        <v>0</v>
      </c>
      <c r="L337" t="n">
        <v>0</v>
      </c>
      <c r="M337" t="n">
        <v>0</v>
      </c>
      <c r="N337" t="n">
        <v>0</v>
      </c>
      <c r="O337" t="n">
        <v>0</v>
      </c>
      <c r="P337" t="n">
        <v>0</v>
      </c>
      <c r="Q337" t="n">
        <v>0</v>
      </c>
      <c r="R337" s="2" t="inlineStr"/>
    </row>
    <row r="338" ht="15" customHeight="1">
      <c r="A338" t="inlineStr">
        <is>
          <t>A 23897-2025</t>
        </is>
      </c>
      <c r="B338" s="1" t="n">
        <v>45794.33498842592</v>
      </c>
      <c r="C338" s="1" t="n">
        <v>46035</v>
      </c>
      <c r="D338" t="inlineStr">
        <is>
          <t>ÖREBRO LÄN</t>
        </is>
      </c>
      <c r="E338" t="inlineStr">
        <is>
          <t>LINDESBERG</t>
        </is>
      </c>
      <c r="G338" t="n">
        <v>5.6</v>
      </c>
      <c r="H338" t="n">
        <v>0</v>
      </c>
      <c r="I338" t="n">
        <v>0</v>
      </c>
      <c r="J338" t="n">
        <v>0</v>
      </c>
      <c r="K338" t="n">
        <v>0</v>
      </c>
      <c r="L338" t="n">
        <v>0</v>
      </c>
      <c r="M338" t="n">
        <v>0</v>
      </c>
      <c r="N338" t="n">
        <v>0</v>
      </c>
      <c r="O338" t="n">
        <v>0</v>
      </c>
      <c r="P338" t="n">
        <v>0</v>
      </c>
      <c r="Q338" t="n">
        <v>0</v>
      </c>
      <c r="R338" s="2" t="inlineStr"/>
    </row>
    <row r="339" ht="15" customHeight="1">
      <c r="A339" t="inlineStr">
        <is>
          <t>A 23898-2025</t>
        </is>
      </c>
      <c r="B339" s="1" t="n">
        <v>45794.3419212963</v>
      </c>
      <c r="C339" s="1" t="n">
        <v>46035</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23933-2025</t>
        </is>
      </c>
      <c r="B340" s="1" t="n">
        <v>45795.71300925926</v>
      </c>
      <c r="C340" s="1" t="n">
        <v>46035</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42631-2025</t>
        </is>
      </c>
      <c r="B341" s="1" t="n">
        <v>45905.89236111111</v>
      </c>
      <c r="C341" s="1" t="n">
        <v>46035</v>
      </c>
      <c r="D341" t="inlineStr">
        <is>
          <t>ÖREBRO LÄN</t>
        </is>
      </c>
      <c r="E341" t="inlineStr">
        <is>
          <t>LINDESBERG</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13305-2023</t>
        </is>
      </c>
      <c r="B342" s="1" t="n">
        <v>45005.35967592592</v>
      </c>
      <c r="C342" s="1" t="n">
        <v>46035</v>
      </c>
      <c r="D342" t="inlineStr">
        <is>
          <t>ÖREBRO LÄN</t>
        </is>
      </c>
      <c r="E342" t="inlineStr">
        <is>
          <t>LINDESBERG</t>
        </is>
      </c>
      <c r="G342" t="n">
        <v>5.5</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46035</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13368-2023</t>
        </is>
      </c>
      <c r="B344" s="1" t="n">
        <v>45005.47820601852</v>
      </c>
      <c r="C344" s="1" t="n">
        <v>46035</v>
      </c>
      <c r="D344" t="inlineStr">
        <is>
          <t>ÖREBRO LÄN</t>
        </is>
      </c>
      <c r="E344" t="inlineStr">
        <is>
          <t>LINDESBERG</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29942-2024</t>
        </is>
      </c>
      <c r="B345" s="1" t="n">
        <v>45488.42258101852</v>
      </c>
      <c r="C345" s="1" t="n">
        <v>46035</v>
      </c>
      <c r="D345" t="inlineStr">
        <is>
          <t>ÖREBRO LÄN</t>
        </is>
      </c>
      <c r="E345" t="inlineStr">
        <is>
          <t>LINDESBERG</t>
        </is>
      </c>
      <c r="G345" t="n">
        <v>2.4</v>
      </c>
      <c r="H345" t="n">
        <v>0</v>
      </c>
      <c r="I345" t="n">
        <v>0</v>
      </c>
      <c r="J345" t="n">
        <v>0</v>
      </c>
      <c r="K345" t="n">
        <v>0</v>
      </c>
      <c r="L345" t="n">
        <v>0</v>
      </c>
      <c r="M345" t="n">
        <v>0</v>
      </c>
      <c r="N345" t="n">
        <v>0</v>
      </c>
      <c r="O345" t="n">
        <v>0</v>
      </c>
      <c r="P345" t="n">
        <v>0</v>
      </c>
      <c r="Q345" t="n">
        <v>0</v>
      </c>
      <c r="R345" s="2" t="inlineStr"/>
    </row>
    <row r="346" ht="15" customHeight="1">
      <c r="A346" t="inlineStr">
        <is>
          <t>A 8834-2023</t>
        </is>
      </c>
      <c r="B346" s="1" t="n">
        <v>44978</v>
      </c>
      <c r="C346" s="1" t="n">
        <v>46035</v>
      </c>
      <c r="D346" t="inlineStr">
        <is>
          <t>ÖREBRO LÄN</t>
        </is>
      </c>
      <c r="E346" t="inlineStr">
        <is>
          <t>LINDESBERG</t>
        </is>
      </c>
      <c r="G346" t="n">
        <v>0.5</v>
      </c>
      <c r="H346" t="n">
        <v>0</v>
      </c>
      <c r="I346" t="n">
        <v>0</v>
      </c>
      <c r="J346" t="n">
        <v>0</v>
      </c>
      <c r="K346" t="n">
        <v>0</v>
      </c>
      <c r="L346" t="n">
        <v>0</v>
      </c>
      <c r="M346" t="n">
        <v>0</v>
      </c>
      <c r="N346" t="n">
        <v>0</v>
      </c>
      <c r="O346" t="n">
        <v>0</v>
      </c>
      <c r="P346" t="n">
        <v>0</v>
      </c>
      <c r="Q346" t="n">
        <v>0</v>
      </c>
      <c r="R346" s="2" t="inlineStr"/>
    </row>
    <row r="347" ht="15" customHeight="1">
      <c r="A347" t="inlineStr">
        <is>
          <t>A 23934-2025</t>
        </is>
      </c>
      <c r="B347" s="1" t="n">
        <v>45795.71547453704</v>
      </c>
      <c r="C347" s="1" t="n">
        <v>46035</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47110-2024</t>
        </is>
      </c>
      <c r="B348" s="1" t="n">
        <v>45586.55451388889</v>
      </c>
      <c r="C348" s="1" t="n">
        <v>46035</v>
      </c>
      <c r="D348" t="inlineStr">
        <is>
          <t>ÖREBRO LÄN</t>
        </is>
      </c>
      <c r="E348" t="inlineStr">
        <is>
          <t>LINDESBERG</t>
        </is>
      </c>
      <c r="G348" t="n">
        <v>0.6</v>
      </c>
      <c r="H348" t="n">
        <v>0</v>
      </c>
      <c r="I348" t="n">
        <v>0</v>
      </c>
      <c r="J348" t="n">
        <v>0</v>
      </c>
      <c r="K348" t="n">
        <v>0</v>
      </c>
      <c r="L348" t="n">
        <v>0</v>
      </c>
      <c r="M348" t="n">
        <v>0</v>
      </c>
      <c r="N348" t="n">
        <v>0</v>
      </c>
      <c r="O348" t="n">
        <v>0</v>
      </c>
      <c r="P348" t="n">
        <v>0</v>
      </c>
      <c r="Q348" t="n">
        <v>0</v>
      </c>
      <c r="R348" s="2" t="inlineStr"/>
    </row>
    <row r="349" ht="15" customHeight="1">
      <c r="A349" t="inlineStr">
        <is>
          <t>A 57944-2023</t>
        </is>
      </c>
      <c r="B349" s="1" t="n">
        <v>45244</v>
      </c>
      <c r="C349" s="1" t="n">
        <v>46035</v>
      </c>
      <c r="D349" t="inlineStr">
        <is>
          <t>ÖREBRO LÄN</t>
        </is>
      </c>
      <c r="E349" t="inlineStr">
        <is>
          <t>LINDESBERG</t>
        </is>
      </c>
      <c r="G349" t="n">
        <v>2.4</v>
      </c>
      <c r="H349" t="n">
        <v>0</v>
      </c>
      <c r="I349" t="n">
        <v>0</v>
      </c>
      <c r="J349" t="n">
        <v>0</v>
      </c>
      <c r="K349" t="n">
        <v>0</v>
      </c>
      <c r="L349" t="n">
        <v>0</v>
      </c>
      <c r="M349" t="n">
        <v>0</v>
      </c>
      <c r="N349" t="n">
        <v>0</v>
      </c>
      <c r="O349" t="n">
        <v>0</v>
      </c>
      <c r="P349" t="n">
        <v>0</v>
      </c>
      <c r="Q349" t="n">
        <v>0</v>
      </c>
      <c r="R349" s="2" t="inlineStr"/>
    </row>
    <row r="350" ht="15" customHeight="1">
      <c r="A350" t="inlineStr">
        <is>
          <t>A 24043-2024</t>
        </is>
      </c>
      <c r="B350" s="1" t="n">
        <v>45456.48927083334</v>
      </c>
      <c r="C350" s="1" t="n">
        <v>46035</v>
      </c>
      <c r="D350" t="inlineStr">
        <is>
          <t>ÖREBRO LÄN</t>
        </is>
      </c>
      <c r="E350" t="inlineStr">
        <is>
          <t>LINDESBERG</t>
        </is>
      </c>
      <c r="G350" t="n">
        <v>6.2</v>
      </c>
      <c r="H350" t="n">
        <v>0</v>
      </c>
      <c r="I350" t="n">
        <v>0</v>
      </c>
      <c r="J350" t="n">
        <v>0</v>
      </c>
      <c r="K350" t="n">
        <v>0</v>
      </c>
      <c r="L350" t="n">
        <v>0</v>
      </c>
      <c r="M350" t="n">
        <v>0</v>
      </c>
      <c r="N350" t="n">
        <v>0</v>
      </c>
      <c r="O350" t="n">
        <v>0</v>
      </c>
      <c r="P350" t="n">
        <v>0</v>
      </c>
      <c r="Q350" t="n">
        <v>0</v>
      </c>
      <c r="R350" s="2" t="inlineStr"/>
    </row>
    <row r="351" ht="15" customHeight="1">
      <c r="A351" t="inlineStr">
        <is>
          <t>A 23844-2025</t>
        </is>
      </c>
      <c r="B351" s="1" t="n">
        <v>45793.62422453704</v>
      </c>
      <c r="C351" s="1" t="n">
        <v>46035</v>
      </c>
      <c r="D351" t="inlineStr">
        <is>
          <t>ÖREBRO LÄN</t>
        </is>
      </c>
      <c r="E351" t="inlineStr">
        <is>
          <t>LINDESBERG</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12250-2025</t>
        </is>
      </c>
      <c r="B352" s="1" t="n">
        <v>45729.60775462963</v>
      </c>
      <c r="C352" s="1" t="n">
        <v>46035</v>
      </c>
      <c r="D352" t="inlineStr">
        <is>
          <t>ÖREBRO LÄN</t>
        </is>
      </c>
      <c r="E352" t="inlineStr">
        <is>
          <t>LINDESBERG</t>
        </is>
      </c>
      <c r="G352" t="n">
        <v>3.4</v>
      </c>
      <c r="H352" t="n">
        <v>0</v>
      </c>
      <c r="I352" t="n">
        <v>0</v>
      </c>
      <c r="J352" t="n">
        <v>0</v>
      </c>
      <c r="K352" t="n">
        <v>0</v>
      </c>
      <c r="L352" t="n">
        <v>0</v>
      </c>
      <c r="M352" t="n">
        <v>0</v>
      </c>
      <c r="N352" t="n">
        <v>0</v>
      </c>
      <c r="O352" t="n">
        <v>0</v>
      </c>
      <c r="P352" t="n">
        <v>0</v>
      </c>
      <c r="Q352" t="n">
        <v>0</v>
      </c>
      <c r="R352" s="2" t="inlineStr"/>
    </row>
    <row r="353" ht="15" customHeight="1">
      <c r="A353" t="inlineStr">
        <is>
          <t>A 21468-2024</t>
        </is>
      </c>
      <c r="B353" s="1" t="n">
        <v>45441.48670138889</v>
      </c>
      <c r="C353" s="1" t="n">
        <v>46035</v>
      </c>
      <c r="D353" t="inlineStr">
        <is>
          <t>ÖREBRO LÄN</t>
        </is>
      </c>
      <c r="E353" t="inlineStr">
        <is>
          <t>LINDESBERG</t>
        </is>
      </c>
      <c r="G353" t="n">
        <v>1</v>
      </c>
      <c r="H353" t="n">
        <v>0</v>
      </c>
      <c r="I353" t="n">
        <v>0</v>
      </c>
      <c r="J353" t="n">
        <v>0</v>
      </c>
      <c r="K353" t="n">
        <v>0</v>
      </c>
      <c r="L353" t="n">
        <v>0</v>
      </c>
      <c r="M353" t="n">
        <v>0</v>
      </c>
      <c r="N353" t="n">
        <v>0</v>
      </c>
      <c r="O353" t="n">
        <v>0</v>
      </c>
      <c r="P353" t="n">
        <v>0</v>
      </c>
      <c r="Q353" t="n">
        <v>0</v>
      </c>
      <c r="R353" s="2" t="inlineStr"/>
    </row>
    <row r="354" ht="15" customHeight="1">
      <c r="A354" t="inlineStr">
        <is>
          <t>A 37843-2025</t>
        </is>
      </c>
      <c r="B354" s="1" t="n">
        <v>45881.43759259259</v>
      </c>
      <c r="C354" s="1" t="n">
        <v>46035</v>
      </c>
      <c r="D354" t="inlineStr">
        <is>
          <t>ÖREBRO LÄN</t>
        </is>
      </c>
      <c r="E354" t="inlineStr">
        <is>
          <t>LINDESBERG</t>
        </is>
      </c>
      <c r="G354" t="n">
        <v>5.2</v>
      </c>
      <c r="H354" t="n">
        <v>0</v>
      </c>
      <c r="I354" t="n">
        <v>0</v>
      </c>
      <c r="J354" t="n">
        <v>0</v>
      </c>
      <c r="K354" t="n">
        <v>0</v>
      </c>
      <c r="L354" t="n">
        <v>0</v>
      </c>
      <c r="M354" t="n">
        <v>0</v>
      </c>
      <c r="N354" t="n">
        <v>0</v>
      </c>
      <c r="O354" t="n">
        <v>0</v>
      </c>
      <c r="P354" t="n">
        <v>0</v>
      </c>
      <c r="Q354" t="n">
        <v>0</v>
      </c>
      <c r="R354" s="2" t="inlineStr"/>
    </row>
    <row r="355" ht="15" customHeight="1">
      <c r="A355" t="inlineStr">
        <is>
          <t>A 54855-2024</t>
        </is>
      </c>
      <c r="B355" s="1" t="n">
        <v>45618.58622685185</v>
      </c>
      <c r="C355" s="1" t="n">
        <v>46035</v>
      </c>
      <c r="D355" t="inlineStr">
        <is>
          <t>ÖREBRO LÄN</t>
        </is>
      </c>
      <c r="E355" t="inlineStr">
        <is>
          <t>LINDESBERG</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6727-2022</t>
        </is>
      </c>
      <c r="B356" s="1" t="n">
        <v>44602.45490740741</v>
      </c>
      <c r="C356" s="1" t="n">
        <v>46035</v>
      </c>
      <c r="D356" t="inlineStr">
        <is>
          <t>ÖREBRO LÄN</t>
        </is>
      </c>
      <c r="E356" t="inlineStr">
        <is>
          <t>LINDESBERG</t>
        </is>
      </c>
      <c r="G356" t="n">
        <v>0.8</v>
      </c>
      <c r="H356" t="n">
        <v>0</v>
      </c>
      <c r="I356" t="n">
        <v>0</v>
      </c>
      <c r="J356" t="n">
        <v>0</v>
      </c>
      <c r="K356" t="n">
        <v>0</v>
      </c>
      <c r="L356" t="n">
        <v>0</v>
      </c>
      <c r="M356" t="n">
        <v>0</v>
      </c>
      <c r="N356" t="n">
        <v>0</v>
      </c>
      <c r="O356" t="n">
        <v>0</v>
      </c>
      <c r="P356" t="n">
        <v>0</v>
      </c>
      <c r="Q356" t="n">
        <v>0</v>
      </c>
      <c r="R356" s="2" t="inlineStr"/>
    </row>
    <row r="357" ht="15" customHeight="1">
      <c r="A357" t="inlineStr">
        <is>
          <t>A 6723-2022</t>
        </is>
      </c>
      <c r="B357" s="1" t="n">
        <v>44602.45162037037</v>
      </c>
      <c r="C357" s="1" t="n">
        <v>46035</v>
      </c>
      <c r="D357" t="inlineStr">
        <is>
          <t>ÖREBRO LÄN</t>
        </is>
      </c>
      <c r="E357" t="inlineStr">
        <is>
          <t>LINDESBERG</t>
        </is>
      </c>
      <c r="G357" t="n">
        <v>4.2</v>
      </c>
      <c r="H357" t="n">
        <v>0</v>
      </c>
      <c r="I357" t="n">
        <v>0</v>
      </c>
      <c r="J357" t="n">
        <v>0</v>
      </c>
      <c r="K357" t="n">
        <v>0</v>
      </c>
      <c r="L357" t="n">
        <v>0</v>
      </c>
      <c r="M357" t="n">
        <v>0</v>
      </c>
      <c r="N357" t="n">
        <v>0</v>
      </c>
      <c r="O357" t="n">
        <v>0</v>
      </c>
      <c r="P357" t="n">
        <v>0</v>
      </c>
      <c r="Q357" t="n">
        <v>0</v>
      </c>
      <c r="R357" s="2" t="inlineStr"/>
    </row>
    <row r="358" ht="15" customHeight="1">
      <c r="A358" t="inlineStr">
        <is>
          <t>A 11581-2024</t>
        </is>
      </c>
      <c r="B358" s="1" t="n">
        <v>45373.34383101852</v>
      </c>
      <c r="C358" s="1" t="n">
        <v>46035</v>
      </c>
      <c r="D358" t="inlineStr">
        <is>
          <t>ÖREBRO LÄN</t>
        </is>
      </c>
      <c r="E358" t="inlineStr">
        <is>
          <t>LINDESBERG</t>
        </is>
      </c>
      <c r="F358" t="inlineStr">
        <is>
          <t>BillerudKorsnäs AB</t>
        </is>
      </c>
      <c r="G358" t="n">
        <v>3.9</v>
      </c>
      <c r="H358" t="n">
        <v>0</v>
      </c>
      <c r="I358" t="n">
        <v>0</v>
      </c>
      <c r="J358" t="n">
        <v>0</v>
      </c>
      <c r="K358" t="n">
        <v>0</v>
      </c>
      <c r="L358" t="n">
        <v>0</v>
      </c>
      <c r="M358" t="n">
        <v>0</v>
      </c>
      <c r="N358" t="n">
        <v>0</v>
      </c>
      <c r="O358" t="n">
        <v>0</v>
      </c>
      <c r="P358" t="n">
        <v>0</v>
      </c>
      <c r="Q358" t="n">
        <v>0</v>
      </c>
      <c r="R358" s="2" t="inlineStr"/>
    </row>
    <row r="359" ht="15" customHeight="1">
      <c r="A359" t="inlineStr">
        <is>
          <t>A 48231-2024</t>
        </is>
      </c>
      <c r="B359" s="1" t="n">
        <v>45590.37590277778</v>
      </c>
      <c r="C359" s="1" t="n">
        <v>46035</v>
      </c>
      <c r="D359" t="inlineStr">
        <is>
          <t>ÖREBRO LÄN</t>
        </is>
      </c>
      <c r="E359" t="inlineStr">
        <is>
          <t>LINDESBERG</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4997-2024</t>
        </is>
      </c>
      <c r="B360" s="1" t="n">
        <v>45329</v>
      </c>
      <c r="C360" s="1" t="n">
        <v>46035</v>
      </c>
      <c r="D360" t="inlineStr">
        <is>
          <t>ÖREBRO LÄN</t>
        </is>
      </c>
      <c r="E360" t="inlineStr">
        <is>
          <t>LINDESBERG</t>
        </is>
      </c>
      <c r="F360" t="inlineStr">
        <is>
          <t>BillerudKorsnäs AB</t>
        </is>
      </c>
      <c r="G360" t="n">
        <v>3</v>
      </c>
      <c r="H360" t="n">
        <v>0</v>
      </c>
      <c r="I360" t="n">
        <v>0</v>
      </c>
      <c r="J360" t="n">
        <v>0</v>
      </c>
      <c r="K360" t="n">
        <v>0</v>
      </c>
      <c r="L360" t="n">
        <v>0</v>
      </c>
      <c r="M360" t="n">
        <v>0</v>
      </c>
      <c r="N360" t="n">
        <v>0</v>
      </c>
      <c r="O360" t="n">
        <v>0</v>
      </c>
      <c r="P360" t="n">
        <v>0</v>
      </c>
      <c r="Q360" t="n">
        <v>0</v>
      </c>
      <c r="R360" s="2" t="inlineStr"/>
    </row>
    <row r="361" ht="15" customHeight="1">
      <c r="A361" t="inlineStr">
        <is>
          <t>A 37125-2023</t>
        </is>
      </c>
      <c r="B361" s="1" t="n">
        <v>45155.5653125</v>
      </c>
      <c r="C361" s="1" t="n">
        <v>46035</v>
      </c>
      <c r="D361" t="inlineStr">
        <is>
          <t>ÖREBRO LÄN</t>
        </is>
      </c>
      <c r="E361" t="inlineStr">
        <is>
          <t>LINDESBERG</t>
        </is>
      </c>
      <c r="G361" t="n">
        <v>2</v>
      </c>
      <c r="H361" t="n">
        <v>0</v>
      </c>
      <c r="I361" t="n">
        <v>0</v>
      </c>
      <c r="J361" t="n">
        <v>0</v>
      </c>
      <c r="K361" t="n">
        <v>0</v>
      </c>
      <c r="L361" t="n">
        <v>0</v>
      </c>
      <c r="M361" t="n">
        <v>0</v>
      </c>
      <c r="N361" t="n">
        <v>0</v>
      </c>
      <c r="O361" t="n">
        <v>0</v>
      </c>
      <c r="P361" t="n">
        <v>0</v>
      </c>
      <c r="Q361" t="n">
        <v>0</v>
      </c>
      <c r="R361" s="2" t="inlineStr"/>
    </row>
    <row r="362" ht="15" customHeight="1">
      <c r="A362" t="inlineStr">
        <is>
          <t>A 43837-2025</t>
        </is>
      </c>
      <c r="B362" s="1" t="n">
        <v>45912.63451388889</v>
      </c>
      <c r="C362" s="1" t="n">
        <v>46035</v>
      </c>
      <c r="D362" t="inlineStr">
        <is>
          <t>ÖREBRO LÄN</t>
        </is>
      </c>
      <c r="E362" t="inlineStr">
        <is>
          <t>LINDESBERG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24186-2024</t>
        </is>
      </c>
      <c r="B363" s="1" t="n">
        <v>45456.90869212963</v>
      </c>
      <c r="C363" s="1" t="n">
        <v>46035</v>
      </c>
      <c r="D363" t="inlineStr">
        <is>
          <t>ÖREBRO LÄN</t>
        </is>
      </c>
      <c r="E363" t="inlineStr">
        <is>
          <t>LINDESBERG</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43847-2025</t>
        </is>
      </c>
      <c r="B364" s="1" t="n">
        <v>45912.63751157407</v>
      </c>
      <c r="C364" s="1" t="n">
        <v>46035</v>
      </c>
      <c r="D364" t="inlineStr">
        <is>
          <t>ÖREBRO LÄN</t>
        </is>
      </c>
      <c r="E364" t="inlineStr">
        <is>
          <t>LINDESBERG</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36893-2024</t>
        </is>
      </c>
      <c r="B365" s="1" t="n">
        <v>45538</v>
      </c>
      <c r="C365" s="1" t="n">
        <v>46035</v>
      </c>
      <c r="D365" t="inlineStr">
        <is>
          <t>ÖREBRO LÄN</t>
        </is>
      </c>
      <c r="E365" t="inlineStr">
        <is>
          <t>LINDESBERG</t>
        </is>
      </c>
      <c r="G365" t="n">
        <v>1.1</v>
      </c>
      <c r="H365" t="n">
        <v>0</v>
      </c>
      <c r="I365" t="n">
        <v>0</v>
      </c>
      <c r="J365" t="n">
        <v>0</v>
      </c>
      <c r="K365" t="n">
        <v>0</v>
      </c>
      <c r="L365" t="n">
        <v>0</v>
      </c>
      <c r="M365" t="n">
        <v>0</v>
      </c>
      <c r="N365" t="n">
        <v>0</v>
      </c>
      <c r="O365" t="n">
        <v>0</v>
      </c>
      <c r="P365" t="n">
        <v>0</v>
      </c>
      <c r="Q365" t="n">
        <v>0</v>
      </c>
      <c r="R365" s="2" t="inlineStr"/>
    </row>
    <row r="366" ht="15" customHeight="1">
      <c r="A366" t="inlineStr">
        <is>
          <t>A 43836-2025</t>
        </is>
      </c>
      <c r="B366" s="1" t="n">
        <v>45912.63359953704</v>
      </c>
      <c r="C366" s="1" t="n">
        <v>46035</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13968-2025</t>
        </is>
      </c>
      <c r="B367" s="1" t="n">
        <v>45738.42981481482</v>
      </c>
      <c r="C367" s="1" t="n">
        <v>46035</v>
      </c>
      <c r="D367" t="inlineStr">
        <is>
          <t>ÖREBRO LÄN</t>
        </is>
      </c>
      <c r="E367" t="inlineStr">
        <is>
          <t>LINDESBERG</t>
        </is>
      </c>
      <c r="G367" t="n">
        <v>1.5</v>
      </c>
      <c r="H367" t="n">
        <v>0</v>
      </c>
      <c r="I367" t="n">
        <v>0</v>
      </c>
      <c r="J367" t="n">
        <v>0</v>
      </c>
      <c r="K367" t="n">
        <v>0</v>
      </c>
      <c r="L367" t="n">
        <v>0</v>
      </c>
      <c r="M367" t="n">
        <v>0</v>
      </c>
      <c r="N367" t="n">
        <v>0</v>
      </c>
      <c r="O367" t="n">
        <v>0</v>
      </c>
      <c r="P367" t="n">
        <v>0</v>
      </c>
      <c r="Q367" t="n">
        <v>0</v>
      </c>
      <c r="R367" s="2" t="inlineStr"/>
    </row>
    <row r="368" ht="15" customHeight="1">
      <c r="A368" t="inlineStr">
        <is>
          <t>A 44041-2025</t>
        </is>
      </c>
      <c r="B368" s="1" t="n">
        <v>45915.49238425926</v>
      </c>
      <c r="C368" s="1" t="n">
        <v>46035</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10564-2023</t>
        </is>
      </c>
      <c r="B369" s="1" t="n">
        <v>44988</v>
      </c>
      <c r="C369" s="1" t="n">
        <v>46035</v>
      </c>
      <c r="D369" t="inlineStr">
        <is>
          <t>ÖREBRO LÄN</t>
        </is>
      </c>
      <c r="E369" t="inlineStr">
        <is>
          <t>LINDESBERG</t>
        </is>
      </c>
      <c r="F369" t="inlineStr">
        <is>
          <t>Kyrkan</t>
        </is>
      </c>
      <c r="G369" t="n">
        <v>1.6</v>
      </c>
      <c r="H369" t="n">
        <v>0</v>
      </c>
      <c r="I369" t="n">
        <v>0</v>
      </c>
      <c r="J369" t="n">
        <v>0</v>
      </c>
      <c r="K369" t="n">
        <v>0</v>
      </c>
      <c r="L369" t="n">
        <v>0</v>
      </c>
      <c r="M369" t="n">
        <v>0</v>
      </c>
      <c r="N369" t="n">
        <v>0</v>
      </c>
      <c r="O369" t="n">
        <v>0</v>
      </c>
      <c r="P369" t="n">
        <v>0</v>
      </c>
      <c r="Q369" t="n">
        <v>0</v>
      </c>
      <c r="R369" s="2" t="inlineStr"/>
    </row>
    <row r="370" ht="15" customHeight="1">
      <c r="A370" t="inlineStr">
        <is>
          <t>A 44077-2025</t>
        </is>
      </c>
      <c r="B370" s="1" t="n">
        <v>45915.54983796296</v>
      </c>
      <c r="C370" s="1" t="n">
        <v>46035</v>
      </c>
      <c r="D370" t="inlineStr">
        <is>
          <t>ÖREBRO LÄN</t>
        </is>
      </c>
      <c r="E370" t="inlineStr">
        <is>
          <t>LINDESBERG</t>
        </is>
      </c>
      <c r="G370" t="n">
        <v>4.2</v>
      </c>
      <c r="H370" t="n">
        <v>0</v>
      </c>
      <c r="I370" t="n">
        <v>0</v>
      </c>
      <c r="J370" t="n">
        <v>0</v>
      </c>
      <c r="K370" t="n">
        <v>0</v>
      </c>
      <c r="L370" t="n">
        <v>0</v>
      </c>
      <c r="M370" t="n">
        <v>0</v>
      </c>
      <c r="N370" t="n">
        <v>0</v>
      </c>
      <c r="O370" t="n">
        <v>0</v>
      </c>
      <c r="P370" t="n">
        <v>0</v>
      </c>
      <c r="Q370" t="n">
        <v>0</v>
      </c>
      <c r="R370" s="2" t="inlineStr"/>
    </row>
    <row r="371" ht="15" customHeight="1">
      <c r="A371" t="inlineStr">
        <is>
          <t>A 14185-2024</t>
        </is>
      </c>
      <c r="B371" s="1" t="n">
        <v>45393.3562962963</v>
      </c>
      <c r="C371" s="1" t="n">
        <v>46035</v>
      </c>
      <c r="D371" t="inlineStr">
        <is>
          <t>ÖREBRO LÄN</t>
        </is>
      </c>
      <c r="E371" t="inlineStr">
        <is>
          <t>LINDESBERG</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44067-2025</t>
        </is>
      </c>
      <c r="B372" s="1" t="n">
        <v>45915.54439814815</v>
      </c>
      <c r="C372" s="1" t="n">
        <v>46035</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11218-2025</t>
        </is>
      </c>
      <c r="B373" s="1" t="n">
        <v>45726.33763888889</v>
      </c>
      <c r="C373" s="1" t="n">
        <v>46035</v>
      </c>
      <c r="D373" t="inlineStr">
        <is>
          <t>ÖREBRO LÄN</t>
        </is>
      </c>
      <c r="E373" t="inlineStr">
        <is>
          <t>LINDESBERG</t>
        </is>
      </c>
      <c r="G373" t="n">
        <v>0.4</v>
      </c>
      <c r="H373" t="n">
        <v>0</v>
      </c>
      <c r="I373" t="n">
        <v>0</v>
      </c>
      <c r="J373" t="n">
        <v>0</v>
      </c>
      <c r="K373" t="n">
        <v>0</v>
      </c>
      <c r="L373" t="n">
        <v>0</v>
      </c>
      <c r="M373" t="n">
        <v>0</v>
      </c>
      <c r="N373" t="n">
        <v>0</v>
      </c>
      <c r="O373" t="n">
        <v>0</v>
      </c>
      <c r="P373" t="n">
        <v>0</v>
      </c>
      <c r="Q373" t="n">
        <v>0</v>
      </c>
      <c r="R373" s="2" t="inlineStr"/>
    </row>
    <row r="374" ht="15" customHeight="1">
      <c r="A374" t="inlineStr">
        <is>
          <t>A 11220-2025</t>
        </is>
      </c>
      <c r="B374" s="1" t="n">
        <v>45726.34090277777</v>
      </c>
      <c r="C374" s="1" t="n">
        <v>46035</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43801-2024</t>
        </is>
      </c>
      <c r="B375" s="1" t="n">
        <v>45571.71736111111</v>
      </c>
      <c r="C375" s="1" t="n">
        <v>46035</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61222-2022</t>
        </is>
      </c>
      <c r="B376" s="1" t="n">
        <v>44909</v>
      </c>
      <c r="C376" s="1" t="n">
        <v>46035</v>
      </c>
      <c r="D376" t="inlineStr">
        <is>
          <t>ÖREBRO LÄN</t>
        </is>
      </c>
      <c r="E376" t="inlineStr">
        <is>
          <t>LINDESBERG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72331-2021</t>
        </is>
      </c>
      <c r="B377" s="1" t="n">
        <v>44544</v>
      </c>
      <c r="C377" s="1" t="n">
        <v>46035</v>
      </c>
      <c r="D377" t="inlineStr">
        <is>
          <t>ÖREBRO LÄN</t>
        </is>
      </c>
      <c r="E377" t="inlineStr">
        <is>
          <t>LINDESBERG</t>
        </is>
      </c>
      <c r="G377" t="n">
        <v>1.5</v>
      </c>
      <c r="H377" t="n">
        <v>0</v>
      </c>
      <c r="I377" t="n">
        <v>0</v>
      </c>
      <c r="J377" t="n">
        <v>0</v>
      </c>
      <c r="K377" t="n">
        <v>0</v>
      </c>
      <c r="L377" t="n">
        <v>0</v>
      </c>
      <c r="M377" t="n">
        <v>0</v>
      </c>
      <c r="N377" t="n">
        <v>0</v>
      </c>
      <c r="O377" t="n">
        <v>0</v>
      </c>
      <c r="P377" t="n">
        <v>0</v>
      </c>
      <c r="Q377" t="n">
        <v>0</v>
      </c>
      <c r="R377" s="2" t="inlineStr"/>
    </row>
    <row r="378" ht="15" customHeight="1">
      <c r="A378" t="inlineStr">
        <is>
          <t>A 45062-2022</t>
        </is>
      </c>
      <c r="B378" s="1" t="n">
        <v>44841</v>
      </c>
      <c r="C378" s="1" t="n">
        <v>46035</v>
      </c>
      <c r="D378" t="inlineStr">
        <is>
          <t>ÖREBRO LÄN</t>
        </is>
      </c>
      <c r="E378" t="inlineStr">
        <is>
          <t>LINDESBERG</t>
        </is>
      </c>
      <c r="G378" t="n">
        <v>2</v>
      </c>
      <c r="H378" t="n">
        <v>0</v>
      </c>
      <c r="I378" t="n">
        <v>0</v>
      </c>
      <c r="J378" t="n">
        <v>0</v>
      </c>
      <c r="K378" t="n">
        <v>0</v>
      </c>
      <c r="L378" t="n">
        <v>0</v>
      </c>
      <c r="M378" t="n">
        <v>0</v>
      </c>
      <c r="N378" t="n">
        <v>0</v>
      </c>
      <c r="O378" t="n">
        <v>0</v>
      </c>
      <c r="P378" t="n">
        <v>0</v>
      </c>
      <c r="Q378" t="n">
        <v>0</v>
      </c>
      <c r="R378" s="2" t="inlineStr"/>
    </row>
    <row r="379" ht="15" customHeight="1">
      <c r="A379" t="inlineStr">
        <is>
          <t>A 36754-2024</t>
        </is>
      </c>
      <c r="B379" s="1" t="n">
        <v>45538.34796296297</v>
      </c>
      <c r="C379" s="1" t="n">
        <v>46035</v>
      </c>
      <c r="D379" t="inlineStr">
        <is>
          <t>ÖREBRO LÄN</t>
        </is>
      </c>
      <c r="E379" t="inlineStr">
        <is>
          <t>LINDESBERG</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50964-2023</t>
        </is>
      </c>
      <c r="B380" s="1" t="n">
        <v>45218.488125</v>
      </c>
      <c r="C380" s="1" t="n">
        <v>46035</v>
      </c>
      <c r="D380" t="inlineStr">
        <is>
          <t>ÖREBRO LÄN</t>
        </is>
      </c>
      <c r="E380" t="inlineStr">
        <is>
          <t>LINDESBERG</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25842-2025</t>
        </is>
      </c>
      <c r="B381" s="1" t="n">
        <v>45804.45474537037</v>
      </c>
      <c r="C381" s="1" t="n">
        <v>46035</v>
      </c>
      <c r="D381" t="inlineStr">
        <is>
          <t>ÖREBRO LÄN</t>
        </is>
      </c>
      <c r="E381" t="inlineStr">
        <is>
          <t>LINDESBERG</t>
        </is>
      </c>
      <c r="G381" t="n">
        <v>1.7</v>
      </c>
      <c r="H381" t="n">
        <v>0</v>
      </c>
      <c r="I381" t="n">
        <v>0</v>
      </c>
      <c r="J381" t="n">
        <v>0</v>
      </c>
      <c r="K381" t="n">
        <v>0</v>
      </c>
      <c r="L381" t="n">
        <v>0</v>
      </c>
      <c r="M381" t="n">
        <v>0</v>
      </c>
      <c r="N381" t="n">
        <v>0</v>
      </c>
      <c r="O381" t="n">
        <v>0</v>
      </c>
      <c r="P381" t="n">
        <v>0</v>
      </c>
      <c r="Q381" t="n">
        <v>0</v>
      </c>
      <c r="R381" s="2" t="inlineStr"/>
    </row>
    <row r="382" ht="15" customHeight="1">
      <c r="A382" t="inlineStr">
        <is>
          <t>A 60941-2024</t>
        </is>
      </c>
      <c r="B382" s="1" t="n">
        <v>45645.3712037037</v>
      </c>
      <c r="C382" s="1" t="n">
        <v>46035</v>
      </c>
      <c r="D382" t="inlineStr">
        <is>
          <t>ÖREBRO LÄN</t>
        </is>
      </c>
      <c r="E382" t="inlineStr">
        <is>
          <t>LINDESBERG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25643-2025</t>
        </is>
      </c>
      <c r="B383" s="1" t="n">
        <v>45803</v>
      </c>
      <c r="C383" s="1" t="n">
        <v>46035</v>
      </c>
      <c r="D383" t="inlineStr">
        <is>
          <t>ÖREBRO LÄN</t>
        </is>
      </c>
      <c r="E383" t="inlineStr">
        <is>
          <t>LINDESBERG</t>
        </is>
      </c>
      <c r="F383" t="inlineStr">
        <is>
          <t>Sveaskog</t>
        </is>
      </c>
      <c r="G383" t="n">
        <v>3.6</v>
      </c>
      <c r="H383" t="n">
        <v>0</v>
      </c>
      <c r="I383" t="n">
        <v>0</v>
      </c>
      <c r="J383" t="n">
        <v>0</v>
      </c>
      <c r="K383" t="n">
        <v>0</v>
      </c>
      <c r="L383" t="n">
        <v>0</v>
      </c>
      <c r="M383" t="n">
        <v>0</v>
      </c>
      <c r="N383" t="n">
        <v>0</v>
      </c>
      <c r="O383" t="n">
        <v>0</v>
      </c>
      <c r="P383" t="n">
        <v>0</v>
      </c>
      <c r="Q383" t="n">
        <v>0</v>
      </c>
      <c r="R383" s="2" t="inlineStr"/>
    </row>
    <row r="384" ht="15" customHeight="1">
      <c r="A384" t="inlineStr">
        <is>
          <t>A 25843-2025</t>
        </is>
      </c>
      <c r="B384" s="1" t="n">
        <v>45804.45584490741</v>
      </c>
      <c r="C384" s="1" t="n">
        <v>46035</v>
      </c>
      <c r="D384" t="inlineStr">
        <is>
          <t>ÖREBRO LÄN</t>
        </is>
      </c>
      <c r="E384" t="inlineStr">
        <is>
          <t>LINDESBERG</t>
        </is>
      </c>
      <c r="G384" t="n">
        <v>4.6</v>
      </c>
      <c r="H384" t="n">
        <v>0</v>
      </c>
      <c r="I384" t="n">
        <v>0</v>
      </c>
      <c r="J384" t="n">
        <v>0</v>
      </c>
      <c r="K384" t="n">
        <v>0</v>
      </c>
      <c r="L384" t="n">
        <v>0</v>
      </c>
      <c r="M384" t="n">
        <v>0</v>
      </c>
      <c r="N384" t="n">
        <v>0</v>
      </c>
      <c r="O384" t="n">
        <v>0</v>
      </c>
      <c r="P384" t="n">
        <v>0</v>
      </c>
      <c r="Q384" t="n">
        <v>0</v>
      </c>
      <c r="R384" s="2" t="inlineStr"/>
    </row>
    <row r="385" ht="15" customHeight="1">
      <c r="A385" t="inlineStr">
        <is>
          <t>A 44545-2025</t>
        </is>
      </c>
      <c r="B385" s="1" t="n">
        <v>45917.31780092593</v>
      </c>
      <c r="C385" s="1" t="n">
        <v>46035</v>
      </c>
      <c r="D385" t="inlineStr">
        <is>
          <t>ÖREBRO LÄN</t>
        </is>
      </c>
      <c r="E385" t="inlineStr">
        <is>
          <t>LINDESBERG</t>
        </is>
      </c>
      <c r="F385" t="inlineStr">
        <is>
          <t>Kommuner</t>
        </is>
      </c>
      <c r="G385" t="n">
        <v>2.3</v>
      </c>
      <c r="H385" t="n">
        <v>0</v>
      </c>
      <c r="I385" t="n">
        <v>0</v>
      </c>
      <c r="J385" t="n">
        <v>0</v>
      </c>
      <c r="K385" t="n">
        <v>0</v>
      </c>
      <c r="L385" t="n">
        <v>0</v>
      </c>
      <c r="M385" t="n">
        <v>0</v>
      </c>
      <c r="N385" t="n">
        <v>0</v>
      </c>
      <c r="O385" t="n">
        <v>0</v>
      </c>
      <c r="P385" t="n">
        <v>0</v>
      </c>
      <c r="Q385" t="n">
        <v>0</v>
      </c>
      <c r="R385" s="2" t="inlineStr"/>
    </row>
    <row r="386" ht="15" customHeight="1">
      <c r="A386" t="inlineStr">
        <is>
          <t>A 26016-2025</t>
        </is>
      </c>
      <c r="B386" s="1" t="n">
        <v>45804.67795138889</v>
      </c>
      <c r="C386" s="1" t="n">
        <v>46035</v>
      </c>
      <c r="D386" t="inlineStr">
        <is>
          <t>ÖREBRO LÄN</t>
        </is>
      </c>
      <c r="E386" t="inlineStr">
        <is>
          <t>LINDESBERG</t>
        </is>
      </c>
      <c r="G386" t="n">
        <v>10</v>
      </c>
      <c r="H386" t="n">
        <v>0</v>
      </c>
      <c r="I386" t="n">
        <v>0</v>
      </c>
      <c r="J386" t="n">
        <v>0</v>
      </c>
      <c r="K386" t="n">
        <v>0</v>
      </c>
      <c r="L386" t="n">
        <v>0</v>
      </c>
      <c r="M386" t="n">
        <v>0</v>
      </c>
      <c r="N386" t="n">
        <v>0</v>
      </c>
      <c r="O386" t="n">
        <v>0</v>
      </c>
      <c r="P386" t="n">
        <v>0</v>
      </c>
      <c r="Q386" t="n">
        <v>0</v>
      </c>
      <c r="R386" s="2" t="inlineStr"/>
    </row>
    <row r="387" ht="15" customHeight="1">
      <c r="A387" t="inlineStr">
        <is>
          <t>A 64365-2023</t>
        </is>
      </c>
      <c r="B387" s="1" t="n">
        <v>45280</v>
      </c>
      <c r="C387" s="1" t="n">
        <v>46035</v>
      </c>
      <c r="D387" t="inlineStr">
        <is>
          <t>ÖREBRO LÄN</t>
        </is>
      </c>
      <c r="E387" t="inlineStr">
        <is>
          <t>LINDESBERG</t>
        </is>
      </c>
      <c r="F387" t="inlineStr">
        <is>
          <t>Kyrkan</t>
        </is>
      </c>
      <c r="G387" t="n">
        <v>1.4</v>
      </c>
      <c r="H387" t="n">
        <v>0</v>
      </c>
      <c r="I387" t="n">
        <v>0</v>
      </c>
      <c r="J387" t="n">
        <v>0</v>
      </c>
      <c r="K387" t="n">
        <v>0</v>
      </c>
      <c r="L387" t="n">
        <v>0</v>
      </c>
      <c r="M387" t="n">
        <v>0</v>
      </c>
      <c r="N387" t="n">
        <v>0</v>
      </c>
      <c r="O387" t="n">
        <v>0</v>
      </c>
      <c r="P387" t="n">
        <v>0</v>
      </c>
      <c r="Q387" t="n">
        <v>0</v>
      </c>
      <c r="R387" s="2" t="inlineStr"/>
    </row>
    <row r="388" ht="15" customHeight="1">
      <c r="A388" t="inlineStr">
        <is>
          <t>A 37738-2024</t>
        </is>
      </c>
      <c r="B388" s="1" t="n">
        <v>45541.66916666667</v>
      </c>
      <c r="C388" s="1" t="n">
        <v>46035</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33428-2024</t>
        </is>
      </c>
      <c r="B389" s="1" t="n">
        <v>45519.52319444445</v>
      </c>
      <c r="C389" s="1" t="n">
        <v>46035</v>
      </c>
      <c r="D389" t="inlineStr">
        <is>
          <t>ÖREBRO LÄN</t>
        </is>
      </c>
      <c r="E389" t="inlineStr">
        <is>
          <t>LINDESBERG</t>
        </is>
      </c>
      <c r="F389" t="inlineStr">
        <is>
          <t>Sveaskog</t>
        </is>
      </c>
      <c r="G389" t="n">
        <v>0.2</v>
      </c>
      <c r="H389" t="n">
        <v>0</v>
      </c>
      <c r="I389" t="n">
        <v>0</v>
      </c>
      <c r="J389" t="n">
        <v>0</v>
      </c>
      <c r="K389" t="n">
        <v>0</v>
      </c>
      <c r="L389" t="n">
        <v>0</v>
      </c>
      <c r="M389" t="n">
        <v>0</v>
      </c>
      <c r="N389" t="n">
        <v>0</v>
      </c>
      <c r="O389" t="n">
        <v>0</v>
      </c>
      <c r="P389" t="n">
        <v>0</v>
      </c>
      <c r="Q389" t="n">
        <v>0</v>
      </c>
      <c r="R389" s="2" t="inlineStr"/>
    </row>
    <row r="390" ht="15" customHeight="1">
      <c r="A390" t="inlineStr">
        <is>
          <t>A 27702-2025</t>
        </is>
      </c>
      <c r="B390" s="1" t="n">
        <v>45813</v>
      </c>
      <c r="C390" s="1" t="n">
        <v>46035</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48867-2025</t>
        </is>
      </c>
      <c r="B391" s="1" t="n">
        <v>45937.4484837963</v>
      </c>
      <c r="C391" s="1" t="n">
        <v>46035</v>
      </c>
      <c r="D391" t="inlineStr">
        <is>
          <t>ÖREBRO LÄN</t>
        </is>
      </c>
      <c r="E391" t="inlineStr">
        <is>
          <t>LINDESBERG</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59766-2022</t>
        </is>
      </c>
      <c r="B392" s="1" t="n">
        <v>44908.49152777778</v>
      </c>
      <c r="C392" s="1" t="n">
        <v>46035</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49133-2025</t>
        </is>
      </c>
      <c r="B393" s="1" t="n">
        <v>45937.92319444445</v>
      </c>
      <c r="C393" s="1" t="n">
        <v>46035</v>
      </c>
      <c r="D393" t="inlineStr">
        <is>
          <t>ÖREBRO LÄN</t>
        </is>
      </c>
      <c r="E393" t="inlineStr">
        <is>
          <t>LINDESBERG</t>
        </is>
      </c>
      <c r="G393" t="n">
        <v>5</v>
      </c>
      <c r="H393" t="n">
        <v>0</v>
      </c>
      <c r="I393" t="n">
        <v>0</v>
      </c>
      <c r="J393" t="n">
        <v>0</v>
      </c>
      <c r="K393" t="n">
        <v>0</v>
      </c>
      <c r="L393" t="n">
        <v>0</v>
      </c>
      <c r="M393" t="n">
        <v>0</v>
      </c>
      <c r="N393" t="n">
        <v>0</v>
      </c>
      <c r="O393" t="n">
        <v>0</v>
      </c>
      <c r="P393" t="n">
        <v>0</v>
      </c>
      <c r="Q393" t="n">
        <v>0</v>
      </c>
      <c r="R393" s="2" t="inlineStr"/>
    </row>
    <row r="394" ht="15" customHeight="1">
      <c r="A394" t="inlineStr">
        <is>
          <t>A 33282-2024</t>
        </is>
      </c>
      <c r="B394" s="1" t="n">
        <v>45518.71482638889</v>
      </c>
      <c r="C394" s="1" t="n">
        <v>46035</v>
      </c>
      <c r="D394" t="inlineStr">
        <is>
          <t>ÖREBRO LÄN</t>
        </is>
      </c>
      <c r="E394" t="inlineStr">
        <is>
          <t>LINDESBERG</t>
        </is>
      </c>
      <c r="G394" t="n">
        <v>7.5</v>
      </c>
      <c r="H394" t="n">
        <v>0</v>
      </c>
      <c r="I394" t="n">
        <v>0</v>
      </c>
      <c r="J394" t="n">
        <v>0</v>
      </c>
      <c r="K394" t="n">
        <v>0</v>
      </c>
      <c r="L394" t="n">
        <v>0</v>
      </c>
      <c r="M394" t="n">
        <v>0</v>
      </c>
      <c r="N394" t="n">
        <v>0</v>
      </c>
      <c r="O394" t="n">
        <v>0</v>
      </c>
      <c r="P394" t="n">
        <v>0</v>
      </c>
      <c r="Q394" t="n">
        <v>0</v>
      </c>
      <c r="R394" s="2" t="inlineStr"/>
    </row>
    <row r="395" ht="15" customHeight="1">
      <c r="A395" t="inlineStr">
        <is>
          <t>A 15895-2025</t>
        </is>
      </c>
      <c r="B395" s="1" t="n">
        <v>45749</v>
      </c>
      <c r="C395" s="1" t="n">
        <v>46035</v>
      </c>
      <c r="D395" t="inlineStr">
        <is>
          <t>ÖREBRO LÄN</t>
        </is>
      </c>
      <c r="E395" t="inlineStr">
        <is>
          <t>LINDESBERG</t>
        </is>
      </c>
      <c r="G395" t="n">
        <v>1</v>
      </c>
      <c r="H395" t="n">
        <v>0</v>
      </c>
      <c r="I395" t="n">
        <v>0</v>
      </c>
      <c r="J395" t="n">
        <v>0</v>
      </c>
      <c r="K395" t="n">
        <v>0</v>
      </c>
      <c r="L395" t="n">
        <v>0</v>
      </c>
      <c r="M395" t="n">
        <v>0</v>
      </c>
      <c r="N395" t="n">
        <v>0</v>
      </c>
      <c r="O395" t="n">
        <v>0</v>
      </c>
      <c r="P395" t="n">
        <v>0</v>
      </c>
      <c r="Q395" t="n">
        <v>0</v>
      </c>
      <c r="R395" s="2" t="inlineStr"/>
    </row>
    <row r="396" ht="15" customHeight="1">
      <c r="A396" t="inlineStr">
        <is>
          <t>A 15941-2025</t>
        </is>
      </c>
      <c r="B396" s="1" t="n">
        <v>45749</v>
      </c>
      <c r="C396" s="1" t="n">
        <v>46035</v>
      </c>
      <c r="D396" t="inlineStr">
        <is>
          <t>ÖREBRO LÄN</t>
        </is>
      </c>
      <c r="E396" t="inlineStr">
        <is>
          <t>LINDESBERG</t>
        </is>
      </c>
      <c r="G396" t="n">
        <v>2.4</v>
      </c>
      <c r="H396" t="n">
        <v>0</v>
      </c>
      <c r="I396" t="n">
        <v>0</v>
      </c>
      <c r="J396" t="n">
        <v>0</v>
      </c>
      <c r="K396" t="n">
        <v>0</v>
      </c>
      <c r="L396" t="n">
        <v>0</v>
      </c>
      <c r="M396" t="n">
        <v>0</v>
      </c>
      <c r="N396" t="n">
        <v>0</v>
      </c>
      <c r="O396" t="n">
        <v>0</v>
      </c>
      <c r="P396" t="n">
        <v>0</v>
      </c>
      <c r="Q396" t="n">
        <v>0</v>
      </c>
      <c r="R396" s="2" t="inlineStr"/>
    </row>
    <row r="397" ht="15" customHeight="1">
      <c r="A397" t="inlineStr">
        <is>
          <t>A 54862-2024</t>
        </is>
      </c>
      <c r="B397" s="1" t="n">
        <v>45618</v>
      </c>
      <c r="C397" s="1" t="n">
        <v>46035</v>
      </c>
      <c r="D397" t="inlineStr">
        <is>
          <t>ÖREBRO LÄN</t>
        </is>
      </c>
      <c r="E397" t="inlineStr">
        <is>
          <t>LINDESBERG</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1742-2022</t>
        </is>
      </c>
      <c r="B398" s="1" t="n">
        <v>44574.50425925926</v>
      </c>
      <c r="C398" s="1" t="n">
        <v>46035</v>
      </c>
      <c r="D398" t="inlineStr">
        <is>
          <t>ÖREBRO LÄN</t>
        </is>
      </c>
      <c r="E398" t="inlineStr">
        <is>
          <t>LINDESBERG</t>
        </is>
      </c>
      <c r="G398" t="n">
        <v>0.9</v>
      </c>
      <c r="H398" t="n">
        <v>0</v>
      </c>
      <c r="I398" t="n">
        <v>0</v>
      </c>
      <c r="J398" t="n">
        <v>0</v>
      </c>
      <c r="K398" t="n">
        <v>0</v>
      </c>
      <c r="L398" t="n">
        <v>0</v>
      </c>
      <c r="M398" t="n">
        <v>0</v>
      </c>
      <c r="N398" t="n">
        <v>0</v>
      </c>
      <c r="O398" t="n">
        <v>0</v>
      </c>
      <c r="P398" t="n">
        <v>0</v>
      </c>
      <c r="Q398" t="n">
        <v>0</v>
      </c>
      <c r="R398" s="2" t="inlineStr"/>
    </row>
    <row r="399" ht="15" customHeight="1">
      <c r="A399" t="inlineStr">
        <is>
          <t>A 49707-2025</t>
        </is>
      </c>
      <c r="B399" s="1" t="n">
        <v>45939.67951388889</v>
      </c>
      <c r="C399" s="1" t="n">
        <v>46035</v>
      </c>
      <c r="D399" t="inlineStr">
        <is>
          <t>ÖREBRO LÄN</t>
        </is>
      </c>
      <c r="E399" t="inlineStr">
        <is>
          <t>LINDESBERG</t>
        </is>
      </c>
      <c r="F399" t="inlineStr">
        <is>
          <t>Kommuner</t>
        </is>
      </c>
      <c r="G399" t="n">
        <v>0.6</v>
      </c>
      <c r="H399" t="n">
        <v>0</v>
      </c>
      <c r="I399" t="n">
        <v>0</v>
      </c>
      <c r="J399" t="n">
        <v>0</v>
      </c>
      <c r="K399" t="n">
        <v>0</v>
      </c>
      <c r="L399" t="n">
        <v>0</v>
      </c>
      <c r="M399" t="n">
        <v>0</v>
      </c>
      <c r="N399" t="n">
        <v>0</v>
      </c>
      <c r="O399" t="n">
        <v>0</v>
      </c>
      <c r="P399" t="n">
        <v>0</v>
      </c>
      <c r="Q399" t="n">
        <v>0</v>
      </c>
      <c r="R399" s="2" t="inlineStr"/>
    </row>
    <row r="400" ht="15" customHeight="1">
      <c r="A400" t="inlineStr">
        <is>
          <t>A 14522-2025</t>
        </is>
      </c>
      <c r="B400" s="1" t="n">
        <v>45741.64491898148</v>
      </c>
      <c r="C400" s="1" t="n">
        <v>46035</v>
      </c>
      <c r="D400" t="inlineStr">
        <is>
          <t>ÖREBRO LÄN</t>
        </is>
      </c>
      <c r="E400" t="inlineStr">
        <is>
          <t>LINDESBERG</t>
        </is>
      </c>
      <c r="G400" t="n">
        <v>4.5</v>
      </c>
      <c r="H400" t="n">
        <v>0</v>
      </c>
      <c r="I400" t="n">
        <v>0</v>
      </c>
      <c r="J400" t="n">
        <v>0</v>
      </c>
      <c r="K400" t="n">
        <v>0</v>
      </c>
      <c r="L400" t="n">
        <v>0</v>
      </c>
      <c r="M400" t="n">
        <v>0</v>
      </c>
      <c r="N400" t="n">
        <v>0</v>
      </c>
      <c r="O400" t="n">
        <v>0</v>
      </c>
      <c r="P400" t="n">
        <v>0</v>
      </c>
      <c r="Q400" t="n">
        <v>0</v>
      </c>
      <c r="R400" s="2" t="inlineStr"/>
    </row>
    <row r="401" ht="15" customHeight="1">
      <c r="A401" t="inlineStr">
        <is>
          <t>A 73860-2021</t>
        </is>
      </c>
      <c r="B401" s="1" t="n">
        <v>44553.35407407407</v>
      </c>
      <c r="C401" s="1" t="n">
        <v>46035</v>
      </c>
      <c r="D401" t="inlineStr">
        <is>
          <t>ÖREBRO LÄN</t>
        </is>
      </c>
      <c r="E401" t="inlineStr">
        <is>
          <t>LINDESBERG</t>
        </is>
      </c>
      <c r="G401" t="n">
        <v>12.7</v>
      </c>
      <c r="H401" t="n">
        <v>0</v>
      </c>
      <c r="I401" t="n">
        <v>0</v>
      </c>
      <c r="J401" t="n">
        <v>0</v>
      </c>
      <c r="K401" t="n">
        <v>0</v>
      </c>
      <c r="L401" t="n">
        <v>0</v>
      </c>
      <c r="M401" t="n">
        <v>0</v>
      </c>
      <c r="N401" t="n">
        <v>0</v>
      </c>
      <c r="O401" t="n">
        <v>0</v>
      </c>
      <c r="P401" t="n">
        <v>0</v>
      </c>
      <c r="Q401" t="n">
        <v>0</v>
      </c>
      <c r="R401" s="2" t="inlineStr"/>
    </row>
    <row r="402" ht="15" customHeight="1">
      <c r="A402" t="inlineStr">
        <is>
          <t>A 5358-2022</t>
        </is>
      </c>
      <c r="B402" s="1" t="n">
        <v>44594.84091435185</v>
      </c>
      <c r="C402" s="1" t="n">
        <v>46035</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46757-2025</t>
        </is>
      </c>
      <c r="B403" s="1" t="n">
        <v>45926.62039351852</v>
      </c>
      <c r="C403" s="1" t="n">
        <v>46035</v>
      </c>
      <c r="D403" t="inlineStr">
        <is>
          <t>ÖREBRO LÄN</t>
        </is>
      </c>
      <c r="E403" t="inlineStr">
        <is>
          <t>LINDESBERG</t>
        </is>
      </c>
      <c r="G403" t="n">
        <v>7.9</v>
      </c>
      <c r="H403" t="n">
        <v>0</v>
      </c>
      <c r="I403" t="n">
        <v>0</v>
      </c>
      <c r="J403" t="n">
        <v>0</v>
      </c>
      <c r="K403" t="n">
        <v>0</v>
      </c>
      <c r="L403" t="n">
        <v>0</v>
      </c>
      <c r="M403" t="n">
        <v>0</v>
      </c>
      <c r="N403" t="n">
        <v>0</v>
      </c>
      <c r="O403" t="n">
        <v>0</v>
      </c>
      <c r="P403" t="n">
        <v>0</v>
      </c>
      <c r="Q403" t="n">
        <v>0</v>
      </c>
      <c r="R403" s="2" t="inlineStr"/>
    </row>
    <row r="404" ht="15" customHeight="1">
      <c r="A404" t="inlineStr">
        <is>
          <t>A 13884-2023</t>
        </is>
      </c>
      <c r="B404" s="1" t="n">
        <v>45007</v>
      </c>
      <c r="C404" s="1" t="n">
        <v>46035</v>
      </c>
      <c r="D404" t="inlineStr">
        <is>
          <t>ÖREBRO LÄN</t>
        </is>
      </c>
      <c r="E404" t="inlineStr">
        <is>
          <t>LINDESBERG</t>
        </is>
      </c>
      <c r="F404" t="inlineStr">
        <is>
          <t>Kommuner</t>
        </is>
      </c>
      <c r="G404" t="n">
        <v>7.7</v>
      </c>
      <c r="H404" t="n">
        <v>0</v>
      </c>
      <c r="I404" t="n">
        <v>0</v>
      </c>
      <c r="J404" t="n">
        <v>0</v>
      </c>
      <c r="K404" t="n">
        <v>0</v>
      </c>
      <c r="L404" t="n">
        <v>0</v>
      </c>
      <c r="M404" t="n">
        <v>0</v>
      </c>
      <c r="N404" t="n">
        <v>0</v>
      </c>
      <c r="O404" t="n">
        <v>0</v>
      </c>
      <c r="P404" t="n">
        <v>0</v>
      </c>
      <c r="Q404" t="n">
        <v>0</v>
      </c>
      <c r="R404" s="2" t="inlineStr"/>
    </row>
    <row r="405" ht="15" customHeight="1">
      <c r="A405" t="inlineStr">
        <is>
          <t>A 46484-2025</t>
        </is>
      </c>
      <c r="B405" s="1" t="n">
        <v>45925.70290509259</v>
      </c>
      <c r="C405" s="1" t="n">
        <v>46035</v>
      </c>
      <c r="D405" t="inlineStr">
        <is>
          <t>ÖREBRO LÄN</t>
        </is>
      </c>
      <c r="E405" t="inlineStr">
        <is>
          <t>LINDESBERG</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49946-2025</t>
        </is>
      </c>
      <c r="B406" s="1" t="n">
        <v>45940.69862268519</v>
      </c>
      <c r="C406" s="1" t="n">
        <v>46035</v>
      </c>
      <c r="D406" t="inlineStr">
        <is>
          <t>ÖREBRO LÄN</t>
        </is>
      </c>
      <c r="E406" t="inlineStr">
        <is>
          <t>LINDESBERG</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15324-2024</t>
        </is>
      </c>
      <c r="B407" s="1" t="n">
        <v>45400.66995370371</v>
      </c>
      <c r="C407" s="1" t="n">
        <v>46035</v>
      </c>
      <c r="D407" t="inlineStr">
        <is>
          <t>ÖREBRO LÄN</t>
        </is>
      </c>
      <c r="E407" t="inlineStr">
        <is>
          <t>LINDESBERG</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46404-2025</t>
        </is>
      </c>
      <c r="B408" s="1" t="n">
        <v>45925.56173611111</v>
      </c>
      <c r="C408" s="1" t="n">
        <v>46035</v>
      </c>
      <c r="D408" t="inlineStr">
        <is>
          <t>ÖREBRO LÄN</t>
        </is>
      </c>
      <c r="E408" t="inlineStr">
        <is>
          <t>LINDESBERG</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27309-2025</t>
        </is>
      </c>
      <c r="B409" s="1" t="n">
        <v>45812.57452546297</v>
      </c>
      <c r="C409" s="1" t="n">
        <v>46035</v>
      </c>
      <c r="D409" t="inlineStr">
        <is>
          <t>ÖREBRO LÄN</t>
        </is>
      </c>
      <c r="E409" t="inlineStr">
        <is>
          <t>LINDESBERG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27311-2025</t>
        </is>
      </c>
      <c r="B410" s="1" t="n">
        <v>45812.57604166667</v>
      </c>
      <c r="C410" s="1" t="n">
        <v>46035</v>
      </c>
      <c r="D410" t="inlineStr">
        <is>
          <t>ÖREBRO LÄN</t>
        </is>
      </c>
      <c r="E410" t="inlineStr">
        <is>
          <t>LINDESBERG</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27300-2025</t>
        </is>
      </c>
      <c r="B411" s="1" t="n">
        <v>45812.57143518519</v>
      </c>
      <c r="C411" s="1" t="n">
        <v>46035</v>
      </c>
      <c r="D411" t="inlineStr">
        <is>
          <t>ÖREBRO LÄN</t>
        </is>
      </c>
      <c r="E411" t="inlineStr">
        <is>
          <t>LINDESBERG</t>
        </is>
      </c>
      <c r="F411" t="inlineStr">
        <is>
          <t>Sveaskog</t>
        </is>
      </c>
      <c r="G411" t="n">
        <v>19.7</v>
      </c>
      <c r="H411" t="n">
        <v>0</v>
      </c>
      <c r="I411" t="n">
        <v>0</v>
      </c>
      <c r="J411" t="n">
        <v>0</v>
      </c>
      <c r="K411" t="n">
        <v>0</v>
      </c>
      <c r="L411" t="n">
        <v>0</v>
      </c>
      <c r="M411" t="n">
        <v>0</v>
      </c>
      <c r="N411" t="n">
        <v>0</v>
      </c>
      <c r="O411" t="n">
        <v>0</v>
      </c>
      <c r="P411" t="n">
        <v>0</v>
      </c>
      <c r="Q411" t="n">
        <v>0</v>
      </c>
      <c r="R411" s="2" t="inlineStr"/>
    </row>
    <row r="412" ht="15" customHeight="1">
      <c r="A412" t="inlineStr">
        <is>
          <t>A 4539-2025</t>
        </is>
      </c>
      <c r="B412" s="1" t="n">
        <v>45687</v>
      </c>
      <c r="C412" s="1" t="n">
        <v>46035</v>
      </c>
      <c r="D412" t="inlineStr">
        <is>
          <t>ÖREBRO LÄN</t>
        </is>
      </c>
      <c r="E412" t="inlineStr">
        <is>
          <t>LINDESBERG</t>
        </is>
      </c>
      <c r="G412" t="n">
        <v>2.2</v>
      </c>
      <c r="H412" t="n">
        <v>0</v>
      </c>
      <c r="I412" t="n">
        <v>0</v>
      </c>
      <c r="J412" t="n">
        <v>0</v>
      </c>
      <c r="K412" t="n">
        <v>0</v>
      </c>
      <c r="L412" t="n">
        <v>0</v>
      </c>
      <c r="M412" t="n">
        <v>0</v>
      </c>
      <c r="N412" t="n">
        <v>0</v>
      </c>
      <c r="O412" t="n">
        <v>0</v>
      </c>
      <c r="P412" t="n">
        <v>0</v>
      </c>
      <c r="Q412" t="n">
        <v>0</v>
      </c>
      <c r="R412" s="2" t="inlineStr"/>
    </row>
    <row r="413" ht="15" customHeight="1">
      <c r="A413" t="inlineStr">
        <is>
          <t>A 27296-2025</t>
        </is>
      </c>
      <c r="B413" s="1" t="n">
        <v>45812.56952546296</v>
      </c>
      <c r="C413" s="1" t="n">
        <v>46035</v>
      </c>
      <c r="D413" t="inlineStr">
        <is>
          <t>ÖREBRO LÄN</t>
        </is>
      </c>
      <c r="E413" t="inlineStr">
        <is>
          <t>LINDESBERG</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44804-2024</t>
        </is>
      </c>
      <c r="B414" s="1" t="n">
        <v>45574.65189814815</v>
      </c>
      <c r="C414" s="1" t="n">
        <v>46035</v>
      </c>
      <c r="D414" t="inlineStr">
        <is>
          <t>ÖREBRO LÄN</t>
        </is>
      </c>
      <c r="E414" t="inlineStr">
        <is>
          <t>LINDESBERG</t>
        </is>
      </c>
      <c r="F414" t="inlineStr">
        <is>
          <t>Sveaskog</t>
        </is>
      </c>
      <c r="G414" t="n">
        <v>5.7</v>
      </c>
      <c r="H414" t="n">
        <v>0</v>
      </c>
      <c r="I414" t="n">
        <v>0</v>
      </c>
      <c r="J414" t="n">
        <v>0</v>
      </c>
      <c r="K414" t="n">
        <v>0</v>
      </c>
      <c r="L414" t="n">
        <v>0</v>
      </c>
      <c r="M414" t="n">
        <v>0</v>
      </c>
      <c r="N414" t="n">
        <v>0</v>
      </c>
      <c r="O414" t="n">
        <v>0</v>
      </c>
      <c r="P414" t="n">
        <v>0</v>
      </c>
      <c r="Q414" t="n">
        <v>0</v>
      </c>
      <c r="R414" s="2" t="inlineStr"/>
    </row>
    <row r="415" ht="15" customHeight="1">
      <c r="A415" t="inlineStr">
        <is>
          <t>A 47066-2023</t>
        </is>
      </c>
      <c r="B415" s="1" t="n">
        <v>45201</v>
      </c>
      <c r="C415" s="1" t="n">
        <v>46035</v>
      </c>
      <c r="D415" t="inlineStr">
        <is>
          <t>ÖREBRO LÄN</t>
        </is>
      </c>
      <c r="E415" t="inlineStr">
        <is>
          <t>LINDESBERG</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49944-2025</t>
        </is>
      </c>
      <c r="B416" s="1" t="n">
        <v>45940.69643518519</v>
      </c>
      <c r="C416" s="1" t="n">
        <v>46035</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42410-2024</t>
        </is>
      </c>
      <c r="B417" s="1" t="n">
        <v>45565</v>
      </c>
      <c r="C417" s="1" t="n">
        <v>46035</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49947-2025</t>
        </is>
      </c>
      <c r="B418" s="1" t="n">
        <v>45940.70018518518</v>
      </c>
      <c r="C418" s="1" t="n">
        <v>46035</v>
      </c>
      <c r="D418" t="inlineStr">
        <is>
          <t>ÖREBRO LÄN</t>
        </is>
      </c>
      <c r="E418" t="inlineStr">
        <is>
          <t>LINDESBERG</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55631-2022</t>
        </is>
      </c>
      <c r="B419" s="1" t="n">
        <v>44888.4577662037</v>
      </c>
      <c r="C419" s="1" t="n">
        <v>46035</v>
      </c>
      <c r="D419" t="inlineStr">
        <is>
          <t>ÖREBRO LÄN</t>
        </is>
      </c>
      <c r="E419" t="inlineStr">
        <is>
          <t>LINDESBERG</t>
        </is>
      </c>
      <c r="G419" t="n">
        <v>4.4</v>
      </c>
      <c r="H419" t="n">
        <v>0</v>
      </c>
      <c r="I419" t="n">
        <v>0</v>
      </c>
      <c r="J419" t="n">
        <v>0</v>
      </c>
      <c r="K419" t="n">
        <v>0</v>
      </c>
      <c r="L419" t="n">
        <v>0</v>
      </c>
      <c r="M419" t="n">
        <v>0</v>
      </c>
      <c r="N419" t="n">
        <v>0</v>
      </c>
      <c r="O419" t="n">
        <v>0</v>
      </c>
      <c r="P419" t="n">
        <v>0</v>
      </c>
      <c r="Q419" t="n">
        <v>0</v>
      </c>
      <c r="R419" s="2" t="inlineStr"/>
    </row>
    <row r="420" ht="15" customHeight="1">
      <c r="A420" t="inlineStr">
        <is>
          <t>A 42282-2024</t>
        </is>
      </c>
      <c r="B420" s="1" t="n">
        <v>45562.61158564815</v>
      </c>
      <c r="C420" s="1" t="n">
        <v>46035</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42430-2024</t>
        </is>
      </c>
      <c r="B421" s="1" t="n">
        <v>45565.40700231482</v>
      </c>
      <c r="C421" s="1" t="n">
        <v>46035</v>
      </c>
      <c r="D421" t="inlineStr">
        <is>
          <t>ÖREBRO LÄN</t>
        </is>
      </c>
      <c r="E421" t="inlineStr">
        <is>
          <t>LINDESBERG</t>
        </is>
      </c>
      <c r="G421" t="n">
        <v>4</v>
      </c>
      <c r="H421" t="n">
        <v>0</v>
      </c>
      <c r="I421" t="n">
        <v>0</v>
      </c>
      <c r="J421" t="n">
        <v>0</v>
      </c>
      <c r="K421" t="n">
        <v>0</v>
      </c>
      <c r="L421" t="n">
        <v>0</v>
      </c>
      <c r="M421" t="n">
        <v>0</v>
      </c>
      <c r="N421" t="n">
        <v>0</v>
      </c>
      <c r="O421" t="n">
        <v>0</v>
      </c>
      <c r="P421" t="n">
        <v>0</v>
      </c>
      <c r="Q421" t="n">
        <v>0</v>
      </c>
      <c r="R421" s="2" t="inlineStr"/>
    </row>
    <row r="422" ht="15" customHeight="1">
      <c r="A422" t="inlineStr">
        <is>
          <t>A 15822-2024</t>
        </is>
      </c>
      <c r="B422" s="1" t="n">
        <v>45404.68190972223</v>
      </c>
      <c r="C422" s="1" t="n">
        <v>46035</v>
      </c>
      <c r="D422" t="inlineStr">
        <is>
          <t>ÖREBRO LÄN</t>
        </is>
      </c>
      <c r="E422" t="inlineStr">
        <is>
          <t>LINDESBERG</t>
        </is>
      </c>
      <c r="F422" t="inlineStr">
        <is>
          <t>Sveaskog</t>
        </is>
      </c>
      <c r="G422" t="n">
        <v>6.7</v>
      </c>
      <c r="H422" t="n">
        <v>0</v>
      </c>
      <c r="I422" t="n">
        <v>0</v>
      </c>
      <c r="J422" t="n">
        <v>0</v>
      </c>
      <c r="K422" t="n">
        <v>0</v>
      </c>
      <c r="L422" t="n">
        <v>0</v>
      </c>
      <c r="M422" t="n">
        <v>0</v>
      </c>
      <c r="N422" t="n">
        <v>0</v>
      </c>
      <c r="O422" t="n">
        <v>0</v>
      </c>
      <c r="P422" t="n">
        <v>0</v>
      </c>
      <c r="Q422" t="n">
        <v>0</v>
      </c>
      <c r="R422" s="2" t="inlineStr"/>
    </row>
    <row r="423" ht="15" customHeight="1">
      <c r="A423" t="inlineStr">
        <is>
          <t>A 40038-2024</t>
        </is>
      </c>
      <c r="B423" s="1" t="n">
        <v>45553</v>
      </c>
      <c r="C423" s="1" t="n">
        <v>46035</v>
      </c>
      <c r="D423" t="inlineStr">
        <is>
          <t>ÖREBRO LÄN</t>
        </is>
      </c>
      <c r="E423" t="inlineStr">
        <is>
          <t>LINDESBERG</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8213-2023</t>
        </is>
      </c>
      <c r="B424" s="1" t="n">
        <v>44974.55693287037</v>
      </c>
      <c r="C424" s="1" t="n">
        <v>46035</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49943-2025</t>
        </is>
      </c>
      <c r="B425" s="1" t="n">
        <v>45940.69521990741</v>
      </c>
      <c r="C425" s="1" t="n">
        <v>46035</v>
      </c>
      <c r="D425" t="inlineStr">
        <is>
          <t>ÖREBRO LÄN</t>
        </is>
      </c>
      <c r="E425" t="inlineStr">
        <is>
          <t>LINDESBERG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3732-2023</t>
        </is>
      </c>
      <c r="B426" s="1" t="n">
        <v>44949</v>
      </c>
      <c r="C426" s="1" t="n">
        <v>46035</v>
      </c>
      <c r="D426" t="inlineStr">
        <is>
          <t>ÖREBRO LÄN</t>
        </is>
      </c>
      <c r="E426" t="inlineStr">
        <is>
          <t>LINDESBERG</t>
        </is>
      </c>
      <c r="G426" t="n">
        <v>3.3</v>
      </c>
      <c r="H426" t="n">
        <v>0</v>
      </c>
      <c r="I426" t="n">
        <v>0</v>
      </c>
      <c r="J426" t="n">
        <v>0</v>
      </c>
      <c r="K426" t="n">
        <v>0</v>
      </c>
      <c r="L426" t="n">
        <v>0</v>
      </c>
      <c r="M426" t="n">
        <v>0</v>
      </c>
      <c r="N426" t="n">
        <v>0</v>
      </c>
      <c r="O426" t="n">
        <v>0</v>
      </c>
      <c r="P426" t="n">
        <v>0</v>
      </c>
      <c r="Q426" t="n">
        <v>0</v>
      </c>
      <c r="R426" s="2" t="inlineStr"/>
    </row>
    <row r="427" ht="15" customHeight="1">
      <c r="A427" t="inlineStr">
        <is>
          <t>A 47155-2024</t>
        </is>
      </c>
      <c r="B427" s="1" t="n">
        <v>45586</v>
      </c>
      <c r="C427" s="1" t="n">
        <v>46035</v>
      </c>
      <c r="D427" t="inlineStr">
        <is>
          <t>ÖREBRO LÄN</t>
        </is>
      </c>
      <c r="E427" t="inlineStr">
        <is>
          <t>LINDESBERG</t>
        </is>
      </c>
      <c r="F427" t="inlineStr">
        <is>
          <t>Sveaskog</t>
        </is>
      </c>
      <c r="G427" t="n">
        <v>5.7</v>
      </c>
      <c r="H427" t="n">
        <v>0</v>
      </c>
      <c r="I427" t="n">
        <v>0</v>
      </c>
      <c r="J427" t="n">
        <v>0</v>
      </c>
      <c r="K427" t="n">
        <v>0</v>
      </c>
      <c r="L427" t="n">
        <v>0</v>
      </c>
      <c r="M427" t="n">
        <v>0</v>
      </c>
      <c r="N427" t="n">
        <v>0</v>
      </c>
      <c r="O427" t="n">
        <v>0</v>
      </c>
      <c r="P427" t="n">
        <v>0</v>
      </c>
      <c r="Q427" t="n">
        <v>0</v>
      </c>
      <c r="R427" s="2" t="inlineStr"/>
    </row>
    <row r="428" ht="15" customHeight="1">
      <c r="A428" t="inlineStr">
        <is>
          <t>A 2569-2023</t>
        </is>
      </c>
      <c r="B428" s="1" t="n">
        <v>44943.73792824074</v>
      </c>
      <c r="C428" s="1" t="n">
        <v>46035</v>
      </c>
      <c r="D428" t="inlineStr">
        <is>
          <t>ÖREBRO LÄN</t>
        </is>
      </c>
      <c r="E428" t="inlineStr">
        <is>
          <t>LINDESBERG</t>
        </is>
      </c>
      <c r="G428" t="n">
        <v>2.3</v>
      </c>
      <c r="H428" t="n">
        <v>0</v>
      </c>
      <c r="I428" t="n">
        <v>0</v>
      </c>
      <c r="J428" t="n">
        <v>0</v>
      </c>
      <c r="K428" t="n">
        <v>0</v>
      </c>
      <c r="L428" t="n">
        <v>0</v>
      </c>
      <c r="M428" t="n">
        <v>0</v>
      </c>
      <c r="N428" t="n">
        <v>0</v>
      </c>
      <c r="O428" t="n">
        <v>0</v>
      </c>
      <c r="P428" t="n">
        <v>0</v>
      </c>
      <c r="Q428" t="n">
        <v>0</v>
      </c>
      <c r="R428" s="2" t="inlineStr"/>
    </row>
    <row r="429" ht="15" customHeight="1">
      <c r="A429" t="inlineStr">
        <is>
          <t>A 28040-2025</t>
        </is>
      </c>
      <c r="B429" s="1" t="n">
        <v>45817.6455324074</v>
      </c>
      <c r="C429" s="1" t="n">
        <v>46035</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9966-2023</t>
        </is>
      </c>
      <c r="B430" s="1" t="n">
        <v>44979</v>
      </c>
      <c r="C430" s="1" t="n">
        <v>46035</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28877-2025</t>
        </is>
      </c>
      <c r="B431" s="1" t="n">
        <v>45820.61684027778</v>
      </c>
      <c r="C431" s="1" t="n">
        <v>46035</v>
      </c>
      <c r="D431" t="inlineStr">
        <is>
          <t>ÖREBRO LÄN</t>
        </is>
      </c>
      <c r="E431" t="inlineStr">
        <is>
          <t>LINDESBERG</t>
        </is>
      </c>
      <c r="G431" t="n">
        <v>4.4</v>
      </c>
      <c r="H431" t="n">
        <v>0</v>
      </c>
      <c r="I431" t="n">
        <v>0</v>
      </c>
      <c r="J431" t="n">
        <v>0</v>
      </c>
      <c r="K431" t="n">
        <v>0</v>
      </c>
      <c r="L431" t="n">
        <v>0</v>
      </c>
      <c r="M431" t="n">
        <v>0</v>
      </c>
      <c r="N431" t="n">
        <v>0</v>
      </c>
      <c r="O431" t="n">
        <v>0</v>
      </c>
      <c r="P431" t="n">
        <v>0</v>
      </c>
      <c r="Q431" t="n">
        <v>0</v>
      </c>
      <c r="R431" s="2" t="inlineStr"/>
    </row>
    <row r="432" ht="15" customHeight="1">
      <c r="A432" t="inlineStr">
        <is>
          <t>A 47069-2023</t>
        </is>
      </c>
      <c r="B432" s="1" t="n">
        <v>45201</v>
      </c>
      <c r="C432" s="1" t="n">
        <v>46035</v>
      </c>
      <c r="D432" t="inlineStr">
        <is>
          <t>ÖREBRO LÄN</t>
        </is>
      </c>
      <c r="E432" t="inlineStr">
        <is>
          <t>LINDESBERG</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47074-2023</t>
        </is>
      </c>
      <c r="B433" s="1" t="n">
        <v>45201.60283564815</v>
      </c>
      <c r="C433" s="1" t="n">
        <v>46035</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28991-2025</t>
        </is>
      </c>
      <c r="B434" s="1" t="n">
        <v>45821.37199074074</v>
      </c>
      <c r="C434" s="1" t="n">
        <v>46035</v>
      </c>
      <c r="D434" t="inlineStr">
        <is>
          <t>ÖREBRO LÄN</t>
        </is>
      </c>
      <c r="E434" t="inlineStr">
        <is>
          <t>LINDESBERG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29037-2025</t>
        </is>
      </c>
      <c r="B435" s="1" t="n">
        <v>45821.44521990741</v>
      </c>
      <c r="C435" s="1" t="n">
        <v>46035</v>
      </c>
      <c r="D435" t="inlineStr">
        <is>
          <t>ÖREBRO LÄN</t>
        </is>
      </c>
      <c r="E435" t="inlineStr">
        <is>
          <t>LINDESBERG</t>
        </is>
      </c>
      <c r="F435" t="inlineStr">
        <is>
          <t>Sveaskog</t>
        </is>
      </c>
      <c r="G435" t="n">
        <v>3.6</v>
      </c>
      <c r="H435" t="n">
        <v>0</v>
      </c>
      <c r="I435" t="n">
        <v>0</v>
      </c>
      <c r="J435" t="n">
        <v>0</v>
      </c>
      <c r="K435" t="n">
        <v>0</v>
      </c>
      <c r="L435" t="n">
        <v>0</v>
      </c>
      <c r="M435" t="n">
        <v>0</v>
      </c>
      <c r="N435" t="n">
        <v>0</v>
      </c>
      <c r="O435" t="n">
        <v>0</v>
      </c>
      <c r="P435" t="n">
        <v>0</v>
      </c>
      <c r="Q435" t="n">
        <v>0</v>
      </c>
      <c r="R435" s="2" t="inlineStr"/>
    </row>
    <row r="436" ht="15" customHeight="1">
      <c r="A436" t="inlineStr">
        <is>
          <t>A 29051-2025</t>
        </is>
      </c>
      <c r="B436" s="1" t="n">
        <v>45821.46486111111</v>
      </c>
      <c r="C436" s="1" t="n">
        <v>46035</v>
      </c>
      <c r="D436" t="inlineStr">
        <is>
          <t>ÖREBRO LÄN</t>
        </is>
      </c>
      <c r="E436" t="inlineStr">
        <is>
          <t>LINDESBERG</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29049-2025</t>
        </is>
      </c>
      <c r="B437" s="1" t="n">
        <v>45821.46135416667</v>
      </c>
      <c r="C437" s="1" t="n">
        <v>46035</v>
      </c>
      <c r="D437" t="inlineStr">
        <is>
          <t>ÖREBRO LÄN</t>
        </is>
      </c>
      <c r="E437" t="inlineStr">
        <is>
          <t>LINDESBERG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53352-2023</t>
        </is>
      </c>
      <c r="B438" s="1" t="n">
        <v>45229.66262731481</v>
      </c>
      <c r="C438" s="1" t="n">
        <v>46035</v>
      </c>
      <c r="D438" t="inlineStr">
        <is>
          <t>ÖREBRO LÄN</t>
        </is>
      </c>
      <c r="E438" t="inlineStr">
        <is>
          <t>LINDESBERG</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15213-2025</t>
        </is>
      </c>
      <c r="B439" s="1" t="n">
        <v>45744.57851851852</v>
      </c>
      <c r="C439" s="1" t="n">
        <v>46035</v>
      </c>
      <c r="D439" t="inlineStr">
        <is>
          <t>ÖREBRO LÄN</t>
        </is>
      </c>
      <c r="E439" t="inlineStr">
        <is>
          <t>LINDESBERG</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46678-2023</t>
        </is>
      </c>
      <c r="B440" s="1" t="n">
        <v>45194</v>
      </c>
      <c r="C440" s="1" t="n">
        <v>46035</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26967-2022</t>
        </is>
      </c>
      <c r="B441" s="1" t="n">
        <v>44740.66997685185</v>
      </c>
      <c r="C441" s="1" t="n">
        <v>46035</v>
      </c>
      <c r="D441" t="inlineStr">
        <is>
          <t>ÖREBRO LÄN</t>
        </is>
      </c>
      <c r="E441" t="inlineStr">
        <is>
          <t>LINDESBERG</t>
        </is>
      </c>
      <c r="G441" t="n">
        <v>1.6</v>
      </c>
      <c r="H441" t="n">
        <v>0</v>
      </c>
      <c r="I441" t="n">
        <v>0</v>
      </c>
      <c r="J441" t="n">
        <v>0</v>
      </c>
      <c r="K441" t="n">
        <v>0</v>
      </c>
      <c r="L441" t="n">
        <v>0</v>
      </c>
      <c r="M441" t="n">
        <v>0</v>
      </c>
      <c r="N441" t="n">
        <v>0</v>
      </c>
      <c r="O441" t="n">
        <v>0</v>
      </c>
      <c r="P441" t="n">
        <v>0</v>
      </c>
      <c r="Q441" t="n">
        <v>0</v>
      </c>
      <c r="R441" s="2" t="inlineStr"/>
    </row>
    <row r="442" ht="15" customHeight="1">
      <c r="A442" t="inlineStr">
        <is>
          <t>A 50072-2025</t>
        </is>
      </c>
      <c r="B442" s="1" t="n">
        <v>45943.45966435185</v>
      </c>
      <c r="C442" s="1" t="n">
        <v>46035</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50086-2025</t>
        </is>
      </c>
      <c r="B443" s="1" t="n">
        <v>45943.47649305555</v>
      </c>
      <c r="C443" s="1" t="n">
        <v>46035</v>
      </c>
      <c r="D443" t="inlineStr">
        <is>
          <t>ÖREBRO LÄN</t>
        </is>
      </c>
      <c r="E443" t="inlineStr">
        <is>
          <t>LINDESBERG</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45978-2021</t>
        </is>
      </c>
      <c r="B444" s="1" t="n">
        <v>44441.70047453704</v>
      </c>
      <c r="C444" s="1" t="n">
        <v>46035</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14454-2024</t>
        </is>
      </c>
      <c r="B445" s="1" t="n">
        <v>45394.51289351852</v>
      </c>
      <c r="C445" s="1" t="n">
        <v>46035</v>
      </c>
      <c r="D445" t="inlineStr">
        <is>
          <t>ÖREBRO LÄN</t>
        </is>
      </c>
      <c r="E445" t="inlineStr">
        <is>
          <t>LINDESBERG</t>
        </is>
      </c>
      <c r="G445" t="n">
        <v>1.9</v>
      </c>
      <c r="H445" t="n">
        <v>0</v>
      </c>
      <c r="I445" t="n">
        <v>0</v>
      </c>
      <c r="J445" t="n">
        <v>0</v>
      </c>
      <c r="K445" t="n">
        <v>0</v>
      </c>
      <c r="L445" t="n">
        <v>0</v>
      </c>
      <c r="M445" t="n">
        <v>0</v>
      </c>
      <c r="N445" t="n">
        <v>0</v>
      </c>
      <c r="O445" t="n">
        <v>0</v>
      </c>
      <c r="P445" t="n">
        <v>0</v>
      </c>
      <c r="Q445" t="n">
        <v>0</v>
      </c>
      <c r="R445" s="2" t="inlineStr"/>
    </row>
    <row r="446" ht="15" customHeight="1">
      <c r="A446" t="inlineStr">
        <is>
          <t>A 40303-2024</t>
        </is>
      </c>
      <c r="B446" s="1" t="n">
        <v>45554.7158912037</v>
      </c>
      <c r="C446" s="1" t="n">
        <v>46035</v>
      </c>
      <c r="D446" t="inlineStr">
        <is>
          <t>ÖREBRO LÄN</t>
        </is>
      </c>
      <c r="E446" t="inlineStr">
        <is>
          <t>LINDESBERG</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46484-2024</t>
        </is>
      </c>
      <c r="B447" s="1" t="n">
        <v>45582.57542824074</v>
      </c>
      <c r="C447" s="1" t="n">
        <v>46035</v>
      </c>
      <c r="D447" t="inlineStr">
        <is>
          <t>ÖREBRO LÄN</t>
        </is>
      </c>
      <c r="E447" t="inlineStr">
        <is>
          <t>LINDESBERG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30000-2025</t>
        </is>
      </c>
      <c r="B448" s="1" t="n">
        <v>45826.52024305556</v>
      </c>
      <c r="C448" s="1" t="n">
        <v>46035</v>
      </c>
      <c r="D448" t="inlineStr">
        <is>
          <t>ÖREBRO LÄN</t>
        </is>
      </c>
      <c r="E448" t="inlineStr">
        <is>
          <t>LINDESBERG</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19436-2025</t>
        </is>
      </c>
      <c r="B449" s="1" t="n">
        <v>45769.98449074074</v>
      </c>
      <c r="C449" s="1" t="n">
        <v>46035</v>
      </c>
      <c r="D449" t="inlineStr">
        <is>
          <t>ÖREBRO LÄN</t>
        </is>
      </c>
      <c r="E449" t="inlineStr">
        <is>
          <t>LINDESBERG</t>
        </is>
      </c>
      <c r="G449" t="n">
        <v>1.2</v>
      </c>
      <c r="H449" t="n">
        <v>0</v>
      </c>
      <c r="I449" t="n">
        <v>0</v>
      </c>
      <c r="J449" t="n">
        <v>0</v>
      </c>
      <c r="K449" t="n">
        <v>0</v>
      </c>
      <c r="L449" t="n">
        <v>0</v>
      </c>
      <c r="M449" t="n">
        <v>0</v>
      </c>
      <c r="N449" t="n">
        <v>0</v>
      </c>
      <c r="O449" t="n">
        <v>0</v>
      </c>
      <c r="P449" t="n">
        <v>0</v>
      </c>
      <c r="Q449" t="n">
        <v>0</v>
      </c>
      <c r="R449" s="2" t="inlineStr"/>
    </row>
    <row r="450" ht="15" customHeight="1">
      <c r="A450" t="inlineStr">
        <is>
          <t>A 50073-2025</t>
        </is>
      </c>
      <c r="B450" s="1" t="n">
        <v>45943.4603125</v>
      </c>
      <c r="C450" s="1" t="n">
        <v>46035</v>
      </c>
      <c r="D450" t="inlineStr">
        <is>
          <t>ÖREBRO LÄN</t>
        </is>
      </c>
      <c r="E450" t="inlineStr">
        <is>
          <t>LINDESBERG</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13350-2024</t>
        </is>
      </c>
      <c r="B451" s="1" t="n">
        <v>45387.24732638889</v>
      </c>
      <c r="C451" s="1" t="n">
        <v>46035</v>
      </c>
      <c r="D451" t="inlineStr">
        <is>
          <t>ÖREBRO LÄN</t>
        </is>
      </c>
      <c r="E451" t="inlineStr">
        <is>
          <t>LINDESBERG</t>
        </is>
      </c>
      <c r="G451" t="n">
        <v>4.1</v>
      </c>
      <c r="H451" t="n">
        <v>0</v>
      </c>
      <c r="I451" t="n">
        <v>0</v>
      </c>
      <c r="J451" t="n">
        <v>0</v>
      </c>
      <c r="K451" t="n">
        <v>0</v>
      </c>
      <c r="L451" t="n">
        <v>0</v>
      </c>
      <c r="M451" t="n">
        <v>0</v>
      </c>
      <c r="N451" t="n">
        <v>0</v>
      </c>
      <c r="O451" t="n">
        <v>0</v>
      </c>
      <c r="P451" t="n">
        <v>0</v>
      </c>
      <c r="Q451" t="n">
        <v>0</v>
      </c>
      <c r="R451" s="2" t="inlineStr"/>
    </row>
    <row r="452" ht="15" customHeight="1">
      <c r="A452" t="inlineStr">
        <is>
          <t>A 13351-2024</t>
        </is>
      </c>
      <c r="B452" s="1" t="n">
        <v>45387.2521875</v>
      </c>
      <c r="C452" s="1" t="n">
        <v>46035</v>
      </c>
      <c r="D452" t="inlineStr">
        <is>
          <t>ÖREBRO LÄN</t>
        </is>
      </c>
      <c r="E452" t="inlineStr">
        <is>
          <t>LINDESBERG</t>
        </is>
      </c>
      <c r="G452" t="n">
        <v>1.7</v>
      </c>
      <c r="H452" t="n">
        <v>0</v>
      </c>
      <c r="I452" t="n">
        <v>0</v>
      </c>
      <c r="J452" t="n">
        <v>0</v>
      </c>
      <c r="K452" t="n">
        <v>0</v>
      </c>
      <c r="L452" t="n">
        <v>0</v>
      </c>
      <c r="M452" t="n">
        <v>0</v>
      </c>
      <c r="N452" t="n">
        <v>0</v>
      </c>
      <c r="O452" t="n">
        <v>0</v>
      </c>
      <c r="P452" t="n">
        <v>0</v>
      </c>
      <c r="Q452" t="n">
        <v>0</v>
      </c>
      <c r="R452" s="2" t="inlineStr"/>
    </row>
    <row r="453" ht="15" customHeight="1">
      <c r="A453" t="inlineStr">
        <is>
          <t>A 30341-2025</t>
        </is>
      </c>
      <c r="B453" s="1" t="n">
        <v>45827.51862268519</v>
      </c>
      <c r="C453" s="1" t="n">
        <v>46035</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6752-2021</t>
        </is>
      </c>
      <c r="B454" s="1" t="n">
        <v>44236</v>
      </c>
      <c r="C454" s="1" t="n">
        <v>46035</v>
      </c>
      <c r="D454" t="inlineStr">
        <is>
          <t>ÖREBRO LÄN</t>
        </is>
      </c>
      <c r="E454" t="inlineStr">
        <is>
          <t>LINDESBERG</t>
        </is>
      </c>
      <c r="G454" t="n">
        <v>2.6</v>
      </c>
      <c r="H454" t="n">
        <v>0</v>
      </c>
      <c r="I454" t="n">
        <v>0</v>
      </c>
      <c r="J454" t="n">
        <v>0</v>
      </c>
      <c r="K454" t="n">
        <v>0</v>
      </c>
      <c r="L454" t="n">
        <v>0</v>
      </c>
      <c r="M454" t="n">
        <v>0</v>
      </c>
      <c r="N454" t="n">
        <v>0</v>
      </c>
      <c r="O454" t="n">
        <v>0</v>
      </c>
      <c r="P454" t="n">
        <v>0</v>
      </c>
      <c r="Q454" t="n">
        <v>0</v>
      </c>
      <c r="R454" s="2" t="inlineStr"/>
      <c r="U454">
        <f>HYPERLINK("https://klasma.github.io/Logging_1885/knärot/A 6752-2021 karta knärot.png", "A 6752-2021")</f>
        <v/>
      </c>
      <c r="V454">
        <f>HYPERLINK("https://klasma.github.io/Logging_1885/klagomål/A 6752-2021 FSC-klagomål.docx", "A 6752-2021")</f>
        <v/>
      </c>
      <c r="W454">
        <f>HYPERLINK("https://klasma.github.io/Logging_1885/klagomålsmail/A 6752-2021 FSC-klagomål mail.docx", "A 6752-2021")</f>
        <v/>
      </c>
      <c r="X454">
        <f>HYPERLINK("https://klasma.github.io/Logging_1885/tillsyn/A 6752-2021 tillsynsbegäran.docx", "A 6752-2021")</f>
        <v/>
      </c>
      <c r="Y454">
        <f>HYPERLINK("https://klasma.github.io/Logging_1885/tillsynsmail/A 6752-2021 tillsynsbegäran mail.docx", "A 6752-2021")</f>
        <v/>
      </c>
    </row>
    <row r="455" ht="15" customHeight="1">
      <c r="A455" t="inlineStr">
        <is>
          <t>A 30340-2025</t>
        </is>
      </c>
      <c r="B455" s="1" t="n">
        <v>45827.51753472222</v>
      </c>
      <c r="C455" s="1" t="n">
        <v>46035</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30342-2025</t>
        </is>
      </c>
      <c r="B456" s="1" t="n">
        <v>45827.51956018519</v>
      </c>
      <c r="C456" s="1" t="n">
        <v>46035</v>
      </c>
      <c r="D456" t="inlineStr">
        <is>
          <t>ÖREBRO LÄN</t>
        </is>
      </c>
      <c r="E456" t="inlineStr">
        <is>
          <t>LINDESBERG</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50936-2025</t>
        </is>
      </c>
      <c r="B457" s="1" t="n">
        <v>45946.69616898148</v>
      </c>
      <c r="C457" s="1" t="n">
        <v>46035</v>
      </c>
      <c r="D457" t="inlineStr">
        <is>
          <t>ÖREBRO LÄN</t>
        </is>
      </c>
      <c r="E457" t="inlineStr">
        <is>
          <t>LINDESBERG</t>
        </is>
      </c>
      <c r="G457" t="n">
        <v>2.9</v>
      </c>
      <c r="H457" t="n">
        <v>0</v>
      </c>
      <c r="I457" t="n">
        <v>0</v>
      </c>
      <c r="J457" t="n">
        <v>0</v>
      </c>
      <c r="K457" t="n">
        <v>0</v>
      </c>
      <c r="L457" t="n">
        <v>0</v>
      </c>
      <c r="M457" t="n">
        <v>0</v>
      </c>
      <c r="N457" t="n">
        <v>0</v>
      </c>
      <c r="O457" t="n">
        <v>0</v>
      </c>
      <c r="P457" t="n">
        <v>0</v>
      </c>
      <c r="Q457" t="n">
        <v>0</v>
      </c>
      <c r="R457" s="2" t="inlineStr"/>
    </row>
    <row r="458" ht="15" customHeight="1">
      <c r="A458" t="inlineStr">
        <is>
          <t>A 30381-2025</t>
        </is>
      </c>
      <c r="B458" s="1" t="n">
        <v>45827.56939814815</v>
      </c>
      <c r="C458" s="1" t="n">
        <v>46035</v>
      </c>
      <c r="D458" t="inlineStr">
        <is>
          <t>ÖREBRO LÄN</t>
        </is>
      </c>
      <c r="E458" t="inlineStr">
        <is>
          <t>LINDESBERG</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30339-2025</t>
        </is>
      </c>
      <c r="B459" s="1" t="n">
        <v>45827.51628472222</v>
      </c>
      <c r="C459" s="1" t="n">
        <v>46035</v>
      </c>
      <c r="D459" t="inlineStr">
        <is>
          <t>ÖREBRO LÄN</t>
        </is>
      </c>
      <c r="E459" t="inlineStr">
        <is>
          <t>LINDESBERG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12053-2024</t>
        </is>
      </c>
      <c r="B460" s="1" t="n">
        <v>45377.48265046296</v>
      </c>
      <c r="C460" s="1" t="n">
        <v>46035</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31215-2025</t>
        </is>
      </c>
      <c r="B461" s="1" t="n">
        <v>45832.74418981482</v>
      </c>
      <c r="C461" s="1" t="n">
        <v>46035</v>
      </c>
      <c r="D461" t="inlineStr">
        <is>
          <t>ÖREBRO LÄN</t>
        </is>
      </c>
      <c r="E461" t="inlineStr">
        <is>
          <t>LINDESBERG</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34029-2024</t>
        </is>
      </c>
      <c r="B462" s="1" t="n">
        <v>45523</v>
      </c>
      <c r="C462" s="1" t="n">
        <v>46035</v>
      </c>
      <c r="D462" t="inlineStr">
        <is>
          <t>ÖREBRO LÄN</t>
        </is>
      </c>
      <c r="E462" t="inlineStr">
        <is>
          <t>LINDESBERG</t>
        </is>
      </c>
      <c r="G462" t="n">
        <v>1.9</v>
      </c>
      <c r="H462" t="n">
        <v>0</v>
      </c>
      <c r="I462" t="n">
        <v>0</v>
      </c>
      <c r="J462" t="n">
        <v>0</v>
      </c>
      <c r="K462" t="n">
        <v>0</v>
      </c>
      <c r="L462" t="n">
        <v>0</v>
      </c>
      <c r="M462" t="n">
        <v>0</v>
      </c>
      <c r="N462" t="n">
        <v>0</v>
      </c>
      <c r="O462" t="n">
        <v>0</v>
      </c>
      <c r="P462" t="n">
        <v>0</v>
      </c>
      <c r="Q462" t="n">
        <v>0</v>
      </c>
      <c r="R462" s="2" t="inlineStr"/>
    </row>
    <row r="463" ht="15" customHeight="1">
      <c r="A463" t="inlineStr">
        <is>
          <t>A 31014-2025</t>
        </is>
      </c>
      <c r="B463" s="1" t="n">
        <v>45832.51028935185</v>
      </c>
      <c r="C463" s="1" t="n">
        <v>46035</v>
      </c>
      <c r="D463" t="inlineStr">
        <is>
          <t>ÖREBRO LÄN</t>
        </is>
      </c>
      <c r="E463" t="inlineStr">
        <is>
          <t>LINDESBERG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39137-2024</t>
        </is>
      </c>
      <c r="B464" s="1" t="n">
        <v>45548</v>
      </c>
      <c r="C464" s="1" t="n">
        <v>46035</v>
      </c>
      <c r="D464" t="inlineStr">
        <is>
          <t>ÖREBRO LÄN</t>
        </is>
      </c>
      <c r="E464" t="inlineStr">
        <is>
          <t>LINDESBERG</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39152-2024</t>
        </is>
      </c>
      <c r="B465" s="1" t="n">
        <v>45548</v>
      </c>
      <c r="C465" s="1" t="n">
        <v>46035</v>
      </c>
      <c r="D465" t="inlineStr">
        <is>
          <t>ÖREBRO LÄN</t>
        </is>
      </c>
      <c r="E465" t="inlineStr">
        <is>
          <t>LINDESBERG</t>
        </is>
      </c>
      <c r="F465" t="inlineStr">
        <is>
          <t>Sveaskog</t>
        </is>
      </c>
      <c r="G465" t="n">
        <v>2.4</v>
      </c>
      <c r="H465" t="n">
        <v>0</v>
      </c>
      <c r="I465" t="n">
        <v>0</v>
      </c>
      <c r="J465" t="n">
        <v>0</v>
      </c>
      <c r="K465" t="n">
        <v>0</v>
      </c>
      <c r="L465" t="n">
        <v>0</v>
      </c>
      <c r="M465" t="n">
        <v>0</v>
      </c>
      <c r="N465" t="n">
        <v>0</v>
      </c>
      <c r="O465" t="n">
        <v>0</v>
      </c>
      <c r="P465" t="n">
        <v>0</v>
      </c>
      <c r="Q465" t="n">
        <v>0</v>
      </c>
      <c r="R465" s="2" t="inlineStr"/>
    </row>
    <row r="466" ht="15" customHeight="1">
      <c r="A466" t="inlineStr">
        <is>
          <t>A 31049-2025</t>
        </is>
      </c>
      <c r="B466" s="1" t="n">
        <v>45832.55810185185</v>
      </c>
      <c r="C466" s="1" t="n">
        <v>46035</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31000-2025</t>
        </is>
      </c>
      <c r="B467" s="1" t="n">
        <v>45832.49325231482</v>
      </c>
      <c r="C467" s="1" t="n">
        <v>46035</v>
      </c>
      <c r="D467" t="inlineStr">
        <is>
          <t>ÖREBRO LÄN</t>
        </is>
      </c>
      <c r="E467" t="inlineStr">
        <is>
          <t>LINDESBERG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31018-2025</t>
        </is>
      </c>
      <c r="B468" s="1" t="n">
        <v>45832.51255787037</v>
      </c>
      <c r="C468" s="1" t="n">
        <v>46035</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43529-2024</t>
        </is>
      </c>
      <c r="B469" s="1" t="n">
        <v>45569.35209490741</v>
      </c>
      <c r="C469" s="1" t="n">
        <v>46035</v>
      </c>
      <c r="D469" t="inlineStr">
        <is>
          <t>ÖREBRO LÄN</t>
        </is>
      </c>
      <c r="E469" t="inlineStr">
        <is>
          <t>LINDESBERG</t>
        </is>
      </c>
      <c r="G469" t="n">
        <v>2.8</v>
      </c>
      <c r="H469" t="n">
        <v>0</v>
      </c>
      <c r="I469" t="n">
        <v>0</v>
      </c>
      <c r="J469" t="n">
        <v>0</v>
      </c>
      <c r="K469" t="n">
        <v>0</v>
      </c>
      <c r="L469" t="n">
        <v>0</v>
      </c>
      <c r="M469" t="n">
        <v>0</v>
      </c>
      <c r="N469" t="n">
        <v>0</v>
      </c>
      <c r="O469" t="n">
        <v>0</v>
      </c>
      <c r="P469" t="n">
        <v>0</v>
      </c>
      <c r="Q469" t="n">
        <v>0</v>
      </c>
      <c r="R469" s="2" t="inlineStr"/>
    </row>
    <row r="470" ht="15" customHeight="1">
      <c r="A470" t="inlineStr">
        <is>
          <t>A 31003-2025</t>
        </is>
      </c>
      <c r="B470" s="1" t="n">
        <v>45832.49579861111</v>
      </c>
      <c r="C470" s="1" t="n">
        <v>46035</v>
      </c>
      <c r="D470" t="inlineStr">
        <is>
          <t>ÖREBRO LÄN</t>
        </is>
      </c>
      <c r="E470" t="inlineStr">
        <is>
          <t>LINDESBERG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31085-2025</t>
        </is>
      </c>
      <c r="B471" s="1" t="n">
        <v>45832.5902662037</v>
      </c>
      <c r="C471" s="1" t="n">
        <v>46035</v>
      </c>
      <c r="D471" t="inlineStr">
        <is>
          <t>ÖREBRO LÄN</t>
        </is>
      </c>
      <c r="E471" t="inlineStr">
        <is>
          <t>LINDESBERG</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50765-2025</t>
        </is>
      </c>
      <c r="B472" s="1" t="n">
        <v>45946.44216435185</v>
      </c>
      <c r="C472" s="1" t="n">
        <v>46035</v>
      </c>
      <c r="D472" t="inlineStr">
        <is>
          <t>ÖREBRO LÄN</t>
        </is>
      </c>
      <c r="E472" t="inlineStr">
        <is>
          <t>LINDESBERG</t>
        </is>
      </c>
      <c r="F472" t="inlineStr">
        <is>
          <t>Sveaskog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46607-2021</t>
        </is>
      </c>
      <c r="B473" s="1" t="n">
        <v>44445.55690972223</v>
      </c>
      <c r="C473" s="1" t="n">
        <v>46035</v>
      </c>
      <c r="D473" t="inlineStr">
        <is>
          <t>ÖREBRO LÄN</t>
        </is>
      </c>
      <c r="E473" t="inlineStr">
        <is>
          <t>LINDESBERG</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31213-2025</t>
        </is>
      </c>
      <c r="B474" s="1" t="n">
        <v>45832.72778935185</v>
      </c>
      <c r="C474" s="1" t="n">
        <v>46035</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50933-2025</t>
        </is>
      </c>
      <c r="B475" s="1" t="n">
        <v>45946.68859953704</v>
      </c>
      <c r="C475" s="1" t="n">
        <v>46035</v>
      </c>
      <c r="D475" t="inlineStr">
        <is>
          <t>ÖREBRO LÄN</t>
        </is>
      </c>
      <c r="E475" t="inlineStr">
        <is>
          <t>LINDESBERG</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27051-2023</t>
        </is>
      </c>
      <c r="B476" s="1" t="n">
        <v>45095</v>
      </c>
      <c r="C476" s="1" t="n">
        <v>46035</v>
      </c>
      <c r="D476" t="inlineStr">
        <is>
          <t>ÖREBRO LÄN</t>
        </is>
      </c>
      <c r="E476" t="inlineStr">
        <is>
          <t>LINDESBERG</t>
        </is>
      </c>
      <c r="G476" t="n">
        <v>1.4</v>
      </c>
      <c r="H476" t="n">
        <v>0</v>
      </c>
      <c r="I476" t="n">
        <v>0</v>
      </c>
      <c r="J476" t="n">
        <v>0</v>
      </c>
      <c r="K476" t="n">
        <v>0</v>
      </c>
      <c r="L476" t="n">
        <v>0</v>
      </c>
      <c r="M476" t="n">
        <v>0</v>
      </c>
      <c r="N476" t="n">
        <v>0</v>
      </c>
      <c r="O476" t="n">
        <v>0</v>
      </c>
      <c r="P476" t="n">
        <v>0</v>
      </c>
      <c r="Q476" t="n">
        <v>0</v>
      </c>
      <c r="R476" s="2" t="inlineStr"/>
    </row>
    <row r="477" ht="15" customHeight="1">
      <c r="A477" t="inlineStr">
        <is>
          <t>A 27052-2023</t>
        </is>
      </c>
      <c r="B477" s="1" t="n">
        <v>45095</v>
      </c>
      <c r="C477" s="1" t="n">
        <v>46035</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58710-2023</t>
        </is>
      </c>
      <c r="B478" s="1" t="n">
        <v>45251.696875</v>
      </c>
      <c r="C478" s="1" t="n">
        <v>46035</v>
      </c>
      <c r="D478" t="inlineStr">
        <is>
          <t>ÖREBRO LÄN</t>
        </is>
      </c>
      <c r="E478" t="inlineStr">
        <is>
          <t>LINDESBERG</t>
        </is>
      </c>
      <c r="G478" t="n">
        <v>6.3</v>
      </c>
      <c r="H478" t="n">
        <v>0</v>
      </c>
      <c r="I478" t="n">
        <v>0</v>
      </c>
      <c r="J478" t="n">
        <v>0</v>
      </c>
      <c r="K478" t="n">
        <v>0</v>
      </c>
      <c r="L478" t="n">
        <v>0</v>
      </c>
      <c r="M478" t="n">
        <v>0</v>
      </c>
      <c r="N478" t="n">
        <v>0</v>
      </c>
      <c r="O478" t="n">
        <v>0</v>
      </c>
      <c r="P478" t="n">
        <v>0</v>
      </c>
      <c r="Q478" t="n">
        <v>0</v>
      </c>
      <c r="R478" s="2" t="inlineStr"/>
    </row>
    <row r="479" ht="15" customHeight="1">
      <c r="A479" t="inlineStr">
        <is>
          <t>A 5772-2023</t>
        </is>
      </c>
      <c r="B479" s="1" t="n">
        <v>44963.37709490741</v>
      </c>
      <c r="C479" s="1" t="n">
        <v>46035</v>
      </c>
      <c r="D479" t="inlineStr">
        <is>
          <t>ÖREBRO LÄN</t>
        </is>
      </c>
      <c r="E479" t="inlineStr">
        <is>
          <t>LINDESBERG</t>
        </is>
      </c>
      <c r="G479" t="n">
        <v>3</v>
      </c>
      <c r="H479" t="n">
        <v>0</v>
      </c>
      <c r="I479" t="n">
        <v>0</v>
      </c>
      <c r="J479" t="n">
        <v>0</v>
      </c>
      <c r="K479" t="n">
        <v>0</v>
      </c>
      <c r="L479" t="n">
        <v>0</v>
      </c>
      <c r="M479" t="n">
        <v>0</v>
      </c>
      <c r="N479" t="n">
        <v>0</v>
      </c>
      <c r="O479" t="n">
        <v>0</v>
      </c>
      <c r="P479" t="n">
        <v>0</v>
      </c>
      <c r="Q479" t="n">
        <v>0</v>
      </c>
      <c r="R479" s="2" t="inlineStr"/>
    </row>
    <row r="480" ht="15" customHeight="1">
      <c r="A480" t="inlineStr">
        <is>
          <t>A 51030-2025</t>
        </is>
      </c>
      <c r="B480" s="1" t="n">
        <v>45947.40105324074</v>
      </c>
      <c r="C480" s="1" t="n">
        <v>46035</v>
      </c>
      <c r="D480" t="inlineStr">
        <is>
          <t>ÖREBRO LÄN</t>
        </is>
      </c>
      <c r="E480" t="inlineStr">
        <is>
          <t>LINDESBERG</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20210-2024</t>
        </is>
      </c>
      <c r="B481" s="1" t="n">
        <v>45434.65854166666</v>
      </c>
      <c r="C481" s="1" t="n">
        <v>46035</v>
      </c>
      <c r="D481" t="inlineStr">
        <is>
          <t>ÖREBRO LÄN</t>
        </is>
      </c>
      <c r="E481" t="inlineStr">
        <is>
          <t>LINDESBERG</t>
        </is>
      </c>
      <c r="G481" t="n">
        <v>5.5</v>
      </c>
      <c r="H481" t="n">
        <v>0</v>
      </c>
      <c r="I481" t="n">
        <v>0</v>
      </c>
      <c r="J481" t="n">
        <v>0</v>
      </c>
      <c r="K481" t="n">
        <v>0</v>
      </c>
      <c r="L481" t="n">
        <v>0</v>
      </c>
      <c r="M481" t="n">
        <v>0</v>
      </c>
      <c r="N481" t="n">
        <v>0</v>
      </c>
      <c r="O481" t="n">
        <v>0</v>
      </c>
      <c r="P481" t="n">
        <v>0</v>
      </c>
      <c r="Q481" t="n">
        <v>0</v>
      </c>
      <c r="R481" s="2" t="inlineStr"/>
    </row>
    <row r="482" ht="15" customHeight="1">
      <c r="A482" t="inlineStr">
        <is>
          <t>A 31221-2025</t>
        </is>
      </c>
      <c r="B482" s="1" t="n">
        <v>45832.76491898148</v>
      </c>
      <c r="C482" s="1" t="n">
        <v>46035</v>
      </c>
      <c r="D482" t="inlineStr">
        <is>
          <t>ÖREBRO LÄN</t>
        </is>
      </c>
      <c r="E482" t="inlineStr">
        <is>
          <t>LINDESBERG</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31220-2025</t>
        </is>
      </c>
      <c r="B483" s="1" t="n">
        <v>45832.76100694444</v>
      </c>
      <c r="C483" s="1" t="n">
        <v>46035</v>
      </c>
      <c r="D483" t="inlineStr">
        <is>
          <t>ÖREBRO LÄN</t>
        </is>
      </c>
      <c r="E483" t="inlineStr">
        <is>
          <t>LINDESBERG</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51186-2025</t>
        </is>
      </c>
      <c r="B484" s="1" t="n">
        <v>45947.62353009259</v>
      </c>
      <c r="C484" s="1" t="n">
        <v>46035</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26340-2022</t>
        </is>
      </c>
      <c r="B485" s="1" t="n">
        <v>44735.62539351852</v>
      </c>
      <c r="C485" s="1" t="n">
        <v>46035</v>
      </c>
      <c r="D485" t="inlineStr">
        <is>
          <t>ÖREBRO LÄN</t>
        </is>
      </c>
      <c r="E485" t="inlineStr">
        <is>
          <t>LINDESBERG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23536-2023</t>
        </is>
      </c>
      <c r="B486" s="1" t="n">
        <v>45077</v>
      </c>
      <c r="C486" s="1" t="n">
        <v>46035</v>
      </c>
      <c r="D486" t="inlineStr">
        <is>
          <t>ÖREBRO LÄN</t>
        </is>
      </c>
      <c r="E486" t="inlineStr">
        <is>
          <t>LINDESBERG</t>
        </is>
      </c>
      <c r="F486" t="inlineStr">
        <is>
          <t>Kyrkan</t>
        </is>
      </c>
      <c r="G486" t="n">
        <v>0.5</v>
      </c>
      <c r="H486" t="n">
        <v>0</v>
      </c>
      <c r="I486" t="n">
        <v>0</v>
      </c>
      <c r="J486" t="n">
        <v>0</v>
      </c>
      <c r="K486" t="n">
        <v>0</v>
      </c>
      <c r="L486" t="n">
        <v>0</v>
      </c>
      <c r="M486" t="n">
        <v>0</v>
      </c>
      <c r="N486" t="n">
        <v>0</v>
      </c>
      <c r="O486" t="n">
        <v>0</v>
      </c>
      <c r="P486" t="n">
        <v>0</v>
      </c>
      <c r="Q486" t="n">
        <v>0</v>
      </c>
      <c r="R486" s="2" t="inlineStr"/>
    </row>
    <row r="487" ht="15" customHeight="1">
      <c r="A487" t="inlineStr">
        <is>
          <t>A 61969-2023</t>
        </is>
      </c>
      <c r="B487" s="1" t="n">
        <v>45266.58394675926</v>
      </c>
      <c r="C487" s="1" t="n">
        <v>46035</v>
      </c>
      <c r="D487" t="inlineStr">
        <is>
          <t>ÖREBRO LÄN</t>
        </is>
      </c>
      <c r="E487" t="inlineStr">
        <is>
          <t>LINDESBERG</t>
        </is>
      </c>
      <c r="G487" t="n">
        <v>10.5</v>
      </c>
      <c r="H487" t="n">
        <v>0</v>
      </c>
      <c r="I487" t="n">
        <v>0</v>
      </c>
      <c r="J487" t="n">
        <v>0</v>
      </c>
      <c r="K487" t="n">
        <v>0</v>
      </c>
      <c r="L487" t="n">
        <v>0</v>
      </c>
      <c r="M487" t="n">
        <v>0</v>
      </c>
      <c r="N487" t="n">
        <v>0</v>
      </c>
      <c r="O487" t="n">
        <v>0</v>
      </c>
      <c r="P487" t="n">
        <v>0</v>
      </c>
      <c r="Q487" t="n">
        <v>0</v>
      </c>
      <c r="R487" s="2" t="inlineStr"/>
    </row>
    <row r="488" ht="15" customHeight="1">
      <c r="A488" t="inlineStr">
        <is>
          <t>A 6962-2023</t>
        </is>
      </c>
      <c r="B488" s="1" t="n">
        <v>44967.60165509259</v>
      </c>
      <c r="C488" s="1" t="n">
        <v>46035</v>
      </c>
      <c r="D488" t="inlineStr">
        <is>
          <t>ÖREBRO LÄN</t>
        </is>
      </c>
      <c r="E488" t="inlineStr">
        <is>
          <t>LINDESBERG</t>
        </is>
      </c>
      <c r="G488" t="n">
        <v>11.4</v>
      </c>
      <c r="H488" t="n">
        <v>0</v>
      </c>
      <c r="I488" t="n">
        <v>0</v>
      </c>
      <c r="J488" t="n">
        <v>0</v>
      </c>
      <c r="K488" t="n">
        <v>0</v>
      </c>
      <c r="L488" t="n">
        <v>0</v>
      </c>
      <c r="M488" t="n">
        <v>0</v>
      </c>
      <c r="N488" t="n">
        <v>0</v>
      </c>
      <c r="O488" t="n">
        <v>0</v>
      </c>
      <c r="P488" t="n">
        <v>0</v>
      </c>
      <c r="Q488" t="n">
        <v>0</v>
      </c>
      <c r="R488" s="2" t="inlineStr"/>
    </row>
    <row r="489" ht="15" customHeight="1">
      <c r="A489" t="inlineStr">
        <is>
          <t>A 32504-2025</t>
        </is>
      </c>
      <c r="B489" s="1" t="n">
        <v>45838.46456018519</v>
      </c>
      <c r="C489" s="1" t="n">
        <v>46035</v>
      </c>
      <c r="D489" t="inlineStr">
        <is>
          <t>ÖREBRO LÄN</t>
        </is>
      </c>
      <c r="E489" t="inlineStr">
        <is>
          <t>LINDESBERG</t>
        </is>
      </c>
      <c r="F489" t="inlineStr">
        <is>
          <t>Sveaskog</t>
        </is>
      </c>
      <c r="G489" t="n">
        <v>16.9</v>
      </c>
      <c r="H489" t="n">
        <v>0</v>
      </c>
      <c r="I489" t="n">
        <v>0</v>
      </c>
      <c r="J489" t="n">
        <v>0</v>
      </c>
      <c r="K489" t="n">
        <v>0</v>
      </c>
      <c r="L489" t="n">
        <v>0</v>
      </c>
      <c r="M489" t="n">
        <v>0</v>
      </c>
      <c r="N489" t="n">
        <v>0</v>
      </c>
      <c r="O489" t="n">
        <v>0</v>
      </c>
      <c r="P489" t="n">
        <v>0</v>
      </c>
      <c r="Q489" t="n">
        <v>0</v>
      </c>
      <c r="R489" s="2" t="inlineStr"/>
    </row>
    <row r="490" ht="15" customHeight="1">
      <c r="A490" t="inlineStr">
        <is>
          <t>A 32284-2025</t>
        </is>
      </c>
      <c r="B490" s="1" t="n">
        <v>45835.68443287037</v>
      </c>
      <c r="C490" s="1" t="n">
        <v>46035</v>
      </c>
      <c r="D490" t="inlineStr">
        <is>
          <t>ÖREBRO LÄN</t>
        </is>
      </c>
      <c r="E490" t="inlineStr">
        <is>
          <t>LINDESBERG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12562-2021</t>
        </is>
      </c>
      <c r="B491" s="1" t="n">
        <v>44267</v>
      </c>
      <c r="C491" s="1" t="n">
        <v>46035</v>
      </c>
      <c r="D491" t="inlineStr">
        <is>
          <t>ÖREBRO LÄN</t>
        </is>
      </c>
      <c r="E491" t="inlineStr">
        <is>
          <t>LINDESBERG</t>
        </is>
      </c>
      <c r="G491" t="n">
        <v>30.1</v>
      </c>
      <c r="H491" t="n">
        <v>0</v>
      </c>
      <c r="I491" t="n">
        <v>0</v>
      </c>
      <c r="J491" t="n">
        <v>0</v>
      </c>
      <c r="K491" t="n">
        <v>0</v>
      </c>
      <c r="L491" t="n">
        <v>0</v>
      </c>
      <c r="M491" t="n">
        <v>0</v>
      </c>
      <c r="N491" t="n">
        <v>0</v>
      </c>
      <c r="O491" t="n">
        <v>0</v>
      </c>
      <c r="P491" t="n">
        <v>0</v>
      </c>
      <c r="Q491" t="n">
        <v>0</v>
      </c>
      <c r="R491" s="2" t="inlineStr"/>
    </row>
    <row r="492" ht="15" customHeight="1">
      <c r="A492" t="inlineStr">
        <is>
          <t>A 32502-2025</t>
        </is>
      </c>
      <c r="B492" s="1" t="n">
        <v>45838.46408564815</v>
      </c>
      <c r="C492" s="1" t="n">
        <v>46035</v>
      </c>
      <c r="D492" t="inlineStr">
        <is>
          <t>ÖREBRO LÄN</t>
        </is>
      </c>
      <c r="E492" t="inlineStr">
        <is>
          <t>LINDESBERG</t>
        </is>
      </c>
      <c r="F492" t="inlineStr">
        <is>
          <t>Sveaskog</t>
        </is>
      </c>
      <c r="G492" t="n">
        <v>17.7</v>
      </c>
      <c r="H492" t="n">
        <v>0</v>
      </c>
      <c r="I492" t="n">
        <v>0</v>
      </c>
      <c r="J492" t="n">
        <v>0</v>
      </c>
      <c r="K492" t="n">
        <v>0</v>
      </c>
      <c r="L492" t="n">
        <v>0</v>
      </c>
      <c r="M492" t="n">
        <v>0</v>
      </c>
      <c r="N492" t="n">
        <v>0</v>
      </c>
      <c r="O492" t="n">
        <v>0</v>
      </c>
      <c r="P492" t="n">
        <v>0</v>
      </c>
      <c r="Q492" t="n">
        <v>0</v>
      </c>
      <c r="R492" s="2" t="inlineStr"/>
    </row>
    <row r="493" ht="15" customHeight="1">
      <c r="A493" t="inlineStr">
        <is>
          <t>A 7180-2023</t>
        </is>
      </c>
      <c r="B493" s="1" t="n">
        <v>44970.51849537037</v>
      </c>
      <c r="C493" s="1" t="n">
        <v>46035</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7661-2024</t>
        </is>
      </c>
      <c r="B494" s="1" t="n">
        <v>45348</v>
      </c>
      <c r="C494" s="1" t="n">
        <v>46035</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51172-2025</t>
        </is>
      </c>
      <c r="B495" s="1" t="n">
        <v>45947.60508101852</v>
      </c>
      <c r="C495" s="1" t="n">
        <v>46035</v>
      </c>
      <c r="D495" t="inlineStr">
        <is>
          <t>ÖREBRO LÄN</t>
        </is>
      </c>
      <c r="E495" t="inlineStr">
        <is>
          <t>LINDESBERG</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33046-2025</t>
        </is>
      </c>
      <c r="B496" s="1" t="n">
        <v>45840</v>
      </c>
      <c r="C496" s="1" t="n">
        <v>46035</v>
      </c>
      <c r="D496" t="inlineStr">
        <is>
          <t>ÖREBRO LÄN</t>
        </is>
      </c>
      <c r="E496" t="inlineStr">
        <is>
          <t>LINDESBERG</t>
        </is>
      </c>
      <c r="G496" t="n">
        <v>6.1</v>
      </c>
      <c r="H496" t="n">
        <v>0</v>
      </c>
      <c r="I496" t="n">
        <v>0</v>
      </c>
      <c r="J496" t="n">
        <v>0</v>
      </c>
      <c r="K496" t="n">
        <v>0</v>
      </c>
      <c r="L496" t="n">
        <v>0</v>
      </c>
      <c r="M496" t="n">
        <v>0</v>
      </c>
      <c r="N496" t="n">
        <v>0</v>
      </c>
      <c r="O496" t="n">
        <v>0</v>
      </c>
      <c r="P496" t="n">
        <v>0</v>
      </c>
      <c r="Q496" t="n">
        <v>0</v>
      </c>
      <c r="R496" s="2" t="inlineStr"/>
    </row>
    <row r="497" ht="15" customHeight="1">
      <c r="A497" t="inlineStr">
        <is>
          <t>A 32727-2024</t>
        </is>
      </c>
      <c r="B497" s="1" t="n">
        <v>45516.4221412037</v>
      </c>
      <c r="C497" s="1" t="n">
        <v>46035</v>
      </c>
      <c r="D497" t="inlineStr">
        <is>
          <t>ÖREBRO LÄN</t>
        </is>
      </c>
      <c r="E497" t="inlineStr">
        <is>
          <t>LINDESBERG</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28031-2023</t>
        </is>
      </c>
      <c r="B498" s="1" t="n">
        <v>45099.27354166667</v>
      </c>
      <c r="C498" s="1" t="n">
        <v>46035</v>
      </c>
      <c r="D498" t="inlineStr">
        <is>
          <t>ÖREBRO LÄN</t>
        </is>
      </c>
      <c r="E498" t="inlineStr">
        <is>
          <t>LINDESBERG</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46039-2024</t>
        </is>
      </c>
      <c r="B499" s="1" t="n">
        <v>45580.73525462963</v>
      </c>
      <c r="C499" s="1" t="n">
        <v>46035</v>
      </c>
      <c r="D499" t="inlineStr">
        <is>
          <t>ÖREBRO LÄN</t>
        </is>
      </c>
      <c r="E499" t="inlineStr">
        <is>
          <t>LINDESBERG</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58741-2024</t>
        </is>
      </c>
      <c r="B500" s="1" t="n">
        <v>45635.69581018519</v>
      </c>
      <c r="C500" s="1" t="n">
        <v>46035</v>
      </c>
      <c r="D500" t="inlineStr">
        <is>
          <t>ÖREBRO LÄN</t>
        </is>
      </c>
      <c r="E500" t="inlineStr">
        <is>
          <t>LINDESBERG</t>
        </is>
      </c>
      <c r="G500" t="n">
        <v>1.5</v>
      </c>
      <c r="H500" t="n">
        <v>0</v>
      </c>
      <c r="I500" t="n">
        <v>0</v>
      </c>
      <c r="J500" t="n">
        <v>0</v>
      </c>
      <c r="K500" t="n">
        <v>0</v>
      </c>
      <c r="L500" t="n">
        <v>0</v>
      </c>
      <c r="M500" t="n">
        <v>0</v>
      </c>
      <c r="N500" t="n">
        <v>0</v>
      </c>
      <c r="O500" t="n">
        <v>0</v>
      </c>
      <c r="P500" t="n">
        <v>0</v>
      </c>
      <c r="Q500" t="n">
        <v>0</v>
      </c>
      <c r="R500" s="2" t="inlineStr"/>
    </row>
    <row r="501" ht="15" customHeight="1">
      <c r="A501" t="inlineStr">
        <is>
          <t>A 52102-2025</t>
        </is>
      </c>
      <c r="B501" s="1" t="n">
        <v>45952.68358796297</v>
      </c>
      <c r="C501" s="1" t="n">
        <v>46035</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3994-2023</t>
        </is>
      </c>
      <c r="B502" s="1" t="n">
        <v>44950</v>
      </c>
      <c r="C502" s="1" t="n">
        <v>46035</v>
      </c>
      <c r="D502" t="inlineStr">
        <is>
          <t>ÖREBRO LÄN</t>
        </is>
      </c>
      <c r="E502" t="inlineStr">
        <is>
          <t>LINDESBERG</t>
        </is>
      </c>
      <c r="G502" t="n">
        <v>4.8</v>
      </c>
      <c r="H502" t="n">
        <v>0</v>
      </c>
      <c r="I502" t="n">
        <v>0</v>
      </c>
      <c r="J502" t="n">
        <v>0</v>
      </c>
      <c r="K502" t="n">
        <v>0</v>
      </c>
      <c r="L502" t="n">
        <v>0</v>
      </c>
      <c r="M502" t="n">
        <v>0</v>
      </c>
      <c r="N502" t="n">
        <v>0</v>
      </c>
      <c r="O502" t="n">
        <v>0</v>
      </c>
      <c r="P502" t="n">
        <v>0</v>
      </c>
      <c r="Q502" t="n">
        <v>0</v>
      </c>
      <c r="R502" s="2" t="inlineStr"/>
    </row>
    <row r="503" ht="15" customHeight="1">
      <c r="A503" t="inlineStr">
        <is>
          <t>A 52117-2025</t>
        </is>
      </c>
      <c r="B503" s="1" t="n">
        <v>45952.70765046297</v>
      </c>
      <c r="C503" s="1" t="n">
        <v>46035</v>
      </c>
      <c r="D503" t="inlineStr">
        <is>
          <t>ÖREBRO LÄN</t>
        </is>
      </c>
      <c r="E503" t="inlineStr">
        <is>
          <t>LINDESBERG</t>
        </is>
      </c>
      <c r="G503" t="n">
        <v>4.6</v>
      </c>
      <c r="H503" t="n">
        <v>0</v>
      </c>
      <c r="I503" t="n">
        <v>0</v>
      </c>
      <c r="J503" t="n">
        <v>0</v>
      </c>
      <c r="K503" t="n">
        <v>0</v>
      </c>
      <c r="L503" t="n">
        <v>0</v>
      </c>
      <c r="M503" t="n">
        <v>0</v>
      </c>
      <c r="N503" t="n">
        <v>0</v>
      </c>
      <c r="O503" t="n">
        <v>0</v>
      </c>
      <c r="P503" t="n">
        <v>0</v>
      </c>
      <c r="Q503" t="n">
        <v>0</v>
      </c>
      <c r="R503" s="2" t="inlineStr"/>
    </row>
    <row r="504" ht="15" customHeight="1">
      <c r="A504" t="inlineStr">
        <is>
          <t>A 49094-2024</t>
        </is>
      </c>
      <c r="B504" s="1" t="n">
        <v>45594.63747685185</v>
      </c>
      <c r="C504" s="1" t="n">
        <v>46035</v>
      </c>
      <c r="D504" t="inlineStr">
        <is>
          <t>ÖREBRO LÄN</t>
        </is>
      </c>
      <c r="E504" t="inlineStr">
        <is>
          <t>LINDESBERG</t>
        </is>
      </c>
      <c r="G504" t="n">
        <v>3.8</v>
      </c>
      <c r="H504" t="n">
        <v>0</v>
      </c>
      <c r="I504" t="n">
        <v>0</v>
      </c>
      <c r="J504" t="n">
        <v>0</v>
      </c>
      <c r="K504" t="n">
        <v>0</v>
      </c>
      <c r="L504" t="n">
        <v>0</v>
      </c>
      <c r="M504" t="n">
        <v>0</v>
      </c>
      <c r="N504" t="n">
        <v>0</v>
      </c>
      <c r="O504" t="n">
        <v>0</v>
      </c>
      <c r="P504" t="n">
        <v>0</v>
      </c>
      <c r="Q504" t="n">
        <v>0</v>
      </c>
      <c r="R504" s="2" t="inlineStr"/>
    </row>
    <row r="505" ht="15" customHeight="1">
      <c r="A505" t="inlineStr">
        <is>
          <t>A 56907-2024</t>
        </is>
      </c>
      <c r="B505" s="1" t="n">
        <v>45628.58975694444</v>
      </c>
      <c r="C505" s="1" t="n">
        <v>46035</v>
      </c>
      <c r="D505" t="inlineStr">
        <is>
          <t>ÖREBRO LÄN</t>
        </is>
      </c>
      <c r="E505" t="inlineStr">
        <is>
          <t>LINDESBERG</t>
        </is>
      </c>
      <c r="G505" t="n">
        <v>1.1</v>
      </c>
      <c r="H505" t="n">
        <v>0</v>
      </c>
      <c r="I505" t="n">
        <v>0</v>
      </c>
      <c r="J505" t="n">
        <v>0</v>
      </c>
      <c r="K505" t="n">
        <v>0</v>
      </c>
      <c r="L505" t="n">
        <v>0</v>
      </c>
      <c r="M505" t="n">
        <v>0</v>
      </c>
      <c r="N505" t="n">
        <v>0</v>
      </c>
      <c r="O505" t="n">
        <v>0</v>
      </c>
      <c r="P505" t="n">
        <v>0</v>
      </c>
      <c r="Q505" t="n">
        <v>0</v>
      </c>
      <c r="R505" s="2" t="inlineStr"/>
    </row>
    <row r="506" ht="15" customHeight="1">
      <c r="A506" t="inlineStr">
        <is>
          <t>A 7201-2024</t>
        </is>
      </c>
      <c r="B506" s="1" t="n">
        <v>45344.6027662037</v>
      </c>
      <c r="C506" s="1" t="n">
        <v>46035</v>
      </c>
      <c r="D506" t="inlineStr">
        <is>
          <t>ÖREBRO LÄN</t>
        </is>
      </c>
      <c r="E506" t="inlineStr">
        <is>
          <t>LINDESBERG</t>
        </is>
      </c>
      <c r="G506" t="n">
        <v>4.7</v>
      </c>
      <c r="H506" t="n">
        <v>0</v>
      </c>
      <c r="I506" t="n">
        <v>0</v>
      </c>
      <c r="J506" t="n">
        <v>0</v>
      </c>
      <c r="K506" t="n">
        <v>0</v>
      </c>
      <c r="L506" t="n">
        <v>0</v>
      </c>
      <c r="M506" t="n">
        <v>0</v>
      </c>
      <c r="N506" t="n">
        <v>0</v>
      </c>
      <c r="O506" t="n">
        <v>0</v>
      </c>
      <c r="P506" t="n">
        <v>0</v>
      </c>
      <c r="Q506" t="n">
        <v>0</v>
      </c>
      <c r="R506" s="2" t="inlineStr"/>
    </row>
    <row r="507" ht="15" customHeight="1">
      <c r="A507" t="inlineStr">
        <is>
          <t>A 14190-2024</t>
        </is>
      </c>
      <c r="B507" s="1" t="n">
        <v>45393.36060185185</v>
      </c>
      <c r="C507" s="1" t="n">
        <v>46035</v>
      </c>
      <c r="D507" t="inlineStr">
        <is>
          <t>ÖREBRO LÄN</t>
        </is>
      </c>
      <c r="E507" t="inlineStr">
        <is>
          <t>LINDESBERG</t>
        </is>
      </c>
      <c r="F507" t="inlineStr">
        <is>
          <t>Sveaskog</t>
        </is>
      </c>
      <c r="G507" t="n">
        <v>2.5</v>
      </c>
      <c r="H507" t="n">
        <v>0</v>
      </c>
      <c r="I507" t="n">
        <v>0</v>
      </c>
      <c r="J507" t="n">
        <v>0</v>
      </c>
      <c r="K507" t="n">
        <v>0</v>
      </c>
      <c r="L507" t="n">
        <v>0</v>
      </c>
      <c r="M507" t="n">
        <v>0</v>
      </c>
      <c r="N507" t="n">
        <v>0</v>
      </c>
      <c r="O507" t="n">
        <v>0</v>
      </c>
      <c r="P507" t="n">
        <v>0</v>
      </c>
      <c r="Q507" t="n">
        <v>0</v>
      </c>
      <c r="R507" s="2" t="inlineStr"/>
    </row>
    <row r="508" ht="15" customHeight="1">
      <c r="A508" t="inlineStr">
        <is>
          <t>A 17087-2023</t>
        </is>
      </c>
      <c r="B508" s="1" t="n">
        <v>45034.5174537037</v>
      </c>
      <c r="C508" s="1" t="n">
        <v>46035</v>
      </c>
      <c r="D508" t="inlineStr">
        <is>
          <t>ÖREBRO LÄN</t>
        </is>
      </c>
      <c r="E508" t="inlineStr">
        <is>
          <t>LINDESBERG</t>
        </is>
      </c>
      <c r="G508" t="n">
        <v>2.7</v>
      </c>
      <c r="H508" t="n">
        <v>0</v>
      </c>
      <c r="I508" t="n">
        <v>0</v>
      </c>
      <c r="J508" t="n">
        <v>0</v>
      </c>
      <c r="K508" t="n">
        <v>0</v>
      </c>
      <c r="L508" t="n">
        <v>0</v>
      </c>
      <c r="M508" t="n">
        <v>0</v>
      </c>
      <c r="N508" t="n">
        <v>0</v>
      </c>
      <c r="O508" t="n">
        <v>0</v>
      </c>
      <c r="P508" t="n">
        <v>0</v>
      </c>
      <c r="Q508" t="n">
        <v>0</v>
      </c>
      <c r="R508" s="2" t="inlineStr"/>
    </row>
    <row r="509" ht="15" customHeight="1">
      <c r="A509" t="inlineStr">
        <is>
          <t>A 33574-2024</t>
        </is>
      </c>
      <c r="B509" s="1" t="n">
        <v>45520.32887731482</v>
      </c>
      <c r="C509" s="1" t="n">
        <v>46035</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34264-2025</t>
        </is>
      </c>
      <c r="B510" s="1" t="n">
        <v>45845.75200231482</v>
      </c>
      <c r="C510" s="1" t="n">
        <v>46035</v>
      </c>
      <c r="D510" t="inlineStr">
        <is>
          <t>ÖREBRO LÄN</t>
        </is>
      </c>
      <c r="E510" t="inlineStr">
        <is>
          <t>LINDESBERG</t>
        </is>
      </c>
      <c r="G510" t="n">
        <v>3.9</v>
      </c>
      <c r="H510" t="n">
        <v>0</v>
      </c>
      <c r="I510" t="n">
        <v>0</v>
      </c>
      <c r="J510" t="n">
        <v>0</v>
      </c>
      <c r="K510" t="n">
        <v>0</v>
      </c>
      <c r="L510" t="n">
        <v>0</v>
      </c>
      <c r="M510" t="n">
        <v>0</v>
      </c>
      <c r="N510" t="n">
        <v>0</v>
      </c>
      <c r="O510" t="n">
        <v>0</v>
      </c>
      <c r="P510" t="n">
        <v>0</v>
      </c>
      <c r="Q510" t="n">
        <v>0</v>
      </c>
      <c r="R510" s="2" t="inlineStr"/>
    </row>
    <row r="511" ht="15" customHeight="1">
      <c r="A511" t="inlineStr">
        <is>
          <t>A 34003-2025</t>
        </is>
      </c>
      <c r="B511" s="1" t="n">
        <v>45844.57527777777</v>
      </c>
      <c r="C511" s="1" t="n">
        <v>46035</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34097-2025</t>
        </is>
      </c>
      <c r="B512" s="1" t="n">
        <v>45845.4855787037</v>
      </c>
      <c r="C512" s="1" t="n">
        <v>46035</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53189-2023</t>
        </is>
      </c>
      <c r="B513" s="1" t="n">
        <v>45194</v>
      </c>
      <c r="C513" s="1" t="n">
        <v>46035</v>
      </c>
      <c r="D513" t="inlineStr">
        <is>
          <t>ÖREBRO LÄN</t>
        </is>
      </c>
      <c r="E513" t="inlineStr">
        <is>
          <t>LINDESBERG</t>
        </is>
      </c>
      <c r="G513" t="n">
        <v>2</v>
      </c>
      <c r="H513" t="n">
        <v>0</v>
      </c>
      <c r="I513" t="n">
        <v>0</v>
      </c>
      <c r="J513" t="n">
        <v>0</v>
      </c>
      <c r="K513" t="n">
        <v>0</v>
      </c>
      <c r="L513" t="n">
        <v>0</v>
      </c>
      <c r="M513" t="n">
        <v>0</v>
      </c>
      <c r="N513" t="n">
        <v>0</v>
      </c>
      <c r="O513" t="n">
        <v>0</v>
      </c>
      <c r="P513" t="n">
        <v>0</v>
      </c>
      <c r="Q513" t="n">
        <v>0</v>
      </c>
      <c r="R513" s="2" t="inlineStr"/>
    </row>
    <row r="514" ht="15" customHeight="1">
      <c r="A514" t="inlineStr">
        <is>
          <t>A 6001-2021</t>
        </is>
      </c>
      <c r="B514" s="1" t="n">
        <v>44231</v>
      </c>
      <c r="C514" s="1" t="n">
        <v>46035</v>
      </c>
      <c r="D514" t="inlineStr">
        <is>
          <t>ÖREBRO LÄN</t>
        </is>
      </c>
      <c r="E514" t="inlineStr">
        <is>
          <t>LINDESBERG</t>
        </is>
      </c>
      <c r="G514" t="n">
        <v>0.7</v>
      </c>
      <c r="H514" t="n">
        <v>0</v>
      </c>
      <c r="I514" t="n">
        <v>0</v>
      </c>
      <c r="J514" t="n">
        <v>0</v>
      </c>
      <c r="K514" t="n">
        <v>0</v>
      </c>
      <c r="L514" t="n">
        <v>0</v>
      </c>
      <c r="M514" t="n">
        <v>0</v>
      </c>
      <c r="N514" t="n">
        <v>0</v>
      </c>
      <c r="O514" t="n">
        <v>0</v>
      </c>
      <c r="P514" t="n">
        <v>0</v>
      </c>
      <c r="Q514" t="n">
        <v>0</v>
      </c>
      <c r="R514" s="2" t="inlineStr"/>
    </row>
    <row r="515" ht="15" customHeight="1">
      <c r="A515" t="inlineStr">
        <is>
          <t>A 34104-2025</t>
        </is>
      </c>
      <c r="B515" s="1" t="n">
        <v>45845.49216435185</v>
      </c>
      <c r="C515" s="1" t="n">
        <v>46035</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34004-2025</t>
        </is>
      </c>
      <c r="B516" s="1" t="n">
        <v>45844.5775</v>
      </c>
      <c r="C516" s="1" t="n">
        <v>46035</v>
      </c>
      <c r="D516" t="inlineStr">
        <is>
          <t>ÖREBRO LÄN</t>
        </is>
      </c>
      <c r="E516" t="inlineStr">
        <is>
          <t>LINDESBERG</t>
        </is>
      </c>
      <c r="F516" t="inlineStr">
        <is>
          <t>Sveaskog</t>
        </is>
      </c>
      <c r="G516" t="n">
        <v>3.4</v>
      </c>
      <c r="H516" t="n">
        <v>0</v>
      </c>
      <c r="I516" t="n">
        <v>0</v>
      </c>
      <c r="J516" t="n">
        <v>0</v>
      </c>
      <c r="K516" t="n">
        <v>0</v>
      </c>
      <c r="L516" t="n">
        <v>0</v>
      </c>
      <c r="M516" t="n">
        <v>0</v>
      </c>
      <c r="N516" t="n">
        <v>0</v>
      </c>
      <c r="O516" t="n">
        <v>0</v>
      </c>
      <c r="P516" t="n">
        <v>0</v>
      </c>
      <c r="Q516" t="n">
        <v>0</v>
      </c>
      <c r="R516" s="2" t="inlineStr"/>
    </row>
    <row r="517" ht="15" customHeight="1">
      <c r="A517" t="inlineStr">
        <is>
          <t>A 60926-2024</t>
        </is>
      </c>
      <c r="B517" s="1" t="n">
        <v>45645</v>
      </c>
      <c r="C517" s="1" t="n">
        <v>46035</v>
      </c>
      <c r="D517" t="inlineStr">
        <is>
          <t>ÖREBRO LÄN</t>
        </is>
      </c>
      <c r="E517" t="inlineStr">
        <is>
          <t>LINDESBERG</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34267-2025</t>
        </is>
      </c>
      <c r="B518" s="1" t="n">
        <v>45845.76005787037</v>
      </c>
      <c r="C518" s="1" t="n">
        <v>46035</v>
      </c>
      <c r="D518" t="inlineStr">
        <is>
          <t>ÖREBRO LÄN</t>
        </is>
      </c>
      <c r="E518" t="inlineStr">
        <is>
          <t>LINDESBERG</t>
        </is>
      </c>
      <c r="G518" t="n">
        <v>4.6</v>
      </c>
      <c r="H518" t="n">
        <v>0</v>
      </c>
      <c r="I518" t="n">
        <v>0</v>
      </c>
      <c r="J518" t="n">
        <v>0</v>
      </c>
      <c r="K518" t="n">
        <v>0</v>
      </c>
      <c r="L518" t="n">
        <v>0</v>
      </c>
      <c r="M518" t="n">
        <v>0</v>
      </c>
      <c r="N518" t="n">
        <v>0</v>
      </c>
      <c r="O518" t="n">
        <v>0</v>
      </c>
      <c r="P518" t="n">
        <v>0</v>
      </c>
      <c r="Q518" t="n">
        <v>0</v>
      </c>
      <c r="R518" s="2" t="inlineStr"/>
    </row>
    <row r="519" ht="15" customHeight="1">
      <c r="A519" t="inlineStr">
        <is>
          <t>A 52098-2025</t>
        </is>
      </c>
      <c r="B519" s="1" t="n">
        <v>45952.68001157408</v>
      </c>
      <c r="C519" s="1" t="n">
        <v>46035</v>
      </c>
      <c r="D519" t="inlineStr">
        <is>
          <t>ÖREBRO LÄN</t>
        </is>
      </c>
      <c r="E519" t="inlineStr">
        <is>
          <t>LINDESBERG</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52103-2025</t>
        </is>
      </c>
      <c r="B520" s="1" t="n">
        <v>45952.68439814815</v>
      </c>
      <c r="C520" s="1" t="n">
        <v>46035</v>
      </c>
      <c r="D520" t="inlineStr">
        <is>
          <t>ÖREBRO LÄN</t>
        </is>
      </c>
      <c r="E520" t="inlineStr">
        <is>
          <t>LINDESBERG</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14231-2023</t>
        </is>
      </c>
      <c r="B521" s="1" t="n">
        <v>45009.64217592592</v>
      </c>
      <c r="C521" s="1" t="n">
        <v>46035</v>
      </c>
      <c r="D521" t="inlineStr">
        <is>
          <t>ÖREBRO LÄN</t>
        </is>
      </c>
      <c r="E521" t="inlineStr">
        <is>
          <t>LINDESBERG</t>
        </is>
      </c>
      <c r="G521" t="n">
        <v>4.3</v>
      </c>
      <c r="H521" t="n">
        <v>0</v>
      </c>
      <c r="I521" t="n">
        <v>0</v>
      </c>
      <c r="J521" t="n">
        <v>0</v>
      </c>
      <c r="K521" t="n">
        <v>0</v>
      </c>
      <c r="L521" t="n">
        <v>0</v>
      </c>
      <c r="M521" t="n">
        <v>0</v>
      </c>
      <c r="N521" t="n">
        <v>0</v>
      </c>
      <c r="O521" t="n">
        <v>0</v>
      </c>
      <c r="P521" t="n">
        <v>0</v>
      </c>
      <c r="Q521" t="n">
        <v>0</v>
      </c>
      <c r="R521" s="2" t="inlineStr"/>
    </row>
    <row r="522" ht="15" customHeight="1">
      <c r="A522" t="inlineStr">
        <is>
          <t>A 62608-2021</t>
        </is>
      </c>
      <c r="B522" s="1" t="n">
        <v>44503</v>
      </c>
      <c r="C522" s="1" t="n">
        <v>46035</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35140-2023</t>
        </is>
      </c>
      <c r="B523" s="1" t="n">
        <v>45145</v>
      </c>
      <c r="C523" s="1" t="n">
        <v>46035</v>
      </c>
      <c r="D523" t="inlineStr">
        <is>
          <t>ÖREBRO LÄN</t>
        </is>
      </c>
      <c r="E523" t="inlineStr">
        <is>
          <t>LINDESBERG</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37616-2023</t>
        </is>
      </c>
      <c r="B524" s="1" t="n">
        <v>45159.44525462963</v>
      </c>
      <c r="C524" s="1" t="n">
        <v>46035</v>
      </c>
      <c r="D524" t="inlineStr">
        <is>
          <t>ÖREBRO LÄN</t>
        </is>
      </c>
      <c r="E524" t="inlineStr">
        <is>
          <t>LINDESBERG</t>
        </is>
      </c>
      <c r="G524" t="n">
        <v>5.3</v>
      </c>
      <c r="H524" t="n">
        <v>0</v>
      </c>
      <c r="I524" t="n">
        <v>0</v>
      </c>
      <c r="J524" t="n">
        <v>0</v>
      </c>
      <c r="K524" t="n">
        <v>0</v>
      </c>
      <c r="L524" t="n">
        <v>0</v>
      </c>
      <c r="M524" t="n">
        <v>0</v>
      </c>
      <c r="N524" t="n">
        <v>0</v>
      </c>
      <c r="O524" t="n">
        <v>0</v>
      </c>
      <c r="P524" t="n">
        <v>0</v>
      </c>
      <c r="Q524" t="n">
        <v>0</v>
      </c>
      <c r="R524" s="2" t="inlineStr"/>
    </row>
    <row r="525" ht="15" customHeight="1">
      <c r="A525" t="inlineStr">
        <is>
          <t>A 34002-2025</t>
        </is>
      </c>
      <c r="B525" s="1" t="n">
        <v>45844.57328703703</v>
      </c>
      <c r="C525" s="1" t="n">
        <v>46035</v>
      </c>
      <c r="D525" t="inlineStr">
        <is>
          <t>ÖREBRO LÄN</t>
        </is>
      </c>
      <c r="E525" t="inlineStr">
        <is>
          <t>LINDESBERG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52101-2025</t>
        </is>
      </c>
      <c r="B526" s="1" t="n">
        <v>45952.68271990741</v>
      </c>
      <c r="C526" s="1" t="n">
        <v>46035</v>
      </c>
      <c r="D526" t="inlineStr">
        <is>
          <t>ÖREBRO LÄN</t>
        </is>
      </c>
      <c r="E526" t="inlineStr">
        <is>
          <t>LINDESBERG</t>
        </is>
      </c>
      <c r="F526" t="inlineStr">
        <is>
          <t>Sveaskog</t>
        </is>
      </c>
      <c r="G526" t="n">
        <v>10.9</v>
      </c>
      <c r="H526" t="n">
        <v>0</v>
      </c>
      <c r="I526" t="n">
        <v>0</v>
      </c>
      <c r="J526" t="n">
        <v>0</v>
      </c>
      <c r="K526" t="n">
        <v>0</v>
      </c>
      <c r="L526" t="n">
        <v>0</v>
      </c>
      <c r="M526" t="n">
        <v>0</v>
      </c>
      <c r="N526" t="n">
        <v>0</v>
      </c>
      <c r="O526" t="n">
        <v>0</v>
      </c>
      <c r="P526" t="n">
        <v>0</v>
      </c>
      <c r="Q526" t="n">
        <v>0</v>
      </c>
      <c r="R526" s="2" t="inlineStr"/>
    </row>
    <row r="527" ht="15" customHeight="1">
      <c r="A527" t="inlineStr">
        <is>
          <t>A 52104-2025</t>
        </is>
      </c>
      <c r="B527" s="1" t="n">
        <v>45952.68524305556</v>
      </c>
      <c r="C527" s="1" t="n">
        <v>46035</v>
      </c>
      <c r="D527" t="inlineStr">
        <is>
          <t>ÖREBRO LÄN</t>
        </is>
      </c>
      <c r="E527" t="inlineStr">
        <is>
          <t>LINDESBERG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29938-2024</t>
        </is>
      </c>
      <c r="B528" s="1" t="n">
        <v>45488.41480324074</v>
      </c>
      <c r="C528" s="1" t="n">
        <v>46035</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24030-2023</t>
        </is>
      </c>
      <c r="B529" s="1" t="n">
        <v>45078.82620370371</v>
      </c>
      <c r="C529" s="1" t="n">
        <v>46035</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5677-2025</t>
        </is>
      </c>
      <c r="B530" s="1" t="n">
        <v>45694</v>
      </c>
      <c r="C530" s="1" t="n">
        <v>46035</v>
      </c>
      <c r="D530" t="inlineStr">
        <is>
          <t>ÖREBRO LÄN</t>
        </is>
      </c>
      <c r="E530" t="inlineStr">
        <is>
          <t>LINDESBERG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24916-2022</t>
        </is>
      </c>
      <c r="B531" s="1" t="n">
        <v>44728</v>
      </c>
      <c r="C531" s="1" t="n">
        <v>46035</v>
      </c>
      <c r="D531" t="inlineStr">
        <is>
          <t>ÖREBRO LÄN</t>
        </is>
      </c>
      <c r="E531" t="inlineStr">
        <is>
          <t>LINDESBERG</t>
        </is>
      </c>
      <c r="G531" t="n">
        <v>8.1</v>
      </c>
      <c r="H531" t="n">
        <v>0</v>
      </c>
      <c r="I531" t="n">
        <v>0</v>
      </c>
      <c r="J531" t="n">
        <v>0</v>
      </c>
      <c r="K531" t="n">
        <v>0</v>
      </c>
      <c r="L531" t="n">
        <v>0</v>
      </c>
      <c r="M531" t="n">
        <v>0</v>
      </c>
      <c r="N531" t="n">
        <v>0</v>
      </c>
      <c r="O531" t="n">
        <v>0</v>
      </c>
      <c r="P531" t="n">
        <v>0</v>
      </c>
      <c r="Q531" t="n">
        <v>0</v>
      </c>
      <c r="R531" s="2" t="inlineStr"/>
    </row>
    <row r="532" ht="15" customHeight="1">
      <c r="A532" t="inlineStr">
        <is>
          <t>A 36747-2024</t>
        </is>
      </c>
      <c r="B532" s="1" t="n">
        <v>45538.34193287037</v>
      </c>
      <c r="C532" s="1" t="n">
        <v>46035</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1681-2025</t>
        </is>
      </c>
      <c r="B533" s="1" t="n">
        <v>45670.69458333333</v>
      </c>
      <c r="C533" s="1" t="n">
        <v>46035</v>
      </c>
      <c r="D533" t="inlineStr">
        <is>
          <t>ÖREBRO LÄN</t>
        </is>
      </c>
      <c r="E533" t="inlineStr">
        <is>
          <t>LINDESBERG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32097-2024</t>
        </is>
      </c>
      <c r="B534" s="1" t="n">
        <v>45511.39445601852</v>
      </c>
      <c r="C534" s="1" t="n">
        <v>46035</v>
      </c>
      <c r="D534" t="inlineStr">
        <is>
          <t>ÖREBRO LÄN</t>
        </is>
      </c>
      <c r="E534" t="inlineStr">
        <is>
          <t>LINDESBERG</t>
        </is>
      </c>
      <c r="G534" t="n">
        <v>1.7</v>
      </c>
      <c r="H534" t="n">
        <v>0</v>
      </c>
      <c r="I534" t="n">
        <v>0</v>
      </c>
      <c r="J534" t="n">
        <v>0</v>
      </c>
      <c r="K534" t="n">
        <v>0</v>
      </c>
      <c r="L534" t="n">
        <v>0</v>
      </c>
      <c r="M534" t="n">
        <v>0</v>
      </c>
      <c r="N534" t="n">
        <v>0</v>
      </c>
      <c r="O534" t="n">
        <v>0</v>
      </c>
      <c r="P534" t="n">
        <v>0</v>
      </c>
      <c r="Q534" t="n">
        <v>0</v>
      </c>
      <c r="R534" s="2" t="inlineStr"/>
    </row>
    <row r="535" ht="15" customHeight="1">
      <c r="A535" t="inlineStr">
        <is>
          <t>A 32099-2024</t>
        </is>
      </c>
      <c r="B535" s="1" t="n">
        <v>45511.40297453704</v>
      </c>
      <c r="C535" s="1" t="n">
        <v>46035</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61360-2024</t>
        </is>
      </c>
      <c r="B536" s="1" t="n">
        <v>45646</v>
      </c>
      <c r="C536" s="1" t="n">
        <v>46035</v>
      </c>
      <c r="D536" t="inlineStr">
        <is>
          <t>ÖREBRO LÄN</t>
        </is>
      </c>
      <c r="E536" t="inlineStr">
        <is>
          <t>LINDESBERG</t>
        </is>
      </c>
      <c r="F536" t="inlineStr">
        <is>
          <t>Sveaskog</t>
        </is>
      </c>
      <c r="G536" t="n">
        <v>6.5</v>
      </c>
      <c r="H536" t="n">
        <v>0</v>
      </c>
      <c r="I536" t="n">
        <v>0</v>
      </c>
      <c r="J536" t="n">
        <v>0</v>
      </c>
      <c r="K536" t="n">
        <v>0</v>
      </c>
      <c r="L536" t="n">
        <v>0</v>
      </c>
      <c r="M536" t="n">
        <v>0</v>
      </c>
      <c r="N536" t="n">
        <v>0</v>
      </c>
      <c r="O536" t="n">
        <v>0</v>
      </c>
      <c r="P536" t="n">
        <v>0</v>
      </c>
      <c r="Q536" t="n">
        <v>0</v>
      </c>
      <c r="R536" s="2" t="inlineStr"/>
    </row>
    <row r="537" ht="15" customHeight="1">
      <c r="A537" t="inlineStr">
        <is>
          <t>A 3803-2023</t>
        </is>
      </c>
      <c r="B537" s="1" t="n">
        <v>44951.5830324074</v>
      </c>
      <c r="C537" s="1" t="n">
        <v>46035</v>
      </c>
      <c r="D537" t="inlineStr">
        <is>
          <t>ÖREBRO LÄN</t>
        </is>
      </c>
      <c r="E537" t="inlineStr">
        <is>
          <t>LINDESBERG</t>
        </is>
      </c>
      <c r="G537" t="n">
        <v>0.9</v>
      </c>
      <c r="H537" t="n">
        <v>0</v>
      </c>
      <c r="I537" t="n">
        <v>0</v>
      </c>
      <c r="J537" t="n">
        <v>0</v>
      </c>
      <c r="K537" t="n">
        <v>0</v>
      </c>
      <c r="L537" t="n">
        <v>0</v>
      </c>
      <c r="M537" t="n">
        <v>0</v>
      </c>
      <c r="N537" t="n">
        <v>0</v>
      </c>
      <c r="O537" t="n">
        <v>0</v>
      </c>
      <c r="P537" t="n">
        <v>0</v>
      </c>
      <c r="Q537" t="n">
        <v>0</v>
      </c>
      <c r="R537" s="2" t="inlineStr"/>
    </row>
    <row r="538" ht="15" customHeight="1">
      <c r="A538" t="inlineStr">
        <is>
          <t>A 36670-2024</t>
        </is>
      </c>
      <c r="B538" s="1" t="n">
        <v>45537.64621527777</v>
      </c>
      <c r="C538" s="1" t="n">
        <v>46035</v>
      </c>
      <c r="D538" t="inlineStr">
        <is>
          <t>ÖREBRO LÄN</t>
        </is>
      </c>
      <c r="E538" t="inlineStr">
        <is>
          <t>LINDESBERG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60200-2024</t>
        </is>
      </c>
      <c r="B539" s="1" t="n">
        <v>45642.66184027777</v>
      </c>
      <c r="C539" s="1" t="n">
        <v>46035</v>
      </c>
      <c r="D539" t="inlineStr">
        <is>
          <t>ÖREBRO LÄN</t>
        </is>
      </c>
      <c r="E539" t="inlineStr">
        <is>
          <t>LINDESBERG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35292-2025</t>
        </is>
      </c>
      <c r="B540" s="1" t="n">
        <v>45854</v>
      </c>
      <c r="C540" s="1" t="n">
        <v>46035</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35366-2025</t>
        </is>
      </c>
      <c r="B541" s="1" t="n">
        <v>45854</v>
      </c>
      <c r="C541" s="1" t="n">
        <v>46035</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25229-2021</t>
        </is>
      </c>
      <c r="B542" s="1" t="n">
        <v>44342.39703703704</v>
      </c>
      <c r="C542" s="1" t="n">
        <v>46035</v>
      </c>
      <c r="D542" t="inlineStr">
        <is>
          <t>ÖREBRO LÄN</t>
        </is>
      </c>
      <c r="E542" t="inlineStr">
        <is>
          <t>LINDESBERG</t>
        </is>
      </c>
      <c r="F542" t="inlineStr">
        <is>
          <t>Kyrkan</t>
        </is>
      </c>
      <c r="G542" t="n">
        <v>1.5</v>
      </c>
      <c r="H542" t="n">
        <v>0</v>
      </c>
      <c r="I542" t="n">
        <v>0</v>
      </c>
      <c r="J542" t="n">
        <v>0</v>
      </c>
      <c r="K542" t="n">
        <v>0</v>
      </c>
      <c r="L542" t="n">
        <v>0</v>
      </c>
      <c r="M542" t="n">
        <v>0</v>
      </c>
      <c r="N542" t="n">
        <v>0</v>
      </c>
      <c r="O542" t="n">
        <v>0</v>
      </c>
      <c r="P542" t="n">
        <v>0</v>
      </c>
      <c r="Q542" t="n">
        <v>0</v>
      </c>
      <c r="R542" s="2" t="inlineStr"/>
    </row>
    <row r="543" ht="15" customHeight="1">
      <c r="A543" t="inlineStr">
        <is>
          <t>A 35702-2025</t>
        </is>
      </c>
      <c r="B543" s="1" t="n">
        <v>45860.36222222223</v>
      </c>
      <c r="C543" s="1" t="n">
        <v>46035</v>
      </c>
      <c r="D543" t="inlineStr">
        <is>
          <t>ÖREBRO LÄN</t>
        </is>
      </c>
      <c r="E543" t="inlineStr">
        <is>
          <t>LINDESBERG</t>
        </is>
      </c>
      <c r="G543" t="n">
        <v>5.3</v>
      </c>
      <c r="H543" t="n">
        <v>0</v>
      </c>
      <c r="I543" t="n">
        <v>0</v>
      </c>
      <c r="J543" t="n">
        <v>0</v>
      </c>
      <c r="K543" t="n">
        <v>0</v>
      </c>
      <c r="L543" t="n">
        <v>0</v>
      </c>
      <c r="M543" t="n">
        <v>0</v>
      </c>
      <c r="N543" t="n">
        <v>0</v>
      </c>
      <c r="O543" t="n">
        <v>0</v>
      </c>
      <c r="P543" t="n">
        <v>0</v>
      </c>
      <c r="Q543" t="n">
        <v>0</v>
      </c>
      <c r="R543" s="2" t="inlineStr"/>
    </row>
    <row r="544" ht="15" customHeight="1">
      <c r="A544" t="inlineStr">
        <is>
          <t>A 35710-2025</t>
        </is>
      </c>
      <c r="B544" s="1" t="n">
        <v>45860.3857175926</v>
      </c>
      <c r="C544" s="1" t="n">
        <v>46035</v>
      </c>
      <c r="D544" t="inlineStr">
        <is>
          <t>ÖREBRO LÄN</t>
        </is>
      </c>
      <c r="E544" t="inlineStr">
        <is>
          <t>LINDESBERG</t>
        </is>
      </c>
      <c r="G544" t="n">
        <v>3.2</v>
      </c>
      <c r="H544" t="n">
        <v>0</v>
      </c>
      <c r="I544" t="n">
        <v>0</v>
      </c>
      <c r="J544" t="n">
        <v>0</v>
      </c>
      <c r="K544" t="n">
        <v>0</v>
      </c>
      <c r="L544" t="n">
        <v>0</v>
      </c>
      <c r="M544" t="n">
        <v>0</v>
      </c>
      <c r="N544" t="n">
        <v>0</v>
      </c>
      <c r="O544" t="n">
        <v>0</v>
      </c>
      <c r="P544" t="n">
        <v>0</v>
      </c>
      <c r="Q544" t="n">
        <v>0</v>
      </c>
      <c r="R544" s="2" t="inlineStr"/>
    </row>
    <row r="545" ht="15" customHeight="1">
      <c r="A545" t="inlineStr">
        <is>
          <t>A 34093-2022</t>
        </is>
      </c>
      <c r="B545" s="1" t="n">
        <v>44791</v>
      </c>
      <c r="C545" s="1" t="n">
        <v>46035</v>
      </c>
      <c r="D545" t="inlineStr">
        <is>
          <t>ÖREBRO LÄN</t>
        </is>
      </c>
      <c r="E545" t="inlineStr">
        <is>
          <t>LINDESBERG</t>
        </is>
      </c>
      <c r="G545" t="n">
        <v>3.3</v>
      </c>
      <c r="H545" t="n">
        <v>0</v>
      </c>
      <c r="I545" t="n">
        <v>0</v>
      </c>
      <c r="J545" t="n">
        <v>0</v>
      </c>
      <c r="K545" t="n">
        <v>0</v>
      </c>
      <c r="L545" t="n">
        <v>0</v>
      </c>
      <c r="M545" t="n">
        <v>0</v>
      </c>
      <c r="N545" t="n">
        <v>0</v>
      </c>
      <c r="O545" t="n">
        <v>0</v>
      </c>
      <c r="P545" t="n">
        <v>0</v>
      </c>
      <c r="Q545" t="n">
        <v>0</v>
      </c>
      <c r="R545" s="2" t="inlineStr"/>
    </row>
    <row r="546" ht="15" customHeight="1">
      <c r="A546" t="inlineStr">
        <is>
          <t>A 47304-2024</t>
        </is>
      </c>
      <c r="B546" s="1" t="n">
        <v>45587</v>
      </c>
      <c r="C546" s="1" t="n">
        <v>46035</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52401-2025</t>
        </is>
      </c>
      <c r="B547" s="1" t="n">
        <v>45954.35075231481</v>
      </c>
      <c r="C547" s="1" t="n">
        <v>46035</v>
      </c>
      <c r="D547" t="inlineStr">
        <is>
          <t>ÖREBRO LÄN</t>
        </is>
      </c>
      <c r="E547" t="inlineStr">
        <is>
          <t>LINDESBERG</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58697-2024</t>
        </is>
      </c>
      <c r="B548" s="1" t="n">
        <v>45635.63706018519</v>
      </c>
      <c r="C548" s="1" t="n">
        <v>46035</v>
      </c>
      <c r="D548" t="inlineStr">
        <is>
          <t>ÖREBRO LÄN</t>
        </is>
      </c>
      <c r="E548" t="inlineStr">
        <is>
          <t>LINDESBERG</t>
        </is>
      </c>
      <c r="G548" t="n">
        <v>25.1</v>
      </c>
      <c r="H548" t="n">
        <v>0</v>
      </c>
      <c r="I548" t="n">
        <v>0</v>
      </c>
      <c r="J548" t="n">
        <v>0</v>
      </c>
      <c r="K548" t="n">
        <v>0</v>
      </c>
      <c r="L548" t="n">
        <v>0</v>
      </c>
      <c r="M548" t="n">
        <v>0</v>
      </c>
      <c r="N548" t="n">
        <v>0</v>
      </c>
      <c r="O548" t="n">
        <v>0</v>
      </c>
      <c r="P548" t="n">
        <v>0</v>
      </c>
      <c r="Q548" t="n">
        <v>0</v>
      </c>
      <c r="R548" s="2" t="inlineStr"/>
    </row>
    <row r="549" ht="15" customHeight="1">
      <c r="A549" t="inlineStr">
        <is>
          <t>A 45173-2024</t>
        </is>
      </c>
      <c r="B549" s="1" t="n">
        <v>45575.65721064815</v>
      </c>
      <c r="C549" s="1" t="n">
        <v>46035</v>
      </c>
      <c r="D549" t="inlineStr">
        <is>
          <t>ÖREBRO LÄN</t>
        </is>
      </c>
      <c r="E549" t="inlineStr">
        <is>
          <t>LINDESBERG</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17115-2025</t>
        </is>
      </c>
      <c r="B550" s="1" t="n">
        <v>45755.68247685185</v>
      </c>
      <c r="C550" s="1" t="n">
        <v>46035</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16054-2022</t>
        </is>
      </c>
      <c r="B551" s="1" t="n">
        <v>44665</v>
      </c>
      <c r="C551" s="1" t="n">
        <v>46035</v>
      </c>
      <c r="D551" t="inlineStr">
        <is>
          <t>ÖREBRO LÄN</t>
        </is>
      </c>
      <c r="E551" t="inlineStr">
        <is>
          <t>LINDESBERG</t>
        </is>
      </c>
      <c r="G551" t="n">
        <v>6.9</v>
      </c>
      <c r="H551" t="n">
        <v>0</v>
      </c>
      <c r="I551" t="n">
        <v>0</v>
      </c>
      <c r="J551" t="n">
        <v>0</v>
      </c>
      <c r="K551" t="n">
        <v>0</v>
      </c>
      <c r="L551" t="n">
        <v>0</v>
      </c>
      <c r="M551" t="n">
        <v>0</v>
      </c>
      <c r="N551" t="n">
        <v>0</v>
      </c>
      <c r="O551" t="n">
        <v>0</v>
      </c>
      <c r="P551" t="n">
        <v>0</v>
      </c>
      <c r="Q551" t="n">
        <v>0</v>
      </c>
      <c r="R551" s="2" t="inlineStr"/>
    </row>
    <row r="552" ht="15" customHeight="1">
      <c r="A552" t="inlineStr">
        <is>
          <t>A 36136-2023</t>
        </is>
      </c>
      <c r="B552" s="1" t="n">
        <v>45149</v>
      </c>
      <c r="C552" s="1" t="n">
        <v>46035</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13573-2025</t>
        </is>
      </c>
      <c r="B553" s="1" t="n">
        <v>45736</v>
      </c>
      <c r="C553" s="1" t="n">
        <v>46035</v>
      </c>
      <c r="D553" t="inlineStr">
        <is>
          <t>ÖREBRO LÄN</t>
        </is>
      </c>
      <c r="E553" t="inlineStr">
        <is>
          <t>LINDESBERG</t>
        </is>
      </c>
      <c r="G553" t="n">
        <v>11.7</v>
      </c>
      <c r="H553" t="n">
        <v>0</v>
      </c>
      <c r="I553" t="n">
        <v>0</v>
      </c>
      <c r="J553" t="n">
        <v>0</v>
      </c>
      <c r="K553" t="n">
        <v>0</v>
      </c>
      <c r="L553" t="n">
        <v>0</v>
      </c>
      <c r="M553" t="n">
        <v>0</v>
      </c>
      <c r="N553" t="n">
        <v>0</v>
      </c>
      <c r="O553" t="n">
        <v>0</v>
      </c>
      <c r="P553" t="n">
        <v>0</v>
      </c>
      <c r="Q553" t="n">
        <v>0</v>
      </c>
      <c r="R553" s="2" t="inlineStr"/>
    </row>
    <row r="554" ht="15" customHeight="1">
      <c r="A554" t="inlineStr">
        <is>
          <t>A 61601-2024</t>
        </is>
      </c>
      <c r="B554" s="1" t="n">
        <v>45646.63839120371</v>
      </c>
      <c r="C554" s="1" t="n">
        <v>46035</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30514-2025</t>
        </is>
      </c>
      <c r="B555" s="1" t="n">
        <v>45831</v>
      </c>
      <c r="C555" s="1" t="n">
        <v>46035</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52298-2025</t>
        </is>
      </c>
      <c r="B556" s="1" t="n">
        <v>45953.61387731481</v>
      </c>
      <c r="C556" s="1" t="n">
        <v>46035</v>
      </c>
      <c r="D556" t="inlineStr">
        <is>
          <t>ÖREBRO LÄN</t>
        </is>
      </c>
      <c r="E556" t="inlineStr">
        <is>
          <t>LINDESBERG</t>
        </is>
      </c>
      <c r="G556" t="n">
        <v>18.2</v>
      </c>
      <c r="H556" t="n">
        <v>0</v>
      </c>
      <c r="I556" t="n">
        <v>0</v>
      </c>
      <c r="J556" t="n">
        <v>0</v>
      </c>
      <c r="K556" t="n">
        <v>0</v>
      </c>
      <c r="L556" t="n">
        <v>0</v>
      </c>
      <c r="M556" t="n">
        <v>0</v>
      </c>
      <c r="N556" t="n">
        <v>0</v>
      </c>
      <c r="O556" t="n">
        <v>0</v>
      </c>
      <c r="P556" t="n">
        <v>0</v>
      </c>
      <c r="Q556" t="n">
        <v>0</v>
      </c>
      <c r="R556" s="2" t="inlineStr"/>
    </row>
    <row r="557" ht="15" customHeight="1">
      <c r="A557" t="inlineStr">
        <is>
          <t>A 36253-2024</t>
        </is>
      </c>
      <c r="B557" s="1" t="n">
        <v>45534.54032407407</v>
      </c>
      <c r="C557" s="1" t="n">
        <v>46035</v>
      </c>
      <c r="D557" t="inlineStr">
        <is>
          <t>ÖREBRO LÄN</t>
        </is>
      </c>
      <c r="E557" t="inlineStr">
        <is>
          <t>LINDESBERG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30512-2025</t>
        </is>
      </c>
      <c r="B558" s="1" t="n">
        <v>45831</v>
      </c>
      <c r="C558" s="1" t="n">
        <v>46035</v>
      </c>
      <c r="D558" t="inlineStr">
        <is>
          <t>ÖREBRO LÄN</t>
        </is>
      </c>
      <c r="E558" t="inlineStr">
        <is>
          <t>LINDESBERG</t>
        </is>
      </c>
      <c r="G558" t="n">
        <v>4.5</v>
      </c>
      <c r="H558" t="n">
        <v>0</v>
      </c>
      <c r="I558" t="n">
        <v>0</v>
      </c>
      <c r="J558" t="n">
        <v>0</v>
      </c>
      <c r="K558" t="n">
        <v>0</v>
      </c>
      <c r="L558" t="n">
        <v>0</v>
      </c>
      <c r="M558" t="n">
        <v>0</v>
      </c>
      <c r="N558" t="n">
        <v>0</v>
      </c>
      <c r="O558" t="n">
        <v>0</v>
      </c>
      <c r="P558" t="n">
        <v>0</v>
      </c>
      <c r="Q558" t="n">
        <v>0</v>
      </c>
      <c r="R558" s="2" t="inlineStr"/>
    </row>
    <row r="559" ht="15" customHeight="1">
      <c r="A559" t="inlineStr">
        <is>
          <t>A 36572-2025</t>
        </is>
      </c>
      <c r="B559" s="1" t="n">
        <v>45870</v>
      </c>
      <c r="C559" s="1" t="n">
        <v>46035</v>
      </c>
      <c r="D559" t="inlineStr">
        <is>
          <t>ÖREBRO LÄN</t>
        </is>
      </c>
      <c r="E559" t="inlineStr">
        <is>
          <t>LINDESBERG</t>
        </is>
      </c>
      <c r="G559" t="n">
        <v>11.9</v>
      </c>
      <c r="H559" t="n">
        <v>0</v>
      </c>
      <c r="I559" t="n">
        <v>0</v>
      </c>
      <c r="J559" t="n">
        <v>0</v>
      </c>
      <c r="K559" t="n">
        <v>0</v>
      </c>
      <c r="L559" t="n">
        <v>0</v>
      </c>
      <c r="M559" t="n">
        <v>0</v>
      </c>
      <c r="N559" t="n">
        <v>0</v>
      </c>
      <c r="O559" t="n">
        <v>0</v>
      </c>
      <c r="P559" t="n">
        <v>0</v>
      </c>
      <c r="Q559" t="n">
        <v>0</v>
      </c>
      <c r="R559" s="2" t="inlineStr"/>
    </row>
    <row r="560" ht="15" customHeight="1">
      <c r="A560" t="inlineStr">
        <is>
          <t>A 40450-2023</t>
        </is>
      </c>
      <c r="B560" s="1" t="n">
        <v>45170</v>
      </c>
      <c r="C560" s="1" t="n">
        <v>46035</v>
      </c>
      <c r="D560" t="inlineStr">
        <is>
          <t>ÖREBRO LÄN</t>
        </is>
      </c>
      <c r="E560" t="inlineStr">
        <is>
          <t>LINDESBERG</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36577-2025</t>
        </is>
      </c>
      <c r="B561" s="1" t="n">
        <v>45870</v>
      </c>
      <c r="C561" s="1" t="n">
        <v>46035</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36574-2025</t>
        </is>
      </c>
      <c r="B562" s="1" t="n">
        <v>45870</v>
      </c>
      <c r="C562" s="1" t="n">
        <v>46035</v>
      </c>
      <c r="D562" t="inlineStr">
        <is>
          <t>ÖREBRO LÄN</t>
        </is>
      </c>
      <c r="E562" t="inlineStr">
        <is>
          <t>LINDESBERG</t>
        </is>
      </c>
      <c r="G562" t="n">
        <v>4</v>
      </c>
      <c r="H562" t="n">
        <v>0</v>
      </c>
      <c r="I562" t="n">
        <v>0</v>
      </c>
      <c r="J562" t="n">
        <v>0</v>
      </c>
      <c r="K562" t="n">
        <v>0</v>
      </c>
      <c r="L562" t="n">
        <v>0</v>
      </c>
      <c r="M562" t="n">
        <v>0</v>
      </c>
      <c r="N562" t="n">
        <v>0</v>
      </c>
      <c r="O562" t="n">
        <v>0</v>
      </c>
      <c r="P562" t="n">
        <v>0</v>
      </c>
      <c r="Q562" t="n">
        <v>0</v>
      </c>
      <c r="R562" s="2" t="inlineStr"/>
    </row>
    <row r="563" ht="15" customHeight="1">
      <c r="A563" t="inlineStr">
        <is>
          <t>A 22824-2023</t>
        </is>
      </c>
      <c r="B563" s="1" t="n">
        <v>45072</v>
      </c>
      <c r="C563" s="1" t="n">
        <v>46035</v>
      </c>
      <c r="D563" t="inlineStr">
        <is>
          <t>ÖREBRO LÄN</t>
        </is>
      </c>
      <c r="E563" t="inlineStr">
        <is>
          <t>LINDESBERG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36579-2025</t>
        </is>
      </c>
      <c r="B564" s="1" t="n">
        <v>45870</v>
      </c>
      <c r="C564" s="1" t="n">
        <v>46035</v>
      </c>
      <c r="D564" t="inlineStr">
        <is>
          <t>ÖREBRO LÄN</t>
        </is>
      </c>
      <c r="E564" t="inlineStr">
        <is>
          <t>LINDESBERG</t>
        </is>
      </c>
      <c r="G564" t="n">
        <v>6</v>
      </c>
      <c r="H564" t="n">
        <v>0</v>
      </c>
      <c r="I564" t="n">
        <v>0</v>
      </c>
      <c r="J564" t="n">
        <v>0</v>
      </c>
      <c r="K564" t="n">
        <v>0</v>
      </c>
      <c r="L564" t="n">
        <v>0</v>
      </c>
      <c r="M564" t="n">
        <v>0</v>
      </c>
      <c r="N564" t="n">
        <v>0</v>
      </c>
      <c r="O564" t="n">
        <v>0</v>
      </c>
      <c r="P564" t="n">
        <v>0</v>
      </c>
      <c r="Q564" t="n">
        <v>0</v>
      </c>
      <c r="R564" s="2" t="inlineStr"/>
    </row>
    <row r="565" ht="15" customHeight="1">
      <c r="A565" t="inlineStr">
        <is>
          <t>A 52730-2025</t>
        </is>
      </c>
      <c r="B565" s="1" t="n">
        <v>45957.36386574074</v>
      </c>
      <c r="C565" s="1" t="n">
        <v>46035</v>
      </c>
      <c r="D565" t="inlineStr">
        <is>
          <t>ÖREBRO LÄN</t>
        </is>
      </c>
      <c r="E565" t="inlineStr">
        <is>
          <t>LINDESBERG</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72698-2021</t>
        </is>
      </c>
      <c r="B566" s="1" t="n">
        <v>44546.6679050926</v>
      </c>
      <c r="C566" s="1" t="n">
        <v>46035</v>
      </c>
      <c r="D566" t="inlineStr">
        <is>
          <t>ÖREBRO LÄN</t>
        </is>
      </c>
      <c r="E566" t="inlineStr">
        <is>
          <t>LINDESBERG</t>
        </is>
      </c>
      <c r="G566" t="n">
        <v>1.6</v>
      </c>
      <c r="H566" t="n">
        <v>0</v>
      </c>
      <c r="I566" t="n">
        <v>0</v>
      </c>
      <c r="J566" t="n">
        <v>0</v>
      </c>
      <c r="K566" t="n">
        <v>0</v>
      </c>
      <c r="L566" t="n">
        <v>0</v>
      </c>
      <c r="M566" t="n">
        <v>0</v>
      </c>
      <c r="N566" t="n">
        <v>0</v>
      </c>
      <c r="O566" t="n">
        <v>0</v>
      </c>
      <c r="P566" t="n">
        <v>0</v>
      </c>
      <c r="Q566" t="n">
        <v>0</v>
      </c>
      <c r="R566" s="2" t="inlineStr"/>
    </row>
    <row r="567" ht="15" customHeight="1">
      <c r="A567" t="inlineStr">
        <is>
          <t>A 34237-2023</t>
        </is>
      </c>
      <c r="B567" s="1" t="n">
        <v>45138</v>
      </c>
      <c r="C567" s="1" t="n">
        <v>46035</v>
      </c>
      <c r="D567" t="inlineStr">
        <is>
          <t>ÖREBRO LÄN</t>
        </is>
      </c>
      <c r="E567" t="inlineStr">
        <is>
          <t>LINDESBERG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32994-2023</t>
        </is>
      </c>
      <c r="B568" s="1" t="n">
        <v>45113</v>
      </c>
      <c r="C568" s="1" t="n">
        <v>46035</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36859-2025</t>
        </is>
      </c>
      <c r="B569" s="1" t="n">
        <v>45874.40503472222</v>
      </c>
      <c r="C569" s="1" t="n">
        <v>46035</v>
      </c>
      <c r="D569" t="inlineStr">
        <is>
          <t>ÖREBRO LÄN</t>
        </is>
      </c>
      <c r="E569" t="inlineStr">
        <is>
          <t>LINDESBERG</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36170-2021</t>
        </is>
      </c>
      <c r="B570" s="1" t="n">
        <v>44389</v>
      </c>
      <c r="C570" s="1" t="n">
        <v>46035</v>
      </c>
      <c r="D570" t="inlineStr">
        <is>
          <t>ÖREBRO LÄN</t>
        </is>
      </c>
      <c r="E570" t="inlineStr">
        <is>
          <t>LINDESBERG</t>
        </is>
      </c>
      <c r="G570" t="n">
        <v>0.4</v>
      </c>
      <c r="H570" t="n">
        <v>0</v>
      </c>
      <c r="I570" t="n">
        <v>0</v>
      </c>
      <c r="J570" t="n">
        <v>0</v>
      </c>
      <c r="K570" t="n">
        <v>0</v>
      </c>
      <c r="L570" t="n">
        <v>0</v>
      </c>
      <c r="M570" t="n">
        <v>0</v>
      </c>
      <c r="N570" t="n">
        <v>0</v>
      </c>
      <c r="O570" t="n">
        <v>0</v>
      </c>
      <c r="P570" t="n">
        <v>0</v>
      </c>
      <c r="Q570" t="n">
        <v>0</v>
      </c>
      <c r="R570" s="2" t="inlineStr"/>
    </row>
    <row r="571" ht="15" customHeight="1">
      <c r="A571" t="inlineStr">
        <is>
          <t>A 10822-2023</t>
        </is>
      </c>
      <c r="B571" s="1" t="n">
        <v>44990</v>
      </c>
      <c r="C571" s="1" t="n">
        <v>46035</v>
      </c>
      <c r="D571" t="inlineStr">
        <is>
          <t>ÖREBRO LÄN</t>
        </is>
      </c>
      <c r="E571" t="inlineStr">
        <is>
          <t>LINDESBERG</t>
        </is>
      </c>
      <c r="G571" t="n">
        <v>1.3</v>
      </c>
      <c r="H571" t="n">
        <v>0</v>
      </c>
      <c r="I571" t="n">
        <v>0</v>
      </c>
      <c r="J571" t="n">
        <v>0</v>
      </c>
      <c r="K571" t="n">
        <v>0</v>
      </c>
      <c r="L571" t="n">
        <v>0</v>
      </c>
      <c r="M571" t="n">
        <v>0</v>
      </c>
      <c r="N571" t="n">
        <v>0</v>
      </c>
      <c r="O571" t="n">
        <v>0</v>
      </c>
      <c r="P571" t="n">
        <v>0</v>
      </c>
      <c r="Q571" t="n">
        <v>0</v>
      </c>
      <c r="R571" s="2" t="inlineStr"/>
    </row>
    <row r="572" ht="15" customHeight="1">
      <c r="A572" t="inlineStr">
        <is>
          <t>A 37301-2025</t>
        </is>
      </c>
      <c r="B572" s="1" t="n">
        <v>45876.59166666667</v>
      </c>
      <c r="C572" s="1" t="n">
        <v>46035</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35230-2024</t>
        </is>
      </c>
      <c r="B573" s="1" t="n">
        <v>45530</v>
      </c>
      <c r="C573" s="1" t="n">
        <v>46035</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53187-2025</t>
        </is>
      </c>
      <c r="B574" s="1" t="n">
        <v>45958.55577546296</v>
      </c>
      <c r="C574" s="1" t="n">
        <v>46035</v>
      </c>
      <c r="D574" t="inlineStr">
        <is>
          <t>ÖREBRO LÄN</t>
        </is>
      </c>
      <c r="E574" t="inlineStr">
        <is>
          <t>LINDESBERG</t>
        </is>
      </c>
      <c r="F574" t="inlineStr">
        <is>
          <t>Kommuner</t>
        </is>
      </c>
      <c r="G574" t="n">
        <v>2.7</v>
      </c>
      <c r="H574" t="n">
        <v>0</v>
      </c>
      <c r="I574" t="n">
        <v>0</v>
      </c>
      <c r="J574" t="n">
        <v>0</v>
      </c>
      <c r="K574" t="n">
        <v>0</v>
      </c>
      <c r="L574" t="n">
        <v>0</v>
      </c>
      <c r="M574" t="n">
        <v>0</v>
      </c>
      <c r="N574" t="n">
        <v>0</v>
      </c>
      <c r="O574" t="n">
        <v>0</v>
      </c>
      <c r="P574" t="n">
        <v>0</v>
      </c>
      <c r="Q574" t="n">
        <v>0</v>
      </c>
      <c r="R574" s="2" t="inlineStr"/>
    </row>
    <row r="575" ht="15" customHeight="1">
      <c r="A575" t="inlineStr">
        <is>
          <t>A 9198-2025</t>
        </is>
      </c>
      <c r="B575" s="1" t="n">
        <v>45714</v>
      </c>
      <c r="C575" s="1" t="n">
        <v>46035</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16618-2023</t>
        </is>
      </c>
      <c r="B576" s="1" t="n">
        <v>45030</v>
      </c>
      <c r="C576" s="1" t="n">
        <v>46035</v>
      </c>
      <c r="D576" t="inlineStr">
        <is>
          <t>ÖREBRO LÄN</t>
        </is>
      </c>
      <c r="E576" t="inlineStr">
        <is>
          <t>LINDESBERG</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37500-2025</t>
        </is>
      </c>
      <c r="B577" s="1" t="n">
        <v>45877.64776620371</v>
      </c>
      <c r="C577" s="1" t="n">
        <v>46035</v>
      </c>
      <c r="D577" t="inlineStr">
        <is>
          <t>ÖREBRO LÄN</t>
        </is>
      </c>
      <c r="E577" t="inlineStr">
        <is>
          <t>LINDESBERG</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37503-2025</t>
        </is>
      </c>
      <c r="B578" s="1" t="n">
        <v>45877.65075231482</v>
      </c>
      <c r="C578" s="1" t="n">
        <v>46035</v>
      </c>
      <c r="D578" t="inlineStr">
        <is>
          <t>ÖREBRO LÄN</t>
        </is>
      </c>
      <c r="E578" t="inlineStr">
        <is>
          <t>LINDESBERG</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37501-2025</t>
        </is>
      </c>
      <c r="B579" s="1" t="n">
        <v>45877.64847222222</v>
      </c>
      <c r="C579" s="1" t="n">
        <v>46035</v>
      </c>
      <c r="D579" t="inlineStr">
        <is>
          <t>ÖREBRO LÄN</t>
        </is>
      </c>
      <c r="E579" t="inlineStr">
        <is>
          <t>LINDESBERG</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37552-2025</t>
        </is>
      </c>
      <c r="B580" s="1" t="n">
        <v>45880.28673611111</v>
      </c>
      <c r="C580" s="1" t="n">
        <v>46035</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4298-2025</t>
        </is>
      </c>
      <c r="B581" s="1" t="n">
        <v>45685</v>
      </c>
      <c r="C581" s="1" t="n">
        <v>46035</v>
      </c>
      <c r="D581" t="inlineStr">
        <is>
          <t>ÖREBRO LÄN</t>
        </is>
      </c>
      <c r="E581" t="inlineStr">
        <is>
          <t>LINDESBERG</t>
        </is>
      </c>
      <c r="G581" t="n">
        <v>13.5</v>
      </c>
      <c r="H581" t="n">
        <v>0</v>
      </c>
      <c r="I581" t="n">
        <v>0</v>
      </c>
      <c r="J581" t="n">
        <v>0</v>
      </c>
      <c r="K581" t="n">
        <v>0</v>
      </c>
      <c r="L581" t="n">
        <v>0</v>
      </c>
      <c r="M581" t="n">
        <v>0</v>
      </c>
      <c r="N581" t="n">
        <v>0</v>
      </c>
      <c r="O581" t="n">
        <v>0</v>
      </c>
      <c r="P581" t="n">
        <v>0</v>
      </c>
      <c r="Q581" t="n">
        <v>0</v>
      </c>
      <c r="R581" s="2" t="inlineStr"/>
    </row>
    <row r="582" ht="15" customHeight="1">
      <c r="A582" t="inlineStr">
        <is>
          <t>A 60806-2025</t>
        </is>
      </c>
      <c r="B582" s="1" t="n">
        <v>45999.43730324074</v>
      </c>
      <c r="C582" s="1" t="n">
        <v>46035</v>
      </c>
      <c r="D582" t="inlineStr">
        <is>
          <t>ÖREBRO LÄN</t>
        </is>
      </c>
      <c r="E582" t="inlineStr">
        <is>
          <t>LINDESBERG</t>
        </is>
      </c>
      <c r="G582" t="n">
        <v>7.9</v>
      </c>
      <c r="H582" t="n">
        <v>0</v>
      </c>
      <c r="I582" t="n">
        <v>0</v>
      </c>
      <c r="J582" t="n">
        <v>0</v>
      </c>
      <c r="K582" t="n">
        <v>0</v>
      </c>
      <c r="L582" t="n">
        <v>0</v>
      </c>
      <c r="M582" t="n">
        <v>0</v>
      </c>
      <c r="N582" t="n">
        <v>0</v>
      </c>
      <c r="O582" t="n">
        <v>0</v>
      </c>
      <c r="P582" t="n">
        <v>0</v>
      </c>
      <c r="Q582" t="n">
        <v>0</v>
      </c>
      <c r="R582" s="2" t="inlineStr"/>
    </row>
    <row r="583" ht="15" customHeight="1">
      <c r="A583" t="inlineStr">
        <is>
          <t>A 4999-2025</t>
        </is>
      </c>
      <c r="B583" s="1" t="n">
        <v>45691.36253472222</v>
      </c>
      <c r="C583" s="1" t="n">
        <v>46035</v>
      </c>
      <c r="D583" t="inlineStr">
        <is>
          <t>ÖREBRO LÄN</t>
        </is>
      </c>
      <c r="E583" t="inlineStr">
        <is>
          <t>LINDESBERG</t>
        </is>
      </c>
      <c r="G583" t="n">
        <v>4.7</v>
      </c>
      <c r="H583" t="n">
        <v>0</v>
      </c>
      <c r="I583" t="n">
        <v>0</v>
      </c>
      <c r="J583" t="n">
        <v>0</v>
      </c>
      <c r="K583" t="n">
        <v>0</v>
      </c>
      <c r="L583" t="n">
        <v>0</v>
      </c>
      <c r="M583" t="n">
        <v>0</v>
      </c>
      <c r="N583" t="n">
        <v>0</v>
      </c>
      <c r="O583" t="n">
        <v>0</v>
      </c>
      <c r="P583" t="n">
        <v>0</v>
      </c>
      <c r="Q583" t="n">
        <v>0</v>
      </c>
      <c r="R583" s="2" t="inlineStr"/>
    </row>
    <row r="584" ht="15" customHeight="1">
      <c r="A584" t="inlineStr">
        <is>
          <t>A 37491-2025</t>
        </is>
      </c>
      <c r="B584" s="1" t="n">
        <v>45877.64144675926</v>
      </c>
      <c r="C584" s="1" t="n">
        <v>46035</v>
      </c>
      <c r="D584" t="inlineStr">
        <is>
          <t>ÖREBRO LÄN</t>
        </is>
      </c>
      <c r="E584" t="inlineStr">
        <is>
          <t>LINDESBERG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37499-2025</t>
        </is>
      </c>
      <c r="B585" s="1" t="n">
        <v>45877.64605324074</v>
      </c>
      <c r="C585" s="1" t="n">
        <v>46035</v>
      </c>
      <c r="D585" t="inlineStr">
        <is>
          <t>ÖREBRO LÄN</t>
        </is>
      </c>
      <c r="E585" t="inlineStr">
        <is>
          <t>LINDESBERG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37602-2025</t>
        </is>
      </c>
      <c r="B586" s="1" t="n">
        <v>45880</v>
      </c>
      <c r="C586" s="1" t="n">
        <v>46035</v>
      </c>
      <c r="D586" t="inlineStr">
        <is>
          <t>ÖREBRO LÄN</t>
        </is>
      </c>
      <c r="E586" t="inlineStr">
        <is>
          <t>LINDESBERG</t>
        </is>
      </c>
      <c r="G586" t="n">
        <v>1</v>
      </c>
      <c r="H586" t="n">
        <v>0</v>
      </c>
      <c r="I586" t="n">
        <v>0</v>
      </c>
      <c r="J586" t="n">
        <v>0</v>
      </c>
      <c r="K586" t="n">
        <v>0</v>
      </c>
      <c r="L586" t="n">
        <v>0</v>
      </c>
      <c r="M586" t="n">
        <v>0</v>
      </c>
      <c r="N586" t="n">
        <v>0</v>
      </c>
      <c r="O586" t="n">
        <v>0</v>
      </c>
      <c r="P586" t="n">
        <v>0</v>
      </c>
      <c r="Q586" t="n">
        <v>0</v>
      </c>
      <c r="R586" s="2" t="inlineStr"/>
    </row>
    <row r="587" ht="15" customHeight="1">
      <c r="A587" t="inlineStr">
        <is>
          <t>A 37625-2025</t>
        </is>
      </c>
      <c r="B587" s="1" t="n">
        <v>45880.46056712963</v>
      </c>
      <c r="C587" s="1" t="n">
        <v>46035</v>
      </c>
      <c r="D587" t="inlineStr">
        <is>
          <t>ÖREBRO LÄN</t>
        </is>
      </c>
      <c r="E587" t="inlineStr">
        <is>
          <t>LINDESBERG</t>
        </is>
      </c>
      <c r="G587" t="n">
        <v>12.5</v>
      </c>
      <c r="H587" t="n">
        <v>0</v>
      </c>
      <c r="I587" t="n">
        <v>0</v>
      </c>
      <c r="J587" t="n">
        <v>0</v>
      </c>
      <c r="K587" t="n">
        <v>0</v>
      </c>
      <c r="L587" t="n">
        <v>0</v>
      </c>
      <c r="M587" t="n">
        <v>0</v>
      </c>
      <c r="N587" t="n">
        <v>0</v>
      </c>
      <c r="O587" t="n">
        <v>0</v>
      </c>
      <c r="P587" t="n">
        <v>0</v>
      </c>
      <c r="Q587" t="n">
        <v>0</v>
      </c>
      <c r="R587" s="2" t="inlineStr"/>
    </row>
    <row r="588" ht="15" customHeight="1">
      <c r="A588" t="inlineStr">
        <is>
          <t>A 15892-2025</t>
        </is>
      </c>
      <c r="B588" s="1" t="n">
        <v>45749</v>
      </c>
      <c r="C588" s="1" t="n">
        <v>46035</v>
      </c>
      <c r="D588" t="inlineStr">
        <is>
          <t>ÖREBRO LÄN</t>
        </is>
      </c>
      <c r="E588" t="inlineStr">
        <is>
          <t>LINDESBERG</t>
        </is>
      </c>
      <c r="G588" t="n">
        <v>0.8</v>
      </c>
      <c r="H588" t="n">
        <v>0</v>
      </c>
      <c r="I588" t="n">
        <v>0</v>
      </c>
      <c r="J588" t="n">
        <v>0</v>
      </c>
      <c r="K588" t="n">
        <v>0</v>
      </c>
      <c r="L588" t="n">
        <v>0</v>
      </c>
      <c r="M588" t="n">
        <v>0</v>
      </c>
      <c r="N588" t="n">
        <v>0</v>
      </c>
      <c r="O588" t="n">
        <v>0</v>
      </c>
      <c r="P588" t="n">
        <v>0</v>
      </c>
      <c r="Q588" t="n">
        <v>0</v>
      </c>
      <c r="R588" s="2" t="inlineStr"/>
    </row>
    <row r="589" ht="15" customHeight="1">
      <c r="A589" t="inlineStr">
        <is>
          <t>A 37553-2025</t>
        </is>
      </c>
      <c r="B589" s="1" t="n">
        <v>45880.3172337963</v>
      </c>
      <c r="C589" s="1" t="n">
        <v>46035</v>
      </c>
      <c r="D589" t="inlineStr">
        <is>
          <t>ÖREBRO LÄN</t>
        </is>
      </c>
      <c r="E589" t="inlineStr">
        <is>
          <t>LINDESBERG</t>
        </is>
      </c>
      <c r="G589" t="n">
        <v>0.6</v>
      </c>
      <c r="H589" t="n">
        <v>0</v>
      </c>
      <c r="I589" t="n">
        <v>0</v>
      </c>
      <c r="J589" t="n">
        <v>0</v>
      </c>
      <c r="K589" t="n">
        <v>0</v>
      </c>
      <c r="L589" t="n">
        <v>0</v>
      </c>
      <c r="M589" t="n">
        <v>0</v>
      </c>
      <c r="N589" t="n">
        <v>0</v>
      </c>
      <c r="O589" t="n">
        <v>0</v>
      </c>
      <c r="P589" t="n">
        <v>0</v>
      </c>
      <c r="Q589" t="n">
        <v>0</v>
      </c>
      <c r="R589" s="2" t="inlineStr"/>
    </row>
    <row r="590" ht="15" customHeight="1">
      <c r="A590" t="inlineStr">
        <is>
          <t>A 37497-2025</t>
        </is>
      </c>
      <c r="B590" s="1" t="n">
        <v>45877.64431712963</v>
      </c>
      <c r="C590" s="1" t="n">
        <v>46035</v>
      </c>
      <c r="D590" t="inlineStr">
        <is>
          <t>ÖREBRO LÄN</t>
        </is>
      </c>
      <c r="E590" t="inlineStr">
        <is>
          <t>LINDESBERG</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37492-2025</t>
        </is>
      </c>
      <c r="B591" s="1" t="n">
        <v>45877.64230324074</v>
      </c>
      <c r="C591" s="1" t="n">
        <v>46035</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37490-2025</t>
        </is>
      </c>
      <c r="B592" s="1" t="n">
        <v>45877.63989583333</v>
      </c>
      <c r="C592" s="1" t="n">
        <v>46035</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45428-2023</t>
        </is>
      </c>
      <c r="B593" s="1" t="n">
        <v>45194</v>
      </c>
      <c r="C593" s="1" t="n">
        <v>46035</v>
      </c>
      <c r="D593" t="inlineStr">
        <is>
          <t>ÖREBRO LÄN</t>
        </is>
      </c>
      <c r="E593" t="inlineStr">
        <is>
          <t>LINDESBERG</t>
        </is>
      </c>
      <c r="G593" t="n">
        <v>7.7</v>
      </c>
      <c r="H593" t="n">
        <v>0</v>
      </c>
      <c r="I593" t="n">
        <v>0</v>
      </c>
      <c r="J593" t="n">
        <v>0</v>
      </c>
      <c r="K593" t="n">
        <v>0</v>
      </c>
      <c r="L593" t="n">
        <v>0</v>
      </c>
      <c r="M593" t="n">
        <v>0</v>
      </c>
      <c r="N593" t="n">
        <v>0</v>
      </c>
      <c r="O593" t="n">
        <v>0</v>
      </c>
      <c r="P593" t="n">
        <v>0</v>
      </c>
      <c r="Q593" t="n">
        <v>0</v>
      </c>
      <c r="R593" s="2" t="inlineStr"/>
    </row>
    <row r="594" ht="15" customHeight="1">
      <c r="A594" t="inlineStr">
        <is>
          <t>A 52402-2025</t>
        </is>
      </c>
      <c r="B594" s="1" t="n">
        <v>45954.35387731482</v>
      </c>
      <c r="C594" s="1" t="n">
        <v>46035</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37935-2025</t>
        </is>
      </c>
      <c r="B595" s="1" t="n">
        <v>45881.59550925926</v>
      </c>
      <c r="C595" s="1" t="n">
        <v>46035</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28082-2021</t>
        </is>
      </c>
      <c r="B596" s="1" t="n">
        <v>44355</v>
      </c>
      <c r="C596" s="1" t="n">
        <v>46035</v>
      </c>
      <c r="D596" t="inlineStr">
        <is>
          <t>ÖREBRO LÄN</t>
        </is>
      </c>
      <c r="E596" t="inlineStr">
        <is>
          <t>LINDESBERG</t>
        </is>
      </c>
      <c r="F596" t="inlineStr">
        <is>
          <t>Sveaskog</t>
        </is>
      </c>
      <c r="G596" t="n">
        <v>9.9</v>
      </c>
      <c r="H596" t="n">
        <v>0</v>
      </c>
      <c r="I596" t="n">
        <v>0</v>
      </c>
      <c r="J596" t="n">
        <v>0</v>
      </c>
      <c r="K596" t="n">
        <v>0</v>
      </c>
      <c r="L596" t="n">
        <v>0</v>
      </c>
      <c r="M596" t="n">
        <v>0</v>
      </c>
      <c r="N596" t="n">
        <v>0</v>
      </c>
      <c r="O596" t="n">
        <v>0</v>
      </c>
      <c r="P596" t="n">
        <v>0</v>
      </c>
      <c r="Q596" t="n">
        <v>0</v>
      </c>
      <c r="R596" s="2" t="inlineStr"/>
    </row>
    <row r="597" ht="15" customHeight="1">
      <c r="A597" t="inlineStr">
        <is>
          <t>A 57911-2022</t>
        </is>
      </c>
      <c r="B597" s="1" t="n">
        <v>44900.36149305556</v>
      </c>
      <c r="C597" s="1" t="n">
        <v>46035</v>
      </c>
      <c r="D597" t="inlineStr">
        <is>
          <t>ÖREBRO LÄN</t>
        </is>
      </c>
      <c r="E597" t="inlineStr">
        <is>
          <t>LINDESBERG</t>
        </is>
      </c>
      <c r="G597" t="n">
        <v>4.9</v>
      </c>
      <c r="H597" t="n">
        <v>0</v>
      </c>
      <c r="I597" t="n">
        <v>0</v>
      </c>
      <c r="J597" t="n">
        <v>0</v>
      </c>
      <c r="K597" t="n">
        <v>0</v>
      </c>
      <c r="L597" t="n">
        <v>0</v>
      </c>
      <c r="M597" t="n">
        <v>0</v>
      </c>
      <c r="N597" t="n">
        <v>0</v>
      </c>
      <c r="O597" t="n">
        <v>0</v>
      </c>
      <c r="P597" t="n">
        <v>0</v>
      </c>
      <c r="Q597" t="n">
        <v>0</v>
      </c>
      <c r="R597" s="2" t="inlineStr"/>
    </row>
    <row r="598" ht="15" customHeight="1">
      <c r="A598" t="inlineStr">
        <is>
          <t>A 37837-2025</t>
        </is>
      </c>
      <c r="B598" s="1" t="n">
        <v>45881.42791666667</v>
      </c>
      <c r="C598" s="1" t="n">
        <v>46035</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64427-2021</t>
        </is>
      </c>
      <c r="B599" s="1" t="n">
        <v>44511</v>
      </c>
      <c r="C599" s="1" t="n">
        <v>46035</v>
      </c>
      <c r="D599" t="inlineStr">
        <is>
          <t>ÖREBRO LÄN</t>
        </is>
      </c>
      <c r="E599" t="inlineStr">
        <is>
          <t>LINDESBERG</t>
        </is>
      </c>
      <c r="G599" t="n">
        <v>2.2</v>
      </c>
      <c r="H599" t="n">
        <v>0</v>
      </c>
      <c r="I599" t="n">
        <v>0</v>
      </c>
      <c r="J599" t="n">
        <v>0</v>
      </c>
      <c r="K599" t="n">
        <v>0</v>
      </c>
      <c r="L599" t="n">
        <v>0</v>
      </c>
      <c r="M599" t="n">
        <v>0</v>
      </c>
      <c r="N599" t="n">
        <v>0</v>
      </c>
      <c r="O599" t="n">
        <v>0</v>
      </c>
      <c r="P599" t="n">
        <v>0</v>
      </c>
      <c r="Q599" t="n">
        <v>0</v>
      </c>
      <c r="R599" s="2" t="inlineStr"/>
    </row>
    <row r="600" ht="15" customHeight="1">
      <c r="A600" t="inlineStr">
        <is>
          <t>A 19077-2025</t>
        </is>
      </c>
      <c r="B600" s="1" t="n">
        <v>45766.33309027777</v>
      </c>
      <c r="C600" s="1" t="n">
        <v>46035</v>
      </c>
      <c r="D600" t="inlineStr">
        <is>
          <t>ÖREBRO LÄN</t>
        </is>
      </c>
      <c r="E600" t="inlineStr">
        <is>
          <t>LINDESBERG</t>
        </is>
      </c>
      <c r="G600" t="n">
        <v>0</v>
      </c>
      <c r="H600" t="n">
        <v>0</v>
      </c>
      <c r="I600" t="n">
        <v>0</v>
      </c>
      <c r="J600" t="n">
        <v>0</v>
      </c>
      <c r="K600" t="n">
        <v>0</v>
      </c>
      <c r="L600" t="n">
        <v>0</v>
      </c>
      <c r="M600" t="n">
        <v>0</v>
      </c>
      <c r="N600" t="n">
        <v>0</v>
      </c>
      <c r="O600" t="n">
        <v>0</v>
      </c>
      <c r="P600" t="n">
        <v>0</v>
      </c>
      <c r="Q600" t="n">
        <v>0</v>
      </c>
      <c r="R600" s="2" t="inlineStr"/>
    </row>
    <row r="601" ht="15" customHeight="1">
      <c r="A601" t="inlineStr">
        <is>
          <t>A 61761-2025</t>
        </is>
      </c>
      <c r="B601" s="1" t="n">
        <v>46002.62465277778</v>
      </c>
      <c r="C601" s="1" t="n">
        <v>46035</v>
      </c>
      <c r="D601" t="inlineStr">
        <is>
          <t>ÖREBRO LÄN</t>
        </is>
      </c>
      <c r="E601" t="inlineStr">
        <is>
          <t>LINDESBERG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49544-2023</t>
        </is>
      </c>
      <c r="B602" s="1" t="n">
        <v>45211</v>
      </c>
      <c r="C602" s="1" t="n">
        <v>46035</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38509-2025</t>
        </is>
      </c>
      <c r="B603" s="1" t="n">
        <v>45884.38858796296</v>
      </c>
      <c r="C603" s="1" t="n">
        <v>46035</v>
      </c>
      <c r="D603" t="inlineStr">
        <is>
          <t>ÖREBRO LÄN</t>
        </is>
      </c>
      <c r="E603" t="inlineStr">
        <is>
          <t>LINDESBERG</t>
        </is>
      </c>
      <c r="G603" t="n">
        <v>14.9</v>
      </c>
      <c r="H603" t="n">
        <v>0</v>
      </c>
      <c r="I603" t="n">
        <v>0</v>
      </c>
      <c r="J603" t="n">
        <v>0</v>
      </c>
      <c r="K603" t="n">
        <v>0</v>
      </c>
      <c r="L603" t="n">
        <v>0</v>
      </c>
      <c r="M603" t="n">
        <v>0</v>
      </c>
      <c r="N603" t="n">
        <v>0</v>
      </c>
      <c r="O603" t="n">
        <v>0</v>
      </c>
      <c r="P603" t="n">
        <v>0</v>
      </c>
      <c r="Q603" t="n">
        <v>0</v>
      </c>
      <c r="R603" s="2" t="inlineStr"/>
    </row>
    <row r="604" ht="15" customHeight="1">
      <c r="A604" t="inlineStr">
        <is>
          <t>A 15094-2025</t>
        </is>
      </c>
      <c r="B604" s="1" t="n">
        <v>45744.32981481482</v>
      </c>
      <c r="C604" s="1" t="n">
        <v>46035</v>
      </c>
      <c r="D604" t="inlineStr">
        <is>
          <t>ÖREBRO LÄN</t>
        </is>
      </c>
      <c r="E604" t="inlineStr">
        <is>
          <t>LINDESBERG</t>
        </is>
      </c>
      <c r="G604" t="n">
        <v>1.2</v>
      </c>
      <c r="H604" t="n">
        <v>0</v>
      </c>
      <c r="I604" t="n">
        <v>0</v>
      </c>
      <c r="J604" t="n">
        <v>0</v>
      </c>
      <c r="K604" t="n">
        <v>0</v>
      </c>
      <c r="L604" t="n">
        <v>0</v>
      </c>
      <c r="M604" t="n">
        <v>0</v>
      </c>
      <c r="N604" t="n">
        <v>0</v>
      </c>
      <c r="O604" t="n">
        <v>0</v>
      </c>
      <c r="P604" t="n">
        <v>0</v>
      </c>
      <c r="Q604" t="n">
        <v>0</v>
      </c>
      <c r="R604" s="2" t="inlineStr"/>
    </row>
    <row r="605" ht="15" customHeight="1">
      <c r="A605" t="inlineStr">
        <is>
          <t>A 61758-2025</t>
        </is>
      </c>
      <c r="B605" s="1" t="n">
        <v>46002.61762731482</v>
      </c>
      <c r="C605" s="1" t="n">
        <v>46035</v>
      </c>
      <c r="D605" t="inlineStr">
        <is>
          <t>ÖREBRO LÄN</t>
        </is>
      </c>
      <c r="E605" t="inlineStr">
        <is>
          <t>LINDESBERG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13969-2025</t>
        </is>
      </c>
      <c r="B606" s="1" t="n">
        <v>45738.43714120371</v>
      </c>
      <c r="C606" s="1" t="n">
        <v>46035</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24352-2023</t>
        </is>
      </c>
      <c r="B607" s="1" t="n">
        <v>45082.31421296296</v>
      </c>
      <c r="C607" s="1" t="n">
        <v>46035</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46035</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36024-2021</t>
        </is>
      </c>
      <c r="B609" s="1" t="n">
        <v>44389</v>
      </c>
      <c r="C609" s="1" t="n">
        <v>46035</v>
      </c>
      <c r="D609" t="inlineStr">
        <is>
          <t>ÖREBRO LÄN</t>
        </is>
      </c>
      <c r="E609" t="inlineStr">
        <is>
          <t>LINDESBERG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10823-2023</t>
        </is>
      </c>
      <c r="B610" s="1" t="n">
        <v>44990</v>
      </c>
      <c r="C610" s="1" t="n">
        <v>46035</v>
      </c>
      <c r="D610" t="inlineStr">
        <is>
          <t>ÖREBRO LÄN</t>
        </is>
      </c>
      <c r="E610" t="inlineStr">
        <is>
          <t>LINDESBERG</t>
        </is>
      </c>
      <c r="G610" t="n">
        <v>1.8</v>
      </c>
      <c r="H610" t="n">
        <v>0</v>
      </c>
      <c r="I610" t="n">
        <v>0</v>
      </c>
      <c r="J610" t="n">
        <v>0</v>
      </c>
      <c r="K610" t="n">
        <v>0</v>
      </c>
      <c r="L610" t="n">
        <v>0</v>
      </c>
      <c r="M610" t="n">
        <v>0</v>
      </c>
      <c r="N610" t="n">
        <v>0</v>
      </c>
      <c r="O610" t="n">
        <v>0</v>
      </c>
      <c r="P610" t="n">
        <v>0</v>
      </c>
      <c r="Q610" t="n">
        <v>0</v>
      </c>
      <c r="R610" s="2" t="inlineStr"/>
    </row>
    <row r="611" ht="15" customHeight="1">
      <c r="A611" t="inlineStr">
        <is>
          <t>A 53723-2025</t>
        </is>
      </c>
      <c r="B611" s="1" t="n">
        <v>45960.62986111111</v>
      </c>
      <c r="C611" s="1" t="n">
        <v>46035</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61745-2025</t>
        </is>
      </c>
      <c r="B612" s="1" t="n">
        <v>46002.60324074074</v>
      </c>
      <c r="C612" s="1" t="n">
        <v>46035</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53288-2025</t>
        </is>
      </c>
      <c r="B613" s="1" t="n">
        <v>45958.79287037037</v>
      </c>
      <c r="C613" s="1" t="n">
        <v>46035</v>
      </c>
      <c r="D613" t="inlineStr">
        <is>
          <t>ÖREBRO LÄN</t>
        </is>
      </c>
      <c r="E613" t="inlineStr">
        <is>
          <t>LINDESBERG</t>
        </is>
      </c>
      <c r="G613" t="n">
        <v>2.3</v>
      </c>
      <c r="H613" t="n">
        <v>0</v>
      </c>
      <c r="I613" t="n">
        <v>0</v>
      </c>
      <c r="J613" t="n">
        <v>0</v>
      </c>
      <c r="K613" t="n">
        <v>0</v>
      </c>
      <c r="L613" t="n">
        <v>0</v>
      </c>
      <c r="M613" t="n">
        <v>0</v>
      </c>
      <c r="N613" t="n">
        <v>0</v>
      </c>
      <c r="O613" t="n">
        <v>0</v>
      </c>
      <c r="P613" t="n">
        <v>0</v>
      </c>
      <c r="Q613" t="n">
        <v>0</v>
      </c>
      <c r="R613" s="2" t="inlineStr"/>
    </row>
    <row r="614" ht="15" customHeight="1">
      <c r="A614" t="inlineStr">
        <is>
          <t>A 53721-2025</t>
        </is>
      </c>
      <c r="B614" s="1" t="n">
        <v>45960</v>
      </c>
      <c r="C614" s="1" t="n">
        <v>46035</v>
      </c>
      <c r="D614" t="inlineStr">
        <is>
          <t>ÖREBRO LÄN</t>
        </is>
      </c>
      <c r="E614" t="inlineStr">
        <is>
          <t>LINDESBERG</t>
        </is>
      </c>
      <c r="G614" t="n">
        <v>3.3</v>
      </c>
      <c r="H614" t="n">
        <v>0</v>
      </c>
      <c r="I614" t="n">
        <v>0</v>
      </c>
      <c r="J614" t="n">
        <v>0</v>
      </c>
      <c r="K614" t="n">
        <v>0</v>
      </c>
      <c r="L614" t="n">
        <v>0</v>
      </c>
      <c r="M614" t="n">
        <v>0</v>
      </c>
      <c r="N614" t="n">
        <v>0</v>
      </c>
      <c r="O614" t="n">
        <v>0</v>
      </c>
      <c r="P614" t="n">
        <v>0</v>
      </c>
      <c r="Q614" t="n">
        <v>0</v>
      </c>
      <c r="R614" s="2" t="inlineStr"/>
    </row>
    <row r="615" ht="15" customHeight="1">
      <c r="A615" t="inlineStr">
        <is>
          <t>A 54070-2025</t>
        </is>
      </c>
      <c r="B615" s="1" t="n">
        <v>45964.34680555556</v>
      </c>
      <c r="C615" s="1" t="n">
        <v>46035</v>
      </c>
      <c r="D615" t="inlineStr">
        <is>
          <t>ÖREBRO LÄN</t>
        </is>
      </c>
      <c r="E615" t="inlineStr">
        <is>
          <t>LINDESBERG</t>
        </is>
      </c>
      <c r="G615" t="n">
        <v>0.5</v>
      </c>
      <c r="H615" t="n">
        <v>0</v>
      </c>
      <c r="I615" t="n">
        <v>0</v>
      </c>
      <c r="J615" t="n">
        <v>0</v>
      </c>
      <c r="K615" t="n">
        <v>0</v>
      </c>
      <c r="L615" t="n">
        <v>0</v>
      </c>
      <c r="M615" t="n">
        <v>0</v>
      </c>
      <c r="N615" t="n">
        <v>0</v>
      </c>
      <c r="O615" t="n">
        <v>0</v>
      </c>
      <c r="P615" t="n">
        <v>0</v>
      </c>
      <c r="Q615" t="n">
        <v>0</v>
      </c>
      <c r="R615" s="2" t="inlineStr"/>
    </row>
    <row r="616" ht="15" customHeight="1">
      <c r="A616" t="inlineStr">
        <is>
          <t>A 58603-2023</t>
        </is>
      </c>
      <c r="B616" s="1" t="n">
        <v>45251</v>
      </c>
      <c r="C616" s="1" t="n">
        <v>46035</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13417-2025</t>
        </is>
      </c>
      <c r="B617" s="1" t="n">
        <v>45736.30940972222</v>
      </c>
      <c r="C617" s="1" t="n">
        <v>46035</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43066-2021</t>
        </is>
      </c>
      <c r="B618" s="1" t="n">
        <v>44431</v>
      </c>
      <c r="C618" s="1" t="n">
        <v>46035</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23603-2023</t>
        </is>
      </c>
      <c r="B619" s="1" t="n">
        <v>45077</v>
      </c>
      <c r="C619" s="1" t="n">
        <v>46035</v>
      </c>
      <c r="D619" t="inlineStr">
        <is>
          <t>ÖREBRO LÄN</t>
        </is>
      </c>
      <c r="E619" t="inlineStr">
        <is>
          <t>LINDESBERG</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23607-2023</t>
        </is>
      </c>
      <c r="B620" s="1" t="n">
        <v>45077</v>
      </c>
      <c r="C620" s="1" t="n">
        <v>46035</v>
      </c>
      <c r="D620" t="inlineStr">
        <is>
          <t>ÖREBRO LÄN</t>
        </is>
      </c>
      <c r="E620" t="inlineStr">
        <is>
          <t>LINDESBERG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23612-2023</t>
        </is>
      </c>
      <c r="B621" s="1" t="n">
        <v>45077</v>
      </c>
      <c r="C621" s="1" t="n">
        <v>46035</v>
      </c>
      <c r="D621" t="inlineStr">
        <is>
          <t>ÖREBRO LÄN</t>
        </is>
      </c>
      <c r="E621" t="inlineStr">
        <is>
          <t>LINDESBERG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62246-2025</t>
        </is>
      </c>
      <c r="B622" s="1" t="n">
        <v>46006.60633101852</v>
      </c>
      <c r="C622" s="1" t="n">
        <v>46035</v>
      </c>
      <c r="D622" t="inlineStr">
        <is>
          <t>ÖREBRO LÄN</t>
        </is>
      </c>
      <c r="E622" t="inlineStr">
        <is>
          <t>LINDESBERG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23102-2023</t>
        </is>
      </c>
      <c r="B623" s="1" t="n">
        <v>45075.44152777778</v>
      </c>
      <c r="C623" s="1" t="n">
        <v>46035</v>
      </c>
      <c r="D623" t="inlineStr">
        <is>
          <t>ÖREBRO LÄN</t>
        </is>
      </c>
      <c r="E623" t="inlineStr">
        <is>
          <t>LINDESBERG</t>
        </is>
      </c>
      <c r="F623" t="inlineStr">
        <is>
          <t>Sveaskog</t>
        </is>
      </c>
      <c r="G623" t="n">
        <v>2.7</v>
      </c>
      <c r="H623" t="n">
        <v>0</v>
      </c>
      <c r="I623" t="n">
        <v>0</v>
      </c>
      <c r="J623" t="n">
        <v>0</v>
      </c>
      <c r="K623" t="n">
        <v>0</v>
      </c>
      <c r="L623" t="n">
        <v>0</v>
      </c>
      <c r="M623" t="n">
        <v>0</v>
      </c>
      <c r="N623" t="n">
        <v>0</v>
      </c>
      <c r="O623" t="n">
        <v>0</v>
      </c>
      <c r="P623" t="n">
        <v>0</v>
      </c>
      <c r="Q623" t="n">
        <v>0</v>
      </c>
      <c r="R623" s="2" t="inlineStr"/>
    </row>
    <row r="624" ht="15" customHeight="1">
      <c r="A624" t="inlineStr">
        <is>
          <t>A 54250-2025</t>
        </is>
      </c>
      <c r="B624" s="1" t="n">
        <v>45964.64709490741</v>
      </c>
      <c r="C624" s="1" t="n">
        <v>46035</v>
      </c>
      <c r="D624" t="inlineStr">
        <is>
          <t>ÖREBRO LÄN</t>
        </is>
      </c>
      <c r="E624" t="inlineStr">
        <is>
          <t>LINDESBERG</t>
        </is>
      </c>
      <c r="F624" t="inlineStr">
        <is>
          <t>Sveaskog</t>
        </is>
      </c>
      <c r="G624" t="n">
        <v>4.5</v>
      </c>
      <c r="H624" t="n">
        <v>0</v>
      </c>
      <c r="I624" t="n">
        <v>0</v>
      </c>
      <c r="J624" t="n">
        <v>0</v>
      </c>
      <c r="K624" t="n">
        <v>0</v>
      </c>
      <c r="L624" t="n">
        <v>0</v>
      </c>
      <c r="M624" t="n">
        <v>0</v>
      </c>
      <c r="N624" t="n">
        <v>0</v>
      </c>
      <c r="O624" t="n">
        <v>0</v>
      </c>
      <c r="P624" t="n">
        <v>0</v>
      </c>
      <c r="Q624" t="n">
        <v>0</v>
      </c>
      <c r="R624" s="2" t="inlineStr"/>
    </row>
    <row r="625" ht="15" customHeight="1">
      <c r="A625" t="inlineStr">
        <is>
          <t>A 54251-2025</t>
        </is>
      </c>
      <c r="B625" s="1" t="n">
        <v>45964.64778935185</v>
      </c>
      <c r="C625" s="1" t="n">
        <v>46035</v>
      </c>
      <c r="D625" t="inlineStr">
        <is>
          <t>ÖREBRO LÄN</t>
        </is>
      </c>
      <c r="E625" t="inlineStr">
        <is>
          <t>LINDESBERG</t>
        </is>
      </c>
      <c r="F625" t="inlineStr">
        <is>
          <t>Sveaskog</t>
        </is>
      </c>
      <c r="G625" t="n">
        <v>3.2</v>
      </c>
      <c r="H625" t="n">
        <v>0</v>
      </c>
      <c r="I625" t="n">
        <v>0</v>
      </c>
      <c r="J625" t="n">
        <v>0</v>
      </c>
      <c r="K625" t="n">
        <v>0</v>
      </c>
      <c r="L625" t="n">
        <v>0</v>
      </c>
      <c r="M625" t="n">
        <v>0</v>
      </c>
      <c r="N625" t="n">
        <v>0</v>
      </c>
      <c r="O625" t="n">
        <v>0</v>
      </c>
      <c r="P625" t="n">
        <v>0</v>
      </c>
      <c r="Q625" t="n">
        <v>0</v>
      </c>
      <c r="R625" s="2" t="inlineStr"/>
    </row>
    <row r="626" ht="15" customHeight="1">
      <c r="A626" t="inlineStr">
        <is>
          <t>A 15212-2025</t>
        </is>
      </c>
      <c r="B626" s="1" t="n">
        <v>45744.57673611111</v>
      </c>
      <c r="C626" s="1" t="n">
        <v>46035</v>
      </c>
      <c r="D626" t="inlineStr">
        <is>
          <t>ÖREBRO LÄN</t>
        </is>
      </c>
      <c r="E626" t="inlineStr">
        <is>
          <t>LINDESBERG</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3148-2023</t>
        </is>
      </c>
      <c r="B627" s="1" t="n">
        <v>44946.54424768518</v>
      </c>
      <c r="C627" s="1" t="n">
        <v>46035</v>
      </c>
      <c r="D627" t="inlineStr">
        <is>
          <t>ÖREBRO LÄN</t>
        </is>
      </c>
      <c r="E627" t="inlineStr">
        <is>
          <t>LINDESBERG</t>
        </is>
      </c>
      <c r="G627" t="n">
        <v>5.5</v>
      </c>
      <c r="H627" t="n">
        <v>0</v>
      </c>
      <c r="I627" t="n">
        <v>0</v>
      </c>
      <c r="J627" t="n">
        <v>0</v>
      </c>
      <c r="K627" t="n">
        <v>0</v>
      </c>
      <c r="L627" t="n">
        <v>0</v>
      </c>
      <c r="M627" t="n">
        <v>0</v>
      </c>
      <c r="N627" t="n">
        <v>0</v>
      </c>
      <c r="O627" t="n">
        <v>0</v>
      </c>
      <c r="P627" t="n">
        <v>0</v>
      </c>
      <c r="Q627" t="n">
        <v>0</v>
      </c>
      <c r="R627" s="2" t="inlineStr"/>
    </row>
    <row r="628" ht="15" customHeight="1">
      <c r="A628" t="inlineStr">
        <is>
          <t>A 54240-2025</t>
        </is>
      </c>
      <c r="B628" s="1" t="n">
        <v>45964.62796296296</v>
      </c>
      <c r="C628" s="1" t="n">
        <v>46035</v>
      </c>
      <c r="D628" t="inlineStr">
        <is>
          <t>ÖREBRO LÄN</t>
        </is>
      </c>
      <c r="E628" t="inlineStr">
        <is>
          <t>LINDESBERG</t>
        </is>
      </c>
      <c r="G628" t="n">
        <v>3.9</v>
      </c>
      <c r="H628" t="n">
        <v>0</v>
      </c>
      <c r="I628" t="n">
        <v>0</v>
      </c>
      <c r="J628" t="n">
        <v>0</v>
      </c>
      <c r="K628" t="n">
        <v>0</v>
      </c>
      <c r="L628" t="n">
        <v>0</v>
      </c>
      <c r="M628" t="n">
        <v>0</v>
      </c>
      <c r="N628" t="n">
        <v>0</v>
      </c>
      <c r="O628" t="n">
        <v>0</v>
      </c>
      <c r="P628" t="n">
        <v>0</v>
      </c>
      <c r="Q628" t="n">
        <v>0</v>
      </c>
      <c r="R628" s="2" t="inlineStr"/>
    </row>
    <row r="629" ht="15" customHeight="1">
      <c r="A629" t="inlineStr">
        <is>
          <t>A 54072-2025</t>
        </is>
      </c>
      <c r="B629" s="1" t="n">
        <v>45964.3550925926</v>
      </c>
      <c r="C629" s="1" t="n">
        <v>46035</v>
      </c>
      <c r="D629" t="inlineStr">
        <is>
          <t>ÖREBRO LÄN</t>
        </is>
      </c>
      <c r="E629" t="inlineStr">
        <is>
          <t>LINDESBERG</t>
        </is>
      </c>
      <c r="G629" t="n">
        <v>1.3</v>
      </c>
      <c r="H629" t="n">
        <v>0</v>
      </c>
      <c r="I629" t="n">
        <v>0</v>
      </c>
      <c r="J629" t="n">
        <v>0</v>
      </c>
      <c r="K629" t="n">
        <v>0</v>
      </c>
      <c r="L629" t="n">
        <v>0</v>
      </c>
      <c r="M629" t="n">
        <v>0</v>
      </c>
      <c r="N629" t="n">
        <v>0</v>
      </c>
      <c r="O629" t="n">
        <v>0</v>
      </c>
      <c r="P629" t="n">
        <v>0</v>
      </c>
      <c r="Q629" t="n">
        <v>0</v>
      </c>
      <c r="R629" s="2" t="inlineStr"/>
    </row>
    <row r="630" ht="15" customHeight="1">
      <c r="A630" t="inlineStr">
        <is>
          <t>A 50225-2021</t>
        </is>
      </c>
      <c r="B630" s="1" t="n">
        <v>44457</v>
      </c>
      <c r="C630" s="1" t="n">
        <v>46035</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54249-2025</t>
        </is>
      </c>
      <c r="B631" s="1" t="n">
        <v>45964.64599537037</v>
      </c>
      <c r="C631" s="1" t="n">
        <v>46035</v>
      </c>
      <c r="D631" t="inlineStr">
        <is>
          <t>ÖREBRO LÄN</t>
        </is>
      </c>
      <c r="E631" t="inlineStr">
        <is>
          <t>LINDESBERG</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61202-2023</t>
        </is>
      </c>
      <c r="B632" s="1" t="n">
        <v>45264.38084490741</v>
      </c>
      <c r="C632" s="1" t="n">
        <v>46035</v>
      </c>
      <c r="D632" t="inlineStr">
        <is>
          <t>ÖREBRO LÄN</t>
        </is>
      </c>
      <c r="E632" t="inlineStr">
        <is>
          <t>LINDESBERG</t>
        </is>
      </c>
      <c r="G632" t="n">
        <v>0.9</v>
      </c>
      <c r="H632" t="n">
        <v>0</v>
      </c>
      <c r="I632" t="n">
        <v>0</v>
      </c>
      <c r="J632" t="n">
        <v>0</v>
      </c>
      <c r="K632" t="n">
        <v>0</v>
      </c>
      <c r="L632" t="n">
        <v>0</v>
      </c>
      <c r="M632" t="n">
        <v>0</v>
      </c>
      <c r="N632" t="n">
        <v>0</v>
      </c>
      <c r="O632" t="n">
        <v>0</v>
      </c>
      <c r="P632" t="n">
        <v>0</v>
      </c>
      <c r="Q632" t="n">
        <v>0</v>
      </c>
      <c r="R632" s="2" t="inlineStr"/>
    </row>
    <row r="633" ht="15" customHeight="1">
      <c r="A633" t="inlineStr">
        <is>
          <t>A 14187-2024</t>
        </is>
      </c>
      <c r="B633" s="1" t="n">
        <v>45393.35787037037</v>
      </c>
      <c r="C633" s="1" t="n">
        <v>46035</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62603-2025</t>
        </is>
      </c>
      <c r="B634" s="1" t="n">
        <v>46008.25765046296</v>
      </c>
      <c r="C634" s="1" t="n">
        <v>46035</v>
      </c>
      <c r="D634" t="inlineStr">
        <is>
          <t>ÖREBRO LÄN</t>
        </is>
      </c>
      <c r="E634" t="inlineStr">
        <is>
          <t>LINDESBERG</t>
        </is>
      </c>
      <c r="G634" t="n">
        <v>2.3</v>
      </c>
      <c r="H634" t="n">
        <v>0</v>
      </c>
      <c r="I634" t="n">
        <v>0</v>
      </c>
      <c r="J634" t="n">
        <v>0</v>
      </c>
      <c r="K634" t="n">
        <v>0</v>
      </c>
      <c r="L634" t="n">
        <v>0</v>
      </c>
      <c r="M634" t="n">
        <v>0</v>
      </c>
      <c r="N634" t="n">
        <v>0</v>
      </c>
      <c r="O634" t="n">
        <v>0</v>
      </c>
      <c r="P634" t="n">
        <v>0</v>
      </c>
      <c r="Q634" t="n">
        <v>0</v>
      </c>
      <c r="R634" s="2" t="inlineStr"/>
    </row>
    <row r="635" ht="15" customHeight="1">
      <c r="A635" t="inlineStr">
        <is>
          <t>A 195-2022</t>
        </is>
      </c>
      <c r="B635" s="1" t="n">
        <v>44564</v>
      </c>
      <c r="C635" s="1" t="n">
        <v>46035</v>
      </c>
      <c r="D635" t="inlineStr">
        <is>
          <t>ÖREBRO LÄN</t>
        </is>
      </c>
      <c r="E635" t="inlineStr">
        <is>
          <t>LINDESBERG</t>
        </is>
      </c>
      <c r="G635" t="n">
        <v>4.7</v>
      </c>
      <c r="H635" t="n">
        <v>0</v>
      </c>
      <c r="I635" t="n">
        <v>0</v>
      </c>
      <c r="J635" t="n">
        <v>0</v>
      </c>
      <c r="K635" t="n">
        <v>0</v>
      </c>
      <c r="L635" t="n">
        <v>0</v>
      </c>
      <c r="M635" t="n">
        <v>0</v>
      </c>
      <c r="N635" t="n">
        <v>0</v>
      </c>
      <c r="O635" t="n">
        <v>0</v>
      </c>
      <c r="P635" t="n">
        <v>0</v>
      </c>
      <c r="Q635" t="n">
        <v>0</v>
      </c>
      <c r="R635" s="2" t="inlineStr"/>
    </row>
    <row r="636" ht="15" customHeight="1">
      <c r="A636" t="inlineStr">
        <is>
          <t>A 29500-2023</t>
        </is>
      </c>
      <c r="B636" s="1" t="n">
        <v>45106</v>
      </c>
      <c r="C636" s="1" t="n">
        <v>46035</v>
      </c>
      <c r="D636" t="inlineStr">
        <is>
          <t>ÖREBRO LÄN</t>
        </is>
      </c>
      <c r="E636" t="inlineStr">
        <is>
          <t>LINDESBERG</t>
        </is>
      </c>
      <c r="G636" t="n">
        <v>1.6</v>
      </c>
      <c r="H636" t="n">
        <v>0</v>
      </c>
      <c r="I636" t="n">
        <v>0</v>
      </c>
      <c r="J636" t="n">
        <v>0</v>
      </c>
      <c r="K636" t="n">
        <v>0</v>
      </c>
      <c r="L636" t="n">
        <v>0</v>
      </c>
      <c r="M636" t="n">
        <v>0</v>
      </c>
      <c r="N636" t="n">
        <v>0</v>
      </c>
      <c r="O636" t="n">
        <v>0</v>
      </c>
      <c r="P636" t="n">
        <v>0</v>
      </c>
      <c r="Q636" t="n">
        <v>0</v>
      </c>
      <c r="R636" s="2" t="inlineStr"/>
    </row>
    <row r="637" ht="15" customHeight="1">
      <c r="A637" t="inlineStr">
        <is>
          <t>A 39140-2024</t>
        </is>
      </c>
      <c r="B637" s="1" t="n">
        <v>45548</v>
      </c>
      <c r="C637" s="1" t="n">
        <v>46035</v>
      </c>
      <c r="D637" t="inlineStr">
        <is>
          <t>ÖREBRO LÄN</t>
        </is>
      </c>
      <c r="E637" t="inlineStr">
        <is>
          <t>LINDESBERG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265-2023</t>
        </is>
      </c>
      <c r="B638" s="1" t="n">
        <v>44928</v>
      </c>
      <c r="C638" s="1" t="n">
        <v>46035</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41582-2021</t>
        </is>
      </c>
      <c r="B639" s="1" t="n">
        <v>44425.40297453704</v>
      </c>
      <c r="C639" s="1" t="n">
        <v>46035</v>
      </c>
      <c r="D639" t="inlineStr">
        <is>
          <t>ÖREBRO LÄN</t>
        </is>
      </c>
      <c r="E639" t="inlineStr">
        <is>
          <t>LINDESBERG</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19392-2025</t>
        </is>
      </c>
      <c r="B640" s="1" t="n">
        <v>45769.66260416667</v>
      </c>
      <c r="C640" s="1" t="n">
        <v>46035</v>
      </c>
      <c r="D640" t="inlineStr">
        <is>
          <t>ÖREBRO LÄN</t>
        </is>
      </c>
      <c r="E640" t="inlineStr">
        <is>
          <t>LINDESBERG</t>
        </is>
      </c>
      <c r="G640" t="n">
        <v>6.5</v>
      </c>
      <c r="H640" t="n">
        <v>0</v>
      </c>
      <c r="I640" t="n">
        <v>0</v>
      </c>
      <c r="J640" t="n">
        <v>0</v>
      </c>
      <c r="K640" t="n">
        <v>0</v>
      </c>
      <c r="L640" t="n">
        <v>0</v>
      </c>
      <c r="M640" t="n">
        <v>0</v>
      </c>
      <c r="N640" t="n">
        <v>0</v>
      </c>
      <c r="O640" t="n">
        <v>0</v>
      </c>
      <c r="P640" t="n">
        <v>0</v>
      </c>
      <c r="Q640" t="n">
        <v>0</v>
      </c>
      <c r="R640" s="2" t="inlineStr"/>
    </row>
    <row r="641" ht="15" customHeight="1">
      <c r="A641" t="inlineStr">
        <is>
          <t>A 59052-2023</t>
        </is>
      </c>
      <c r="B641" s="1" t="n">
        <v>45252.78021990741</v>
      </c>
      <c r="C641" s="1" t="n">
        <v>46035</v>
      </c>
      <c r="D641" t="inlineStr">
        <is>
          <t>ÖREBRO LÄN</t>
        </is>
      </c>
      <c r="E641" t="inlineStr">
        <is>
          <t>LINDESBERG</t>
        </is>
      </c>
      <c r="G641" t="n">
        <v>4.2</v>
      </c>
      <c r="H641" t="n">
        <v>0</v>
      </c>
      <c r="I641" t="n">
        <v>0</v>
      </c>
      <c r="J641" t="n">
        <v>0</v>
      </c>
      <c r="K641" t="n">
        <v>0</v>
      </c>
      <c r="L641" t="n">
        <v>0</v>
      </c>
      <c r="M641" t="n">
        <v>0</v>
      </c>
      <c r="N641" t="n">
        <v>0</v>
      </c>
      <c r="O641" t="n">
        <v>0</v>
      </c>
      <c r="P641" t="n">
        <v>0</v>
      </c>
      <c r="Q641" t="n">
        <v>0</v>
      </c>
      <c r="R641" s="2" t="inlineStr"/>
    </row>
    <row r="642" ht="15" customHeight="1">
      <c r="A642" t="inlineStr">
        <is>
          <t>A 62383-2025</t>
        </is>
      </c>
      <c r="B642" s="1" t="n">
        <v>46007.3708449074</v>
      </c>
      <c r="C642" s="1" t="n">
        <v>46035</v>
      </c>
      <c r="D642" t="inlineStr">
        <is>
          <t>ÖREBRO LÄN</t>
        </is>
      </c>
      <c r="E642" t="inlineStr">
        <is>
          <t>LINDESBERG</t>
        </is>
      </c>
      <c r="G642" t="n">
        <v>3.5</v>
      </c>
      <c r="H642" t="n">
        <v>0</v>
      </c>
      <c r="I642" t="n">
        <v>0</v>
      </c>
      <c r="J642" t="n">
        <v>0</v>
      </c>
      <c r="K642" t="n">
        <v>0</v>
      </c>
      <c r="L642" t="n">
        <v>0</v>
      </c>
      <c r="M642" t="n">
        <v>0</v>
      </c>
      <c r="N642" t="n">
        <v>0</v>
      </c>
      <c r="O642" t="n">
        <v>0</v>
      </c>
      <c r="P642" t="n">
        <v>0</v>
      </c>
      <c r="Q642" t="n">
        <v>0</v>
      </c>
      <c r="R642" s="2" t="inlineStr"/>
    </row>
    <row r="643" ht="15" customHeight="1">
      <c r="A643" t="inlineStr">
        <is>
          <t>A 6-2023</t>
        </is>
      </c>
      <c r="B643" s="1" t="n">
        <v>44927.72487268518</v>
      </c>
      <c r="C643" s="1" t="n">
        <v>46035</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54864-2024</t>
        </is>
      </c>
      <c r="B644" s="1" t="n">
        <v>45618.59456018519</v>
      </c>
      <c r="C644" s="1" t="n">
        <v>46035</v>
      </c>
      <c r="D644" t="inlineStr">
        <is>
          <t>ÖREBRO LÄN</t>
        </is>
      </c>
      <c r="E644" t="inlineStr">
        <is>
          <t>LINDESBERG</t>
        </is>
      </c>
      <c r="F644" t="inlineStr">
        <is>
          <t>Sveaskog</t>
        </is>
      </c>
      <c r="G644" t="n">
        <v>4.4</v>
      </c>
      <c r="H644" t="n">
        <v>0</v>
      </c>
      <c r="I644" t="n">
        <v>0</v>
      </c>
      <c r="J644" t="n">
        <v>0</v>
      </c>
      <c r="K644" t="n">
        <v>0</v>
      </c>
      <c r="L644" t="n">
        <v>0</v>
      </c>
      <c r="M644" t="n">
        <v>0</v>
      </c>
      <c r="N644" t="n">
        <v>0</v>
      </c>
      <c r="O644" t="n">
        <v>0</v>
      </c>
      <c r="P644" t="n">
        <v>0</v>
      </c>
      <c r="Q644" t="n">
        <v>0</v>
      </c>
      <c r="R644" s="2" t="inlineStr"/>
    </row>
    <row r="645" ht="15" customHeight="1">
      <c r="A645" t="inlineStr">
        <is>
          <t>A 62604-2025</t>
        </is>
      </c>
      <c r="B645" s="1" t="n">
        <v>46008.26085648148</v>
      </c>
      <c r="C645" s="1" t="n">
        <v>46035</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60450-2025</t>
        </is>
      </c>
      <c r="B646" s="1" t="n">
        <v>45995</v>
      </c>
      <c r="C646" s="1" t="n">
        <v>46035</v>
      </c>
      <c r="D646" t="inlineStr">
        <is>
          <t>ÖREBRO LÄN</t>
        </is>
      </c>
      <c r="E646" t="inlineStr">
        <is>
          <t>LINDESBERG</t>
        </is>
      </c>
      <c r="G646" t="n">
        <v>4.1</v>
      </c>
      <c r="H646" t="n">
        <v>0</v>
      </c>
      <c r="I646" t="n">
        <v>0</v>
      </c>
      <c r="J646" t="n">
        <v>0</v>
      </c>
      <c r="K646" t="n">
        <v>0</v>
      </c>
      <c r="L646" t="n">
        <v>0</v>
      </c>
      <c r="M646" t="n">
        <v>0</v>
      </c>
      <c r="N646" t="n">
        <v>0</v>
      </c>
      <c r="O646" t="n">
        <v>0</v>
      </c>
      <c r="P646" t="n">
        <v>0</v>
      </c>
      <c r="Q646" t="n">
        <v>0</v>
      </c>
      <c r="R646" s="2" t="inlineStr"/>
    </row>
    <row r="647" ht="15" customHeight="1">
      <c r="A647" t="inlineStr">
        <is>
          <t>A 61736-2025</t>
        </is>
      </c>
      <c r="B647" s="1" t="n">
        <v>46002</v>
      </c>
      <c r="C647" s="1" t="n">
        <v>46035</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7211-2024</t>
        </is>
      </c>
      <c r="B648" s="1" t="n">
        <v>45344.623125</v>
      </c>
      <c r="C648" s="1" t="n">
        <v>46035</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63083-2025</t>
        </is>
      </c>
      <c r="B649" s="1" t="n">
        <v>46009.67175925926</v>
      </c>
      <c r="C649" s="1" t="n">
        <v>46035</v>
      </c>
      <c r="D649" t="inlineStr">
        <is>
          <t>ÖREBRO LÄN</t>
        </is>
      </c>
      <c r="E649" t="inlineStr">
        <is>
          <t>LINDESBERG</t>
        </is>
      </c>
      <c r="G649" t="n">
        <v>0.7</v>
      </c>
      <c r="H649" t="n">
        <v>0</v>
      </c>
      <c r="I649" t="n">
        <v>0</v>
      </c>
      <c r="J649" t="n">
        <v>0</v>
      </c>
      <c r="K649" t="n">
        <v>0</v>
      </c>
      <c r="L649" t="n">
        <v>0</v>
      </c>
      <c r="M649" t="n">
        <v>0</v>
      </c>
      <c r="N649" t="n">
        <v>0</v>
      </c>
      <c r="O649" t="n">
        <v>0</v>
      </c>
      <c r="P649" t="n">
        <v>0</v>
      </c>
      <c r="Q649" t="n">
        <v>0</v>
      </c>
      <c r="R649" s="2" t="inlineStr"/>
    </row>
    <row r="650" ht="15" customHeight="1">
      <c r="A650" t="inlineStr">
        <is>
          <t>A 15899-2025</t>
        </is>
      </c>
      <c r="B650" s="1" t="n">
        <v>45749.42258101852</v>
      </c>
      <c r="C650" s="1" t="n">
        <v>46035</v>
      </c>
      <c r="D650" t="inlineStr">
        <is>
          <t>ÖREBRO LÄN</t>
        </is>
      </c>
      <c r="E650" t="inlineStr">
        <is>
          <t>LINDESBERG</t>
        </is>
      </c>
      <c r="G650" t="n">
        <v>6.6</v>
      </c>
      <c r="H650" t="n">
        <v>0</v>
      </c>
      <c r="I650" t="n">
        <v>0</v>
      </c>
      <c r="J650" t="n">
        <v>0</v>
      </c>
      <c r="K650" t="n">
        <v>0</v>
      </c>
      <c r="L650" t="n">
        <v>0</v>
      </c>
      <c r="M650" t="n">
        <v>0</v>
      </c>
      <c r="N650" t="n">
        <v>0</v>
      </c>
      <c r="O650" t="n">
        <v>0</v>
      </c>
      <c r="P650" t="n">
        <v>0</v>
      </c>
      <c r="Q650" t="n">
        <v>0</v>
      </c>
      <c r="R650" s="2" t="inlineStr"/>
    </row>
    <row r="651" ht="15" customHeight="1">
      <c r="A651" t="inlineStr">
        <is>
          <t>A 50275-2024</t>
        </is>
      </c>
      <c r="B651" s="1" t="n">
        <v>45600.60071759259</v>
      </c>
      <c r="C651" s="1" t="n">
        <v>46035</v>
      </c>
      <c r="D651" t="inlineStr">
        <is>
          <t>ÖREBRO LÄN</t>
        </is>
      </c>
      <c r="E651" t="inlineStr">
        <is>
          <t>LINDESBERG</t>
        </is>
      </c>
      <c r="G651" t="n">
        <v>4.3</v>
      </c>
      <c r="H651" t="n">
        <v>0</v>
      </c>
      <c r="I651" t="n">
        <v>0</v>
      </c>
      <c r="J651" t="n">
        <v>0</v>
      </c>
      <c r="K651" t="n">
        <v>0</v>
      </c>
      <c r="L651" t="n">
        <v>0</v>
      </c>
      <c r="M651" t="n">
        <v>0</v>
      </c>
      <c r="N651" t="n">
        <v>0</v>
      </c>
      <c r="O651" t="n">
        <v>0</v>
      </c>
      <c r="P651" t="n">
        <v>0</v>
      </c>
      <c r="Q651" t="n">
        <v>0</v>
      </c>
      <c r="R651" s="2" t="inlineStr"/>
    </row>
    <row r="652" ht="15" customHeight="1">
      <c r="A652" t="inlineStr">
        <is>
          <t>A 55255-2025</t>
        </is>
      </c>
      <c r="B652" s="1" t="n">
        <v>45968.63695601852</v>
      </c>
      <c r="C652" s="1" t="n">
        <v>46035</v>
      </c>
      <c r="D652" t="inlineStr">
        <is>
          <t>ÖREBRO LÄN</t>
        </is>
      </c>
      <c r="E652" t="inlineStr">
        <is>
          <t>LINDESBERG</t>
        </is>
      </c>
      <c r="F652" t="inlineStr">
        <is>
          <t>Kyrkan</t>
        </is>
      </c>
      <c r="G652" t="n">
        <v>1</v>
      </c>
      <c r="H652" t="n">
        <v>0</v>
      </c>
      <c r="I652" t="n">
        <v>0</v>
      </c>
      <c r="J652" t="n">
        <v>0</v>
      </c>
      <c r="K652" t="n">
        <v>0</v>
      </c>
      <c r="L652" t="n">
        <v>0</v>
      </c>
      <c r="M652" t="n">
        <v>0</v>
      </c>
      <c r="N652" t="n">
        <v>0</v>
      </c>
      <c r="O652" t="n">
        <v>0</v>
      </c>
      <c r="P652" t="n">
        <v>0</v>
      </c>
      <c r="Q652" t="n">
        <v>0</v>
      </c>
      <c r="R652" s="2" t="inlineStr"/>
    </row>
    <row r="653" ht="15" customHeight="1">
      <c r="A653" t="inlineStr">
        <is>
          <t>A 7992-2025</t>
        </is>
      </c>
      <c r="B653" s="1" t="n">
        <v>45707</v>
      </c>
      <c r="C653" s="1" t="n">
        <v>46035</v>
      </c>
      <c r="D653" t="inlineStr">
        <is>
          <t>ÖREBRO LÄN</t>
        </is>
      </c>
      <c r="E653" t="inlineStr">
        <is>
          <t>LINDESBERG</t>
        </is>
      </c>
      <c r="G653" t="n">
        <v>4.8</v>
      </c>
      <c r="H653" t="n">
        <v>0</v>
      </c>
      <c r="I653" t="n">
        <v>0</v>
      </c>
      <c r="J653" t="n">
        <v>0</v>
      </c>
      <c r="K653" t="n">
        <v>0</v>
      </c>
      <c r="L653" t="n">
        <v>0</v>
      </c>
      <c r="M653" t="n">
        <v>0</v>
      </c>
      <c r="N653" t="n">
        <v>0</v>
      </c>
      <c r="O653" t="n">
        <v>0</v>
      </c>
      <c r="P653" t="n">
        <v>0</v>
      </c>
      <c r="Q653" t="n">
        <v>0</v>
      </c>
      <c r="R653" s="2" t="inlineStr"/>
    </row>
    <row r="654" ht="15" customHeight="1">
      <c r="A654" t="inlineStr">
        <is>
          <t>A 3294-2024</t>
        </is>
      </c>
      <c r="B654" s="1" t="n">
        <v>45316</v>
      </c>
      <c r="C654" s="1" t="n">
        <v>46035</v>
      </c>
      <c r="D654" t="inlineStr">
        <is>
          <t>ÖREBRO LÄN</t>
        </is>
      </c>
      <c r="E654" t="inlineStr">
        <is>
          <t>LINDESBERG</t>
        </is>
      </c>
      <c r="G654" t="n">
        <v>3</v>
      </c>
      <c r="H654" t="n">
        <v>0</v>
      </c>
      <c r="I654" t="n">
        <v>0</v>
      </c>
      <c r="J654" t="n">
        <v>0</v>
      </c>
      <c r="K654" t="n">
        <v>0</v>
      </c>
      <c r="L654" t="n">
        <v>0</v>
      </c>
      <c r="M654" t="n">
        <v>0</v>
      </c>
      <c r="N654" t="n">
        <v>0</v>
      </c>
      <c r="O654" t="n">
        <v>0</v>
      </c>
      <c r="P654" t="n">
        <v>0</v>
      </c>
      <c r="Q654" t="n">
        <v>0</v>
      </c>
      <c r="R654" s="2" t="inlineStr"/>
    </row>
    <row r="655" ht="15" customHeight="1">
      <c r="A655" t="inlineStr">
        <is>
          <t>A 61739-2025</t>
        </is>
      </c>
      <c r="B655" s="1" t="n">
        <v>46002</v>
      </c>
      <c r="C655" s="1" t="n">
        <v>46035</v>
      </c>
      <c r="D655" t="inlineStr">
        <is>
          <t>ÖREBRO LÄN</t>
        </is>
      </c>
      <c r="E655" t="inlineStr">
        <is>
          <t>LINDESBERG</t>
        </is>
      </c>
      <c r="G655" t="n">
        <v>5.3</v>
      </c>
      <c r="H655" t="n">
        <v>0</v>
      </c>
      <c r="I655" t="n">
        <v>0</v>
      </c>
      <c r="J655" t="n">
        <v>0</v>
      </c>
      <c r="K655" t="n">
        <v>0</v>
      </c>
      <c r="L655" t="n">
        <v>0</v>
      </c>
      <c r="M655" t="n">
        <v>0</v>
      </c>
      <c r="N655" t="n">
        <v>0</v>
      </c>
      <c r="O655" t="n">
        <v>0</v>
      </c>
      <c r="P655" t="n">
        <v>0</v>
      </c>
      <c r="Q655" t="n">
        <v>0</v>
      </c>
      <c r="R655" s="2" t="inlineStr"/>
    </row>
    <row r="656" ht="15" customHeight="1">
      <c r="A656" t="inlineStr">
        <is>
          <t>A 60400-2025</t>
        </is>
      </c>
      <c r="B656" s="1" t="n">
        <v>45995</v>
      </c>
      <c r="C656" s="1" t="n">
        <v>46035</v>
      </c>
      <c r="D656" t="inlineStr">
        <is>
          <t>ÖREBRO LÄN</t>
        </is>
      </c>
      <c r="E656" t="inlineStr">
        <is>
          <t>LINDESBERG</t>
        </is>
      </c>
      <c r="G656" t="n">
        <v>11.2</v>
      </c>
      <c r="H656" t="n">
        <v>0</v>
      </c>
      <c r="I656" t="n">
        <v>0</v>
      </c>
      <c r="J656" t="n">
        <v>0</v>
      </c>
      <c r="K656" t="n">
        <v>0</v>
      </c>
      <c r="L656" t="n">
        <v>0</v>
      </c>
      <c r="M656" t="n">
        <v>0</v>
      </c>
      <c r="N656" t="n">
        <v>0</v>
      </c>
      <c r="O656" t="n">
        <v>0</v>
      </c>
      <c r="P656" t="n">
        <v>0</v>
      </c>
      <c r="Q656" t="n">
        <v>0</v>
      </c>
      <c r="R656" s="2" t="inlineStr"/>
    </row>
    <row r="657" ht="15" customHeight="1">
      <c r="A657" t="inlineStr">
        <is>
          <t>A 63078-2025</t>
        </is>
      </c>
      <c r="B657" s="1" t="n">
        <v>46009.66377314815</v>
      </c>
      <c r="C657" s="1" t="n">
        <v>46035</v>
      </c>
      <c r="D657" t="inlineStr">
        <is>
          <t>ÖREBRO LÄN</t>
        </is>
      </c>
      <c r="E657" t="inlineStr">
        <is>
          <t>LINDESBERG</t>
        </is>
      </c>
      <c r="G657" t="n">
        <v>0.9</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46035</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46035</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46035</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46035</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46035</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55065-2025</t>
        </is>
      </c>
      <c r="B663" s="1" t="n">
        <v>45967.7096875</v>
      </c>
      <c r="C663" s="1" t="n">
        <v>46035</v>
      </c>
      <c r="D663" t="inlineStr">
        <is>
          <t>ÖREBRO LÄN</t>
        </is>
      </c>
      <c r="E663" t="inlineStr">
        <is>
          <t>LINDESBERG</t>
        </is>
      </c>
      <c r="G663" t="n">
        <v>3.5</v>
      </c>
      <c r="H663" t="n">
        <v>0</v>
      </c>
      <c r="I663" t="n">
        <v>0</v>
      </c>
      <c r="J663" t="n">
        <v>0</v>
      </c>
      <c r="K663" t="n">
        <v>0</v>
      </c>
      <c r="L663" t="n">
        <v>0</v>
      </c>
      <c r="M663" t="n">
        <v>0</v>
      </c>
      <c r="N663" t="n">
        <v>0</v>
      </c>
      <c r="O663" t="n">
        <v>0</v>
      </c>
      <c r="P663" t="n">
        <v>0</v>
      </c>
      <c r="Q663" t="n">
        <v>0</v>
      </c>
      <c r="R663" s="2" t="inlineStr"/>
    </row>
    <row r="664" ht="15" customHeight="1">
      <c r="A664" t="inlineStr">
        <is>
          <t>A 55477-2025</t>
        </is>
      </c>
      <c r="B664" s="1" t="n">
        <v>45971.56197916667</v>
      </c>
      <c r="C664" s="1" t="n">
        <v>46035</v>
      </c>
      <c r="D664" t="inlineStr">
        <is>
          <t>ÖREBRO LÄN</t>
        </is>
      </c>
      <c r="E664" t="inlineStr">
        <is>
          <t>LINDESBERG</t>
        </is>
      </c>
      <c r="G664" t="n">
        <v>1.2</v>
      </c>
      <c r="H664" t="n">
        <v>0</v>
      </c>
      <c r="I664" t="n">
        <v>0</v>
      </c>
      <c r="J664" t="n">
        <v>0</v>
      </c>
      <c r="K664" t="n">
        <v>0</v>
      </c>
      <c r="L664" t="n">
        <v>0</v>
      </c>
      <c r="M664" t="n">
        <v>0</v>
      </c>
      <c r="N664" t="n">
        <v>0</v>
      </c>
      <c r="O664" t="n">
        <v>0</v>
      </c>
      <c r="P664" t="n">
        <v>0</v>
      </c>
      <c r="Q664" t="n">
        <v>0</v>
      </c>
      <c r="R664" s="2" t="inlineStr"/>
    </row>
    <row r="665" ht="15" customHeight="1">
      <c r="A665" t="inlineStr">
        <is>
          <t>A 55490-2025</t>
        </is>
      </c>
      <c r="B665" s="1" t="n">
        <v>45971.57659722222</v>
      </c>
      <c r="C665" s="1" t="n">
        <v>46035</v>
      </c>
      <c r="D665" t="inlineStr">
        <is>
          <t>ÖREBRO LÄN</t>
        </is>
      </c>
      <c r="E665" t="inlineStr">
        <is>
          <t>LINDESBERG</t>
        </is>
      </c>
      <c r="G665" t="n">
        <v>1.1</v>
      </c>
      <c r="H665" t="n">
        <v>0</v>
      </c>
      <c r="I665" t="n">
        <v>0</v>
      </c>
      <c r="J665" t="n">
        <v>0</v>
      </c>
      <c r="K665" t="n">
        <v>0</v>
      </c>
      <c r="L665" t="n">
        <v>0</v>
      </c>
      <c r="M665" t="n">
        <v>0</v>
      </c>
      <c r="N665" t="n">
        <v>0</v>
      </c>
      <c r="O665" t="n">
        <v>0</v>
      </c>
      <c r="P665" t="n">
        <v>0</v>
      </c>
      <c r="Q665" t="n">
        <v>0</v>
      </c>
      <c r="R665" s="2" t="inlineStr"/>
    </row>
    <row r="666" ht="15" customHeight="1">
      <c r="A666" t="inlineStr">
        <is>
          <t>A 40085-2023</t>
        </is>
      </c>
      <c r="B666" s="1" t="n">
        <v>45168.92155092592</v>
      </c>
      <c r="C666" s="1" t="n">
        <v>46035</v>
      </c>
      <c r="D666" t="inlineStr">
        <is>
          <t>ÖREBRO LÄN</t>
        </is>
      </c>
      <c r="E666" t="inlineStr">
        <is>
          <t>LINDESBERG</t>
        </is>
      </c>
      <c r="G666" t="n">
        <v>6.1</v>
      </c>
      <c r="H666" t="n">
        <v>0</v>
      </c>
      <c r="I666" t="n">
        <v>0</v>
      </c>
      <c r="J666" t="n">
        <v>0</v>
      </c>
      <c r="K666" t="n">
        <v>0</v>
      </c>
      <c r="L666" t="n">
        <v>0</v>
      </c>
      <c r="M666" t="n">
        <v>0</v>
      </c>
      <c r="N666" t="n">
        <v>0</v>
      </c>
      <c r="O666" t="n">
        <v>0</v>
      </c>
      <c r="P666" t="n">
        <v>0</v>
      </c>
      <c r="Q666" t="n">
        <v>0</v>
      </c>
      <c r="R666" s="2" t="inlineStr"/>
    </row>
    <row r="667" ht="15" customHeight="1">
      <c r="A667" t="inlineStr">
        <is>
          <t>A 28470-2023</t>
        </is>
      </c>
      <c r="B667" s="1" t="n">
        <v>45103</v>
      </c>
      <c r="C667" s="1" t="n">
        <v>46035</v>
      </c>
      <c r="D667" t="inlineStr">
        <is>
          <t>ÖREBRO LÄN</t>
        </is>
      </c>
      <c r="E667" t="inlineStr">
        <is>
          <t>LINDESBERG</t>
        </is>
      </c>
      <c r="G667" t="n">
        <v>6.7</v>
      </c>
      <c r="H667" t="n">
        <v>0</v>
      </c>
      <c r="I667" t="n">
        <v>0</v>
      </c>
      <c r="J667" t="n">
        <v>0</v>
      </c>
      <c r="K667" t="n">
        <v>0</v>
      </c>
      <c r="L667" t="n">
        <v>0</v>
      </c>
      <c r="M667" t="n">
        <v>0</v>
      </c>
      <c r="N667" t="n">
        <v>0</v>
      </c>
      <c r="O667" t="n">
        <v>0</v>
      </c>
      <c r="P667" t="n">
        <v>0</v>
      </c>
      <c r="Q667" t="n">
        <v>0</v>
      </c>
      <c r="R667" s="2" t="inlineStr"/>
    </row>
    <row r="668" ht="15" customHeight="1">
      <c r="A668" t="inlineStr">
        <is>
          <t>A 32002-2023</t>
        </is>
      </c>
      <c r="B668" s="1" t="n">
        <v>45119.46452546296</v>
      </c>
      <c r="C668" s="1" t="n">
        <v>46035</v>
      </c>
      <c r="D668" t="inlineStr">
        <is>
          <t>ÖREBRO LÄN</t>
        </is>
      </c>
      <c r="E668" t="inlineStr">
        <is>
          <t>LINDESBERG</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29849-2023</t>
        </is>
      </c>
      <c r="B669" s="1" t="n">
        <v>45107</v>
      </c>
      <c r="C669" s="1" t="n">
        <v>46035</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5784-2025</t>
        </is>
      </c>
      <c r="B670" s="1" t="n">
        <v>45694</v>
      </c>
      <c r="C670" s="1" t="n">
        <v>46035</v>
      </c>
      <c r="D670" t="inlineStr">
        <is>
          <t>ÖREBRO LÄN</t>
        </is>
      </c>
      <c r="E670" t="inlineStr">
        <is>
          <t>LINDESBERG</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56232-2025</t>
        </is>
      </c>
      <c r="B671" s="1" t="n">
        <v>45974.53239583333</v>
      </c>
      <c r="C671" s="1" t="n">
        <v>46035</v>
      </c>
      <c r="D671" t="inlineStr">
        <is>
          <t>ÖREBRO LÄN</t>
        </is>
      </c>
      <c r="E671" t="inlineStr">
        <is>
          <t>LINDESBERG</t>
        </is>
      </c>
      <c r="G671" t="n">
        <v>3.2</v>
      </c>
      <c r="H671" t="n">
        <v>0</v>
      </c>
      <c r="I671" t="n">
        <v>0</v>
      </c>
      <c r="J671" t="n">
        <v>0</v>
      </c>
      <c r="K671" t="n">
        <v>0</v>
      </c>
      <c r="L671" t="n">
        <v>0</v>
      </c>
      <c r="M671" t="n">
        <v>0</v>
      </c>
      <c r="N671" t="n">
        <v>0</v>
      </c>
      <c r="O671" t="n">
        <v>0</v>
      </c>
      <c r="P671" t="n">
        <v>0</v>
      </c>
      <c r="Q671" t="n">
        <v>0</v>
      </c>
      <c r="R671" s="2" t="inlineStr"/>
    </row>
    <row r="672" ht="15" customHeight="1">
      <c r="A672" t="inlineStr">
        <is>
          <t>A 56308-2025</t>
        </is>
      </c>
      <c r="B672" s="1" t="n">
        <v>45974.61344907407</v>
      </c>
      <c r="C672" s="1" t="n">
        <v>46035</v>
      </c>
      <c r="D672" t="inlineStr">
        <is>
          <t>ÖREBRO LÄN</t>
        </is>
      </c>
      <c r="E672" t="inlineStr">
        <is>
          <t>LINDESBERG</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56226-2025</t>
        </is>
      </c>
      <c r="B673" s="1" t="n">
        <v>45974.51283564815</v>
      </c>
      <c r="C673" s="1" t="n">
        <v>46035</v>
      </c>
      <c r="D673" t="inlineStr">
        <is>
          <t>ÖREBRO LÄN</t>
        </is>
      </c>
      <c r="E673" t="inlineStr">
        <is>
          <t>LINDESBERG</t>
        </is>
      </c>
      <c r="G673" t="n">
        <v>1.8</v>
      </c>
      <c r="H673" t="n">
        <v>0</v>
      </c>
      <c r="I673" t="n">
        <v>0</v>
      </c>
      <c r="J673" t="n">
        <v>0</v>
      </c>
      <c r="K673" t="n">
        <v>0</v>
      </c>
      <c r="L673" t="n">
        <v>0</v>
      </c>
      <c r="M673" t="n">
        <v>0</v>
      </c>
      <c r="N673" t="n">
        <v>0</v>
      </c>
      <c r="O673" t="n">
        <v>0</v>
      </c>
      <c r="P673" t="n">
        <v>0</v>
      </c>
      <c r="Q673" t="n">
        <v>0</v>
      </c>
      <c r="R673" s="2" t="inlineStr"/>
    </row>
    <row r="674" ht="15" customHeight="1">
      <c r="A674" t="inlineStr">
        <is>
          <t>A 56306-2025</t>
        </is>
      </c>
      <c r="B674" s="1" t="n">
        <v>45974.61217592593</v>
      </c>
      <c r="C674" s="1" t="n">
        <v>46035</v>
      </c>
      <c r="D674" t="inlineStr">
        <is>
          <t>ÖREBRO LÄN</t>
        </is>
      </c>
      <c r="E674" t="inlineStr">
        <is>
          <t>LINDESBERG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69208-2021</t>
        </is>
      </c>
      <c r="B675" s="1" t="n">
        <v>44531.3575</v>
      </c>
      <c r="C675" s="1" t="n">
        <v>46035</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56982-2025</t>
        </is>
      </c>
      <c r="B676" s="1" t="n">
        <v>45978.71075231482</v>
      </c>
      <c r="C676" s="1" t="n">
        <v>46035</v>
      </c>
      <c r="D676" t="inlineStr">
        <is>
          <t>ÖREBRO LÄN</t>
        </is>
      </c>
      <c r="E676" t="inlineStr">
        <is>
          <t>LINDESBERG</t>
        </is>
      </c>
      <c r="G676" t="n">
        <v>4.3</v>
      </c>
      <c r="H676" t="n">
        <v>0</v>
      </c>
      <c r="I676" t="n">
        <v>0</v>
      </c>
      <c r="J676" t="n">
        <v>0</v>
      </c>
      <c r="K676" t="n">
        <v>0</v>
      </c>
      <c r="L676" t="n">
        <v>0</v>
      </c>
      <c r="M676" t="n">
        <v>0</v>
      </c>
      <c r="N676" t="n">
        <v>0</v>
      </c>
      <c r="O676" t="n">
        <v>0</v>
      </c>
      <c r="P676" t="n">
        <v>0</v>
      </c>
      <c r="Q676" t="n">
        <v>0</v>
      </c>
      <c r="R676" s="2" t="inlineStr"/>
    </row>
    <row r="677" ht="15" customHeight="1">
      <c r="A677" t="inlineStr">
        <is>
          <t>A 45038-2024</t>
        </is>
      </c>
      <c r="B677" s="1" t="n">
        <v>45575.53331018519</v>
      </c>
      <c r="C677" s="1" t="n">
        <v>46035</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45046-2024</t>
        </is>
      </c>
      <c r="B678" s="1" t="n">
        <v>45575.54489583334</v>
      </c>
      <c r="C678" s="1" t="n">
        <v>46035</v>
      </c>
      <c r="D678" t="inlineStr">
        <is>
          <t>ÖREBRO LÄN</t>
        </is>
      </c>
      <c r="E678" t="inlineStr">
        <is>
          <t>LINDESBERG</t>
        </is>
      </c>
      <c r="F678" t="inlineStr">
        <is>
          <t>Sveaskog</t>
        </is>
      </c>
      <c r="G678" t="n">
        <v>2.2</v>
      </c>
      <c r="H678" t="n">
        <v>0</v>
      </c>
      <c r="I678" t="n">
        <v>0</v>
      </c>
      <c r="J678" t="n">
        <v>0</v>
      </c>
      <c r="K678" t="n">
        <v>0</v>
      </c>
      <c r="L678" t="n">
        <v>0</v>
      </c>
      <c r="M678" t="n">
        <v>0</v>
      </c>
      <c r="N678" t="n">
        <v>0</v>
      </c>
      <c r="O678" t="n">
        <v>0</v>
      </c>
      <c r="P678" t="n">
        <v>0</v>
      </c>
      <c r="Q678" t="n">
        <v>0</v>
      </c>
      <c r="R678" s="2" t="inlineStr"/>
    </row>
    <row r="679" ht="15" customHeight="1">
      <c r="A679" t="inlineStr">
        <is>
          <t>A 38552-2023</t>
        </is>
      </c>
      <c r="B679" s="1" t="n">
        <v>45162.5978125</v>
      </c>
      <c r="C679" s="1" t="n">
        <v>46035</v>
      </c>
      <c r="D679" t="inlineStr">
        <is>
          <t>ÖREBRO LÄN</t>
        </is>
      </c>
      <c r="E679" t="inlineStr">
        <is>
          <t>LINDESBERG</t>
        </is>
      </c>
      <c r="G679" t="n">
        <v>10.4</v>
      </c>
      <c r="H679" t="n">
        <v>0</v>
      </c>
      <c r="I679" t="n">
        <v>0</v>
      </c>
      <c r="J679" t="n">
        <v>0</v>
      </c>
      <c r="K679" t="n">
        <v>0</v>
      </c>
      <c r="L679" t="n">
        <v>0</v>
      </c>
      <c r="M679" t="n">
        <v>0</v>
      </c>
      <c r="N679" t="n">
        <v>0</v>
      </c>
      <c r="O679" t="n">
        <v>0</v>
      </c>
      <c r="P679" t="n">
        <v>0</v>
      </c>
      <c r="Q679" t="n">
        <v>0</v>
      </c>
      <c r="R679" s="2" t="inlineStr"/>
    </row>
    <row r="680" ht="15" customHeight="1">
      <c r="A680" t="inlineStr">
        <is>
          <t>A 64084-2023</t>
        </is>
      </c>
      <c r="B680" s="1" t="n">
        <v>45279</v>
      </c>
      <c r="C680" s="1" t="n">
        <v>46035</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33424-2024</t>
        </is>
      </c>
      <c r="B681" s="1" t="n">
        <v>45519.51627314815</v>
      </c>
      <c r="C681" s="1" t="n">
        <v>46035</v>
      </c>
      <c r="D681" t="inlineStr">
        <is>
          <t>ÖREBRO LÄN</t>
        </is>
      </c>
      <c r="E681" t="inlineStr">
        <is>
          <t>LINDESBERG</t>
        </is>
      </c>
      <c r="F681" t="inlineStr">
        <is>
          <t>Sveaskog</t>
        </is>
      </c>
      <c r="G681" t="n">
        <v>0.1</v>
      </c>
      <c r="H681" t="n">
        <v>0</v>
      </c>
      <c r="I681" t="n">
        <v>0</v>
      </c>
      <c r="J681" t="n">
        <v>0</v>
      </c>
      <c r="K681" t="n">
        <v>0</v>
      </c>
      <c r="L681" t="n">
        <v>0</v>
      </c>
      <c r="M681" t="n">
        <v>0</v>
      </c>
      <c r="N681" t="n">
        <v>0</v>
      </c>
      <c r="O681" t="n">
        <v>0</v>
      </c>
      <c r="P681" t="n">
        <v>0</v>
      </c>
      <c r="Q681" t="n">
        <v>0</v>
      </c>
      <c r="R681" s="2" t="inlineStr"/>
    </row>
    <row r="682" ht="15" customHeight="1">
      <c r="A682" t="inlineStr">
        <is>
          <t>A 33427-2024</t>
        </is>
      </c>
      <c r="B682" s="1" t="n">
        <v>45519.52232638889</v>
      </c>
      <c r="C682" s="1" t="n">
        <v>46035</v>
      </c>
      <c r="D682" t="inlineStr">
        <is>
          <t>ÖREBRO LÄN</t>
        </is>
      </c>
      <c r="E682" t="inlineStr">
        <is>
          <t>LINDESBERG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36509-2024</t>
        </is>
      </c>
      <c r="B683" s="1" t="n">
        <v>45537.42240740741</v>
      </c>
      <c r="C683" s="1" t="n">
        <v>46035</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29894-2023</t>
        </is>
      </c>
      <c r="B684" s="1" t="n">
        <v>45107</v>
      </c>
      <c r="C684" s="1" t="n">
        <v>46035</v>
      </c>
      <c r="D684" t="inlineStr">
        <is>
          <t>ÖREBRO LÄN</t>
        </is>
      </c>
      <c r="E684" t="inlineStr">
        <is>
          <t>LINDESBERG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57361-2025</t>
        </is>
      </c>
      <c r="B685" s="1" t="n">
        <v>45980.36988425926</v>
      </c>
      <c r="C685" s="1" t="n">
        <v>46035</v>
      </c>
      <c r="D685" t="inlineStr">
        <is>
          <t>ÖREBRO LÄN</t>
        </is>
      </c>
      <c r="E685" t="inlineStr">
        <is>
          <t>LINDESBERG</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57299-2025</t>
        </is>
      </c>
      <c r="B686" s="1" t="n">
        <v>45979.81347222222</v>
      </c>
      <c r="C686" s="1" t="n">
        <v>46035</v>
      </c>
      <c r="D686" t="inlineStr">
        <is>
          <t>ÖREBRO LÄN</t>
        </is>
      </c>
      <c r="E686" t="inlineStr">
        <is>
          <t>LINDESBERG</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11559-2024</t>
        </is>
      </c>
      <c r="B687" s="1" t="n">
        <v>45373.30434027778</v>
      </c>
      <c r="C687" s="1" t="n">
        <v>46035</v>
      </c>
      <c r="D687" t="inlineStr">
        <is>
          <t>ÖREBRO LÄN</t>
        </is>
      </c>
      <c r="E687" t="inlineStr">
        <is>
          <t>LINDESBERG</t>
        </is>
      </c>
      <c r="F687" t="inlineStr">
        <is>
          <t>BillerudKorsnäs AB</t>
        </is>
      </c>
      <c r="G687" t="n">
        <v>1.9</v>
      </c>
      <c r="H687" t="n">
        <v>0</v>
      </c>
      <c r="I687" t="n">
        <v>0</v>
      </c>
      <c r="J687" t="n">
        <v>0</v>
      </c>
      <c r="K687" t="n">
        <v>0</v>
      </c>
      <c r="L687" t="n">
        <v>0</v>
      </c>
      <c r="M687" t="n">
        <v>0</v>
      </c>
      <c r="N687" t="n">
        <v>0</v>
      </c>
      <c r="O687" t="n">
        <v>0</v>
      </c>
      <c r="P687" t="n">
        <v>0</v>
      </c>
      <c r="Q687" t="n">
        <v>0</v>
      </c>
      <c r="R687" s="2" t="inlineStr"/>
    </row>
    <row r="688" ht="15" customHeight="1">
      <c r="A688" t="inlineStr">
        <is>
          <t>A 57359-2025</t>
        </is>
      </c>
      <c r="B688" s="1" t="n">
        <v>45980.36866898148</v>
      </c>
      <c r="C688" s="1" t="n">
        <v>46035</v>
      </c>
      <c r="D688" t="inlineStr">
        <is>
          <t>ÖREBRO LÄN</t>
        </is>
      </c>
      <c r="E688" t="inlineStr">
        <is>
          <t>LINDESBERG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57300-2025</t>
        </is>
      </c>
      <c r="B689" s="1" t="n">
        <v>45979.81403935186</v>
      </c>
      <c r="C689" s="1" t="n">
        <v>46035</v>
      </c>
      <c r="D689" t="inlineStr">
        <is>
          <t>ÖREBRO LÄN</t>
        </is>
      </c>
      <c r="E689" t="inlineStr">
        <is>
          <t>LINDESBERG</t>
        </is>
      </c>
      <c r="F689" t="inlineStr">
        <is>
          <t>Sveaskog</t>
        </is>
      </c>
      <c r="G689" t="n">
        <v>4.9</v>
      </c>
      <c r="H689" t="n">
        <v>0</v>
      </c>
      <c r="I689" t="n">
        <v>0</v>
      </c>
      <c r="J689" t="n">
        <v>0</v>
      </c>
      <c r="K689" t="n">
        <v>0</v>
      </c>
      <c r="L689" t="n">
        <v>0</v>
      </c>
      <c r="M689" t="n">
        <v>0</v>
      </c>
      <c r="N689" t="n">
        <v>0</v>
      </c>
      <c r="O689" t="n">
        <v>0</v>
      </c>
      <c r="P689" t="n">
        <v>0</v>
      </c>
      <c r="Q689" t="n">
        <v>0</v>
      </c>
      <c r="R689" s="2" t="inlineStr"/>
    </row>
    <row r="690" ht="15" customHeight="1">
      <c r="A690" t="inlineStr">
        <is>
          <t>A 57358-2025</t>
        </is>
      </c>
      <c r="B690" s="1" t="n">
        <v>45980.36679398148</v>
      </c>
      <c r="C690" s="1" t="n">
        <v>46035</v>
      </c>
      <c r="D690" t="inlineStr">
        <is>
          <t>ÖREBRO LÄN</t>
        </is>
      </c>
      <c r="E690" t="inlineStr">
        <is>
          <t>LINDESBERG</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13472-2023</t>
        </is>
      </c>
      <c r="B691" s="1" t="n">
        <v>45005</v>
      </c>
      <c r="C691" s="1" t="n">
        <v>46035</v>
      </c>
      <c r="D691" t="inlineStr">
        <is>
          <t>ÖREBRO LÄN</t>
        </is>
      </c>
      <c r="E691" t="inlineStr">
        <is>
          <t>LINDESBERG</t>
        </is>
      </c>
      <c r="G691" t="n">
        <v>2.5</v>
      </c>
      <c r="H691" t="n">
        <v>0</v>
      </c>
      <c r="I691" t="n">
        <v>0</v>
      </c>
      <c r="J691" t="n">
        <v>0</v>
      </c>
      <c r="K691" t="n">
        <v>0</v>
      </c>
      <c r="L691" t="n">
        <v>0</v>
      </c>
      <c r="M691" t="n">
        <v>0</v>
      </c>
      <c r="N691" t="n">
        <v>0</v>
      </c>
      <c r="O691" t="n">
        <v>0</v>
      </c>
      <c r="P691" t="n">
        <v>0</v>
      </c>
      <c r="Q691" t="n">
        <v>0</v>
      </c>
      <c r="R691" s="2" t="inlineStr"/>
    </row>
    <row r="692" ht="15" customHeight="1">
      <c r="A692" t="inlineStr">
        <is>
          <t>A 52284-2024</t>
        </is>
      </c>
      <c r="B692" s="1" t="n">
        <v>45608</v>
      </c>
      <c r="C692" s="1" t="n">
        <v>46035</v>
      </c>
      <c r="D692" t="inlineStr">
        <is>
          <t>ÖREBRO LÄN</t>
        </is>
      </c>
      <c r="E692" t="inlineStr">
        <is>
          <t>LINDESBERG</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57313-2025</t>
        </is>
      </c>
      <c r="B693" s="1" t="n">
        <v>45979.97458333334</v>
      </c>
      <c r="C693" s="1" t="n">
        <v>46035</v>
      </c>
      <c r="D693" t="inlineStr">
        <is>
          <t>ÖREBRO LÄN</t>
        </is>
      </c>
      <c r="E693" t="inlineStr">
        <is>
          <t>LINDESBERG</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57314-2025</t>
        </is>
      </c>
      <c r="B694" s="1" t="n">
        <v>45980.00710648148</v>
      </c>
      <c r="C694" s="1" t="n">
        <v>46035</v>
      </c>
      <c r="D694" t="inlineStr">
        <is>
          <t>ÖREBRO LÄN</t>
        </is>
      </c>
      <c r="E694" t="inlineStr">
        <is>
          <t>LINDESBERG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57315-2025</t>
        </is>
      </c>
      <c r="B695" s="1" t="n">
        <v>45980.00753472222</v>
      </c>
      <c r="C695" s="1" t="n">
        <v>46035</v>
      </c>
      <c r="D695" t="inlineStr">
        <is>
          <t>ÖREBRO LÄN</t>
        </is>
      </c>
      <c r="E695" t="inlineStr">
        <is>
          <t>LINDESBERG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57316-2025</t>
        </is>
      </c>
      <c r="B696" s="1" t="n">
        <v>45980.0115625</v>
      </c>
      <c r="C696" s="1" t="n">
        <v>46035</v>
      </c>
      <c r="D696" t="inlineStr">
        <is>
          <t>ÖREBRO LÄN</t>
        </is>
      </c>
      <c r="E696" t="inlineStr">
        <is>
          <t>LINDESBERG</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57320-2025</t>
        </is>
      </c>
      <c r="B697" s="1" t="n">
        <v>45980.01553240741</v>
      </c>
      <c r="C697" s="1" t="n">
        <v>46035</v>
      </c>
      <c r="D697" t="inlineStr">
        <is>
          <t>ÖREBRO LÄN</t>
        </is>
      </c>
      <c r="E697" t="inlineStr">
        <is>
          <t>LINDESBERG</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57363-2025</t>
        </is>
      </c>
      <c r="B698" s="1" t="n">
        <v>45980.3716087963</v>
      </c>
      <c r="C698" s="1" t="n">
        <v>46035</v>
      </c>
      <c r="D698" t="inlineStr">
        <is>
          <t>ÖREBRO LÄN</t>
        </is>
      </c>
      <c r="E698" t="inlineStr">
        <is>
          <t>LINDESBERG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57317-2025</t>
        </is>
      </c>
      <c r="B699" s="1" t="n">
        <v>45980.01226851852</v>
      </c>
      <c r="C699" s="1" t="n">
        <v>46035</v>
      </c>
      <c r="D699" t="inlineStr">
        <is>
          <t>ÖREBRO LÄN</t>
        </is>
      </c>
      <c r="E699" t="inlineStr">
        <is>
          <t>LINDESBERG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38613-2024</t>
        </is>
      </c>
      <c r="B700" s="1" t="n">
        <v>45546.68743055555</v>
      </c>
      <c r="C700" s="1" t="n">
        <v>46035</v>
      </c>
      <c r="D700" t="inlineStr">
        <is>
          <t>ÖREBRO LÄN</t>
        </is>
      </c>
      <c r="E700" t="inlineStr">
        <is>
          <t>LINDESBERG</t>
        </is>
      </c>
      <c r="F700" t="inlineStr">
        <is>
          <t>Kyrkan</t>
        </is>
      </c>
      <c r="G700" t="n">
        <v>1.6</v>
      </c>
      <c r="H700" t="n">
        <v>0</v>
      </c>
      <c r="I700" t="n">
        <v>0</v>
      </c>
      <c r="J700" t="n">
        <v>0</v>
      </c>
      <c r="K700" t="n">
        <v>0</v>
      </c>
      <c r="L700" t="n">
        <v>0</v>
      </c>
      <c r="M700" t="n">
        <v>0</v>
      </c>
      <c r="N700" t="n">
        <v>0</v>
      </c>
      <c r="O700" t="n">
        <v>0</v>
      </c>
      <c r="P700" t="n">
        <v>0</v>
      </c>
      <c r="Q700" t="n">
        <v>0</v>
      </c>
      <c r="R700" s="2" t="inlineStr"/>
    </row>
    <row r="701" ht="15" customHeight="1">
      <c r="A701" t="inlineStr">
        <is>
          <t>A 57356-2025</t>
        </is>
      </c>
      <c r="B701" s="1" t="n">
        <v>45980.36633101852</v>
      </c>
      <c r="C701" s="1" t="n">
        <v>46035</v>
      </c>
      <c r="D701" t="inlineStr">
        <is>
          <t>ÖREBRO LÄN</t>
        </is>
      </c>
      <c r="E701" t="inlineStr">
        <is>
          <t>LINDESBERG</t>
        </is>
      </c>
      <c r="F701" t="inlineStr">
        <is>
          <t>Sveaskog</t>
        </is>
      </c>
      <c r="G701" t="n">
        <v>3.4</v>
      </c>
      <c r="H701" t="n">
        <v>0</v>
      </c>
      <c r="I701" t="n">
        <v>0</v>
      </c>
      <c r="J701" t="n">
        <v>0</v>
      </c>
      <c r="K701" t="n">
        <v>0</v>
      </c>
      <c r="L701" t="n">
        <v>0</v>
      </c>
      <c r="M701" t="n">
        <v>0</v>
      </c>
      <c r="N701" t="n">
        <v>0</v>
      </c>
      <c r="O701" t="n">
        <v>0</v>
      </c>
      <c r="P701" t="n">
        <v>0</v>
      </c>
      <c r="Q701" t="n">
        <v>0</v>
      </c>
      <c r="R701" s="2" t="inlineStr"/>
    </row>
    <row r="702" ht="15" customHeight="1">
      <c r="A702" t="inlineStr">
        <is>
          <t>A 73500-2021</t>
        </is>
      </c>
      <c r="B702" s="1" t="n">
        <v>44551</v>
      </c>
      <c r="C702" s="1" t="n">
        <v>46035</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56507-2021</t>
        </is>
      </c>
      <c r="B703" s="1" t="n">
        <v>44480.58034722223</v>
      </c>
      <c r="C703" s="1" t="n">
        <v>46035</v>
      </c>
      <c r="D703" t="inlineStr">
        <is>
          <t>ÖREBRO LÄN</t>
        </is>
      </c>
      <c r="E703" t="inlineStr">
        <is>
          <t>LINDESBERG</t>
        </is>
      </c>
      <c r="G703" t="n">
        <v>2.3</v>
      </c>
      <c r="H703" t="n">
        <v>0</v>
      </c>
      <c r="I703" t="n">
        <v>0</v>
      </c>
      <c r="J703" t="n">
        <v>0</v>
      </c>
      <c r="K703" t="n">
        <v>0</v>
      </c>
      <c r="L703" t="n">
        <v>0</v>
      </c>
      <c r="M703" t="n">
        <v>0</v>
      </c>
      <c r="N703" t="n">
        <v>0</v>
      </c>
      <c r="O703" t="n">
        <v>0</v>
      </c>
      <c r="P703" t="n">
        <v>0</v>
      </c>
      <c r="Q703" t="n">
        <v>0</v>
      </c>
      <c r="R703" s="2" t="inlineStr"/>
    </row>
    <row r="704" ht="15" customHeight="1">
      <c r="A704" t="inlineStr">
        <is>
          <t>A 65194-2023</t>
        </is>
      </c>
      <c r="B704" s="1" t="n">
        <v>45289</v>
      </c>
      <c r="C704" s="1" t="n">
        <v>46035</v>
      </c>
      <c r="D704" t="inlineStr">
        <is>
          <t>ÖREBRO LÄN</t>
        </is>
      </c>
      <c r="E704" t="inlineStr">
        <is>
          <t>LINDESBERG</t>
        </is>
      </c>
      <c r="G704" t="n">
        <v>1</v>
      </c>
      <c r="H704" t="n">
        <v>0</v>
      </c>
      <c r="I704" t="n">
        <v>0</v>
      </c>
      <c r="J704" t="n">
        <v>0</v>
      </c>
      <c r="K704" t="n">
        <v>0</v>
      </c>
      <c r="L704" t="n">
        <v>0</v>
      </c>
      <c r="M704" t="n">
        <v>0</v>
      </c>
      <c r="N704" t="n">
        <v>0</v>
      </c>
      <c r="O704" t="n">
        <v>0</v>
      </c>
      <c r="P704" t="n">
        <v>0</v>
      </c>
      <c r="Q704" t="n">
        <v>0</v>
      </c>
      <c r="R704" s="2" t="inlineStr"/>
    </row>
    <row r="705" ht="15" customHeight="1">
      <c r="A705" t="inlineStr">
        <is>
          <t>A 9436-2023</t>
        </is>
      </c>
      <c r="B705" s="1" t="n">
        <v>44981</v>
      </c>
      <c r="C705" s="1" t="n">
        <v>46035</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58050-2025</t>
        </is>
      </c>
      <c r="B706" s="1" t="n">
        <v>45982</v>
      </c>
      <c r="C706" s="1" t="n">
        <v>46035</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58166-2025</t>
        </is>
      </c>
      <c r="B707" s="1" t="n">
        <v>45982.71017361111</v>
      </c>
      <c r="C707" s="1" t="n">
        <v>46035</v>
      </c>
      <c r="D707" t="inlineStr">
        <is>
          <t>ÖREBRO LÄN</t>
        </is>
      </c>
      <c r="E707" t="inlineStr">
        <is>
          <t>LINDESBERG</t>
        </is>
      </c>
      <c r="G707" t="n">
        <v>2.5</v>
      </c>
      <c r="H707" t="n">
        <v>0</v>
      </c>
      <c r="I707" t="n">
        <v>0</v>
      </c>
      <c r="J707" t="n">
        <v>0</v>
      </c>
      <c r="K707" t="n">
        <v>0</v>
      </c>
      <c r="L707" t="n">
        <v>0</v>
      </c>
      <c r="M707" t="n">
        <v>0</v>
      </c>
      <c r="N707" t="n">
        <v>0</v>
      </c>
      <c r="O707" t="n">
        <v>0</v>
      </c>
      <c r="P707" t="n">
        <v>0</v>
      </c>
      <c r="Q707" t="n">
        <v>0</v>
      </c>
      <c r="R707" s="2" t="inlineStr"/>
    </row>
    <row r="708" ht="15" customHeight="1">
      <c r="A708" t="inlineStr">
        <is>
          <t>A 36121-2023</t>
        </is>
      </c>
      <c r="B708" s="1" t="n">
        <v>45148</v>
      </c>
      <c r="C708" s="1" t="n">
        <v>46035</v>
      </c>
      <c r="D708" t="inlineStr">
        <is>
          <t>ÖREBRO LÄN</t>
        </is>
      </c>
      <c r="E708" t="inlineStr">
        <is>
          <t>LINDESBERG</t>
        </is>
      </c>
      <c r="G708" t="n">
        <v>7.1</v>
      </c>
      <c r="H708" t="n">
        <v>0</v>
      </c>
      <c r="I708" t="n">
        <v>0</v>
      </c>
      <c r="J708" t="n">
        <v>0</v>
      </c>
      <c r="K708" t="n">
        <v>0</v>
      </c>
      <c r="L708" t="n">
        <v>0</v>
      </c>
      <c r="M708" t="n">
        <v>0</v>
      </c>
      <c r="N708" t="n">
        <v>0</v>
      </c>
      <c r="O708" t="n">
        <v>0</v>
      </c>
      <c r="P708" t="n">
        <v>0</v>
      </c>
      <c r="Q708" t="n">
        <v>0</v>
      </c>
      <c r="R708" s="2" t="inlineStr"/>
    </row>
    <row r="709" ht="15" customHeight="1">
      <c r="A709" t="inlineStr">
        <is>
          <t>A 34838-2023</t>
        </is>
      </c>
      <c r="B709" s="1" t="n">
        <v>45141.76530092592</v>
      </c>
      <c r="C709" s="1" t="n">
        <v>46035</v>
      </c>
      <c r="D709" t="inlineStr">
        <is>
          <t>ÖREBRO LÄN</t>
        </is>
      </c>
      <c r="E709" t="inlineStr">
        <is>
          <t>LINDESBERG</t>
        </is>
      </c>
      <c r="G709" t="n">
        <v>3</v>
      </c>
      <c r="H709" t="n">
        <v>0</v>
      </c>
      <c r="I709" t="n">
        <v>0</v>
      </c>
      <c r="J709" t="n">
        <v>0</v>
      </c>
      <c r="K709" t="n">
        <v>0</v>
      </c>
      <c r="L709" t="n">
        <v>0</v>
      </c>
      <c r="M709" t="n">
        <v>0</v>
      </c>
      <c r="N709" t="n">
        <v>0</v>
      </c>
      <c r="O709" t="n">
        <v>0</v>
      </c>
      <c r="P709" t="n">
        <v>0</v>
      </c>
      <c r="Q709" t="n">
        <v>0</v>
      </c>
      <c r="R709" s="2" t="inlineStr"/>
    </row>
    <row r="710" ht="15" customHeight="1">
      <c r="A710" t="inlineStr">
        <is>
          <t>A 31024-2023</t>
        </is>
      </c>
      <c r="B710" s="1" t="n">
        <v>45113</v>
      </c>
      <c r="C710" s="1" t="n">
        <v>46035</v>
      </c>
      <c r="D710" t="inlineStr">
        <is>
          <t>ÖREBRO LÄN</t>
        </is>
      </c>
      <c r="E710" t="inlineStr">
        <is>
          <t>LINDESBERG</t>
        </is>
      </c>
      <c r="G710" t="n">
        <v>5.1</v>
      </c>
      <c r="H710" t="n">
        <v>0</v>
      </c>
      <c r="I710" t="n">
        <v>0</v>
      </c>
      <c r="J710" t="n">
        <v>0</v>
      </c>
      <c r="K710" t="n">
        <v>0</v>
      </c>
      <c r="L710" t="n">
        <v>0</v>
      </c>
      <c r="M710" t="n">
        <v>0</v>
      </c>
      <c r="N710" t="n">
        <v>0</v>
      </c>
      <c r="O710" t="n">
        <v>0</v>
      </c>
      <c r="P710" t="n">
        <v>0</v>
      </c>
      <c r="Q710" t="n">
        <v>0</v>
      </c>
      <c r="R710" s="2" t="inlineStr"/>
    </row>
    <row r="711" ht="15" customHeight="1">
      <c r="A711" t="inlineStr">
        <is>
          <t>A 58056-2025</t>
        </is>
      </c>
      <c r="B711" s="1" t="n">
        <v>45982</v>
      </c>
      <c r="C711" s="1" t="n">
        <v>46035</v>
      </c>
      <c r="D711" t="inlineStr">
        <is>
          <t>ÖREBRO LÄN</t>
        </is>
      </c>
      <c r="E711" t="inlineStr">
        <is>
          <t>LINDESBERG</t>
        </is>
      </c>
      <c r="G711" t="n">
        <v>0.9</v>
      </c>
      <c r="H711" t="n">
        <v>0</v>
      </c>
      <c r="I711" t="n">
        <v>0</v>
      </c>
      <c r="J711" t="n">
        <v>0</v>
      </c>
      <c r="K711" t="n">
        <v>0</v>
      </c>
      <c r="L711" t="n">
        <v>0</v>
      </c>
      <c r="M711" t="n">
        <v>0</v>
      </c>
      <c r="N711" t="n">
        <v>0</v>
      </c>
      <c r="O711" t="n">
        <v>0</v>
      </c>
      <c r="P711" t="n">
        <v>0</v>
      </c>
      <c r="Q711" t="n">
        <v>0</v>
      </c>
      <c r="R711" s="2" t="inlineStr"/>
    </row>
    <row r="712" ht="15" customHeight="1">
      <c r="A712" t="inlineStr">
        <is>
          <t>A 33281-2024</t>
        </is>
      </c>
      <c r="B712" s="1" t="n">
        <v>45518.71202546296</v>
      </c>
      <c r="C712" s="1" t="n">
        <v>46035</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33283-2024</t>
        </is>
      </c>
      <c r="B713" s="1" t="n">
        <v>45518.71591435185</v>
      </c>
      <c r="C713" s="1" t="n">
        <v>46035</v>
      </c>
      <c r="D713" t="inlineStr">
        <is>
          <t>ÖREBRO LÄN</t>
        </is>
      </c>
      <c r="E713" t="inlineStr">
        <is>
          <t>LINDESBERG</t>
        </is>
      </c>
      <c r="G713" t="n">
        <v>3.9</v>
      </c>
      <c r="H713" t="n">
        <v>0</v>
      </c>
      <c r="I713" t="n">
        <v>0</v>
      </c>
      <c r="J713" t="n">
        <v>0</v>
      </c>
      <c r="K713" t="n">
        <v>0</v>
      </c>
      <c r="L713" t="n">
        <v>0</v>
      </c>
      <c r="M713" t="n">
        <v>0</v>
      </c>
      <c r="N713" t="n">
        <v>0</v>
      </c>
      <c r="O713" t="n">
        <v>0</v>
      </c>
      <c r="P713" t="n">
        <v>0</v>
      </c>
      <c r="Q713" t="n">
        <v>0</v>
      </c>
      <c r="R713" s="2" t="inlineStr"/>
    </row>
    <row r="714" ht="15" customHeight="1">
      <c r="A714" t="inlineStr">
        <is>
          <t>A 61960-2024</t>
        </is>
      </c>
      <c r="B714" s="1" t="n">
        <v>45653.53664351852</v>
      </c>
      <c r="C714" s="1" t="n">
        <v>46035</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48756-2024</t>
        </is>
      </c>
      <c r="B715" s="1" t="n">
        <v>45593.59681712963</v>
      </c>
      <c r="C715" s="1" t="n">
        <v>46035</v>
      </c>
      <c r="D715" t="inlineStr">
        <is>
          <t>ÖREBRO LÄN</t>
        </is>
      </c>
      <c r="E715" t="inlineStr">
        <is>
          <t>LINDESBERG</t>
        </is>
      </c>
      <c r="G715" t="n">
        <v>1.6</v>
      </c>
      <c r="H715" t="n">
        <v>0</v>
      </c>
      <c r="I715" t="n">
        <v>0</v>
      </c>
      <c r="J715" t="n">
        <v>0</v>
      </c>
      <c r="K715" t="n">
        <v>0</v>
      </c>
      <c r="L715" t="n">
        <v>0</v>
      </c>
      <c r="M715" t="n">
        <v>0</v>
      </c>
      <c r="N715" t="n">
        <v>0</v>
      </c>
      <c r="O715" t="n">
        <v>0</v>
      </c>
      <c r="P715" t="n">
        <v>0</v>
      </c>
      <c r="Q715" t="n">
        <v>0</v>
      </c>
      <c r="R715" s="2" t="inlineStr"/>
    </row>
    <row r="716" ht="15" customHeight="1">
      <c r="A716" t="inlineStr">
        <is>
          <t>A 60449-2024</t>
        </is>
      </c>
      <c r="B716" s="1" t="n">
        <v>45643</v>
      </c>
      <c r="C716" s="1" t="n">
        <v>46035</v>
      </c>
      <c r="D716" t="inlineStr">
        <is>
          <t>ÖREBRO LÄN</t>
        </is>
      </c>
      <c r="E716" t="inlineStr">
        <is>
          <t>LINDESBERG</t>
        </is>
      </c>
      <c r="G716" t="n">
        <v>1.2</v>
      </c>
      <c r="H716" t="n">
        <v>0</v>
      </c>
      <c r="I716" t="n">
        <v>0</v>
      </c>
      <c r="J716" t="n">
        <v>0</v>
      </c>
      <c r="K716" t="n">
        <v>0</v>
      </c>
      <c r="L716" t="n">
        <v>0</v>
      </c>
      <c r="M716" t="n">
        <v>0</v>
      </c>
      <c r="N716" t="n">
        <v>0</v>
      </c>
      <c r="O716" t="n">
        <v>0</v>
      </c>
      <c r="P716" t="n">
        <v>0</v>
      </c>
      <c r="Q716" t="n">
        <v>0</v>
      </c>
      <c r="R716" s="2" t="inlineStr"/>
    </row>
    <row r="717" ht="15" customHeight="1">
      <c r="A717" t="inlineStr">
        <is>
          <t>A 15060-2024</t>
        </is>
      </c>
      <c r="B717" s="1" t="n">
        <v>45399.56596064815</v>
      </c>
      <c r="C717" s="1" t="n">
        <v>46035</v>
      </c>
      <c r="D717" t="inlineStr">
        <is>
          <t>ÖREBRO LÄN</t>
        </is>
      </c>
      <c r="E717" t="inlineStr">
        <is>
          <t>LINDESBERG</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53510-2024</t>
        </is>
      </c>
      <c r="B718" s="1" t="n">
        <v>45614.5968287037</v>
      </c>
      <c r="C718" s="1" t="n">
        <v>46035</v>
      </c>
      <c r="D718" t="inlineStr">
        <is>
          <t>ÖREBRO LÄN</t>
        </is>
      </c>
      <c r="E718" t="inlineStr">
        <is>
          <t>LINDESBERG</t>
        </is>
      </c>
      <c r="G718" t="n">
        <v>1</v>
      </c>
      <c r="H718" t="n">
        <v>0</v>
      </c>
      <c r="I718" t="n">
        <v>0</v>
      </c>
      <c r="J718" t="n">
        <v>0</v>
      </c>
      <c r="K718" t="n">
        <v>0</v>
      </c>
      <c r="L718" t="n">
        <v>0</v>
      </c>
      <c r="M718" t="n">
        <v>0</v>
      </c>
      <c r="N718" t="n">
        <v>0</v>
      </c>
      <c r="O718" t="n">
        <v>0</v>
      </c>
      <c r="P718" t="n">
        <v>0</v>
      </c>
      <c r="Q718" t="n">
        <v>0</v>
      </c>
      <c r="R718" s="2" t="inlineStr"/>
    </row>
    <row r="719" ht="15" customHeight="1">
      <c r="A719" t="inlineStr">
        <is>
          <t>A 34676-2023</t>
        </is>
      </c>
      <c r="B719" s="1" t="n">
        <v>45140</v>
      </c>
      <c r="C719" s="1" t="n">
        <v>46035</v>
      </c>
      <c r="D719" t="inlineStr">
        <is>
          <t>ÖREBRO LÄN</t>
        </is>
      </c>
      <c r="E719" t="inlineStr">
        <is>
          <t>LINDESBERG</t>
        </is>
      </c>
      <c r="G719" t="n">
        <v>2.4</v>
      </c>
      <c r="H719" t="n">
        <v>0</v>
      </c>
      <c r="I719" t="n">
        <v>0</v>
      </c>
      <c r="J719" t="n">
        <v>0</v>
      </c>
      <c r="K719" t="n">
        <v>0</v>
      </c>
      <c r="L719" t="n">
        <v>0</v>
      </c>
      <c r="M719" t="n">
        <v>0</v>
      </c>
      <c r="N719" t="n">
        <v>0</v>
      </c>
      <c r="O719" t="n">
        <v>0</v>
      </c>
      <c r="P719" t="n">
        <v>0</v>
      </c>
      <c r="Q719" t="n">
        <v>0</v>
      </c>
      <c r="R719" s="2" t="inlineStr"/>
    </row>
    <row r="720" ht="15" customHeight="1">
      <c r="A720" t="inlineStr">
        <is>
          <t>A 61594-2024</t>
        </is>
      </c>
      <c r="B720" s="1" t="n">
        <v>45646.63482638889</v>
      </c>
      <c r="C720" s="1" t="n">
        <v>46035</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58963-2025</t>
        </is>
      </c>
      <c r="B721" s="1" t="n">
        <v>45987.60012731481</v>
      </c>
      <c r="C721" s="1" t="n">
        <v>46035</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911-2026</t>
        </is>
      </c>
      <c r="B722" s="1" t="n">
        <v>46030.47725694445</v>
      </c>
      <c r="C722" s="1" t="n">
        <v>46035</v>
      </c>
      <c r="D722" t="inlineStr">
        <is>
          <t>ÖREBRO LÄN</t>
        </is>
      </c>
      <c r="E722" t="inlineStr">
        <is>
          <t>LINDESBERG</t>
        </is>
      </c>
      <c r="G722" t="n">
        <v>1.6</v>
      </c>
      <c r="H722" t="n">
        <v>0</v>
      </c>
      <c r="I722" t="n">
        <v>0</v>
      </c>
      <c r="J722" t="n">
        <v>0</v>
      </c>
      <c r="K722" t="n">
        <v>0</v>
      </c>
      <c r="L722" t="n">
        <v>0</v>
      </c>
      <c r="M722" t="n">
        <v>0</v>
      </c>
      <c r="N722" t="n">
        <v>0</v>
      </c>
      <c r="O722" t="n">
        <v>0</v>
      </c>
      <c r="P722" t="n">
        <v>0</v>
      </c>
      <c r="Q722" t="n">
        <v>0</v>
      </c>
      <c r="R722" s="2" t="inlineStr"/>
    </row>
    <row r="723" ht="15" customHeight="1">
      <c r="A723" t="inlineStr">
        <is>
          <t>A 610-2026</t>
        </is>
      </c>
      <c r="B723" s="1" t="n">
        <v>46029.51399305555</v>
      </c>
      <c r="C723" s="1" t="n">
        <v>46035</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40563-2023</t>
        </is>
      </c>
      <c r="B724" s="1" t="n">
        <v>45170.45921296296</v>
      </c>
      <c r="C724" s="1" t="n">
        <v>46035</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7026-2024</t>
        </is>
      </c>
      <c r="B725" s="1" t="n">
        <v>45343.58587962963</v>
      </c>
      <c r="C725" s="1" t="n">
        <v>46035</v>
      </c>
      <c r="D725" t="inlineStr">
        <is>
          <t>ÖREBRO LÄN</t>
        </is>
      </c>
      <c r="E725" t="inlineStr">
        <is>
          <t>LINDESBERG</t>
        </is>
      </c>
      <c r="G725" t="n">
        <v>2.4</v>
      </c>
      <c r="H725" t="n">
        <v>0</v>
      </c>
      <c r="I725" t="n">
        <v>0</v>
      </c>
      <c r="J725" t="n">
        <v>0</v>
      </c>
      <c r="K725" t="n">
        <v>0</v>
      </c>
      <c r="L725" t="n">
        <v>0</v>
      </c>
      <c r="M725" t="n">
        <v>0</v>
      </c>
      <c r="N725" t="n">
        <v>0</v>
      </c>
      <c r="O725" t="n">
        <v>0</v>
      </c>
      <c r="P725" t="n">
        <v>0</v>
      </c>
      <c r="Q725" t="n">
        <v>0</v>
      </c>
      <c r="R725" s="2" t="inlineStr"/>
    </row>
    <row r="726" ht="15" customHeight="1">
      <c r="A726" t="inlineStr">
        <is>
          <t>A 878-2026</t>
        </is>
      </c>
      <c r="B726" s="1" t="n">
        <v>46030.44277777777</v>
      </c>
      <c r="C726" s="1" t="n">
        <v>46035</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46035</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51379-2023</t>
        </is>
      </c>
      <c r="B728" s="1" t="n">
        <v>45219</v>
      </c>
      <c r="C728" s="1" t="n">
        <v>46035</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5080-2024</t>
        </is>
      </c>
      <c r="B729" s="1" t="n">
        <v>45330</v>
      </c>
      <c r="C729" s="1" t="n">
        <v>46035</v>
      </c>
      <c r="D729" t="inlineStr">
        <is>
          <t>ÖREBRO LÄN</t>
        </is>
      </c>
      <c r="E729" t="inlineStr">
        <is>
          <t>LINDESBERG</t>
        </is>
      </c>
      <c r="G729" t="n">
        <v>1.5</v>
      </c>
      <c r="H729" t="n">
        <v>0</v>
      </c>
      <c r="I729" t="n">
        <v>0</v>
      </c>
      <c r="J729" t="n">
        <v>0</v>
      </c>
      <c r="K729" t="n">
        <v>0</v>
      </c>
      <c r="L729" t="n">
        <v>0</v>
      </c>
      <c r="M729" t="n">
        <v>0</v>
      </c>
      <c r="N729" t="n">
        <v>0</v>
      </c>
      <c r="O729" t="n">
        <v>0</v>
      </c>
      <c r="P729" t="n">
        <v>0</v>
      </c>
      <c r="Q729" t="n">
        <v>0</v>
      </c>
      <c r="R729" s="2" t="inlineStr"/>
    </row>
    <row r="730" ht="15" customHeight="1">
      <c r="A730" t="inlineStr">
        <is>
          <t>A 12307-2025</t>
        </is>
      </c>
      <c r="B730" s="1" t="n">
        <v>45729.76231481481</v>
      </c>
      <c r="C730" s="1" t="n">
        <v>46035</v>
      </c>
      <c r="D730" t="inlineStr">
        <is>
          <t>ÖREBRO LÄN</t>
        </is>
      </c>
      <c r="E730" t="inlineStr">
        <is>
          <t>LINDESBERG</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45056-2024</t>
        </is>
      </c>
      <c r="B731" s="1" t="n">
        <v>45575.55273148148</v>
      </c>
      <c r="C731" s="1" t="n">
        <v>46035</v>
      </c>
      <c r="D731" t="inlineStr">
        <is>
          <t>ÖREBRO LÄN</t>
        </is>
      </c>
      <c r="E731" t="inlineStr">
        <is>
          <t>LINDESBERG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45058-2024</t>
        </is>
      </c>
      <c r="B732" s="1" t="n">
        <v>45575.5547337963</v>
      </c>
      <c r="C732" s="1" t="n">
        <v>46035</v>
      </c>
      <c r="D732" t="inlineStr">
        <is>
          <t>ÖREBRO LÄN</t>
        </is>
      </c>
      <c r="E732" t="inlineStr">
        <is>
          <t>LINDESBERG</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45063-2024</t>
        </is>
      </c>
      <c r="B733" s="1" t="n">
        <v>45575.55684027778</v>
      </c>
      <c r="C733" s="1" t="n">
        <v>46035</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45072-2024</t>
        </is>
      </c>
      <c r="B734" s="1" t="n">
        <v>45575.56686342593</v>
      </c>
      <c r="C734" s="1" t="n">
        <v>46035</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45075-2024</t>
        </is>
      </c>
      <c r="B735" s="1" t="n">
        <v>45575.56820601852</v>
      </c>
      <c r="C735" s="1" t="n">
        <v>46035</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41948-2023</t>
        </is>
      </c>
      <c r="B736" s="1" t="n">
        <v>45177.33091435185</v>
      </c>
      <c r="C736" s="1" t="n">
        <v>46035</v>
      </c>
      <c r="D736" t="inlineStr">
        <is>
          <t>ÖREBRO LÄN</t>
        </is>
      </c>
      <c r="E736" t="inlineStr">
        <is>
          <t>LINDESBERG</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67016-2021</t>
        </is>
      </c>
      <c r="B737" s="1" t="n">
        <v>44522</v>
      </c>
      <c r="C737" s="1" t="n">
        <v>46035</v>
      </c>
      <c r="D737" t="inlineStr">
        <is>
          <t>ÖREBRO LÄN</t>
        </is>
      </c>
      <c r="E737" t="inlineStr">
        <is>
          <t>LINDESBERG</t>
        </is>
      </c>
      <c r="G737" t="n">
        <v>8</v>
      </c>
      <c r="H737" t="n">
        <v>0</v>
      </c>
      <c r="I737" t="n">
        <v>0</v>
      </c>
      <c r="J737" t="n">
        <v>0</v>
      </c>
      <c r="K737" t="n">
        <v>0</v>
      </c>
      <c r="L737" t="n">
        <v>0</v>
      </c>
      <c r="M737" t="n">
        <v>0</v>
      </c>
      <c r="N737" t="n">
        <v>0</v>
      </c>
      <c r="O737" t="n">
        <v>0</v>
      </c>
      <c r="P737" t="n">
        <v>0</v>
      </c>
      <c r="Q737" t="n">
        <v>0</v>
      </c>
      <c r="R737" s="2" t="inlineStr"/>
    </row>
    <row r="738" ht="15" customHeight="1">
      <c r="A738" t="inlineStr">
        <is>
          <t>A 10111-2022</t>
        </is>
      </c>
      <c r="B738" s="1" t="n">
        <v>44621.85737268518</v>
      </c>
      <c r="C738" s="1" t="n">
        <v>46035</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19960-2023</t>
        </is>
      </c>
      <c r="B739" s="1" t="n">
        <v>45054</v>
      </c>
      <c r="C739" s="1" t="n">
        <v>46035</v>
      </c>
      <c r="D739" t="inlineStr">
        <is>
          <t>ÖREBRO LÄN</t>
        </is>
      </c>
      <c r="E739" t="inlineStr">
        <is>
          <t>LINDESBERG</t>
        </is>
      </c>
      <c r="G739" t="n">
        <v>6.2</v>
      </c>
      <c r="H739" t="n">
        <v>0</v>
      </c>
      <c r="I739" t="n">
        <v>0</v>
      </c>
      <c r="J739" t="n">
        <v>0</v>
      </c>
      <c r="K739" t="n">
        <v>0</v>
      </c>
      <c r="L739" t="n">
        <v>0</v>
      </c>
      <c r="M739" t="n">
        <v>0</v>
      </c>
      <c r="N739" t="n">
        <v>0</v>
      </c>
      <c r="O739" t="n">
        <v>0</v>
      </c>
      <c r="P739" t="n">
        <v>0</v>
      </c>
      <c r="Q739" t="n">
        <v>0</v>
      </c>
      <c r="R739" s="2" t="inlineStr"/>
    </row>
    <row r="740" ht="15" customHeight="1">
      <c r="A740" t="inlineStr">
        <is>
          <t>A 50972-2023</t>
        </is>
      </c>
      <c r="B740" s="1" t="n">
        <v>45218</v>
      </c>
      <c r="C740" s="1" t="n">
        <v>46035</v>
      </c>
      <c r="D740" t="inlineStr">
        <is>
          <t>ÖREBRO LÄN</t>
        </is>
      </c>
      <c r="E740" t="inlineStr">
        <is>
          <t>LINDESBERG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1160-2026</t>
        </is>
      </c>
      <c r="B741" s="1" t="n">
        <v>46031</v>
      </c>
      <c r="C741" s="1" t="n">
        <v>46035</v>
      </c>
      <c r="D741" t="inlineStr">
        <is>
          <t>ÖREBRO LÄN</t>
        </is>
      </c>
      <c r="E741" t="inlineStr">
        <is>
          <t>LINDESBERG</t>
        </is>
      </c>
      <c r="G741" t="n">
        <v>12.2</v>
      </c>
      <c r="H741" t="n">
        <v>0</v>
      </c>
      <c r="I741" t="n">
        <v>0</v>
      </c>
      <c r="J741" t="n">
        <v>0</v>
      </c>
      <c r="K741" t="n">
        <v>0</v>
      </c>
      <c r="L741" t="n">
        <v>0</v>
      </c>
      <c r="M741" t="n">
        <v>0</v>
      </c>
      <c r="N741" t="n">
        <v>0</v>
      </c>
      <c r="O741" t="n">
        <v>0</v>
      </c>
      <c r="P741" t="n">
        <v>0</v>
      </c>
      <c r="Q741" t="n">
        <v>0</v>
      </c>
      <c r="R741" s="2" t="inlineStr"/>
    </row>
    <row r="742" ht="15" customHeight="1">
      <c r="A742" t="inlineStr">
        <is>
          <t>A 1749-2026</t>
        </is>
      </c>
      <c r="B742" s="1" t="n">
        <v>46034.65601851852</v>
      </c>
      <c r="C742" s="1" t="n">
        <v>46035</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33507-2023</t>
        </is>
      </c>
      <c r="B743" s="1" t="n">
        <v>45131</v>
      </c>
      <c r="C743" s="1" t="n">
        <v>46035</v>
      </c>
      <c r="D743" t="inlineStr">
        <is>
          <t>ÖREBRO LÄN</t>
        </is>
      </c>
      <c r="E743" t="inlineStr">
        <is>
          <t>LINDESBERG</t>
        </is>
      </c>
      <c r="G743" t="n">
        <v>3.2</v>
      </c>
      <c r="H743" t="n">
        <v>0</v>
      </c>
      <c r="I743" t="n">
        <v>0</v>
      </c>
      <c r="J743" t="n">
        <v>0</v>
      </c>
      <c r="K743" t="n">
        <v>0</v>
      </c>
      <c r="L743" t="n">
        <v>0</v>
      </c>
      <c r="M743" t="n">
        <v>0</v>
      </c>
      <c r="N743" t="n">
        <v>0</v>
      </c>
      <c r="O743" t="n">
        <v>0</v>
      </c>
      <c r="P743" t="n">
        <v>0</v>
      </c>
      <c r="Q743" t="n">
        <v>0</v>
      </c>
      <c r="R743" s="2" t="inlineStr"/>
    </row>
    <row r="744" ht="15" customHeight="1">
      <c r="A744" t="inlineStr">
        <is>
          <t>A 2406-2024</t>
        </is>
      </c>
      <c r="B744" s="1" t="n">
        <v>45310</v>
      </c>
      <c r="C744" s="1" t="n">
        <v>46035</v>
      </c>
      <c r="D744" t="inlineStr">
        <is>
          <t>ÖREBRO LÄN</t>
        </is>
      </c>
      <c r="E744" t="inlineStr">
        <is>
          <t>LINDESBERG</t>
        </is>
      </c>
      <c r="G744" t="n">
        <v>16.1</v>
      </c>
      <c r="H744" t="n">
        <v>0</v>
      </c>
      <c r="I744" t="n">
        <v>0</v>
      </c>
      <c r="J744" t="n">
        <v>0</v>
      </c>
      <c r="K744" t="n">
        <v>0</v>
      </c>
      <c r="L744" t="n">
        <v>0</v>
      </c>
      <c r="M744" t="n">
        <v>0</v>
      </c>
      <c r="N744" t="n">
        <v>0</v>
      </c>
      <c r="O744" t="n">
        <v>0</v>
      </c>
      <c r="P744" t="n">
        <v>0</v>
      </c>
      <c r="Q744" t="n">
        <v>0</v>
      </c>
      <c r="R744" s="2" t="inlineStr"/>
    </row>
    <row r="745" ht="15" customHeight="1">
      <c r="A745" t="inlineStr">
        <is>
          <t>A 17895-2022</t>
        </is>
      </c>
      <c r="B745" s="1" t="n">
        <v>44683</v>
      </c>
      <c r="C745" s="1" t="n">
        <v>46035</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1395-2025</t>
        </is>
      </c>
      <c r="B746" s="1" t="n">
        <v>45667</v>
      </c>
      <c r="C746" s="1" t="n">
        <v>46035</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52928-2024</t>
        </is>
      </c>
      <c r="B747" s="1" t="n">
        <v>45610</v>
      </c>
      <c r="C747" s="1" t="n">
        <v>46035</v>
      </c>
      <c r="D747" t="inlineStr">
        <is>
          <t>ÖREBRO LÄN</t>
        </is>
      </c>
      <c r="E747" t="inlineStr">
        <is>
          <t>LINDESBERG</t>
        </is>
      </c>
      <c r="G747" t="n">
        <v>8.6</v>
      </c>
      <c r="H747" t="n">
        <v>0</v>
      </c>
      <c r="I747" t="n">
        <v>0</v>
      </c>
      <c r="J747" t="n">
        <v>0</v>
      </c>
      <c r="K747" t="n">
        <v>0</v>
      </c>
      <c r="L747" t="n">
        <v>0</v>
      </c>
      <c r="M747" t="n">
        <v>0</v>
      </c>
      <c r="N747" t="n">
        <v>0</v>
      </c>
      <c r="O747" t="n">
        <v>0</v>
      </c>
      <c r="P747" t="n">
        <v>0</v>
      </c>
      <c r="Q747" t="n">
        <v>0</v>
      </c>
      <c r="R747" s="2" t="inlineStr"/>
    </row>
    <row r="748" ht="15" customHeight="1">
      <c r="A748" t="inlineStr">
        <is>
          <t>A 33716-2021</t>
        </is>
      </c>
      <c r="B748" s="1" t="n">
        <v>44378.46857638889</v>
      </c>
      <c r="C748" s="1" t="n">
        <v>46035</v>
      </c>
      <c r="D748" t="inlineStr">
        <is>
          <t>ÖREBRO LÄN</t>
        </is>
      </c>
      <c r="E748" t="inlineStr">
        <is>
          <t>LINDESBERG</t>
        </is>
      </c>
      <c r="G748" t="n">
        <v>4.6</v>
      </c>
      <c r="H748" t="n">
        <v>0</v>
      </c>
      <c r="I748" t="n">
        <v>0</v>
      </c>
      <c r="J748" t="n">
        <v>0</v>
      </c>
      <c r="K748" t="n">
        <v>0</v>
      </c>
      <c r="L748" t="n">
        <v>0</v>
      </c>
      <c r="M748" t="n">
        <v>0</v>
      </c>
      <c r="N748" t="n">
        <v>0</v>
      </c>
      <c r="O748" t="n">
        <v>0</v>
      </c>
      <c r="P748" t="n">
        <v>0</v>
      </c>
      <c r="Q748" t="n">
        <v>0</v>
      </c>
      <c r="R748" s="2" t="inlineStr"/>
    </row>
    <row r="749" ht="15" customHeight="1">
      <c r="A749" t="inlineStr">
        <is>
          <t>A 40970-2023</t>
        </is>
      </c>
      <c r="B749" s="1" t="n">
        <v>45173</v>
      </c>
      <c r="C749" s="1" t="n">
        <v>46035</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13729-2025</t>
        </is>
      </c>
      <c r="B750" s="1" t="n">
        <v>45737.3846412037</v>
      </c>
      <c r="C750" s="1" t="n">
        <v>46035</v>
      </c>
      <c r="D750" t="inlineStr">
        <is>
          <t>ÖREBRO LÄN</t>
        </is>
      </c>
      <c r="E750" t="inlineStr">
        <is>
          <t>LINDESBERG</t>
        </is>
      </c>
      <c r="F750" t="inlineStr">
        <is>
          <t>Sveaskog</t>
        </is>
      </c>
      <c r="G750" t="n">
        <v>5.4</v>
      </c>
      <c r="H750" t="n">
        <v>0</v>
      </c>
      <c r="I750" t="n">
        <v>0</v>
      </c>
      <c r="J750" t="n">
        <v>0</v>
      </c>
      <c r="K750" t="n">
        <v>0</v>
      </c>
      <c r="L750" t="n">
        <v>0</v>
      </c>
      <c r="M750" t="n">
        <v>0</v>
      </c>
      <c r="N750" t="n">
        <v>0</v>
      </c>
      <c r="O750" t="n">
        <v>0</v>
      </c>
      <c r="P750" t="n">
        <v>0</v>
      </c>
      <c r="Q750" t="n">
        <v>0</v>
      </c>
      <c r="R750" s="2" t="inlineStr"/>
    </row>
    <row r="751" ht="15" customHeight="1">
      <c r="A751" t="inlineStr">
        <is>
          <t>A 60492-2024</t>
        </is>
      </c>
      <c r="B751" s="1" t="n">
        <v>45642</v>
      </c>
      <c r="C751" s="1" t="n">
        <v>46035</v>
      </c>
      <c r="D751" t="inlineStr">
        <is>
          <t>ÖREBRO LÄN</t>
        </is>
      </c>
      <c r="E751" t="inlineStr">
        <is>
          <t>LINDESBERG</t>
        </is>
      </c>
      <c r="G751" t="n">
        <v>2.6</v>
      </c>
      <c r="H751" t="n">
        <v>0</v>
      </c>
      <c r="I751" t="n">
        <v>0</v>
      </c>
      <c r="J751" t="n">
        <v>0</v>
      </c>
      <c r="K751" t="n">
        <v>0</v>
      </c>
      <c r="L751" t="n">
        <v>0</v>
      </c>
      <c r="M751" t="n">
        <v>0</v>
      </c>
      <c r="N751" t="n">
        <v>0</v>
      </c>
      <c r="O751" t="n">
        <v>0</v>
      </c>
      <c r="P751" t="n">
        <v>0</v>
      </c>
      <c r="Q751" t="n">
        <v>0</v>
      </c>
      <c r="R751" s="2" t="inlineStr"/>
    </row>
    <row r="752" ht="15" customHeight="1">
      <c r="A752" t="inlineStr">
        <is>
          <t>A 40117-2023</t>
        </is>
      </c>
      <c r="B752" s="1" t="n">
        <v>45168.94197916667</v>
      </c>
      <c r="C752" s="1" t="n">
        <v>46035</v>
      </c>
      <c r="D752" t="inlineStr">
        <is>
          <t>ÖREBRO LÄN</t>
        </is>
      </c>
      <c r="E752" t="inlineStr">
        <is>
          <t>LINDESBERG</t>
        </is>
      </c>
      <c r="G752" t="n">
        <v>2.3</v>
      </c>
      <c r="H752" t="n">
        <v>0</v>
      </c>
      <c r="I752" t="n">
        <v>0</v>
      </c>
      <c r="J752" t="n">
        <v>0</v>
      </c>
      <c r="K752" t="n">
        <v>0</v>
      </c>
      <c r="L752" t="n">
        <v>0</v>
      </c>
      <c r="M752" t="n">
        <v>0</v>
      </c>
      <c r="N752" t="n">
        <v>0</v>
      </c>
      <c r="O752" t="n">
        <v>0</v>
      </c>
      <c r="P752" t="n">
        <v>0</v>
      </c>
      <c r="Q752" t="n">
        <v>0</v>
      </c>
      <c r="R752" s="2" t="inlineStr"/>
    </row>
    <row r="753" ht="15" customHeight="1">
      <c r="A753" t="inlineStr">
        <is>
          <t>A 11366-2024</t>
        </is>
      </c>
      <c r="B753" s="1" t="n">
        <v>45372.40246527778</v>
      </c>
      <c r="C753" s="1" t="n">
        <v>46035</v>
      </c>
      <c r="D753" t="inlineStr">
        <is>
          <t>ÖREBRO LÄN</t>
        </is>
      </c>
      <c r="E753" t="inlineStr">
        <is>
          <t>LINDESBERG</t>
        </is>
      </c>
      <c r="G753" t="n">
        <v>4.4</v>
      </c>
      <c r="H753" t="n">
        <v>0</v>
      </c>
      <c r="I753" t="n">
        <v>0</v>
      </c>
      <c r="J753" t="n">
        <v>0</v>
      </c>
      <c r="K753" t="n">
        <v>0</v>
      </c>
      <c r="L753" t="n">
        <v>0</v>
      </c>
      <c r="M753" t="n">
        <v>0</v>
      </c>
      <c r="N753" t="n">
        <v>0</v>
      </c>
      <c r="O753" t="n">
        <v>0</v>
      </c>
      <c r="P753" t="n">
        <v>0</v>
      </c>
      <c r="Q753" t="n">
        <v>0</v>
      </c>
      <c r="R753" s="2" t="inlineStr"/>
    </row>
    <row r="754" ht="15" customHeight="1">
      <c r="A754" t="inlineStr">
        <is>
          <t>A 60943-2024</t>
        </is>
      </c>
      <c r="B754" s="1" t="n">
        <v>45645.3737962963</v>
      </c>
      <c r="C754" s="1" t="n">
        <v>46035</v>
      </c>
      <c r="D754" t="inlineStr">
        <is>
          <t>ÖREBRO LÄN</t>
        </is>
      </c>
      <c r="E754" t="inlineStr">
        <is>
          <t>LINDESBERG</t>
        </is>
      </c>
      <c r="F754" t="inlineStr">
        <is>
          <t>Sveaskog</t>
        </is>
      </c>
      <c r="G754" t="n">
        <v>2</v>
      </c>
      <c r="H754" t="n">
        <v>0</v>
      </c>
      <c r="I754" t="n">
        <v>0</v>
      </c>
      <c r="J754" t="n">
        <v>0</v>
      </c>
      <c r="K754" t="n">
        <v>0</v>
      </c>
      <c r="L754" t="n">
        <v>0</v>
      </c>
      <c r="M754" t="n">
        <v>0</v>
      </c>
      <c r="N754" t="n">
        <v>0</v>
      </c>
      <c r="O754" t="n">
        <v>0</v>
      </c>
      <c r="P754" t="n">
        <v>0</v>
      </c>
      <c r="Q754" t="n">
        <v>0</v>
      </c>
      <c r="R754" s="2" t="inlineStr"/>
    </row>
    <row r="755" ht="15" customHeight="1">
      <c r="A755" t="inlineStr">
        <is>
          <t>A 56912-2024</t>
        </is>
      </c>
      <c r="B755" s="1" t="n">
        <v>45628.59233796296</v>
      </c>
      <c r="C755" s="1" t="n">
        <v>46035</v>
      </c>
      <c r="D755" t="inlineStr">
        <is>
          <t>ÖREBRO LÄN</t>
        </is>
      </c>
      <c r="E755" t="inlineStr">
        <is>
          <t>LINDESBERG</t>
        </is>
      </c>
      <c r="G755" t="n">
        <v>1</v>
      </c>
      <c r="H755" t="n">
        <v>0</v>
      </c>
      <c r="I755" t="n">
        <v>0</v>
      </c>
      <c r="J755" t="n">
        <v>0</v>
      </c>
      <c r="K755" t="n">
        <v>0</v>
      </c>
      <c r="L755" t="n">
        <v>0</v>
      </c>
      <c r="M755" t="n">
        <v>0</v>
      </c>
      <c r="N755" t="n">
        <v>0</v>
      </c>
      <c r="O755" t="n">
        <v>0</v>
      </c>
      <c r="P755" t="n">
        <v>0</v>
      </c>
      <c r="Q755" t="n">
        <v>0</v>
      </c>
      <c r="R755" s="2" t="inlineStr"/>
    </row>
    <row r="756" ht="15" customHeight="1">
      <c r="A756" t="inlineStr">
        <is>
          <t>A 47620-2023</t>
        </is>
      </c>
      <c r="B756" s="1" t="n">
        <v>45203.510625</v>
      </c>
      <c r="C756" s="1" t="n">
        <v>46035</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44010-2023</t>
        </is>
      </c>
      <c r="B757" s="1" t="n">
        <v>45188</v>
      </c>
      <c r="C757" s="1" t="n">
        <v>46035</v>
      </c>
      <c r="D757" t="inlineStr">
        <is>
          <t>ÖREBRO LÄN</t>
        </is>
      </c>
      <c r="E757" t="inlineStr">
        <is>
          <t>LINDESBERG</t>
        </is>
      </c>
      <c r="G757" t="n">
        <v>2.3</v>
      </c>
      <c r="H757" t="n">
        <v>0</v>
      </c>
      <c r="I757" t="n">
        <v>0</v>
      </c>
      <c r="J757" t="n">
        <v>0</v>
      </c>
      <c r="K757" t="n">
        <v>0</v>
      </c>
      <c r="L757" t="n">
        <v>0</v>
      </c>
      <c r="M757" t="n">
        <v>0</v>
      </c>
      <c r="N757" t="n">
        <v>0</v>
      </c>
      <c r="O757" t="n">
        <v>0</v>
      </c>
      <c r="P757" t="n">
        <v>0</v>
      </c>
      <c r="Q757" t="n">
        <v>0</v>
      </c>
      <c r="R757" s="2" t="inlineStr"/>
    </row>
    <row r="758" ht="15" customHeight="1">
      <c r="A758" t="inlineStr">
        <is>
          <t>A 2107-2022</t>
        </is>
      </c>
      <c r="B758" s="1" t="n">
        <v>44577.83484953704</v>
      </c>
      <c r="C758" s="1" t="n">
        <v>46035</v>
      </c>
      <c r="D758" t="inlineStr">
        <is>
          <t>ÖREBRO LÄN</t>
        </is>
      </c>
      <c r="E758" t="inlineStr">
        <is>
          <t>LINDESBERG</t>
        </is>
      </c>
      <c r="G758" t="n">
        <v>2.9</v>
      </c>
      <c r="H758" t="n">
        <v>0</v>
      </c>
      <c r="I758" t="n">
        <v>0</v>
      </c>
      <c r="J758" t="n">
        <v>0</v>
      </c>
      <c r="K758" t="n">
        <v>0</v>
      </c>
      <c r="L758" t="n">
        <v>0</v>
      </c>
      <c r="M758" t="n">
        <v>0</v>
      </c>
      <c r="N758" t="n">
        <v>0</v>
      </c>
      <c r="O758" t="n">
        <v>0</v>
      </c>
      <c r="P758" t="n">
        <v>0</v>
      </c>
      <c r="Q758" t="n">
        <v>0</v>
      </c>
      <c r="R758" s="2" t="inlineStr"/>
    </row>
    <row r="759" ht="15" customHeight="1">
      <c r="A759" t="inlineStr">
        <is>
          <t>A 16864-2022</t>
        </is>
      </c>
      <c r="B759" s="1" t="n">
        <v>44675</v>
      </c>
      <c r="C759" s="1" t="n">
        <v>46035</v>
      </c>
      <c r="D759" t="inlineStr">
        <is>
          <t>ÖREBRO LÄN</t>
        </is>
      </c>
      <c r="E759" t="inlineStr">
        <is>
          <t>LINDESBERG</t>
        </is>
      </c>
      <c r="F759" t="inlineStr">
        <is>
          <t>Kyrkan</t>
        </is>
      </c>
      <c r="G759" t="n">
        <v>1.7</v>
      </c>
      <c r="H759" t="n">
        <v>0</v>
      </c>
      <c r="I759" t="n">
        <v>0</v>
      </c>
      <c r="J759" t="n">
        <v>0</v>
      </c>
      <c r="K759" t="n">
        <v>0</v>
      </c>
      <c r="L759" t="n">
        <v>0</v>
      </c>
      <c r="M759" t="n">
        <v>0</v>
      </c>
      <c r="N759" t="n">
        <v>0</v>
      </c>
      <c r="O759" t="n">
        <v>0</v>
      </c>
      <c r="P759" t="n">
        <v>0</v>
      </c>
      <c r="Q759" t="n">
        <v>0</v>
      </c>
      <c r="R759" s="2" t="inlineStr"/>
    </row>
    <row r="760" ht="15" customHeight="1">
      <c r="A760" t="inlineStr">
        <is>
          <t>A 32928-2023</t>
        </is>
      </c>
      <c r="B760" s="1" t="n">
        <v>45125.41458333333</v>
      </c>
      <c r="C760" s="1" t="n">
        <v>46035</v>
      </c>
      <c r="D760" t="inlineStr">
        <is>
          <t>ÖREBRO LÄN</t>
        </is>
      </c>
      <c r="E760" t="inlineStr">
        <is>
          <t>LINDESBERG</t>
        </is>
      </c>
      <c r="G760" t="n">
        <v>4.8</v>
      </c>
      <c r="H760" t="n">
        <v>0</v>
      </c>
      <c r="I760" t="n">
        <v>0</v>
      </c>
      <c r="J760" t="n">
        <v>0</v>
      </c>
      <c r="K760" t="n">
        <v>0</v>
      </c>
      <c r="L760" t="n">
        <v>0</v>
      </c>
      <c r="M760" t="n">
        <v>0</v>
      </c>
      <c r="N760" t="n">
        <v>0</v>
      </c>
      <c r="O760" t="n">
        <v>0</v>
      </c>
      <c r="P760" t="n">
        <v>0</v>
      </c>
      <c r="Q760" t="n">
        <v>0</v>
      </c>
      <c r="R760" s="2" t="inlineStr"/>
    </row>
    <row r="761" ht="15" customHeight="1">
      <c r="A761" t="inlineStr">
        <is>
          <t>A 21016-2023</t>
        </is>
      </c>
      <c r="B761" s="1" t="n">
        <v>45061.53414351852</v>
      </c>
      <c r="C761" s="1" t="n">
        <v>46035</v>
      </c>
      <c r="D761" t="inlineStr">
        <is>
          <t>ÖREBRO LÄN</t>
        </is>
      </c>
      <c r="E761" t="inlineStr">
        <is>
          <t>LINDESBERG</t>
        </is>
      </c>
      <c r="G761" t="n">
        <v>8.1</v>
      </c>
      <c r="H761" t="n">
        <v>0</v>
      </c>
      <c r="I761" t="n">
        <v>0</v>
      </c>
      <c r="J761" t="n">
        <v>0</v>
      </c>
      <c r="K761" t="n">
        <v>0</v>
      </c>
      <c r="L761" t="n">
        <v>0</v>
      </c>
      <c r="M761" t="n">
        <v>0</v>
      </c>
      <c r="N761" t="n">
        <v>0</v>
      </c>
      <c r="O761" t="n">
        <v>0</v>
      </c>
      <c r="P761" t="n">
        <v>0</v>
      </c>
      <c r="Q761" t="n">
        <v>0</v>
      </c>
      <c r="R761" s="2" t="inlineStr"/>
    </row>
    <row r="762" ht="15" customHeight="1">
      <c r="A762" t="inlineStr">
        <is>
          <t>A 40306-2022</t>
        </is>
      </c>
      <c r="B762" s="1" t="n">
        <v>44822</v>
      </c>
      <c r="C762" s="1" t="n">
        <v>46035</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27440-2023</t>
        </is>
      </c>
      <c r="B763" s="1" t="n">
        <v>45097.39893518519</v>
      </c>
      <c r="C763" s="1" t="n">
        <v>46035</v>
      </c>
      <c r="D763" t="inlineStr">
        <is>
          <t>ÖREBRO LÄN</t>
        </is>
      </c>
      <c r="E763" t="inlineStr">
        <is>
          <t>LINDESBERG</t>
        </is>
      </c>
      <c r="G763" t="n">
        <v>6.6</v>
      </c>
      <c r="H763" t="n">
        <v>0</v>
      </c>
      <c r="I763" t="n">
        <v>0</v>
      </c>
      <c r="J763" t="n">
        <v>0</v>
      </c>
      <c r="K763" t="n">
        <v>0</v>
      </c>
      <c r="L763" t="n">
        <v>0</v>
      </c>
      <c r="M763" t="n">
        <v>0</v>
      </c>
      <c r="N763" t="n">
        <v>0</v>
      </c>
      <c r="O763" t="n">
        <v>0</v>
      </c>
      <c r="P763" t="n">
        <v>0</v>
      </c>
      <c r="Q763" t="n">
        <v>0</v>
      </c>
      <c r="R763" s="2" t="inlineStr"/>
    </row>
    <row r="764" ht="15" customHeight="1">
      <c r="A764" t="inlineStr">
        <is>
          <t>A 40905-2023</t>
        </is>
      </c>
      <c r="B764" s="1" t="n">
        <v>45173.39315972223</v>
      </c>
      <c r="C764" s="1" t="n">
        <v>46035</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41951-2023</t>
        </is>
      </c>
      <c r="B765" s="1" t="n">
        <v>45177.33991898148</v>
      </c>
      <c r="C765" s="1" t="n">
        <v>46035</v>
      </c>
      <c r="D765" t="inlineStr">
        <is>
          <t>ÖREBRO LÄN</t>
        </is>
      </c>
      <c r="E765" t="inlineStr">
        <is>
          <t>LINDESBERG</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4310-2025</t>
        </is>
      </c>
      <c r="B766" s="1" t="n">
        <v>45685</v>
      </c>
      <c r="C766" s="1" t="n">
        <v>46035</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40758-2021</t>
        </is>
      </c>
      <c r="B767" s="1" t="n">
        <v>44420</v>
      </c>
      <c r="C767" s="1" t="n">
        <v>46035</v>
      </c>
      <c r="D767" t="inlineStr">
        <is>
          <t>ÖREBRO LÄN</t>
        </is>
      </c>
      <c r="E767" t="inlineStr">
        <is>
          <t>LINDESBERG</t>
        </is>
      </c>
      <c r="G767" t="n">
        <v>5</v>
      </c>
      <c r="H767" t="n">
        <v>0</v>
      </c>
      <c r="I767" t="n">
        <v>0</v>
      </c>
      <c r="J767" t="n">
        <v>0</v>
      </c>
      <c r="K767" t="n">
        <v>0</v>
      </c>
      <c r="L767" t="n">
        <v>0</v>
      </c>
      <c r="M767" t="n">
        <v>0</v>
      </c>
      <c r="N767" t="n">
        <v>0</v>
      </c>
      <c r="O767" t="n">
        <v>0</v>
      </c>
      <c r="P767" t="n">
        <v>0</v>
      </c>
      <c r="Q767" t="n">
        <v>0</v>
      </c>
      <c r="R767" s="2" t="inlineStr"/>
    </row>
    <row r="768" ht="15" customHeight="1">
      <c r="A768" t="inlineStr">
        <is>
          <t>A 34025-2024</t>
        </is>
      </c>
      <c r="B768" s="1" t="n">
        <v>45523.58565972222</v>
      </c>
      <c r="C768" s="1" t="n">
        <v>46035</v>
      </c>
      <c r="D768" t="inlineStr">
        <is>
          <t>ÖREBRO LÄN</t>
        </is>
      </c>
      <c r="E768" t="inlineStr">
        <is>
          <t>LINDESBERG</t>
        </is>
      </c>
      <c r="G768" t="n">
        <v>1.3</v>
      </c>
      <c r="H768" t="n">
        <v>0</v>
      </c>
      <c r="I768" t="n">
        <v>0</v>
      </c>
      <c r="J768" t="n">
        <v>0</v>
      </c>
      <c r="K768" t="n">
        <v>0</v>
      </c>
      <c r="L768" t="n">
        <v>0</v>
      </c>
      <c r="M768" t="n">
        <v>0</v>
      </c>
      <c r="N768" t="n">
        <v>0</v>
      </c>
      <c r="O768" t="n">
        <v>0</v>
      </c>
      <c r="P768" t="n">
        <v>0</v>
      </c>
      <c r="Q768" t="n">
        <v>0</v>
      </c>
      <c r="R768" s="2" t="inlineStr"/>
    </row>
    <row r="769" ht="15" customHeight="1">
      <c r="A769" t="inlineStr">
        <is>
          <t>A 10712-2021</t>
        </is>
      </c>
      <c r="B769" s="1" t="n">
        <v>44258</v>
      </c>
      <c r="C769" s="1" t="n">
        <v>46035</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7990-2025</t>
        </is>
      </c>
      <c r="B770" s="1" t="n">
        <v>45707</v>
      </c>
      <c r="C770" s="1" t="n">
        <v>46035</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61691-2023</t>
        </is>
      </c>
      <c r="B771" s="1" t="n">
        <v>45265.64142361111</v>
      </c>
      <c r="C771" s="1" t="n">
        <v>46035</v>
      </c>
      <c r="D771" t="inlineStr">
        <is>
          <t>ÖREBRO LÄN</t>
        </is>
      </c>
      <c r="E771" t="inlineStr">
        <is>
          <t>LINDESBERG</t>
        </is>
      </c>
      <c r="G771" t="n">
        <v>2.6</v>
      </c>
      <c r="H771" t="n">
        <v>0</v>
      </c>
      <c r="I771" t="n">
        <v>0</v>
      </c>
      <c r="J771" t="n">
        <v>0</v>
      </c>
      <c r="K771" t="n">
        <v>0</v>
      </c>
      <c r="L771" t="n">
        <v>0</v>
      </c>
      <c r="M771" t="n">
        <v>0</v>
      </c>
      <c r="N771" t="n">
        <v>0</v>
      </c>
      <c r="O771" t="n">
        <v>0</v>
      </c>
      <c r="P771" t="n">
        <v>0</v>
      </c>
      <c r="Q771" t="n">
        <v>0</v>
      </c>
      <c r="R771" s="2" t="inlineStr"/>
    </row>
    <row r="772" ht="15" customHeight="1">
      <c r="A772" t="inlineStr">
        <is>
          <t>A 37507-2023</t>
        </is>
      </c>
      <c r="B772" s="1" t="n">
        <v>45158.41768518519</v>
      </c>
      <c r="C772" s="1" t="n">
        <v>46035</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41576-2021</t>
        </is>
      </c>
      <c r="B773" s="1" t="n">
        <v>44425</v>
      </c>
      <c r="C773" s="1" t="n">
        <v>46035</v>
      </c>
      <c r="D773" t="inlineStr">
        <is>
          <t>ÖREBRO LÄN</t>
        </is>
      </c>
      <c r="E773" t="inlineStr">
        <is>
          <t>LINDESBERG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46675-2023</t>
        </is>
      </c>
      <c r="B774" s="1" t="n">
        <v>45194</v>
      </c>
      <c r="C774" s="1" t="n">
        <v>46035</v>
      </c>
      <c r="D774" t="inlineStr">
        <is>
          <t>ÖREBRO LÄN</t>
        </is>
      </c>
      <c r="E774" t="inlineStr">
        <is>
          <t>LINDESBERG</t>
        </is>
      </c>
      <c r="G774" t="n">
        <v>3.8</v>
      </c>
      <c r="H774" t="n">
        <v>0</v>
      </c>
      <c r="I774" t="n">
        <v>0</v>
      </c>
      <c r="J774" t="n">
        <v>0</v>
      </c>
      <c r="K774" t="n">
        <v>0</v>
      </c>
      <c r="L774" t="n">
        <v>0</v>
      </c>
      <c r="M774" t="n">
        <v>0</v>
      </c>
      <c r="N774" t="n">
        <v>0</v>
      </c>
      <c r="O774" t="n">
        <v>0</v>
      </c>
      <c r="P774" t="n">
        <v>0</v>
      </c>
      <c r="Q774" t="n">
        <v>0</v>
      </c>
      <c r="R774" s="2" t="inlineStr"/>
    </row>
    <row r="775" ht="15" customHeight="1">
      <c r="A775" t="inlineStr">
        <is>
          <t>A 34434-2023</t>
        </is>
      </c>
      <c r="B775" s="1" t="n">
        <v>45139.63480324074</v>
      </c>
      <c r="C775" s="1" t="n">
        <v>46035</v>
      </c>
      <c r="D775" t="inlineStr">
        <is>
          <t>ÖREBRO LÄN</t>
        </is>
      </c>
      <c r="E775" t="inlineStr">
        <is>
          <t>LINDESBERG</t>
        </is>
      </c>
      <c r="F775" t="inlineStr">
        <is>
          <t>Kyrkan</t>
        </is>
      </c>
      <c r="G775" t="n">
        <v>1.7</v>
      </c>
      <c r="H775" t="n">
        <v>0</v>
      </c>
      <c r="I775" t="n">
        <v>0</v>
      </c>
      <c r="J775" t="n">
        <v>0</v>
      </c>
      <c r="K775" t="n">
        <v>0</v>
      </c>
      <c r="L775" t="n">
        <v>0</v>
      </c>
      <c r="M775" t="n">
        <v>0</v>
      </c>
      <c r="N775" t="n">
        <v>0</v>
      </c>
      <c r="O775" t="n">
        <v>0</v>
      </c>
      <c r="P775" t="n">
        <v>0</v>
      </c>
      <c r="Q775" t="n">
        <v>0</v>
      </c>
      <c r="R775" s="2" t="inlineStr"/>
    </row>
    <row r="776" ht="15" customHeight="1">
      <c r="A776" t="inlineStr">
        <is>
          <t>A 54432-2023</t>
        </is>
      </c>
      <c r="B776" s="1" t="n">
        <v>45233.42121527778</v>
      </c>
      <c r="C776" s="1" t="n">
        <v>46035</v>
      </c>
      <c r="D776" t="inlineStr">
        <is>
          <t>ÖREBRO LÄN</t>
        </is>
      </c>
      <c r="E776" t="inlineStr">
        <is>
          <t>LINDESBERG</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15933-2025</t>
        </is>
      </c>
      <c r="B777" s="1" t="n">
        <v>45749.47251157407</v>
      </c>
      <c r="C777" s="1" t="n">
        <v>46035</v>
      </c>
      <c r="D777" t="inlineStr">
        <is>
          <t>ÖREBRO LÄN</t>
        </is>
      </c>
      <c r="E777" t="inlineStr">
        <is>
          <t>LINDESBERG</t>
        </is>
      </c>
      <c r="G777" t="n">
        <v>6.1</v>
      </c>
      <c r="H777" t="n">
        <v>0</v>
      </c>
      <c r="I777" t="n">
        <v>0</v>
      </c>
      <c r="J777" t="n">
        <v>0</v>
      </c>
      <c r="K777" t="n">
        <v>0</v>
      </c>
      <c r="L777" t="n">
        <v>0</v>
      </c>
      <c r="M777" t="n">
        <v>0</v>
      </c>
      <c r="N777" t="n">
        <v>0</v>
      </c>
      <c r="O777" t="n">
        <v>0</v>
      </c>
      <c r="P777" t="n">
        <v>0</v>
      </c>
      <c r="Q777" t="n">
        <v>0</v>
      </c>
      <c r="R777" s="2" t="inlineStr"/>
    </row>
    <row r="778" ht="15" customHeight="1">
      <c r="A778" t="inlineStr">
        <is>
          <t>A 15936-2025</t>
        </is>
      </c>
      <c r="B778" s="1" t="n">
        <v>45749.4737962963</v>
      </c>
      <c r="C778" s="1" t="n">
        <v>46035</v>
      </c>
      <c r="D778" t="inlineStr">
        <is>
          <t>ÖREBRO LÄN</t>
        </is>
      </c>
      <c r="E778" t="inlineStr">
        <is>
          <t>LINDESBERG</t>
        </is>
      </c>
      <c r="G778" t="n">
        <v>22.3</v>
      </c>
      <c r="H778" t="n">
        <v>0</v>
      </c>
      <c r="I778" t="n">
        <v>0</v>
      </c>
      <c r="J778" t="n">
        <v>0</v>
      </c>
      <c r="K778" t="n">
        <v>0</v>
      </c>
      <c r="L778" t="n">
        <v>0</v>
      </c>
      <c r="M778" t="n">
        <v>0</v>
      </c>
      <c r="N778" t="n">
        <v>0</v>
      </c>
      <c r="O778" t="n">
        <v>0</v>
      </c>
      <c r="P778" t="n">
        <v>0</v>
      </c>
      <c r="Q778" t="n">
        <v>0</v>
      </c>
      <c r="R778" s="2" t="inlineStr"/>
    </row>
    <row r="779" ht="15" customHeight="1">
      <c r="A779" t="inlineStr">
        <is>
          <t>A 1490-2024</t>
        </is>
      </c>
      <c r="B779" s="1" t="n">
        <v>45305</v>
      </c>
      <c r="C779" s="1" t="n">
        <v>46035</v>
      </c>
      <c r="D779" t="inlineStr">
        <is>
          <t>ÖREBRO LÄN</t>
        </is>
      </c>
      <c r="E779" t="inlineStr">
        <is>
          <t>LINDESBERG</t>
        </is>
      </c>
      <c r="G779" t="n">
        <v>17.6</v>
      </c>
      <c r="H779" t="n">
        <v>0</v>
      </c>
      <c r="I779" t="n">
        <v>0</v>
      </c>
      <c r="J779" t="n">
        <v>0</v>
      </c>
      <c r="K779" t="n">
        <v>0</v>
      </c>
      <c r="L779" t="n">
        <v>0</v>
      </c>
      <c r="M779" t="n">
        <v>0</v>
      </c>
      <c r="N779" t="n">
        <v>0</v>
      </c>
      <c r="O779" t="n">
        <v>0</v>
      </c>
      <c r="P779" t="n">
        <v>0</v>
      </c>
      <c r="Q779" t="n">
        <v>0</v>
      </c>
      <c r="R779" s="2" t="inlineStr"/>
    </row>
    <row r="780" ht="15" customHeight="1">
      <c r="A780" t="inlineStr">
        <is>
          <t>A 53168-2023</t>
        </is>
      </c>
      <c r="B780" s="1" t="n">
        <v>45229</v>
      </c>
      <c r="C780" s="1" t="n">
        <v>46035</v>
      </c>
      <c r="D780" t="inlineStr">
        <is>
          <t>ÖREBRO LÄN</t>
        </is>
      </c>
      <c r="E780" t="inlineStr">
        <is>
          <t>LINDESBERG</t>
        </is>
      </c>
      <c r="G780" t="n">
        <v>1.5</v>
      </c>
      <c r="H780" t="n">
        <v>0</v>
      </c>
      <c r="I780" t="n">
        <v>0</v>
      </c>
      <c r="J780" t="n">
        <v>0</v>
      </c>
      <c r="K780" t="n">
        <v>0</v>
      </c>
      <c r="L780" t="n">
        <v>0</v>
      </c>
      <c r="M780" t="n">
        <v>0</v>
      </c>
      <c r="N780" t="n">
        <v>0</v>
      </c>
      <c r="O780" t="n">
        <v>0</v>
      </c>
      <c r="P780" t="n">
        <v>0</v>
      </c>
      <c r="Q780" t="n">
        <v>0</v>
      </c>
      <c r="R780" s="2" t="inlineStr"/>
    </row>
    <row r="781" ht="15" customHeight="1">
      <c r="A781" t="inlineStr">
        <is>
          <t>A 17242-2025</t>
        </is>
      </c>
      <c r="B781" s="1" t="n">
        <v>45756.49009259259</v>
      </c>
      <c r="C781" s="1" t="n">
        <v>46035</v>
      </c>
      <c r="D781" t="inlineStr">
        <is>
          <t>ÖREBRO LÄN</t>
        </is>
      </c>
      <c r="E781" t="inlineStr">
        <is>
          <t>LINDESBERG</t>
        </is>
      </c>
      <c r="G781" t="n">
        <v>7.3</v>
      </c>
      <c r="H781" t="n">
        <v>0</v>
      </c>
      <c r="I781" t="n">
        <v>0</v>
      </c>
      <c r="J781" t="n">
        <v>0</v>
      </c>
      <c r="K781" t="n">
        <v>0</v>
      </c>
      <c r="L781" t="n">
        <v>0</v>
      </c>
      <c r="M781" t="n">
        <v>0</v>
      </c>
      <c r="N781" t="n">
        <v>0</v>
      </c>
      <c r="O781" t="n">
        <v>0</v>
      </c>
      <c r="P781" t="n">
        <v>0</v>
      </c>
      <c r="Q781" t="n">
        <v>0</v>
      </c>
      <c r="R781" s="2" t="inlineStr"/>
    </row>
    <row r="782" ht="15" customHeight="1">
      <c r="A782" t="inlineStr">
        <is>
          <t>A 4603-2024</t>
        </is>
      </c>
      <c r="B782" s="1" t="n">
        <v>45328</v>
      </c>
      <c r="C782" s="1" t="n">
        <v>46035</v>
      </c>
      <c r="D782" t="inlineStr">
        <is>
          <t>ÖREBRO LÄN</t>
        </is>
      </c>
      <c r="E782" t="inlineStr">
        <is>
          <t>LINDESBERG</t>
        </is>
      </c>
      <c r="F782" t="inlineStr">
        <is>
          <t>BillerudKorsnäs AB</t>
        </is>
      </c>
      <c r="G782" t="n">
        <v>4.3</v>
      </c>
      <c r="H782" t="n">
        <v>0</v>
      </c>
      <c r="I782" t="n">
        <v>0</v>
      </c>
      <c r="J782" t="n">
        <v>0</v>
      </c>
      <c r="K782" t="n">
        <v>0</v>
      </c>
      <c r="L782" t="n">
        <v>0</v>
      </c>
      <c r="M782" t="n">
        <v>0</v>
      </c>
      <c r="N782" t="n">
        <v>0</v>
      </c>
      <c r="O782" t="n">
        <v>0</v>
      </c>
      <c r="P782" t="n">
        <v>0</v>
      </c>
      <c r="Q782" t="n">
        <v>0</v>
      </c>
      <c r="R782" s="2" t="inlineStr"/>
    </row>
    <row r="783" ht="15" customHeight="1">
      <c r="A783" t="inlineStr">
        <is>
          <t>A 53062-2023</t>
        </is>
      </c>
      <c r="B783" s="1" t="n">
        <v>45227.31859953704</v>
      </c>
      <c r="C783" s="1" t="n">
        <v>46035</v>
      </c>
      <c r="D783" t="inlineStr">
        <is>
          <t>ÖREBRO LÄN</t>
        </is>
      </c>
      <c r="E783" t="inlineStr">
        <is>
          <t>LINDESBERG</t>
        </is>
      </c>
      <c r="G783" t="n">
        <v>3.1</v>
      </c>
      <c r="H783" t="n">
        <v>0</v>
      </c>
      <c r="I783" t="n">
        <v>0</v>
      </c>
      <c r="J783" t="n">
        <v>0</v>
      </c>
      <c r="K783" t="n">
        <v>0</v>
      </c>
      <c r="L783" t="n">
        <v>0</v>
      </c>
      <c r="M783" t="n">
        <v>0</v>
      </c>
      <c r="N783" t="n">
        <v>0</v>
      </c>
      <c r="O783" t="n">
        <v>0</v>
      </c>
      <c r="P783" t="n">
        <v>0</v>
      </c>
      <c r="Q783" t="n">
        <v>0</v>
      </c>
      <c r="R783" s="2" t="inlineStr"/>
    </row>
    <row r="784" ht="15" customHeight="1">
      <c r="A784" t="inlineStr">
        <is>
          <t>A 8902-2024</t>
        </is>
      </c>
      <c r="B784" s="1" t="n">
        <v>45357.34521990741</v>
      </c>
      <c r="C784" s="1" t="n">
        <v>46035</v>
      </c>
      <c r="D784" t="inlineStr">
        <is>
          <t>ÖREBRO LÄN</t>
        </is>
      </c>
      <c r="E784" t="inlineStr">
        <is>
          <t>LINDESBERG</t>
        </is>
      </c>
      <c r="F784" t="inlineStr">
        <is>
          <t>Kommuner</t>
        </is>
      </c>
      <c r="G784" t="n">
        <v>0.5</v>
      </c>
      <c r="H784" t="n">
        <v>0</v>
      </c>
      <c r="I784" t="n">
        <v>0</v>
      </c>
      <c r="J784" t="n">
        <v>0</v>
      </c>
      <c r="K784" t="n">
        <v>0</v>
      </c>
      <c r="L784" t="n">
        <v>0</v>
      </c>
      <c r="M784" t="n">
        <v>0</v>
      </c>
      <c r="N784" t="n">
        <v>0</v>
      </c>
      <c r="O784" t="n">
        <v>0</v>
      </c>
      <c r="P784" t="n">
        <v>0</v>
      </c>
      <c r="Q784" t="n">
        <v>0</v>
      </c>
      <c r="R784" s="2" t="inlineStr"/>
    </row>
    <row r="785" ht="15" customHeight="1">
      <c r="A785" t="inlineStr">
        <is>
          <t>A 59631-2023</t>
        </is>
      </c>
      <c r="B785" s="1" t="n">
        <v>45254.68105324074</v>
      </c>
      <c r="C785" s="1" t="n">
        <v>46035</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19110-2025</t>
        </is>
      </c>
      <c r="B786" s="1" t="n">
        <v>45768.49947916667</v>
      </c>
      <c r="C786" s="1" t="n">
        <v>46035</v>
      </c>
      <c r="D786" t="inlineStr">
        <is>
          <t>ÖREBRO LÄN</t>
        </is>
      </c>
      <c r="E786" t="inlineStr">
        <is>
          <t>LINDESBERG</t>
        </is>
      </c>
      <c r="G786" t="n">
        <v>2.6</v>
      </c>
      <c r="H786" t="n">
        <v>0</v>
      </c>
      <c r="I786" t="n">
        <v>0</v>
      </c>
      <c r="J786" t="n">
        <v>0</v>
      </c>
      <c r="K786" t="n">
        <v>0</v>
      </c>
      <c r="L786" t="n">
        <v>0</v>
      </c>
      <c r="M786" t="n">
        <v>0</v>
      </c>
      <c r="N786" t="n">
        <v>0</v>
      </c>
      <c r="O786" t="n">
        <v>0</v>
      </c>
      <c r="P786" t="n">
        <v>0</v>
      </c>
      <c r="Q786" t="n">
        <v>0</v>
      </c>
      <c r="R786" s="2" t="inlineStr"/>
    </row>
    <row r="787" ht="15" customHeight="1">
      <c r="A787" t="inlineStr">
        <is>
          <t>A 21245-2024</t>
        </is>
      </c>
      <c r="B787" s="1" t="n">
        <v>45440</v>
      </c>
      <c r="C787" s="1" t="n">
        <v>46035</v>
      </c>
      <c r="D787" t="inlineStr">
        <is>
          <t>ÖREBRO LÄN</t>
        </is>
      </c>
      <c r="E787" t="inlineStr">
        <is>
          <t>LINDESBERG</t>
        </is>
      </c>
      <c r="G787" t="n">
        <v>2</v>
      </c>
      <c r="H787" t="n">
        <v>0</v>
      </c>
      <c r="I787" t="n">
        <v>0</v>
      </c>
      <c r="J787" t="n">
        <v>0</v>
      </c>
      <c r="K787" t="n">
        <v>0</v>
      </c>
      <c r="L787" t="n">
        <v>0</v>
      </c>
      <c r="M787" t="n">
        <v>0</v>
      </c>
      <c r="N787" t="n">
        <v>0</v>
      </c>
      <c r="O787" t="n">
        <v>0</v>
      </c>
      <c r="P787" t="n">
        <v>0</v>
      </c>
      <c r="Q787" t="n">
        <v>0</v>
      </c>
      <c r="R787" s="2" t="inlineStr"/>
    </row>
    <row r="788" ht="15" customHeight="1">
      <c r="A788" t="inlineStr">
        <is>
          <t>A 29350-2022</t>
        </is>
      </c>
      <c r="B788" s="1" t="n">
        <v>44753</v>
      </c>
      <c r="C788" s="1" t="n">
        <v>46035</v>
      </c>
      <c r="D788" t="inlineStr">
        <is>
          <t>ÖREBRO LÄN</t>
        </is>
      </c>
      <c r="E788" t="inlineStr">
        <is>
          <t>LINDESBERG</t>
        </is>
      </c>
      <c r="G788" t="n">
        <v>7.7</v>
      </c>
      <c r="H788" t="n">
        <v>0</v>
      </c>
      <c r="I788" t="n">
        <v>0</v>
      </c>
      <c r="J788" t="n">
        <v>0</v>
      </c>
      <c r="K788" t="n">
        <v>0</v>
      </c>
      <c r="L788" t="n">
        <v>0</v>
      </c>
      <c r="M788" t="n">
        <v>0</v>
      </c>
      <c r="N788" t="n">
        <v>0</v>
      </c>
      <c r="O788" t="n">
        <v>0</v>
      </c>
      <c r="P788" t="n">
        <v>0</v>
      </c>
      <c r="Q788" t="n">
        <v>0</v>
      </c>
      <c r="R788" s="2" t="inlineStr"/>
    </row>
    <row r="789" ht="15" customHeight="1">
      <c r="A789" t="inlineStr">
        <is>
          <t>A 10836-2024</t>
        </is>
      </c>
      <c r="B789" s="1" t="n">
        <v>45369</v>
      </c>
      <c r="C789" s="1" t="n">
        <v>46035</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2414-2024</t>
        </is>
      </c>
      <c r="B790" s="1" t="n">
        <v>45310.87931712963</v>
      </c>
      <c r="C790" s="1" t="n">
        <v>46035</v>
      </c>
      <c r="D790" t="inlineStr">
        <is>
          <t>ÖREBRO LÄN</t>
        </is>
      </c>
      <c r="E790" t="inlineStr">
        <is>
          <t>LINDESBERG</t>
        </is>
      </c>
      <c r="G790" t="n">
        <v>7.2</v>
      </c>
      <c r="H790" t="n">
        <v>0</v>
      </c>
      <c r="I790" t="n">
        <v>0</v>
      </c>
      <c r="J790" t="n">
        <v>0</v>
      </c>
      <c r="K790" t="n">
        <v>0</v>
      </c>
      <c r="L790" t="n">
        <v>0</v>
      </c>
      <c r="M790" t="n">
        <v>0</v>
      </c>
      <c r="N790" t="n">
        <v>0</v>
      </c>
      <c r="O790" t="n">
        <v>0</v>
      </c>
      <c r="P790" t="n">
        <v>0</v>
      </c>
      <c r="Q790" t="n">
        <v>0</v>
      </c>
      <c r="R790" s="2" t="inlineStr"/>
    </row>
    <row r="791" ht="15" customHeight="1">
      <c r="A791" t="inlineStr">
        <is>
          <t>A 28463-2024</t>
        </is>
      </c>
      <c r="B791" s="1" t="n">
        <v>45477.70315972222</v>
      </c>
      <c r="C791" s="1" t="n">
        <v>46035</v>
      </c>
      <c r="D791" t="inlineStr">
        <is>
          <t>ÖREBRO LÄN</t>
        </is>
      </c>
      <c r="E791" t="inlineStr">
        <is>
          <t>LINDESBERG</t>
        </is>
      </c>
      <c r="G791" t="n">
        <v>6.3</v>
      </c>
      <c r="H791" t="n">
        <v>0</v>
      </c>
      <c r="I791" t="n">
        <v>0</v>
      </c>
      <c r="J791" t="n">
        <v>0</v>
      </c>
      <c r="K791" t="n">
        <v>0</v>
      </c>
      <c r="L791" t="n">
        <v>0</v>
      </c>
      <c r="M791" t="n">
        <v>0</v>
      </c>
      <c r="N791" t="n">
        <v>0</v>
      </c>
      <c r="O791" t="n">
        <v>0</v>
      </c>
      <c r="P791" t="n">
        <v>0</v>
      </c>
      <c r="Q791" t="n">
        <v>0</v>
      </c>
      <c r="R791" s="2" t="inlineStr"/>
    </row>
    <row r="792" ht="15" customHeight="1">
      <c r="A792" t="inlineStr">
        <is>
          <t>A 63668-2023</t>
        </is>
      </c>
      <c r="B792" s="1" t="n">
        <v>45274</v>
      </c>
      <c r="C792" s="1" t="n">
        <v>46035</v>
      </c>
      <c r="D792" t="inlineStr">
        <is>
          <t>ÖREBRO LÄN</t>
        </is>
      </c>
      <c r="E792" t="inlineStr">
        <is>
          <t>LINDESBERG</t>
        </is>
      </c>
      <c r="G792" t="n">
        <v>0.7</v>
      </c>
      <c r="H792" t="n">
        <v>0</v>
      </c>
      <c r="I792" t="n">
        <v>0</v>
      </c>
      <c r="J792" t="n">
        <v>0</v>
      </c>
      <c r="K792" t="n">
        <v>0</v>
      </c>
      <c r="L792" t="n">
        <v>0</v>
      </c>
      <c r="M792" t="n">
        <v>0</v>
      </c>
      <c r="N792" t="n">
        <v>0</v>
      </c>
      <c r="O792" t="n">
        <v>0</v>
      </c>
      <c r="P792" t="n">
        <v>0</v>
      </c>
      <c r="Q792" t="n">
        <v>0</v>
      </c>
      <c r="R792" s="2" t="inlineStr"/>
    </row>
    <row r="793" ht="15" customHeight="1">
      <c r="A793" t="inlineStr">
        <is>
          <t>A 8139-2023</t>
        </is>
      </c>
      <c r="B793" s="1" t="n">
        <v>44970</v>
      </c>
      <c r="C793" s="1" t="n">
        <v>46035</v>
      </c>
      <c r="D793" t="inlineStr">
        <is>
          <t>ÖREBRO LÄN</t>
        </is>
      </c>
      <c r="E793" t="inlineStr">
        <is>
          <t>LINDESBERG</t>
        </is>
      </c>
      <c r="G793" t="n">
        <v>3.6</v>
      </c>
      <c r="H793" t="n">
        <v>0</v>
      </c>
      <c r="I793" t="n">
        <v>0</v>
      </c>
      <c r="J793" t="n">
        <v>0</v>
      </c>
      <c r="K793" t="n">
        <v>0</v>
      </c>
      <c r="L793" t="n">
        <v>0</v>
      </c>
      <c r="M793" t="n">
        <v>0</v>
      </c>
      <c r="N793" t="n">
        <v>0</v>
      </c>
      <c r="O793" t="n">
        <v>0</v>
      </c>
      <c r="P793" t="n">
        <v>0</v>
      </c>
      <c r="Q793" t="n">
        <v>0</v>
      </c>
      <c r="R793" s="2" t="inlineStr"/>
    </row>
    <row r="794" ht="15" customHeight="1">
      <c r="A794" t="inlineStr">
        <is>
          <t>A 12276-2025</t>
        </is>
      </c>
      <c r="B794" s="1" t="n">
        <v>45729.65061342593</v>
      </c>
      <c r="C794" s="1" t="n">
        <v>46035</v>
      </c>
      <c r="D794" t="inlineStr">
        <is>
          <t>ÖREBRO LÄN</t>
        </is>
      </c>
      <c r="E794" t="inlineStr">
        <is>
          <t>LINDESBERG</t>
        </is>
      </c>
      <c r="G794" t="n">
        <v>7.6</v>
      </c>
      <c r="H794" t="n">
        <v>0</v>
      </c>
      <c r="I794" t="n">
        <v>0</v>
      </c>
      <c r="J794" t="n">
        <v>0</v>
      </c>
      <c r="K794" t="n">
        <v>0</v>
      </c>
      <c r="L794" t="n">
        <v>0</v>
      </c>
      <c r="M794" t="n">
        <v>0</v>
      </c>
      <c r="N794" t="n">
        <v>0</v>
      </c>
      <c r="O794" t="n">
        <v>0</v>
      </c>
      <c r="P794" t="n">
        <v>0</v>
      </c>
      <c r="Q794" t="n">
        <v>0</v>
      </c>
      <c r="R794" s="2" t="inlineStr"/>
    </row>
    <row r="795" ht="15" customHeight="1">
      <c r="A795" t="inlineStr">
        <is>
          <t>A 36291-2022</t>
        </is>
      </c>
      <c r="B795" s="1" t="n">
        <v>44803.64361111111</v>
      </c>
      <c r="C795" s="1" t="n">
        <v>46035</v>
      </c>
      <c r="D795" t="inlineStr">
        <is>
          <t>ÖREBRO LÄN</t>
        </is>
      </c>
      <c r="E795" t="inlineStr">
        <is>
          <t>LINDESBERG</t>
        </is>
      </c>
      <c r="G795" t="n">
        <v>3.8</v>
      </c>
      <c r="H795" t="n">
        <v>0</v>
      </c>
      <c r="I795" t="n">
        <v>0</v>
      </c>
      <c r="J795" t="n">
        <v>0</v>
      </c>
      <c r="K795" t="n">
        <v>0</v>
      </c>
      <c r="L795" t="n">
        <v>0</v>
      </c>
      <c r="M795" t="n">
        <v>0</v>
      </c>
      <c r="N795" t="n">
        <v>0</v>
      </c>
      <c r="O795" t="n">
        <v>0</v>
      </c>
      <c r="P795" t="n">
        <v>0</v>
      </c>
      <c r="Q795" t="n">
        <v>0</v>
      </c>
      <c r="R795" s="2" t="inlineStr"/>
    </row>
    <row r="796" ht="15" customHeight="1">
      <c r="A796" t="inlineStr">
        <is>
          <t>A 61597-2023</t>
        </is>
      </c>
      <c r="B796" s="1" t="n">
        <v>45265.49225694445</v>
      </c>
      <c r="C796" s="1" t="n">
        <v>46035</v>
      </c>
      <c r="D796" t="inlineStr">
        <is>
          <t>ÖREBRO LÄN</t>
        </is>
      </c>
      <c r="E796" t="inlineStr">
        <is>
          <t>LINDESBERG</t>
        </is>
      </c>
      <c r="G796" t="n">
        <v>10.3</v>
      </c>
      <c r="H796" t="n">
        <v>0</v>
      </c>
      <c r="I796" t="n">
        <v>0</v>
      </c>
      <c r="J796" t="n">
        <v>0</v>
      </c>
      <c r="K796" t="n">
        <v>0</v>
      </c>
      <c r="L796" t="n">
        <v>0</v>
      </c>
      <c r="M796" t="n">
        <v>0</v>
      </c>
      <c r="N796" t="n">
        <v>0</v>
      </c>
      <c r="O796" t="n">
        <v>0</v>
      </c>
      <c r="P796" t="n">
        <v>0</v>
      </c>
      <c r="Q796" t="n">
        <v>0</v>
      </c>
      <c r="R796" s="2" t="inlineStr"/>
    </row>
    <row r="797" ht="15" customHeight="1">
      <c r="A797" t="inlineStr">
        <is>
          <t>A 62968-2023</t>
        </is>
      </c>
      <c r="B797" s="1" t="n">
        <v>45272.57385416667</v>
      </c>
      <c r="C797" s="1" t="n">
        <v>46035</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24270-2023</t>
        </is>
      </c>
      <c r="B798" s="1" t="n">
        <v>45079</v>
      </c>
      <c r="C798" s="1" t="n">
        <v>46035</v>
      </c>
      <c r="D798" t="inlineStr">
        <is>
          <t>ÖREBRO LÄN</t>
        </is>
      </c>
      <c r="E798" t="inlineStr">
        <is>
          <t>LINDESBERG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24271-2023</t>
        </is>
      </c>
      <c r="B799" s="1" t="n">
        <v>45079</v>
      </c>
      <c r="C799" s="1" t="n">
        <v>46035</v>
      </c>
      <c r="D799" t="inlineStr">
        <is>
          <t>ÖREBRO LÄN</t>
        </is>
      </c>
      <c r="E799" t="inlineStr">
        <is>
          <t>LINDESBERG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62866-2023</t>
        </is>
      </c>
      <c r="B800" s="1" t="n">
        <v>45272.36168981482</v>
      </c>
      <c r="C800" s="1" t="n">
        <v>46035</v>
      </c>
      <c r="D800" t="inlineStr">
        <is>
          <t>ÖREBRO LÄN</t>
        </is>
      </c>
      <c r="E800" t="inlineStr">
        <is>
          <t>LINDESBERG</t>
        </is>
      </c>
      <c r="G800" t="n">
        <v>14.5</v>
      </c>
      <c r="H800" t="n">
        <v>0</v>
      </c>
      <c r="I800" t="n">
        <v>0</v>
      </c>
      <c r="J800" t="n">
        <v>0</v>
      </c>
      <c r="K800" t="n">
        <v>0</v>
      </c>
      <c r="L800" t="n">
        <v>0</v>
      </c>
      <c r="M800" t="n">
        <v>0</v>
      </c>
      <c r="N800" t="n">
        <v>0</v>
      </c>
      <c r="O800" t="n">
        <v>0</v>
      </c>
      <c r="P800" t="n">
        <v>0</v>
      </c>
      <c r="Q800" t="n">
        <v>0</v>
      </c>
      <c r="R800" s="2" t="inlineStr"/>
    </row>
    <row r="801" ht="15" customHeight="1">
      <c r="A801" t="inlineStr">
        <is>
          <t>A 13416-2025</t>
        </is>
      </c>
      <c r="B801" s="1" t="n">
        <v>45736.308125</v>
      </c>
      <c r="C801" s="1" t="n">
        <v>46035</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4013-2025</t>
        </is>
      </c>
      <c r="B802" s="1" t="n">
        <v>45684.5790162037</v>
      </c>
      <c r="C802" s="1" t="n">
        <v>46035</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44803-2024</t>
        </is>
      </c>
      <c r="B803" s="1" t="n">
        <v>45574.65087962963</v>
      </c>
      <c r="C803" s="1" t="n">
        <v>46035</v>
      </c>
      <c r="D803" t="inlineStr">
        <is>
          <t>ÖREBRO LÄN</t>
        </is>
      </c>
      <c r="E803" t="inlineStr">
        <is>
          <t>LINDESBERG</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27130-2024</t>
        </is>
      </c>
      <c r="B804" s="1" t="n">
        <v>45471.52072916667</v>
      </c>
      <c r="C804" s="1" t="n">
        <v>46035</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59804-2023</t>
        </is>
      </c>
      <c r="B805" s="1" t="n">
        <v>45257.48188657407</v>
      </c>
      <c r="C805" s="1" t="n">
        <v>46035</v>
      </c>
      <c r="D805" t="inlineStr">
        <is>
          <t>ÖREBRO LÄN</t>
        </is>
      </c>
      <c r="E805" t="inlineStr">
        <is>
          <t>LINDESBERG</t>
        </is>
      </c>
      <c r="G805" t="n">
        <v>1.2</v>
      </c>
      <c r="H805" t="n">
        <v>0</v>
      </c>
      <c r="I805" t="n">
        <v>0</v>
      </c>
      <c r="J805" t="n">
        <v>0</v>
      </c>
      <c r="K805" t="n">
        <v>0</v>
      </c>
      <c r="L805" t="n">
        <v>0</v>
      </c>
      <c r="M805" t="n">
        <v>0</v>
      </c>
      <c r="N805" t="n">
        <v>0</v>
      </c>
      <c r="O805" t="n">
        <v>0</v>
      </c>
      <c r="P805" t="n">
        <v>0</v>
      </c>
      <c r="Q805" t="n">
        <v>0</v>
      </c>
      <c r="R805" s="2" t="inlineStr"/>
    </row>
    <row r="806" ht="15" customHeight="1">
      <c r="A806" t="inlineStr">
        <is>
          <t>A 27434-2023</t>
        </is>
      </c>
      <c r="B806" s="1" t="n">
        <v>45097.38688657407</v>
      </c>
      <c r="C806" s="1" t="n">
        <v>46035</v>
      </c>
      <c r="D806" t="inlineStr">
        <is>
          <t>ÖREBRO LÄN</t>
        </is>
      </c>
      <c r="E806" t="inlineStr">
        <is>
          <t>LINDESBERG</t>
        </is>
      </c>
      <c r="G806" t="n">
        <v>10.7</v>
      </c>
      <c r="H806" t="n">
        <v>0</v>
      </c>
      <c r="I806" t="n">
        <v>0</v>
      </c>
      <c r="J806" t="n">
        <v>0</v>
      </c>
      <c r="K806" t="n">
        <v>0</v>
      </c>
      <c r="L806" t="n">
        <v>0</v>
      </c>
      <c r="M806" t="n">
        <v>0</v>
      </c>
      <c r="N806" t="n">
        <v>0</v>
      </c>
      <c r="O806" t="n">
        <v>0</v>
      </c>
      <c r="P806" t="n">
        <v>0</v>
      </c>
      <c r="Q806" t="n">
        <v>0</v>
      </c>
      <c r="R806" s="2" t="inlineStr"/>
    </row>
    <row r="807" ht="15" customHeight="1">
      <c r="A807" t="inlineStr">
        <is>
          <t>A 45060-2024</t>
        </is>
      </c>
      <c r="B807" s="1" t="n">
        <v>45575.55570601852</v>
      </c>
      <c r="C807" s="1" t="n">
        <v>46035</v>
      </c>
      <c r="D807" t="inlineStr">
        <is>
          <t>ÖREBRO LÄN</t>
        </is>
      </c>
      <c r="E807" t="inlineStr">
        <is>
          <t>LINDESBERG</t>
        </is>
      </c>
      <c r="F807" t="inlineStr">
        <is>
          <t>Sveaskog</t>
        </is>
      </c>
      <c r="G807" t="n">
        <v>4.6</v>
      </c>
      <c r="H807" t="n">
        <v>0</v>
      </c>
      <c r="I807" t="n">
        <v>0</v>
      </c>
      <c r="J807" t="n">
        <v>0</v>
      </c>
      <c r="K807" t="n">
        <v>0</v>
      </c>
      <c r="L807" t="n">
        <v>0</v>
      </c>
      <c r="M807" t="n">
        <v>0</v>
      </c>
      <c r="N807" t="n">
        <v>0</v>
      </c>
      <c r="O807" t="n">
        <v>0</v>
      </c>
      <c r="P807" t="n">
        <v>0</v>
      </c>
      <c r="Q807" t="n">
        <v>0</v>
      </c>
      <c r="R807" s="2" t="inlineStr"/>
    </row>
    <row r="808" ht="15" customHeight="1">
      <c r="A808" t="inlineStr">
        <is>
          <t>A 72706-2021</t>
        </is>
      </c>
      <c r="B808" s="1" t="n">
        <v>44546.67222222222</v>
      </c>
      <c r="C808" s="1" t="n">
        <v>46035</v>
      </c>
      <c r="D808" t="inlineStr">
        <is>
          <t>ÖREBRO LÄN</t>
        </is>
      </c>
      <c r="E808" t="inlineStr">
        <is>
          <t>LINDESBERG</t>
        </is>
      </c>
      <c r="G808" t="n">
        <v>1.7</v>
      </c>
      <c r="H808" t="n">
        <v>0</v>
      </c>
      <c r="I808" t="n">
        <v>0</v>
      </c>
      <c r="J808" t="n">
        <v>0</v>
      </c>
      <c r="K808" t="n">
        <v>0</v>
      </c>
      <c r="L808" t="n">
        <v>0</v>
      </c>
      <c r="M808" t="n">
        <v>0</v>
      </c>
      <c r="N808" t="n">
        <v>0</v>
      </c>
      <c r="O808" t="n">
        <v>0</v>
      </c>
      <c r="P808" t="n">
        <v>0</v>
      </c>
      <c r="Q808" t="n">
        <v>0</v>
      </c>
      <c r="R808" s="2" t="inlineStr"/>
    </row>
    <row r="809" ht="15" customHeight="1">
      <c r="A809" t="inlineStr">
        <is>
          <t>A 53366-2023</t>
        </is>
      </c>
      <c r="B809" s="1" t="n">
        <v>45229</v>
      </c>
      <c r="C809" s="1" t="n">
        <v>46035</v>
      </c>
      <c r="D809" t="inlineStr">
        <is>
          <t>ÖREBRO LÄN</t>
        </is>
      </c>
      <c r="E809" t="inlineStr">
        <is>
          <t>LINDESBERG</t>
        </is>
      </c>
      <c r="G809" t="n">
        <v>1.9</v>
      </c>
      <c r="H809" t="n">
        <v>0</v>
      </c>
      <c r="I809" t="n">
        <v>0</v>
      </c>
      <c r="J809" t="n">
        <v>0</v>
      </c>
      <c r="K809" t="n">
        <v>0</v>
      </c>
      <c r="L809" t="n">
        <v>0</v>
      </c>
      <c r="M809" t="n">
        <v>0</v>
      </c>
      <c r="N809" t="n">
        <v>0</v>
      </c>
      <c r="O809" t="n">
        <v>0</v>
      </c>
      <c r="P809" t="n">
        <v>0</v>
      </c>
      <c r="Q809" t="n">
        <v>0</v>
      </c>
      <c r="R809" s="2" t="inlineStr"/>
    </row>
    <row r="810" ht="15" customHeight="1">
      <c r="A810" t="inlineStr">
        <is>
          <t>A 19219-2023</t>
        </is>
      </c>
      <c r="B810" s="1" t="n">
        <v>45048</v>
      </c>
      <c r="C810" s="1" t="n">
        <v>46035</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19043-2023</t>
        </is>
      </c>
      <c r="B811" s="1" t="n">
        <v>45047.7181712963</v>
      </c>
      <c r="C811" s="1" t="n">
        <v>46035</v>
      </c>
      <c r="D811" t="inlineStr">
        <is>
          <t>ÖREBRO LÄN</t>
        </is>
      </c>
      <c r="E811" t="inlineStr">
        <is>
          <t>LINDESBERG</t>
        </is>
      </c>
      <c r="G811" t="n">
        <v>2.6</v>
      </c>
      <c r="H811" t="n">
        <v>0</v>
      </c>
      <c r="I811" t="n">
        <v>0</v>
      </c>
      <c r="J811" t="n">
        <v>0</v>
      </c>
      <c r="K811" t="n">
        <v>0</v>
      </c>
      <c r="L811" t="n">
        <v>0</v>
      </c>
      <c r="M811" t="n">
        <v>0</v>
      </c>
      <c r="N811" t="n">
        <v>0</v>
      </c>
      <c r="O811" t="n">
        <v>0</v>
      </c>
      <c r="P811" t="n">
        <v>0</v>
      </c>
      <c r="Q811" t="n">
        <v>0</v>
      </c>
      <c r="R811" s="2" t="inlineStr"/>
    </row>
    <row r="812" ht="15" customHeight="1">
      <c r="A812" t="inlineStr">
        <is>
          <t>A 27031-2024</t>
        </is>
      </c>
      <c r="B812" s="1" t="n">
        <v>45471.42659722222</v>
      </c>
      <c r="C812" s="1" t="n">
        <v>46035</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38696-2024</t>
        </is>
      </c>
      <c r="B813" s="1" t="n">
        <v>45547.36590277778</v>
      </c>
      <c r="C813" s="1" t="n">
        <v>46035</v>
      </c>
      <c r="D813" t="inlineStr">
        <is>
          <t>ÖREBRO LÄN</t>
        </is>
      </c>
      <c r="E813" t="inlineStr">
        <is>
          <t>LINDESBERG</t>
        </is>
      </c>
      <c r="G813" t="n">
        <v>2</v>
      </c>
      <c r="H813" t="n">
        <v>0</v>
      </c>
      <c r="I813" t="n">
        <v>0</v>
      </c>
      <c r="J813" t="n">
        <v>0</v>
      </c>
      <c r="K813" t="n">
        <v>0</v>
      </c>
      <c r="L813" t="n">
        <v>0</v>
      </c>
      <c r="M813" t="n">
        <v>0</v>
      </c>
      <c r="N813" t="n">
        <v>0</v>
      </c>
      <c r="O813" t="n">
        <v>0</v>
      </c>
      <c r="P813" t="n">
        <v>0</v>
      </c>
      <c r="Q813" t="n">
        <v>0</v>
      </c>
      <c r="R813" s="2" t="inlineStr"/>
    </row>
    <row r="814" ht="15" customHeight="1">
      <c r="A814" t="inlineStr">
        <is>
          <t>A 4924-2021</t>
        </is>
      </c>
      <c r="B814" s="1" t="n">
        <v>44227</v>
      </c>
      <c r="C814" s="1" t="n">
        <v>46035</v>
      </c>
      <c r="D814" t="inlineStr">
        <is>
          <t>ÖREBRO LÄN</t>
        </is>
      </c>
      <c r="E814" t="inlineStr">
        <is>
          <t>LINDESBERG</t>
        </is>
      </c>
      <c r="G814" t="n">
        <v>1.6</v>
      </c>
      <c r="H814" t="n">
        <v>0</v>
      </c>
      <c r="I814" t="n">
        <v>0</v>
      </c>
      <c r="J814" t="n">
        <v>0</v>
      </c>
      <c r="K814" t="n">
        <v>0</v>
      </c>
      <c r="L814" t="n">
        <v>0</v>
      </c>
      <c r="M814" t="n">
        <v>0</v>
      </c>
      <c r="N814" t="n">
        <v>0</v>
      </c>
      <c r="O814" t="n">
        <v>0</v>
      </c>
      <c r="P814" t="n">
        <v>0</v>
      </c>
      <c r="Q814" t="n">
        <v>0</v>
      </c>
      <c r="R814" s="2" t="inlineStr"/>
    </row>
    <row r="815" ht="15" customHeight="1">
      <c r="A815" t="inlineStr">
        <is>
          <t>A 54663-2021</t>
        </is>
      </c>
      <c r="B815" s="1" t="n">
        <v>44473.6343287037</v>
      </c>
      <c r="C815" s="1" t="n">
        <v>46035</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32262-2021</t>
        </is>
      </c>
      <c r="B816" s="1" t="n">
        <v>44371.47609953704</v>
      </c>
      <c r="C816" s="1" t="n">
        <v>46035</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48265-2021</t>
        </is>
      </c>
      <c r="B817" s="1" t="n">
        <v>44449</v>
      </c>
      <c r="C817" s="1" t="n">
        <v>46035</v>
      </c>
      <c r="D817" t="inlineStr">
        <is>
          <t>ÖREBRO LÄN</t>
        </is>
      </c>
      <c r="E817" t="inlineStr">
        <is>
          <t>LINDESBERG</t>
        </is>
      </c>
      <c r="G817" t="n">
        <v>23.7</v>
      </c>
      <c r="H817" t="n">
        <v>0</v>
      </c>
      <c r="I817" t="n">
        <v>0</v>
      </c>
      <c r="J817" t="n">
        <v>0</v>
      </c>
      <c r="K817" t="n">
        <v>0</v>
      </c>
      <c r="L817" t="n">
        <v>0</v>
      </c>
      <c r="M817" t="n">
        <v>0</v>
      </c>
      <c r="N817" t="n">
        <v>0</v>
      </c>
      <c r="O817" t="n">
        <v>0</v>
      </c>
      <c r="P817" t="n">
        <v>0</v>
      </c>
      <c r="Q817" t="n">
        <v>0</v>
      </c>
      <c r="R817" s="2" t="inlineStr"/>
    </row>
    <row r="818" ht="15" customHeight="1">
      <c r="A818" t="inlineStr">
        <is>
          <t>A 14028-2023</t>
        </is>
      </c>
      <c r="B818" s="1" t="n">
        <v>45008</v>
      </c>
      <c r="C818" s="1" t="n">
        <v>46035</v>
      </c>
      <c r="D818" t="inlineStr">
        <is>
          <t>ÖREBRO LÄN</t>
        </is>
      </c>
      <c r="E818" t="inlineStr">
        <is>
          <t>LINDESBERG</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57069-2022</t>
        </is>
      </c>
      <c r="B819" s="1" t="n">
        <v>44895</v>
      </c>
      <c r="C819" s="1" t="n">
        <v>46035</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61405-2022</t>
        </is>
      </c>
      <c r="B820" s="1" t="n">
        <v>44916</v>
      </c>
      <c r="C820" s="1" t="n">
        <v>46035</v>
      </c>
      <c r="D820" t="inlineStr">
        <is>
          <t>ÖREBRO LÄN</t>
        </is>
      </c>
      <c r="E820" t="inlineStr">
        <is>
          <t>LINDESBERG</t>
        </is>
      </c>
      <c r="G820" t="n">
        <v>4.4</v>
      </c>
      <c r="H820" t="n">
        <v>0</v>
      </c>
      <c r="I820" t="n">
        <v>0</v>
      </c>
      <c r="J820" t="n">
        <v>0</v>
      </c>
      <c r="K820" t="n">
        <v>0</v>
      </c>
      <c r="L820" t="n">
        <v>0</v>
      </c>
      <c r="M820" t="n">
        <v>0</v>
      </c>
      <c r="N820" t="n">
        <v>0</v>
      </c>
      <c r="O820" t="n">
        <v>0</v>
      </c>
      <c r="P820" t="n">
        <v>0</v>
      </c>
      <c r="Q820" t="n">
        <v>0</v>
      </c>
      <c r="R820" s="2" t="inlineStr"/>
    </row>
    <row r="821" ht="15" customHeight="1">
      <c r="A821" t="inlineStr">
        <is>
          <t>A 9961-2023</t>
        </is>
      </c>
      <c r="B821" s="1" t="n">
        <v>44979</v>
      </c>
      <c r="C821" s="1" t="n">
        <v>46035</v>
      </c>
      <c r="D821" t="inlineStr">
        <is>
          <t>ÖREBRO LÄN</t>
        </is>
      </c>
      <c r="E821" t="inlineStr">
        <is>
          <t>LINDESBERG</t>
        </is>
      </c>
      <c r="G821" t="n">
        <v>4.8</v>
      </c>
      <c r="H821" t="n">
        <v>0</v>
      </c>
      <c r="I821" t="n">
        <v>0</v>
      </c>
      <c r="J821" t="n">
        <v>0</v>
      </c>
      <c r="K821" t="n">
        <v>0</v>
      </c>
      <c r="L821" t="n">
        <v>0</v>
      </c>
      <c r="M821" t="n">
        <v>0</v>
      </c>
      <c r="N821" t="n">
        <v>0</v>
      </c>
      <c r="O821" t="n">
        <v>0</v>
      </c>
      <c r="P821" t="n">
        <v>0</v>
      </c>
      <c r="Q821" t="n">
        <v>0</v>
      </c>
      <c r="R821" s="2" t="inlineStr"/>
    </row>
    <row r="822" ht="15" customHeight="1">
      <c r="A822" t="inlineStr">
        <is>
          <t>A 45041-2024</t>
        </is>
      </c>
      <c r="B822" s="1" t="n">
        <v>45575.53690972222</v>
      </c>
      <c r="C822" s="1" t="n">
        <v>46035</v>
      </c>
      <c r="D822" t="inlineStr">
        <is>
          <t>ÖREBRO LÄN</t>
        </is>
      </c>
      <c r="E822" t="inlineStr">
        <is>
          <t>LINDESBERG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45068-2024</t>
        </is>
      </c>
      <c r="B823" s="1" t="n">
        <v>45575.56256944445</v>
      </c>
      <c r="C823" s="1" t="n">
        <v>46035</v>
      </c>
      <c r="D823" t="inlineStr">
        <is>
          <t>ÖREBRO LÄN</t>
        </is>
      </c>
      <c r="E823" t="inlineStr">
        <is>
          <t>LINDESBERG</t>
        </is>
      </c>
      <c r="F823" t="inlineStr">
        <is>
          <t>Sveaskog</t>
        </is>
      </c>
      <c r="G823" t="n">
        <v>16.5</v>
      </c>
      <c r="H823" t="n">
        <v>0</v>
      </c>
      <c r="I823" t="n">
        <v>0</v>
      </c>
      <c r="J823" t="n">
        <v>0</v>
      </c>
      <c r="K823" t="n">
        <v>0</v>
      </c>
      <c r="L823" t="n">
        <v>0</v>
      </c>
      <c r="M823" t="n">
        <v>0</v>
      </c>
      <c r="N823" t="n">
        <v>0</v>
      </c>
      <c r="O823" t="n">
        <v>0</v>
      </c>
      <c r="P823" t="n">
        <v>0</v>
      </c>
      <c r="Q823" t="n">
        <v>0</v>
      </c>
      <c r="R823" s="2" t="inlineStr"/>
    </row>
    <row r="824" ht="15" customHeight="1">
      <c r="A824" t="inlineStr">
        <is>
          <t>A 39419-2023</t>
        </is>
      </c>
      <c r="B824" s="1" t="n">
        <v>45166.68493055556</v>
      </c>
      <c r="C824" s="1" t="n">
        <v>46035</v>
      </c>
      <c r="D824" t="inlineStr">
        <is>
          <t>ÖREBRO LÄN</t>
        </is>
      </c>
      <c r="E824" t="inlineStr">
        <is>
          <t>LINDESBERG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10825-2021</t>
        </is>
      </c>
      <c r="B825" s="1" t="n">
        <v>44259</v>
      </c>
      <c r="C825" s="1" t="n">
        <v>46035</v>
      </c>
      <c r="D825" t="inlineStr">
        <is>
          <t>ÖREBRO LÄN</t>
        </is>
      </c>
      <c r="E825" t="inlineStr">
        <is>
          <t>LINDESBERG</t>
        </is>
      </c>
      <c r="G825" t="n">
        <v>7.4</v>
      </c>
      <c r="H825" t="n">
        <v>0</v>
      </c>
      <c r="I825" t="n">
        <v>0</v>
      </c>
      <c r="J825" t="n">
        <v>0</v>
      </c>
      <c r="K825" t="n">
        <v>0</v>
      </c>
      <c r="L825" t="n">
        <v>0</v>
      </c>
      <c r="M825" t="n">
        <v>0</v>
      </c>
      <c r="N825" t="n">
        <v>0</v>
      </c>
      <c r="O825" t="n">
        <v>0</v>
      </c>
      <c r="P825" t="n">
        <v>0</v>
      </c>
      <c r="Q825" t="n">
        <v>0</v>
      </c>
      <c r="R825" s="2" t="inlineStr"/>
    </row>
    <row r="826" ht="15" customHeight="1">
      <c r="A826" t="inlineStr">
        <is>
          <t>A 15745-2024</t>
        </is>
      </c>
      <c r="B826" s="1" t="n">
        <v>45404.55239583334</v>
      </c>
      <c r="C826" s="1" t="n">
        <v>46035</v>
      </c>
      <c r="D826" t="inlineStr">
        <is>
          <t>ÖREBRO LÄN</t>
        </is>
      </c>
      <c r="E826" t="inlineStr">
        <is>
          <t>LINDESBERG</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15750-2024</t>
        </is>
      </c>
      <c r="B827" s="1" t="n">
        <v>45404.55601851852</v>
      </c>
      <c r="C827" s="1" t="n">
        <v>46035</v>
      </c>
      <c r="D827" t="inlineStr">
        <is>
          <t>ÖREBRO LÄN</t>
        </is>
      </c>
      <c r="E827" t="inlineStr">
        <is>
          <t>LINDESBERG</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60115-2022</t>
        </is>
      </c>
      <c r="B828" s="1" t="n">
        <v>44902</v>
      </c>
      <c r="C828" s="1" t="n">
        <v>46035</v>
      </c>
      <c r="D828" t="inlineStr">
        <is>
          <t>ÖREBRO LÄN</t>
        </is>
      </c>
      <c r="E828" t="inlineStr">
        <is>
          <t>LINDESBERG</t>
        </is>
      </c>
      <c r="G828" t="n">
        <v>0.5</v>
      </c>
      <c r="H828" t="n">
        <v>0</v>
      </c>
      <c r="I828" t="n">
        <v>0</v>
      </c>
      <c r="J828" t="n">
        <v>0</v>
      </c>
      <c r="K828" t="n">
        <v>0</v>
      </c>
      <c r="L828" t="n">
        <v>0</v>
      </c>
      <c r="M828" t="n">
        <v>0</v>
      </c>
      <c r="N828" t="n">
        <v>0</v>
      </c>
      <c r="O828" t="n">
        <v>0</v>
      </c>
      <c r="P828" t="n">
        <v>0</v>
      </c>
      <c r="Q828" t="n">
        <v>0</v>
      </c>
      <c r="R828" s="2" t="inlineStr"/>
    </row>
    <row r="829" ht="15" customHeight="1">
      <c r="A829" t="inlineStr">
        <is>
          <t>A 29857-2023</t>
        </is>
      </c>
      <c r="B829" s="1" t="n">
        <v>45107</v>
      </c>
      <c r="C829" s="1" t="n">
        <v>46035</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44664-2023</t>
        </is>
      </c>
      <c r="B830" s="1" t="n">
        <v>45189</v>
      </c>
      <c r="C830" s="1" t="n">
        <v>46035</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18610-2021</t>
        </is>
      </c>
      <c r="B831" s="1" t="n">
        <v>44306.6371412037</v>
      </c>
      <c r="C831" s="1" t="n">
        <v>46035</v>
      </c>
      <c r="D831" t="inlineStr">
        <is>
          <t>ÖREBRO LÄN</t>
        </is>
      </c>
      <c r="E831" t="inlineStr">
        <is>
          <t>LINDESBERG</t>
        </is>
      </c>
      <c r="G831" t="n">
        <v>3</v>
      </c>
      <c r="H831" t="n">
        <v>0</v>
      </c>
      <c r="I831" t="n">
        <v>0</v>
      </c>
      <c r="J831" t="n">
        <v>0</v>
      </c>
      <c r="K831" t="n">
        <v>0</v>
      </c>
      <c r="L831" t="n">
        <v>0</v>
      </c>
      <c r="M831" t="n">
        <v>0</v>
      </c>
      <c r="N831" t="n">
        <v>0</v>
      </c>
      <c r="O831" t="n">
        <v>0</v>
      </c>
      <c r="P831" t="n">
        <v>0</v>
      </c>
      <c r="Q831" t="n">
        <v>0</v>
      </c>
      <c r="R831" s="2" t="inlineStr"/>
    </row>
    <row r="832" ht="15" customHeight="1">
      <c r="A832" t="inlineStr">
        <is>
          <t>A 19026-2021</t>
        </is>
      </c>
      <c r="B832" s="1" t="n">
        <v>44308</v>
      </c>
      <c r="C832" s="1" t="n">
        <v>46035</v>
      </c>
      <c r="D832" t="inlineStr">
        <is>
          <t>ÖREBRO LÄN</t>
        </is>
      </c>
      <c r="E832" t="inlineStr">
        <is>
          <t>LINDESBERG</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47535-2022</t>
        </is>
      </c>
      <c r="B833" s="1" t="n">
        <v>44853.79818287037</v>
      </c>
      <c r="C833" s="1" t="n">
        <v>46035</v>
      </c>
      <c r="D833" t="inlineStr">
        <is>
          <t>ÖREBRO LÄN</t>
        </is>
      </c>
      <c r="E833" t="inlineStr">
        <is>
          <t>LINDESBERG</t>
        </is>
      </c>
      <c r="G833" t="n">
        <v>3</v>
      </c>
      <c r="H833" t="n">
        <v>0</v>
      </c>
      <c r="I833" t="n">
        <v>0</v>
      </c>
      <c r="J833" t="n">
        <v>0</v>
      </c>
      <c r="K833" t="n">
        <v>0</v>
      </c>
      <c r="L833" t="n">
        <v>0</v>
      </c>
      <c r="M833" t="n">
        <v>0</v>
      </c>
      <c r="N833" t="n">
        <v>0</v>
      </c>
      <c r="O833" t="n">
        <v>0</v>
      </c>
      <c r="P833" t="n">
        <v>0</v>
      </c>
      <c r="Q833" t="n">
        <v>0</v>
      </c>
      <c r="R833" s="2" t="inlineStr"/>
    </row>
    <row r="834" ht="15" customHeight="1">
      <c r="A834" t="inlineStr">
        <is>
          <t>A 30830-2024</t>
        </is>
      </c>
      <c r="B834" s="1" t="n">
        <v>45497</v>
      </c>
      <c r="C834" s="1" t="n">
        <v>46035</v>
      </c>
      <c r="D834" t="inlineStr">
        <is>
          <t>ÖREBRO LÄN</t>
        </is>
      </c>
      <c r="E834" t="inlineStr">
        <is>
          <t>LINDESBERG</t>
        </is>
      </c>
      <c r="G834" t="n">
        <v>2.8</v>
      </c>
      <c r="H834" t="n">
        <v>0</v>
      </c>
      <c r="I834" t="n">
        <v>0</v>
      </c>
      <c r="J834" t="n">
        <v>0</v>
      </c>
      <c r="K834" t="n">
        <v>0</v>
      </c>
      <c r="L834" t="n">
        <v>0</v>
      </c>
      <c r="M834" t="n">
        <v>0</v>
      </c>
      <c r="N834" t="n">
        <v>0</v>
      </c>
      <c r="O834" t="n">
        <v>0</v>
      </c>
      <c r="P834" t="n">
        <v>0</v>
      </c>
      <c r="Q834" t="n">
        <v>0</v>
      </c>
      <c r="R834" s="2" t="inlineStr"/>
    </row>
    <row r="835" ht="15" customHeight="1">
      <c r="A835" t="inlineStr">
        <is>
          <t>A 59395-2022</t>
        </is>
      </c>
      <c r="B835" s="1" t="n">
        <v>44906.73321759259</v>
      </c>
      <c r="C835" s="1" t="n">
        <v>46035</v>
      </c>
      <c r="D835" t="inlineStr">
        <is>
          <t>ÖREBRO LÄN</t>
        </is>
      </c>
      <c r="E835" t="inlineStr">
        <is>
          <t>LINDESBERG</t>
        </is>
      </c>
      <c r="G835" t="n">
        <v>4.3</v>
      </c>
      <c r="H835" t="n">
        <v>0</v>
      </c>
      <c r="I835" t="n">
        <v>0</v>
      </c>
      <c r="J835" t="n">
        <v>0</v>
      </c>
      <c r="K835" t="n">
        <v>0</v>
      </c>
      <c r="L835" t="n">
        <v>0</v>
      </c>
      <c r="M835" t="n">
        <v>0</v>
      </c>
      <c r="N835" t="n">
        <v>0</v>
      </c>
      <c r="O835" t="n">
        <v>0</v>
      </c>
      <c r="P835" t="n">
        <v>0</v>
      </c>
      <c r="Q835" t="n">
        <v>0</v>
      </c>
      <c r="R835" s="2" t="inlineStr"/>
    </row>
    <row r="836" ht="15" customHeight="1">
      <c r="A836" t="inlineStr">
        <is>
          <t>A 55272-2023</t>
        </is>
      </c>
      <c r="B836" s="1" t="n">
        <v>45237.67819444444</v>
      </c>
      <c r="C836" s="1" t="n">
        <v>46035</v>
      </c>
      <c r="D836" t="inlineStr">
        <is>
          <t>ÖREBRO LÄN</t>
        </is>
      </c>
      <c r="E836" t="inlineStr">
        <is>
          <t>LINDESBERG</t>
        </is>
      </c>
      <c r="G836" t="n">
        <v>2.4</v>
      </c>
      <c r="H836" t="n">
        <v>0</v>
      </c>
      <c r="I836" t="n">
        <v>0</v>
      </c>
      <c r="J836" t="n">
        <v>0</v>
      </c>
      <c r="K836" t="n">
        <v>0</v>
      </c>
      <c r="L836" t="n">
        <v>0</v>
      </c>
      <c r="M836" t="n">
        <v>0</v>
      </c>
      <c r="N836" t="n">
        <v>0</v>
      </c>
      <c r="O836" t="n">
        <v>0</v>
      </c>
      <c r="P836" t="n">
        <v>0</v>
      </c>
      <c r="Q836" t="n">
        <v>0</v>
      </c>
      <c r="R836" s="2" t="inlineStr"/>
    </row>
    <row r="837" ht="15" customHeight="1">
      <c r="A837" t="inlineStr">
        <is>
          <t>A 53597-2024</t>
        </is>
      </c>
      <c r="B837" s="1" t="n">
        <v>45614.68083333333</v>
      </c>
      <c r="C837" s="1" t="n">
        <v>46035</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27576-2024</t>
        </is>
      </c>
      <c r="B838" s="1" t="n">
        <v>45474.65005787037</v>
      </c>
      <c r="C838" s="1" t="n">
        <v>46035</v>
      </c>
      <c r="D838" t="inlineStr">
        <is>
          <t>ÖREBRO LÄN</t>
        </is>
      </c>
      <c r="E838" t="inlineStr">
        <is>
          <t>LINDESBERG</t>
        </is>
      </c>
      <c r="F838" t="inlineStr">
        <is>
          <t>Kyrkan</t>
        </is>
      </c>
      <c r="G838" t="n">
        <v>1.3</v>
      </c>
      <c r="H838" t="n">
        <v>0</v>
      </c>
      <c r="I838" t="n">
        <v>0</v>
      </c>
      <c r="J838" t="n">
        <v>0</v>
      </c>
      <c r="K838" t="n">
        <v>0</v>
      </c>
      <c r="L838" t="n">
        <v>0</v>
      </c>
      <c r="M838" t="n">
        <v>0</v>
      </c>
      <c r="N838" t="n">
        <v>0</v>
      </c>
      <c r="O838" t="n">
        <v>0</v>
      </c>
      <c r="P838" t="n">
        <v>0</v>
      </c>
      <c r="Q838" t="n">
        <v>0</v>
      </c>
      <c r="R838" s="2" t="inlineStr"/>
    </row>
    <row r="839" ht="15" customHeight="1">
      <c r="A839" t="inlineStr">
        <is>
          <t>A 21986-2023</t>
        </is>
      </c>
      <c r="B839" s="1" t="n">
        <v>45068</v>
      </c>
      <c r="C839" s="1" t="n">
        <v>46035</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52930-2024</t>
        </is>
      </c>
      <c r="B840" s="1" t="n">
        <v>45610.7466087963</v>
      </c>
      <c r="C840" s="1" t="n">
        <v>46035</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2103-2022</t>
        </is>
      </c>
      <c r="B841" s="1" t="n">
        <v>44577.81121527778</v>
      </c>
      <c r="C841" s="1" t="n">
        <v>46035</v>
      </c>
      <c r="D841" t="inlineStr">
        <is>
          <t>ÖREBRO LÄN</t>
        </is>
      </c>
      <c r="E841" t="inlineStr">
        <is>
          <t>LINDESBERG</t>
        </is>
      </c>
      <c r="G841" t="n">
        <v>1.4</v>
      </c>
      <c r="H841" t="n">
        <v>0</v>
      </c>
      <c r="I841" t="n">
        <v>0</v>
      </c>
      <c r="J841" t="n">
        <v>0</v>
      </c>
      <c r="K841" t="n">
        <v>0</v>
      </c>
      <c r="L841" t="n">
        <v>0</v>
      </c>
      <c r="M841" t="n">
        <v>0</v>
      </c>
      <c r="N841" t="n">
        <v>0</v>
      </c>
      <c r="O841" t="n">
        <v>0</v>
      </c>
      <c r="P841" t="n">
        <v>0</v>
      </c>
      <c r="Q841" t="n">
        <v>0</v>
      </c>
      <c r="R841" s="2" t="inlineStr"/>
    </row>
    <row r="842" ht="15" customHeight="1">
      <c r="A842" t="inlineStr">
        <is>
          <t>A 54860-2024</t>
        </is>
      </c>
      <c r="B842" s="1" t="n">
        <v>45618.59219907408</v>
      </c>
      <c r="C842" s="1" t="n">
        <v>46035</v>
      </c>
      <c r="D842" t="inlineStr">
        <is>
          <t>ÖREBRO LÄN</t>
        </is>
      </c>
      <c r="E842" t="inlineStr">
        <is>
          <t>LINDESBERG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49358-2023</t>
        </is>
      </c>
      <c r="B843" s="1" t="n">
        <v>45211</v>
      </c>
      <c r="C843" s="1" t="n">
        <v>46035</v>
      </c>
      <c r="D843" t="inlineStr">
        <is>
          <t>ÖREBRO LÄN</t>
        </is>
      </c>
      <c r="E843" t="inlineStr">
        <is>
          <t>LINDESBERG</t>
        </is>
      </c>
      <c r="F843" t="inlineStr">
        <is>
          <t>Sveaskog</t>
        </is>
      </c>
      <c r="G843" t="n">
        <v>4.7</v>
      </c>
      <c r="H843" t="n">
        <v>0</v>
      </c>
      <c r="I843" t="n">
        <v>0</v>
      </c>
      <c r="J843" t="n">
        <v>0</v>
      </c>
      <c r="K843" t="n">
        <v>0</v>
      </c>
      <c r="L843" t="n">
        <v>0</v>
      </c>
      <c r="M843" t="n">
        <v>0</v>
      </c>
      <c r="N843" t="n">
        <v>0</v>
      </c>
      <c r="O843" t="n">
        <v>0</v>
      </c>
      <c r="P843" t="n">
        <v>0</v>
      </c>
      <c r="Q843" t="n">
        <v>0</v>
      </c>
      <c r="R843" s="2" t="inlineStr"/>
    </row>
    <row r="844" ht="15" customHeight="1">
      <c r="A844" t="inlineStr">
        <is>
          <t>A 23579-2022</t>
        </is>
      </c>
      <c r="B844" s="1" t="n">
        <v>44721.52627314815</v>
      </c>
      <c r="C844" s="1" t="n">
        <v>46035</v>
      </c>
      <c r="D844" t="inlineStr">
        <is>
          <t>ÖREBRO LÄN</t>
        </is>
      </c>
      <c r="E844" t="inlineStr">
        <is>
          <t>LINDESBERG</t>
        </is>
      </c>
      <c r="G844" t="n">
        <v>0.7</v>
      </c>
      <c r="H844" t="n">
        <v>0</v>
      </c>
      <c r="I844" t="n">
        <v>0</v>
      </c>
      <c r="J844" t="n">
        <v>0</v>
      </c>
      <c r="K844" t="n">
        <v>0</v>
      </c>
      <c r="L844" t="n">
        <v>0</v>
      </c>
      <c r="M844" t="n">
        <v>0</v>
      </c>
      <c r="N844" t="n">
        <v>0</v>
      </c>
      <c r="O844" t="n">
        <v>0</v>
      </c>
      <c r="P844" t="n">
        <v>0</v>
      </c>
      <c r="Q844" t="n">
        <v>0</v>
      </c>
      <c r="R844" s="2" t="inlineStr"/>
    </row>
    <row r="845" ht="15" customHeight="1">
      <c r="A845" t="inlineStr">
        <is>
          <t>A 32009-2023</t>
        </is>
      </c>
      <c r="B845" s="1" t="n">
        <v>45119</v>
      </c>
      <c r="C845" s="1" t="n">
        <v>46035</v>
      </c>
      <c r="D845" t="inlineStr">
        <is>
          <t>ÖREBRO LÄN</t>
        </is>
      </c>
      <c r="E845" t="inlineStr">
        <is>
          <t>LINDESBERG</t>
        </is>
      </c>
      <c r="F845" t="inlineStr">
        <is>
          <t>Kyrkan</t>
        </is>
      </c>
      <c r="G845" t="n">
        <v>0.8</v>
      </c>
      <c r="H845" t="n">
        <v>0</v>
      </c>
      <c r="I845" t="n">
        <v>0</v>
      </c>
      <c r="J845" t="n">
        <v>0</v>
      </c>
      <c r="K845" t="n">
        <v>0</v>
      </c>
      <c r="L845" t="n">
        <v>0</v>
      </c>
      <c r="M845" t="n">
        <v>0</v>
      </c>
      <c r="N845" t="n">
        <v>0</v>
      </c>
      <c r="O845" t="n">
        <v>0</v>
      </c>
      <c r="P845" t="n">
        <v>0</v>
      </c>
      <c r="Q845" t="n">
        <v>0</v>
      </c>
      <c r="R845" s="2" t="inlineStr"/>
    </row>
    <row r="846" ht="15" customHeight="1">
      <c r="A846" t="inlineStr">
        <is>
          <t>A 46647-2024</t>
        </is>
      </c>
      <c r="B846" s="1" t="n">
        <v>45583</v>
      </c>
      <c r="C846" s="1" t="n">
        <v>46035</v>
      </c>
      <c r="D846" t="inlineStr">
        <is>
          <t>ÖREBRO LÄN</t>
        </is>
      </c>
      <c r="E846" t="inlineStr">
        <is>
          <t>LINDESBERG</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23260-2024</t>
        </is>
      </c>
      <c r="B847" s="1" t="n">
        <v>45453.36664351852</v>
      </c>
      <c r="C847" s="1" t="n">
        <v>46035</v>
      </c>
      <c r="D847" t="inlineStr">
        <is>
          <t>ÖREBRO LÄN</t>
        </is>
      </c>
      <c r="E847" t="inlineStr">
        <is>
          <t>LINDESBERG</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26067-2022</t>
        </is>
      </c>
      <c r="B848" s="1" t="n">
        <v>44734.64337962963</v>
      </c>
      <c r="C848" s="1" t="n">
        <v>46035</v>
      </c>
      <c r="D848" t="inlineStr">
        <is>
          <t>ÖREBRO LÄN</t>
        </is>
      </c>
      <c r="E848" t="inlineStr">
        <is>
          <t>LINDESBERG</t>
        </is>
      </c>
      <c r="G848" t="n">
        <v>3.1</v>
      </c>
      <c r="H848" t="n">
        <v>0</v>
      </c>
      <c r="I848" t="n">
        <v>0</v>
      </c>
      <c r="J848" t="n">
        <v>0</v>
      </c>
      <c r="K848" t="n">
        <v>0</v>
      </c>
      <c r="L848" t="n">
        <v>0</v>
      </c>
      <c r="M848" t="n">
        <v>0</v>
      </c>
      <c r="N848" t="n">
        <v>0</v>
      </c>
      <c r="O848" t="n">
        <v>0</v>
      </c>
      <c r="P848" t="n">
        <v>0</v>
      </c>
      <c r="Q848" t="n">
        <v>0</v>
      </c>
      <c r="R848" s="2" t="inlineStr"/>
    </row>
    <row r="849" ht="15" customHeight="1">
      <c r="A849" t="inlineStr">
        <is>
          <t>A 3233-2023</t>
        </is>
      </c>
      <c r="B849" s="1" t="n">
        <v>44946</v>
      </c>
      <c r="C849" s="1" t="n">
        <v>46035</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5047-2023</t>
        </is>
      </c>
      <c r="B850" s="1" t="n">
        <v>44958.58982638889</v>
      </c>
      <c r="C850" s="1" t="n">
        <v>46035</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8836-2023</t>
        </is>
      </c>
      <c r="B851" s="1" t="n">
        <v>44978</v>
      </c>
      <c r="C851" s="1" t="n">
        <v>46035</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38460-2024</t>
        </is>
      </c>
      <c r="B852" s="1" t="n">
        <v>45546.46497685185</v>
      </c>
      <c r="C852" s="1" t="n">
        <v>46035</v>
      </c>
      <c r="D852" t="inlineStr">
        <is>
          <t>ÖREBRO LÄN</t>
        </is>
      </c>
      <c r="E852" t="inlineStr">
        <is>
          <t>LINDESBERG</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46219-2022</t>
        </is>
      </c>
      <c r="B853" s="1" t="n">
        <v>44846</v>
      </c>
      <c r="C853" s="1" t="n">
        <v>46035</v>
      </c>
      <c r="D853" t="inlineStr">
        <is>
          <t>ÖREBRO LÄN</t>
        </is>
      </c>
      <c r="E853" t="inlineStr">
        <is>
          <t>LINDESBERG</t>
        </is>
      </c>
      <c r="G853" t="n">
        <v>6</v>
      </c>
      <c r="H853" t="n">
        <v>0</v>
      </c>
      <c r="I853" t="n">
        <v>0</v>
      </c>
      <c r="J853" t="n">
        <v>0</v>
      </c>
      <c r="K853" t="n">
        <v>0</v>
      </c>
      <c r="L853" t="n">
        <v>0</v>
      </c>
      <c r="M853" t="n">
        <v>0</v>
      </c>
      <c r="N853" t="n">
        <v>0</v>
      </c>
      <c r="O853" t="n">
        <v>0</v>
      </c>
      <c r="P853" t="n">
        <v>0</v>
      </c>
      <c r="Q853" t="n">
        <v>0</v>
      </c>
      <c r="R853" s="2" t="inlineStr"/>
    </row>
    <row r="854" ht="15" customHeight="1">
      <c r="A854" t="inlineStr">
        <is>
          <t>A 11953-2024</t>
        </is>
      </c>
      <c r="B854" s="1" t="n">
        <v>45376.70292824074</v>
      </c>
      <c r="C854" s="1" t="n">
        <v>46035</v>
      </c>
      <c r="D854" t="inlineStr">
        <is>
          <t>ÖREBRO LÄN</t>
        </is>
      </c>
      <c r="E854" t="inlineStr">
        <is>
          <t>LINDESBERG</t>
        </is>
      </c>
      <c r="G854" t="n">
        <v>5.7</v>
      </c>
      <c r="H854" t="n">
        <v>0</v>
      </c>
      <c r="I854" t="n">
        <v>0</v>
      </c>
      <c r="J854" t="n">
        <v>0</v>
      </c>
      <c r="K854" t="n">
        <v>0</v>
      </c>
      <c r="L854" t="n">
        <v>0</v>
      </c>
      <c r="M854" t="n">
        <v>0</v>
      </c>
      <c r="N854" t="n">
        <v>0</v>
      </c>
      <c r="O854" t="n">
        <v>0</v>
      </c>
      <c r="P854" t="n">
        <v>0</v>
      </c>
      <c r="Q854" t="n">
        <v>0</v>
      </c>
      <c r="R854" s="2" t="inlineStr"/>
    </row>
    <row r="855" ht="15" customHeight="1">
      <c r="A855" t="inlineStr">
        <is>
          <t>A 4440-2024</t>
        </is>
      </c>
      <c r="B855" s="1" t="n">
        <v>45327</v>
      </c>
      <c r="C855" s="1" t="n">
        <v>46035</v>
      </c>
      <c r="D855" t="inlineStr">
        <is>
          <t>ÖREBRO LÄN</t>
        </is>
      </c>
      <c r="E855" t="inlineStr">
        <is>
          <t>LINDESBERG</t>
        </is>
      </c>
      <c r="F855" t="inlineStr">
        <is>
          <t>BillerudKorsnäs AB</t>
        </is>
      </c>
      <c r="G855" t="n">
        <v>2</v>
      </c>
      <c r="H855" t="n">
        <v>0</v>
      </c>
      <c r="I855" t="n">
        <v>0</v>
      </c>
      <c r="J855" t="n">
        <v>0</v>
      </c>
      <c r="K855" t="n">
        <v>0</v>
      </c>
      <c r="L855" t="n">
        <v>0</v>
      </c>
      <c r="M855" t="n">
        <v>0</v>
      </c>
      <c r="N855" t="n">
        <v>0</v>
      </c>
      <c r="O855" t="n">
        <v>0</v>
      </c>
      <c r="P855" t="n">
        <v>0</v>
      </c>
      <c r="Q855" t="n">
        <v>0</v>
      </c>
      <c r="R855" s="2" t="inlineStr"/>
    </row>
    <row r="856" ht="15" customHeight="1">
      <c r="A856" t="inlineStr">
        <is>
          <t>A 48244-2024</t>
        </is>
      </c>
      <c r="B856" s="1" t="n">
        <v>45590.39471064815</v>
      </c>
      <c r="C856" s="1" t="n">
        <v>46035</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59633-2023</t>
        </is>
      </c>
      <c r="B857" s="1" t="n">
        <v>45254</v>
      </c>
      <c r="C857" s="1" t="n">
        <v>46035</v>
      </c>
      <c r="D857" t="inlineStr">
        <is>
          <t>ÖREBRO LÄN</t>
        </is>
      </c>
      <c r="E857" t="inlineStr">
        <is>
          <t>LINDESBERG</t>
        </is>
      </c>
      <c r="F857" t="inlineStr">
        <is>
          <t>Sveaskog</t>
        </is>
      </c>
      <c r="G857" t="n">
        <v>1.9</v>
      </c>
      <c r="H857" t="n">
        <v>0</v>
      </c>
      <c r="I857" t="n">
        <v>0</v>
      </c>
      <c r="J857" t="n">
        <v>0</v>
      </c>
      <c r="K857" t="n">
        <v>0</v>
      </c>
      <c r="L857" t="n">
        <v>0</v>
      </c>
      <c r="M857" t="n">
        <v>0</v>
      </c>
      <c r="N857" t="n">
        <v>0</v>
      </c>
      <c r="O857" t="n">
        <v>0</v>
      </c>
      <c r="P857" t="n">
        <v>0</v>
      </c>
      <c r="Q857" t="n">
        <v>0</v>
      </c>
      <c r="R857" s="2" t="inlineStr"/>
    </row>
    <row r="858" ht="15" customHeight="1">
      <c r="A858" t="inlineStr">
        <is>
          <t>A 18418-2025</t>
        </is>
      </c>
      <c r="B858" s="1" t="n">
        <v>45762.61817129629</v>
      </c>
      <c r="C858" s="1" t="n">
        <v>46035</v>
      </c>
      <c r="D858" t="inlineStr">
        <is>
          <t>ÖREBRO LÄN</t>
        </is>
      </c>
      <c r="E858" t="inlineStr">
        <is>
          <t>LINDESBERG</t>
        </is>
      </c>
      <c r="G858" t="n">
        <v>2.3</v>
      </c>
      <c r="H858" t="n">
        <v>0</v>
      </c>
      <c r="I858" t="n">
        <v>0</v>
      </c>
      <c r="J858" t="n">
        <v>0</v>
      </c>
      <c r="K858" t="n">
        <v>0</v>
      </c>
      <c r="L858" t="n">
        <v>0</v>
      </c>
      <c r="M858" t="n">
        <v>0</v>
      </c>
      <c r="N858" t="n">
        <v>0</v>
      </c>
      <c r="O858" t="n">
        <v>0</v>
      </c>
      <c r="P858" t="n">
        <v>0</v>
      </c>
      <c r="Q858" t="n">
        <v>0</v>
      </c>
      <c r="R858" s="2" t="inlineStr"/>
    </row>
    <row r="859" ht="15" customHeight="1">
      <c r="A859" t="inlineStr">
        <is>
          <t>A 23649-2023</t>
        </is>
      </c>
      <c r="B859" s="1" t="n">
        <v>45074</v>
      </c>
      <c r="C859" s="1" t="n">
        <v>46035</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43081-2021</t>
        </is>
      </c>
      <c r="B860" s="1" t="n">
        <v>44431</v>
      </c>
      <c r="C860" s="1" t="n">
        <v>46035</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51071-2022</t>
        </is>
      </c>
      <c r="B861" s="1" t="n">
        <v>44868.36924768519</v>
      </c>
      <c r="C861" s="1" t="n">
        <v>46035</v>
      </c>
      <c r="D861" t="inlineStr">
        <is>
          <t>ÖREBRO LÄN</t>
        </is>
      </c>
      <c r="E861" t="inlineStr">
        <is>
          <t>LINDESBERG</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44449-2023</t>
        </is>
      </c>
      <c r="B862" s="1" t="n">
        <v>45189.38135416667</v>
      </c>
      <c r="C862" s="1" t="n">
        <v>46035</v>
      </c>
      <c r="D862" t="inlineStr">
        <is>
          <t>ÖREBRO LÄN</t>
        </is>
      </c>
      <c r="E862" t="inlineStr">
        <is>
          <t>LINDESBERG</t>
        </is>
      </c>
      <c r="G862" t="n">
        <v>13.7</v>
      </c>
      <c r="H862" t="n">
        <v>0</v>
      </c>
      <c r="I862" t="n">
        <v>0</v>
      </c>
      <c r="J862" t="n">
        <v>0</v>
      </c>
      <c r="K862" t="n">
        <v>0</v>
      </c>
      <c r="L862" t="n">
        <v>0</v>
      </c>
      <c r="M862" t="n">
        <v>0</v>
      </c>
      <c r="N862" t="n">
        <v>0</v>
      </c>
      <c r="O862" t="n">
        <v>0</v>
      </c>
      <c r="P862" t="n">
        <v>0</v>
      </c>
      <c r="Q862" t="n">
        <v>0</v>
      </c>
      <c r="R862" s="2" t="inlineStr"/>
    </row>
    <row r="863" ht="15" customHeight="1">
      <c r="A863" t="inlineStr">
        <is>
          <t>A 15894-2025</t>
        </is>
      </c>
      <c r="B863" s="1" t="n">
        <v>45749</v>
      </c>
      <c r="C863" s="1" t="n">
        <v>46035</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34436-2023</t>
        </is>
      </c>
      <c r="B864" s="1" t="n">
        <v>45139.64328703703</v>
      </c>
      <c r="C864" s="1" t="n">
        <v>46035</v>
      </c>
      <c r="D864" t="inlineStr">
        <is>
          <t>ÖREBRO LÄN</t>
        </is>
      </c>
      <c r="E864" t="inlineStr">
        <is>
          <t>LINDESBERG</t>
        </is>
      </c>
      <c r="F864" t="inlineStr">
        <is>
          <t>Kyrkan</t>
        </is>
      </c>
      <c r="G864" t="n">
        <v>5.8</v>
      </c>
      <c r="H864" t="n">
        <v>0</v>
      </c>
      <c r="I864" t="n">
        <v>0</v>
      </c>
      <c r="J864" t="n">
        <v>0</v>
      </c>
      <c r="K864" t="n">
        <v>0</v>
      </c>
      <c r="L864" t="n">
        <v>0</v>
      </c>
      <c r="M864" t="n">
        <v>0</v>
      </c>
      <c r="N864" t="n">
        <v>0</v>
      </c>
      <c r="O864" t="n">
        <v>0</v>
      </c>
      <c r="P864" t="n">
        <v>0</v>
      </c>
      <c r="Q864" t="n">
        <v>0</v>
      </c>
      <c r="R864" s="2" t="inlineStr"/>
    </row>
    <row r="865" ht="15" customHeight="1">
      <c r="A865" t="inlineStr">
        <is>
          <t>A 45078-2024</t>
        </is>
      </c>
      <c r="B865" s="1" t="n">
        <v>45575.57104166667</v>
      </c>
      <c r="C865" s="1" t="n">
        <v>46035</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27001-2024</t>
        </is>
      </c>
      <c r="B866" s="1" t="n">
        <v>45471.38995370371</v>
      </c>
      <c r="C866" s="1" t="n">
        <v>46035</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46035</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25012-2023</t>
        </is>
      </c>
      <c r="B868" s="1" t="n">
        <v>45085</v>
      </c>
      <c r="C868" s="1" t="n">
        <v>46035</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26778-2023</t>
        </is>
      </c>
      <c r="B869" s="1" t="n">
        <v>45093.48221064815</v>
      </c>
      <c r="C869" s="1" t="n">
        <v>46035</v>
      </c>
      <c r="D869" t="inlineStr">
        <is>
          <t>ÖREBRO LÄN</t>
        </is>
      </c>
      <c r="E869" t="inlineStr">
        <is>
          <t>LINDESBERG</t>
        </is>
      </c>
      <c r="G869" t="n">
        <v>7.5</v>
      </c>
      <c r="H869" t="n">
        <v>0</v>
      </c>
      <c r="I869" t="n">
        <v>0</v>
      </c>
      <c r="J869" t="n">
        <v>0</v>
      </c>
      <c r="K869" t="n">
        <v>0</v>
      </c>
      <c r="L869" t="n">
        <v>0</v>
      </c>
      <c r="M869" t="n">
        <v>0</v>
      </c>
      <c r="N869" t="n">
        <v>0</v>
      </c>
      <c r="O869" t="n">
        <v>0</v>
      </c>
      <c r="P869" t="n">
        <v>0</v>
      </c>
      <c r="Q869" t="n">
        <v>0</v>
      </c>
      <c r="R869" s="2" t="inlineStr"/>
    </row>
    <row r="870" ht="15" customHeight="1">
      <c r="A870" t="inlineStr">
        <is>
          <t>A 50170-2022</t>
        </is>
      </c>
      <c r="B870" s="1" t="n">
        <v>44865.600625</v>
      </c>
      <c r="C870" s="1" t="n">
        <v>46035</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1354-2024</t>
        </is>
      </c>
      <c r="B871" s="1" t="n">
        <v>45303</v>
      </c>
      <c r="C871" s="1" t="n">
        <v>46035</v>
      </c>
      <c r="D871" t="inlineStr">
        <is>
          <t>ÖREBRO LÄN</t>
        </is>
      </c>
      <c r="E871" t="inlineStr">
        <is>
          <t>LINDESBERG</t>
        </is>
      </c>
      <c r="G871" t="n">
        <v>2.1</v>
      </c>
      <c r="H871" t="n">
        <v>0</v>
      </c>
      <c r="I871" t="n">
        <v>0</v>
      </c>
      <c r="J871" t="n">
        <v>0</v>
      </c>
      <c r="K871" t="n">
        <v>0</v>
      </c>
      <c r="L871" t="n">
        <v>0</v>
      </c>
      <c r="M871" t="n">
        <v>0</v>
      </c>
      <c r="N871" t="n">
        <v>0</v>
      </c>
      <c r="O871" t="n">
        <v>0</v>
      </c>
      <c r="P871" t="n">
        <v>0</v>
      </c>
      <c r="Q871" t="n">
        <v>0</v>
      </c>
      <c r="R871" s="2" t="inlineStr"/>
    </row>
    <row r="872" ht="15" customHeight="1">
      <c r="A872" t="inlineStr">
        <is>
          <t>A 33886-2024</t>
        </is>
      </c>
      <c r="B872" s="1" t="n">
        <v>45523.31621527778</v>
      </c>
      <c r="C872" s="1" t="n">
        <v>46035</v>
      </c>
      <c r="D872" t="inlineStr">
        <is>
          <t>ÖREBRO LÄN</t>
        </is>
      </c>
      <c r="E872" t="inlineStr">
        <is>
          <t>LINDESBERG</t>
        </is>
      </c>
      <c r="G872" t="n">
        <v>1.3</v>
      </c>
      <c r="H872" t="n">
        <v>0</v>
      </c>
      <c r="I872" t="n">
        <v>0</v>
      </c>
      <c r="J872" t="n">
        <v>0</v>
      </c>
      <c r="K872" t="n">
        <v>0</v>
      </c>
      <c r="L872" t="n">
        <v>0</v>
      </c>
      <c r="M872" t="n">
        <v>0</v>
      </c>
      <c r="N872" t="n">
        <v>0</v>
      </c>
      <c r="O872" t="n">
        <v>0</v>
      </c>
      <c r="P872" t="n">
        <v>0</v>
      </c>
      <c r="Q872" t="n">
        <v>0</v>
      </c>
      <c r="R872" s="2" t="inlineStr"/>
    </row>
    <row r="873" ht="15" customHeight="1">
      <c r="A873" t="inlineStr">
        <is>
          <t>A 50285-2022</t>
        </is>
      </c>
      <c r="B873" s="1" t="n">
        <v>44865.87770833333</v>
      </c>
      <c r="C873" s="1" t="n">
        <v>46035</v>
      </c>
      <c r="D873" t="inlineStr">
        <is>
          <t>ÖREBRO LÄN</t>
        </is>
      </c>
      <c r="E873" t="inlineStr">
        <is>
          <t>LINDESBERG</t>
        </is>
      </c>
      <c r="G873" t="n">
        <v>2.5</v>
      </c>
      <c r="H873" t="n">
        <v>0</v>
      </c>
      <c r="I873" t="n">
        <v>0</v>
      </c>
      <c r="J873" t="n">
        <v>0</v>
      </c>
      <c r="K873" t="n">
        <v>0</v>
      </c>
      <c r="L873" t="n">
        <v>0</v>
      </c>
      <c r="M873" t="n">
        <v>0</v>
      </c>
      <c r="N873" t="n">
        <v>0</v>
      </c>
      <c r="O873" t="n">
        <v>0</v>
      </c>
      <c r="P873" t="n">
        <v>0</v>
      </c>
      <c r="Q873" t="n">
        <v>0</v>
      </c>
      <c r="R873" s="2" t="inlineStr"/>
    </row>
    <row r="874" ht="15" customHeight="1">
      <c r="A874" t="inlineStr">
        <is>
          <t>A 1405-2025</t>
        </is>
      </c>
      <c r="B874" s="1" t="n">
        <v>45667</v>
      </c>
      <c r="C874" s="1" t="n">
        <v>46035</v>
      </c>
      <c r="D874" t="inlineStr">
        <is>
          <t>ÖREBRO LÄN</t>
        </is>
      </c>
      <c r="E874" t="inlineStr">
        <is>
          <t>LINDESBERG</t>
        </is>
      </c>
      <c r="F874" t="inlineStr">
        <is>
          <t>Allmännings- och besparingsskogar</t>
        </is>
      </c>
      <c r="G874" t="n">
        <v>3.1</v>
      </c>
      <c r="H874" t="n">
        <v>0</v>
      </c>
      <c r="I874" t="n">
        <v>0</v>
      </c>
      <c r="J874" t="n">
        <v>0</v>
      </c>
      <c r="K874" t="n">
        <v>0</v>
      </c>
      <c r="L874" t="n">
        <v>0</v>
      </c>
      <c r="M874" t="n">
        <v>0</v>
      </c>
      <c r="N874" t="n">
        <v>0</v>
      </c>
      <c r="O874" t="n">
        <v>0</v>
      </c>
      <c r="P874" t="n">
        <v>0</v>
      </c>
      <c r="Q874" t="n">
        <v>0</v>
      </c>
      <c r="R874" s="2" t="inlineStr"/>
    </row>
    <row r="875" ht="15" customHeight="1">
      <c r="A875" t="inlineStr">
        <is>
          <t>A 40456-2023</t>
        </is>
      </c>
      <c r="B875" s="1" t="n">
        <v>45170</v>
      </c>
      <c r="C875" s="1" t="n">
        <v>46035</v>
      </c>
      <c r="D875" t="inlineStr">
        <is>
          <t>ÖREBRO LÄN</t>
        </is>
      </c>
      <c r="E875" t="inlineStr">
        <is>
          <t>LINDESBERG</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28562-2023</t>
        </is>
      </c>
      <c r="B876" s="1" t="n">
        <v>45103.53614583334</v>
      </c>
      <c r="C876" s="1" t="n">
        <v>46035</v>
      </c>
      <c r="D876" t="inlineStr">
        <is>
          <t>ÖREBRO LÄN</t>
        </is>
      </c>
      <c r="E876" t="inlineStr">
        <is>
          <t>LINDESBERG</t>
        </is>
      </c>
      <c r="G876" t="n">
        <v>2</v>
      </c>
      <c r="H876" t="n">
        <v>0</v>
      </c>
      <c r="I876" t="n">
        <v>0</v>
      </c>
      <c r="J876" t="n">
        <v>0</v>
      </c>
      <c r="K876" t="n">
        <v>0</v>
      </c>
      <c r="L876" t="n">
        <v>0</v>
      </c>
      <c r="M876" t="n">
        <v>0</v>
      </c>
      <c r="N876" t="n">
        <v>0</v>
      </c>
      <c r="O876" t="n">
        <v>0</v>
      </c>
      <c r="P876" t="n">
        <v>0</v>
      </c>
      <c r="Q876" t="n">
        <v>0</v>
      </c>
      <c r="R876" s="2" t="inlineStr"/>
    </row>
    <row r="877" ht="15" customHeight="1">
      <c r="A877" t="inlineStr">
        <is>
          <t>A 17463-2023</t>
        </is>
      </c>
      <c r="B877" s="1" t="n">
        <v>45036</v>
      </c>
      <c r="C877" s="1" t="n">
        <v>46035</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6511-2025</t>
        </is>
      </c>
      <c r="B878" s="1" t="n">
        <v>45699.65424768518</v>
      </c>
      <c r="C878" s="1" t="n">
        <v>46035</v>
      </c>
      <c r="D878" t="inlineStr">
        <is>
          <t>ÖREBRO LÄN</t>
        </is>
      </c>
      <c r="E878" t="inlineStr">
        <is>
          <t>LINDESBERG</t>
        </is>
      </c>
      <c r="G878" t="n">
        <v>9.1</v>
      </c>
      <c r="H878" t="n">
        <v>0</v>
      </c>
      <c r="I878" t="n">
        <v>0</v>
      </c>
      <c r="J878" t="n">
        <v>0</v>
      </c>
      <c r="K878" t="n">
        <v>0</v>
      </c>
      <c r="L878" t="n">
        <v>0</v>
      </c>
      <c r="M878" t="n">
        <v>0</v>
      </c>
      <c r="N878" t="n">
        <v>0</v>
      </c>
      <c r="O878" t="n">
        <v>0</v>
      </c>
      <c r="P878" t="n">
        <v>0</v>
      </c>
      <c r="Q878" t="n">
        <v>0</v>
      </c>
      <c r="R878" s="2" t="inlineStr"/>
    </row>
    <row r="879" ht="15" customHeight="1">
      <c r="A879" t="inlineStr">
        <is>
          <t>A 16791-2024</t>
        </is>
      </c>
      <c r="B879" s="1" t="n">
        <v>45411.42858796296</v>
      </c>
      <c r="C879" s="1" t="n">
        <v>46035</v>
      </c>
      <c r="D879" t="inlineStr">
        <is>
          <t>ÖREBRO LÄN</t>
        </is>
      </c>
      <c r="E879" t="inlineStr">
        <is>
          <t>LINDESBERG</t>
        </is>
      </c>
      <c r="G879" t="n">
        <v>16.1</v>
      </c>
      <c r="H879" t="n">
        <v>0</v>
      </c>
      <c r="I879" t="n">
        <v>0</v>
      </c>
      <c r="J879" t="n">
        <v>0</v>
      </c>
      <c r="K879" t="n">
        <v>0</v>
      </c>
      <c r="L879" t="n">
        <v>0</v>
      </c>
      <c r="M879" t="n">
        <v>0</v>
      </c>
      <c r="N879" t="n">
        <v>0</v>
      </c>
      <c r="O879" t="n">
        <v>0</v>
      </c>
      <c r="P879" t="n">
        <v>0</v>
      </c>
      <c r="Q879" t="n">
        <v>0</v>
      </c>
      <c r="R879" s="2" t="inlineStr"/>
    </row>
    <row r="880" ht="15" customHeight="1">
      <c r="A880" t="inlineStr">
        <is>
          <t>A 22829-2023</t>
        </is>
      </c>
      <c r="B880" s="1" t="n">
        <v>45072.42776620371</v>
      </c>
      <c r="C880" s="1" t="n">
        <v>46035</v>
      </c>
      <c r="D880" t="inlineStr">
        <is>
          <t>ÖREBRO LÄN</t>
        </is>
      </c>
      <c r="E880" t="inlineStr">
        <is>
          <t>LINDESBERG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60105-2022</t>
        </is>
      </c>
      <c r="B881" s="1" t="n">
        <v>44902</v>
      </c>
      <c r="C881" s="1" t="n">
        <v>46035</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53046-2024</t>
        </is>
      </c>
      <c r="B882" s="1" t="n">
        <v>45611.44960648148</v>
      </c>
      <c r="C882" s="1" t="n">
        <v>46035</v>
      </c>
      <c r="D882" t="inlineStr">
        <is>
          <t>ÖREBRO LÄN</t>
        </is>
      </c>
      <c r="E882" t="inlineStr">
        <is>
          <t>LINDESBERG</t>
        </is>
      </c>
      <c r="G882" t="n">
        <v>1.2</v>
      </c>
      <c r="H882" t="n">
        <v>0</v>
      </c>
      <c r="I882" t="n">
        <v>0</v>
      </c>
      <c r="J882" t="n">
        <v>0</v>
      </c>
      <c r="K882" t="n">
        <v>0</v>
      </c>
      <c r="L882" t="n">
        <v>0</v>
      </c>
      <c r="M882" t="n">
        <v>0</v>
      </c>
      <c r="N882" t="n">
        <v>0</v>
      </c>
      <c r="O882" t="n">
        <v>0</v>
      </c>
      <c r="P882" t="n">
        <v>0</v>
      </c>
      <c r="Q882" t="n">
        <v>0</v>
      </c>
      <c r="R882" s="2" t="inlineStr"/>
    </row>
    <row r="883" ht="15" customHeight="1">
      <c r="A883" t="inlineStr">
        <is>
          <t>A 18590-2023</t>
        </is>
      </c>
      <c r="B883" s="1" t="n">
        <v>45043.40300925926</v>
      </c>
      <c r="C883" s="1" t="n">
        <v>46035</v>
      </c>
      <c r="D883" t="inlineStr">
        <is>
          <t>ÖREBRO LÄN</t>
        </is>
      </c>
      <c r="E883" t="inlineStr">
        <is>
          <t>LINDESBERG</t>
        </is>
      </c>
      <c r="G883" t="n">
        <v>2.4</v>
      </c>
      <c r="H883" t="n">
        <v>0</v>
      </c>
      <c r="I883" t="n">
        <v>0</v>
      </c>
      <c r="J883" t="n">
        <v>0</v>
      </c>
      <c r="K883" t="n">
        <v>0</v>
      </c>
      <c r="L883" t="n">
        <v>0</v>
      </c>
      <c r="M883" t="n">
        <v>0</v>
      </c>
      <c r="N883" t="n">
        <v>0</v>
      </c>
      <c r="O883" t="n">
        <v>0</v>
      </c>
      <c r="P883" t="n">
        <v>0</v>
      </c>
      <c r="Q883" t="n">
        <v>0</v>
      </c>
      <c r="R883" s="2" t="inlineStr"/>
    </row>
    <row r="884" ht="15" customHeight="1">
      <c r="A884" t="inlineStr">
        <is>
          <t>A 51539-2024</t>
        </is>
      </c>
      <c r="B884" s="1" t="n">
        <v>45604.58837962963</v>
      </c>
      <c r="C884" s="1" t="n">
        <v>46035</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15852-2025</t>
        </is>
      </c>
      <c r="B885" s="1" t="n">
        <v>45749</v>
      </c>
      <c r="C885" s="1" t="n">
        <v>46035</v>
      </c>
      <c r="D885" t="inlineStr">
        <is>
          <t>ÖREBRO LÄN</t>
        </is>
      </c>
      <c r="E885" t="inlineStr">
        <is>
          <t>LINDESBERG</t>
        </is>
      </c>
      <c r="G885" t="n">
        <v>8.9</v>
      </c>
      <c r="H885" t="n">
        <v>0</v>
      </c>
      <c r="I885" t="n">
        <v>0</v>
      </c>
      <c r="J885" t="n">
        <v>0</v>
      </c>
      <c r="K885" t="n">
        <v>0</v>
      </c>
      <c r="L885" t="n">
        <v>0</v>
      </c>
      <c r="M885" t="n">
        <v>0</v>
      </c>
      <c r="N885" t="n">
        <v>0</v>
      </c>
      <c r="O885" t="n">
        <v>0</v>
      </c>
      <c r="P885" t="n">
        <v>0</v>
      </c>
      <c r="Q885" t="n">
        <v>0</v>
      </c>
      <c r="R885" s="2" t="inlineStr"/>
    </row>
    <row r="886" ht="15" customHeight="1">
      <c r="A886" t="inlineStr">
        <is>
          <t>A 34539-2024</t>
        </is>
      </c>
      <c r="B886" s="1" t="n">
        <v>45525.7374537037</v>
      </c>
      <c r="C886" s="1" t="n">
        <v>46035</v>
      </c>
      <c r="D886" t="inlineStr">
        <is>
          <t>ÖREBRO LÄN</t>
        </is>
      </c>
      <c r="E886" t="inlineStr">
        <is>
          <t>LINDESBERG</t>
        </is>
      </c>
      <c r="G886" t="n">
        <v>5.4</v>
      </c>
      <c r="H886" t="n">
        <v>0</v>
      </c>
      <c r="I886" t="n">
        <v>0</v>
      </c>
      <c r="J886" t="n">
        <v>0</v>
      </c>
      <c r="K886" t="n">
        <v>0</v>
      </c>
      <c r="L886" t="n">
        <v>0</v>
      </c>
      <c r="M886" t="n">
        <v>0</v>
      </c>
      <c r="N886" t="n">
        <v>0</v>
      </c>
      <c r="O886" t="n">
        <v>0</v>
      </c>
      <c r="P886" t="n">
        <v>0</v>
      </c>
      <c r="Q886" t="n">
        <v>0</v>
      </c>
      <c r="R886" s="2" t="inlineStr"/>
    </row>
    <row r="887" ht="15" customHeight="1">
      <c r="A887" t="inlineStr">
        <is>
          <t>A 35739-2024</t>
        </is>
      </c>
      <c r="B887" s="1" t="n">
        <v>45532</v>
      </c>
      <c r="C887" s="1" t="n">
        <v>46035</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1383-2025</t>
        </is>
      </c>
      <c r="B888" s="1" t="n">
        <v>45667</v>
      </c>
      <c r="C888" s="1" t="n">
        <v>46035</v>
      </c>
      <c r="D888" t="inlineStr">
        <is>
          <t>ÖREBRO LÄN</t>
        </is>
      </c>
      <c r="E888" t="inlineStr">
        <is>
          <t>LINDESBERG</t>
        </is>
      </c>
      <c r="G888" t="n">
        <v>5</v>
      </c>
      <c r="H888" t="n">
        <v>0</v>
      </c>
      <c r="I888" t="n">
        <v>0</v>
      </c>
      <c r="J888" t="n">
        <v>0</v>
      </c>
      <c r="K888" t="n">
        <v>0</v>
      </c>
      <c r="L888" t="n">
        <v>0</v>
      </c>
      <c r="M888" t="n">
        <v>0</v>
      </c>
      <c r="N888" t="n">
        <v>0</v>
      </c>
      <c r="O888" t="n">
        <v>0</v>
      </c>
      <c r="P888" t="n">
        <v>0</v>
      </c>
      <c r="Q888" t="n">
        <v>0</v>
      </c>
      <c r="R888" s="2" t="inlineStr"/>
    </row>
    <row r="889" ht="15" customHeight="1">
      <c r="A889" t="inlineStr">
        <is>
          <t>A 10057-2025</t>
        </is>
      </c>
      <c r="B889" s="1" t="n">
        <v>45719.52871527777</v>
      </c>
      <c r="C889" s="1" t="n">
        <v>46035</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13823-2021</t>
        </is>
      </c>
      <c r="B890" s="1" t="n">
        <v>44276</v>
      </c>
      <c r="C890" s="1" t="n">
        <v>46035</v>
      </c>
      <c r="D890" t="inlineStr">
        <is>
          <t>ÖREBRO LÄN</t>
        </is>
      </c>
      <c r="E890" t="inlineStr">
        <is>
          <t>LINDESBERG</t>
        </is>
      </c>
      <c r="G890" t="n">
        <v>0.5</v>
      </c>
      <c r="H890" t="n">
        <v>0</v>
      </c>
      <c r="I890" t="n">
        <v>0</v>
      </c>
      <c r="J890" t="n">
        <v>0</v>
      </c>
      <c r="K890" t="n">
        <v>0</v>
      </c>
      <c r="L890" t="n">
        <v>0</v>
      </c>
      <c r="M890" t="n">
        <v>0</v>
      </c>
      <c r="N890" t="n">
        <v>0</v>
      </c>
      <c r="O890" t="n">
        <v>0</v>
      </c>
      <c r="P890" t="n">
        <v>0</v>
      </c>
      <c r="Q890" t="n">
        <v>0</v>
      </c>
      <c r="R890" s="2" t="inlineStr"/>
    </row>
    <row r="891" ht="15" customHeight="1">
      <c r="A891" t="inlineStr">
        <is>
          <t>A 43247-2023</t>
        </is>
      </c>
      <c r="B891" s="1" t="n">
        <v>45183.48666666666</v>
      </c>
      <c r="C891" s="1" t="n">
        <v>46035</v>
      </c>
      <c r="D891" t="inlineStr">
        <is>
          <t>ÖREBRO LÄN</t>
        </is>
      </c>
      <c r="E891" t="inlineStr">
        <is>
          <t>LINDESBERG</t>
        </is>
      </c>
      <c r="G891" t="n">
        <v>3</v>
      </c>
      <c r="H891" t="n">
        <v>0</v>
      </c>
      <c r="I891" t="n">
        <v>0</v>
      </c>
      <c r="J891" t="n">
        <v>0</v>
      </c>
      <c r="K891" t="n">
        <v>0</v>
      </c>
      <c r="L891" t="n">
        <v>0</v>
      </c>
      <c r="M891" t="n">
        <v>0</v>
      </c>
      <c r="N891" t="n">
        <v>0</v>
      </c>
      <c r="O891" t="n">
        <v>0</v>
      </c>
      <c r="P891" t="n">
        <v>0</v>
      </c>
      <c r="Q891" t="n">
        <v>0</v>
      </c>
      <c r="R891" s="2" t="inlineStr"/>
    </row>
    <row r="892" ht="15" customHeight="1">
      <c r="A892" t="inlineStr">
        <is>
          <t>A 626-2025</t>
        </is>
      </c>
      <c r="B892" s="1" t="n">
        <v>45664</v>
      </c>
      <c r="C892" s="1" t="n">
        <v>46035</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43046-2022</t>
        </is>
      </c>
      <c r="B893" s="1" t="n">
        <v>44833</v>
      </c>
      <c r="C893" s="1" t="n">
        <v>46035</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57795-2021</t>
        </is>
      </c>
      <c r="B894" s="1" t="n">
        <v>44484</v>
      </c>
      <c r="C894" s="1" t="n">
        <v>46035</v>
      </c>
      <c r="D894" t="inlineStr">
        <is>
          <t>ÖREBRO LÄN</t>
        </is>
      </c>
      <c r="E894" t="inlineStr">
        <is>
          <t>LINDESBERG</t>
        </is>
      </c>
      <c r="G894" t="n">
        <v>39.4</v>
      </c>
      <c r="H894" t="n">
        <v>0</v>
      </c>
      <c r="I894" t="n">
        <v>0</v>
      </c>
      <c r="J894" t="n">
        <v>0</v>
      </c>
      <c r="K894" t="n">
        <v>0</v>
      </c>
      <c r="L894" t="n">
        <v>0</v>
      </c>
      <c r="M894" t="n">
        <v>0</v>
      </c>
      <c r="N894" t="n">
        <v>0</v>
      </c>
      <c r="O894" t="n">
        <v>0</v>
      </c>
      <c r="P894" t="n">
        <v>0</v>
      </c>
      <c r="Q894" t="n">
        <v>0</v>
      </c>
      <c r="R894" s="2" t="inlineStr"/>
    </row>
    <row r="895" ht="15" customHeight="1">
      <c r="A895" t="inlineStr">
        <is>
          <t>A 43433-2024</t>
        </is>
      </c>
      <c r="B895" s="1" t="n">
        <v>45568.64523148148</v>
      </c>
      <c r="C895" s="1" t="n">
        <v>46035</v>
      </c>
      <c r="D895" t="inlineStr">
        <is>
          <t>ÖREBRO LÄN</t>
        </is>
      </c>
      <c r="E895" t="inlineStr">
        <is>
          <t>LINDESBERG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6604-2024</t>
        </is>
      </c>
      <c r="B896" s="1" t="n">
        <v>45341.56577546296</v>
      </c>
      <c r="C896" s="1" t="n">
        <v>46035</v>
      </c>
      <c r="D896" t="inlineStr">
        <is>
          <t>ÖREBRO LÄN</t>
        </is>
      </c>
      <c r="E896" t="inlineStr">
        <is>
          <t>LINDESBERG</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5550-2024</t>
        </is>
      </c>
      <c r="B897" s="1" t="n">
        <v>45334</v>
      </c>
      <c r="C897" s="1" t="n">
        <v>46035</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63125-2023</t>
        </is>
      </c>
      <c r="B898" s="1" t="n">
        <v>45273</v>
      </c>
      <c r="C898" s="1" t="n">
        <v>46035</v>
      </c>
      <c r="D898" t="inlineStr">
        <is>
          <t>ÖREBRO LÄN</t>
        </is>
      </c>
      <c r="E898" t="inlineStr">
        <is>
          <t>LINDESBERG</t>
        </is>
      </c>
      <c r="G898" t="n">
        <v>1.7</v>
      </c>
      <c r="H898" t="n">
        <v>0</v>
      </c>
      <c r="I898" t="n">
        <v>0</v>
      </c>
      <c r="J898" t="n">
        <v>0</v>
      </c>
      <c r="K898" t="n">
        <v>0</v>
      </c>
      <c r="L898" t="n">
        <v>0</v>
      </c>
      <c r="M898" t="n">
        <v>0</v>
      </c>
      <c r="N898" t="n">
        <v>0</v>
      </c>
      <c r="O898" t="n">
        <v>0</v>
      </c>
      <c r="P898" t="n">
        <v>0</v>
      </c>
      <c r="Q898" t="n">
        <v>0</v>
      </c>
      <c r="R898" s="2" t="inlineStr"/>
    </row>
    <row r="899" ht="15" customHeight="1">
      <c r="A899" t="inlineStr">
        <is>
          <t>A 15752-2024</t>
        </is>
      </c>
      <c r="B899" s="1" t="n">
        <v>45404.55681712963</v>
      </c>
      <c r="C899" s="1" t="n">
        <v>46035</v>
      </c>
      <c r="D899" t="inlineStr">
        <is>
          <t>ÖREBRO LÄN</t>
        </is>
      </c>
      <c r="E899" t="inlineStr">
        <is>
          <t>LINDESBERG</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35229-2024</t>
        </is>
      </c>
      <c r="B900" s="1" t="n">
        <v>45530</v>
      </c>
      <c r="C900" s="1" t="n">
        <v>46035</v>
      </c>
      <c r="D900" t="inlineStr">
        <is>
          <t>ÖREBRO LÄN</t>
        </is>
      </c>
      <c r="E900" t="inlineStr">
        <is>
          <t>LINDESBERG</t>
        </is>
      </c>
      <c r="G900" t="n">
        <v>0.8</v>
      </c>
      <c r="H900" t="n">
        <v>0</v>
      </c>
      <c r="I900" t="n">
        <v>0</v>
      </c>
      <c r="J900" t="n">
        <v>0</v>
      </c>
      <c r="K900" t="n">
        <v>0</v>
      </c>
      <c r="L900" t="n">
        <v>0</v>
      </c>
      <c r="M900" t="n">
        <v>0</v>
      </c>
      <c r="N900" t="n">
        <v>0</v>
      </c>
      <c r="O900" t="n">
        <v>0</v>
      </c>
      <c r="P900" t="n">
        <v>0</v>
      </c>
      <c r="Q900" t="n">
        <v>0</v>
      </c>
      <c r="R900" s="2" t="inlineStr"/>
    </row>
    <row r="901" ht="15" customHeight="1">
      <c r="A901" t="inlineStr">
        <is>
          <t>A 50986-2023</t>
        </is>
      </c>
      <c r="B901" s="1" t="n">
        <v>45218</v>
      </c>
      <c r="C901" s="1" t="n">
        <v>46035</v>
      </c>
      <c r="D901" t="inlineStr">
        <is>
          <t>ÖREBRO LÄN</t>
        </is>
      </c>
      <c r="E901" t="inlineStr">
        <is>
          <t>LINDESBERG</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25046-2024</t>
        </is>
      </c>
      <c r="B902" s="1" t="n">
        <v>45462</v>
      </c>
      <c r="C902" s="1" t="n">
        <v>46035</v>
      </c>
      <c r="D902" t="inlineStr">
        <is>
          <t>ÖREBRO LÄN</t>
        </is>
      </c>
      <c r="E902" t="inlineStr">
        <is>
          <t>LINDESBERG</t>
        </is>
      </c>
      <c r="G902" t="n">
        <v>4.1</v>
      </c>
      <c r="H902" t="n">
        <v>0</v>
      </c>
      <c r="I902" t="n">
        <v>0</v>
      </c>
      <c r="J902" t="n">
        <v>0</v>
      </c>
      <c r="K902" t="n">
        <v>0</v>
      </c>
      <c r="L902" t="n">
        <v>0</v>
      </c>
      <c r="M902" t="n">
        <v>0</v>
      </c>
      <c r="N902" t="n">
        <v>0</v>
      </c>
      <c r="O902" t="n">
        <v>0</v>
      </c>
      <c r="P902" t="n">
        <v>0</v>
      </c>
      <c r="Q902" t="n">
        <v>0</v>
      </c>
      <c r="R902" s="2" t="inlineStr"/>
    </row>
    <row r="903" ht="15" customHeight="1">
      <c r="A903" t="inlineStr">
        <is>
          <t>A 44675-2021</t>
        </is>
      </c>
      <c r="B903" s="1" t="n">
        <v>44438</v>
      </c>
      <c r="C903" s="1" t="n">
        <v>46035</v>
      </c>
      <c r="D903" t="inlineStr">
        <is>
          <t>ÖREBRO LÄN</t>
        </is>
      </c>
      <c r="E903" t="inlineStr">
        <is>
          <t>LINDESBERG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32829-2024</t>
        </is>
      </c>
      <c r="B904" s="1" t="n">
        <v>45516.59447916667</v>
      </c>
      <c r="C904" s="1" t="n">
        <v>46035</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43416-2024</t>
        </is>
      </c>
      <c r="B905" s="1" t="n">
        <v>45568.62625</v>
      </c>
      <c r="C905" s="1" t="n">
        <v>46035</v>
      </c>
      <c r="D905" t="inlineStr">
        <is>
          <t>ÖREBRO LÄN</t>
        </is>
      </c>
      <c r="E905" t="inlineStr">
        <is>
          <t>LINDESBERG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54859-2024</t>
        </is>
      </c>
      <c r="B906" s="1" t="n">
        <v>45618.58962962963</v>
      </c>
      <c r="C906" s="1" t="n">
        <v>46035</v>
      </c>
      <c r="D906" t="inlineStr">
        <is>
          <t>ÖREBRO LÄN</t>
        </is>
      </c>
      <c r="E906" t="inlineStr">
        <is>
          <t>LINDESBERG</t>
        </is>
      </c>
      <c r="F906" t="inlineStr">
        <is>
          <t>Sveaskog</t>
        </is>
      </c>
      <c r="G906" t="n">
        <v>5.3</v>
      </c>
      <c r="H906" t="n">
        <v>0</v>
      </c>
      <c r="I906" t="n">
        <v>0</v>
      </c>
      <c r="J906" t="n">
        <v>0</v>
      </c>
      <c r="K906" t="n">
        <v>0</v>
      </c>
      <c r="L906" t="n">
        <v>0</v>
      </c>
      <c r="M906" t="n">
        <v>0</v>
      </c>
      <c r="N906" t="n">
        <v>0</v>
      </c>
      <c r="O906" t="n">
        <v>0</v>
      </c>
      <c r="P906" t="n">
        <v>0</v>
      </c>
      <c r="Q906" t="n">
        <v>0</v>
      </c>
      <c r="R906" s="2" t="inlineStr"/>
    </row>
    <row r="907" ht="15" customHeight="1">
      <c r="A907" t="inlineStr">
        <is>
          <t>A 10654-2023</t>
        </is>
      </c>
      <c r="B907" s="1" t="n">
        <v>44984</v>
      </c>
      <c r="C907" s="1" t="n">
        <v>46035</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30534-2023</t>
        </is>
      </c>
      <c r="B908" s="1" t="n">
        <v>45111</v>
      </c>
      <c r="C908" s="1" t="n">
        <v>46035</v>
      </c>
      <c r="D908" t="inlineStr">
        <is>
          <t>ÖREBRO LÄN</t>
        </is>
      </c>
      <c r="E908" t="inlineStr">
        <is>
          <t>LINDESBERG</t>
        </is>
      </c>
      <c r="G908" t="n">
        <v>0.7</v>
      </c>
      <c r="H908" t="n">
        <v>0</v>
      </c>
      <c r="I908" t="n">
        <v>0</v>
      </c>
      <c r="J908" t="n">
        <v>0</v>
      </c>
      <c r="K908" t="n">
        <v>0</v>
      </c>
      <c r="L908" t="n">
        <v>0</v>
      </c>
      <c r="M908" t="n">
        <v>0</v>
      </c>
      <c r="N908" t="n">
        <v>0</v>
      </c>
      <c r="O908" t="n">
        <v>0</v>
      </c>
      <c r="P908" t="n">
        <v>0</v>
      </c>
      <c r="Q908" t="n">
        <v>0</v>
      </c>
      <c r="R908" s="2" t="inlineStr"/>
    </row>
    <row r="909" ht="15" customHeight="1">
      <c r="A909" t="inlineStr">
        <is>
          <t>A 27013-2024</t>
        </is>
      </c>
      <c r="B909" s="1" t="n">
        <v>45471.40384259259</v>
      </c>
      <c r="C909" s="1" t="n">
        <v>46035</v>
      </c>
      <c r="D909" t="inlineStr">
        <is>
          <t>ÖREBRO LÄN</t>
        </is>
      </c>
      <c r="E909" t="inlineStr">
        <is>
          <t>LINDESBERG</t>
        </is>
      </c>
      <c r="G909" t="n">
        <v>5.2</v>
      </c>
      <c r="H909" t="n">
        <v>0</v>
      </c>
      <c r="I909" t="n">
        <v>0</v>
      </c>
      <c r="J909" t="n">
        <v>0</v>
      </c>
      <c r="K909" t="n">
        <v>0</v>
      </c>
      <c r="L909" t="n">
        <v>0</v>
      </c>
      <c r="M909" t="n">
        <v>0</v>
      </c>
      <c r="N909" t="n">
        <v>0</v>
      </c>
      <c r="O909" t="n">
        <v>0</v>
      </c>
      <c r="P909" t="n">
        <v>0</v>
      </c>
      <c r="Q909" t="n">
        <v>0</v>
      </c>
      <c r="R909" s="2" t="inlineStr"/>
    </row>
    <row r="910">
      <c r="A910" t="inlineStr">
        <is>
          <t>A 9140-2025</t>
        </is>
      </c>
      <c r="B910" s="1" t="n">
        <v>45714.31533564815</v>
      </c>
      <c r="C910" s="1" t="n">
        <v>46035</v>
      </c>
      <c r="D910" t="inlineStr">
        <is>
          <t>ÖREBRO LÄN</t>
        </is>
      </c>
      <c r="E910" t="inlineStr">
        <is>
          <t>LINDESBERG</t>
        </is>
      </c>
      <c r="G910" t="n">
        <v>0.8</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2026-01-13T10:51:25Z</dcterms:created>
  <dcterms:modified xmlns:dcterms="http://purl.org/dc/terms/" xmlns:xsi="http://www.w3.org/2001/XMLSchema-instance" xsi:type="dcterms:W3CDTF">2026-01-13T10:51:26Z</dcterms:modified>
</cp:coreProperties>
</file>