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45629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45629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45629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45629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45629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45629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45629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45629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45629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45629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45629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45629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45629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45629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341-2021</t>
        </is>
      </c>
      <c r="B16" s="1" t="n">
        <v>44201</v>
      </c>
      <c r="C16" s="1" t="n">
        <v>45629</v>
      </c>
      <c r="D16" t="inlineStr">
        <is>
          <t>ÖREBRO LÄN</t>
        </is>
      </c>
      <c r="E16" t="inlineStr">
        <is>
          <t>LINDESBERG</t>
        </is>
      </c>
      <c r="G16" t="n">
        <v>8.199999999999999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Vågbandad barkbock</t>
        </is>
      </c>
      <c r="S16">
        <f>HYPERLINK("https://klasma.github.io/Logging_1885/artfynd/A 341-2021 artfynd.xlsx", "A 341-2021")</f>
        <v/>
      </c>
      <c r="T16">
        <f>HYPERLINK("https://klasma.github.io/Logging_1885/kartor/A 341-2021 karta.png", "A 341-2021")</f>
        <v/>
      </c>
      <c r="U16">
        <f>HYPERLINK("https://klasma.github.io/Logging_1885/knärot/A 341-2021 karta knärot.png", "A 341-2021")</f>
        <v/>
      </c>
      <c r="V16">
        <f>HYPERLINK("https://klasma.github.io/Logging_1885/klagomål/A 341-2021 FSC-klagomål.docx", "A 341-2021")</f>
        <v/>
      </c>
      <c r="W16">
        <f>HYPERLINK("https://klasma.github.io/Logging_1885/klagomålsmail/A 341-2021 FSC-klagomål mail.docx", "A 341-2021")</f>
        <v/>
      </c>
      <c r="X16">
        <f>HYPERLINK("https://klasma.github.io/Logging_1885/tillsyn/A 341-2021 tillsynsbegäran.docx", "A 341-2021")</f>
        <v/>
      </c>
      <c r="Y16">
        <f>HYPERLINK("https://klasma.github.io/Logging_1885/tillsynsmail/A 341-2021 tillsynsbegäran mail.docx", "A 341-2021")</f>
        <v/>
      </c>
    </row>
    <row r="17" ht="15" customHeight="1">
      <c r="A17" t="inlineStr">
        <is>
          <t>A 21177-2021</t>
        </is>
      </c>
      <c r="B17" s="1" t="n">
        <v>44320</v>
      </c>
      <c r="C17" s="1" t="n">
        <v>45629</v>
      </c>
      <c r="D17" t="inlineStr">
        <is>
          <t>ÖREBRO LÄN</t>
        </is>
      </c>
      <c r="E17" t="inlineStr">
        <is>
          <t>LINDESBERG</t>
        </is>
      </c>
      <c r="F17" t="inlineStr">
        <is>
          <t>Kommuner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Ask
Asknätfjäril
Svart trolldruva</t>
        </is>
      </c>
      <c r="S17">
        <f>HYPERLINK("https://klasma.github.io/Logging_1885/artfynd/A 21177-2021 artfynd.xlsx", "A 21177-2021")</f>
        <v/>
      </c>
      <c r="T17">
        <f>HYPERLINK("https://klasma.github.io/Logging_1885/kartor/A 21177-2021 karta.png", "A 21177-2021")</f>
        <v/>
      </c>
      <c r="V17">
        <f>HYPERLINK("https://klasma.github.io/Logging_1885/klagomål/A 21177-2021 FSC-klagomål.docx", "A 21177-2021")</f>
        <v/>
      </c>
      <c r="W17">
        <f>HYPERLINK("https://klasma.github.io/Logging_1885/klagomålsmail/A 21177-2021 FSC-klagomål mail.docx", "A 21177-2021")</f>
        <v/>
      </c>
      <c r="X17">
        <f>HYPERLINK("https://klasma.github.io/Logging_1885/tillsyn/A 21177-2021 tillsynsbegäran.docx", "A 21177-2021")</f>
        <v/>
      </c>
      <c r="Y17">
        <f>HYPERLINK("https://klasma.github.io/Logging_1885/tillsynsmail/A 21177-2021 tillsynsbegäran mail.docx", "A 21177-2021")</f>
        <v/>
      </c>
    </row>
    <row r="18" ht="15" customHeight="1">
      <c r="A18" t="inlineStr">
        <is>
          <t>A 57803-2021</t>
        </is>
      </c>
      <c r="B18" s="1" t="n">
        <v>44484</v>
      </c>
      <c r="C18" s="1" t="n">
        <v>45629</v>
      </c>
      <c r="D18" t="inlineStr">
        <is>
          <t>ÖREBRO LÄN</t>
        </is>
      </c>
      <c r="E18" t="inlineStr">
        <is>
          <t>LINDESBERG</t>
        </is>
      </c>
      <c r="G18" t="n">
        <v>9.4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Tjäder</t>
        </is>
      </c>
      <c r="S18">
        <f>HYPERLINK("https://klasma.github.io/Logging_1885/artfynd/A 57803-2021 artfynd.xlsx", "A 57803-2021")</f>
        <v/>
      </c>
      <c r="T18">
        <f>HYPERLINK("https://klasma.github.io/Logging_1885/kartor/A 57803-2021 karta.png", "A 57803-2021")</f>
        <v/>
      </c>
      <c r="V18">
        <f>HYPERLINK("https://klasma.github.io/Logging_1885/klagomål/A 57803-2021 FSC-klagomål.docx", "A 57803-2021")</f>
        <v/>
      </c>
      <c r="W18">
        <f>HYPERLINK("https://klasma.github.io/Logging_1885/klagomålsmail/A 57803-2021 FSC-klagomål mail.docx", "A 57803-2021")</f>
        <v/>
      </c>
      <c r="X18">
        <f>HYPERLINK("https://klasma.github.io/Logging_1885/tillsyn/A 57803-2021 tillsynsbegäran.docx", "A 57803-2021")</f>
        <v/>
      </c>
      <c r="Y18">
        <f>HYPERLINK("https://klasma.github.io/Logging_1885/tillsynsmail/A 57803-2021 tillsynsbegäran mail.docx", "A 57803-2021")</f>
        <v/>
      </c>
      <c r="Z18">
        <f>HYPERLINK("https://klasma.github.io/Logging_1885/fåglar/A 57803-2021 prioriterade fågelarter.docx", "A 57803-2021")</f>
        <v/>
      </c>
    </row>
    <row r="19" ht="15" customHeight="1">
      <c r="A19" t="inlineStr">
        <is>
          <t>A 28035-2023</t>
        </is>
      </c>
      <c r="B19" s="1" t="n">
        <v>45099</v>
      </c>
      <c r="C19" s="1" t="n">
        <v>45629</v>
      </c>
      <c r="D19" t="inlineStr">
        <is>
          <t>ÖREBRO LÄN</t>
        </is>
      </c>
      <c r="E19" t="inlineStr">
        <is>
          <t>LINDESBERG</t>
        </is>
      </c>
      <c r="F19" t="inlineStr">
        <is>
          <t>Kyrkan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Ask
Asknätfjäril
Tibast</t>
        </is>
      </c>
      <c r="S19">
        <f>HYPERLINK("https://klasma.github.io/Logging_1885/artfynd/A 28035-2023 artfynd.xlsx", "A 28035-2023")</f>
        <v/>
      </c>
      <c r="T19">
        <f>HYPERLINK("https://klasma.github.io/Logging_1885/kartor/A 28035-2023 karta.png", "A 28035-2023")</f>
        <v/>
      </c>
      <c r="V19">
        <f>HYPERLINK("https://klasma.github.io/Logging_1885/klagomål/A 28035-2023 FSC-klagomål.docx", "A 28035-2023")</f>
        <v/>
      </c>
      <c r="W19">
        <f>HYPERLINK("https://klasma.github.io/Logging_1885/klagomålsmail/A 28035-2023 FSC-klagomål mail.docx", "A 28035-2023")</f>
        <v/>
      </c>
      <c r="X19">
        <f>HYPERLINK("https://klasma.github.io/Logging_1885/tillsyn/A 28035-2023 tillsynsbegäran.docx", "A 28035-2023")</f>
        <v/>
      </c>
      <c r="Y19">
        <f>HYPERLINK("https://klasma.github.io/Logging_1885/tillsynsmail/A 28035-2023 tillsynsbegäran mail.docx", "A 28035-2023")</f>
        <v/>
      </c>
    </row>
    <row r="20" ht="15" customHeight="1">
      <c r="A20" t="inlineStr">
        <is>
          <t>A 50989-2023</t>
        </is>
      </c>
      <c r="B20" s="1" t="n">
        <v>45218</v>
      </c>
      <c r="C20" s="1" t="n">
        <v>45629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Grantaggsvamp
Svartvit taggsvamp
Dropptaggsvamp</t>
        </is>
      </c>
      <c r="S20">
        <f>HYPERLINK("https://klasma.github.io/Logging_1885/artfynd/A 50989-2023 artfynd.xlsx", "A 50989-2023")</f>
        <v/>
      </c>
      <c r="T20">
        <f>HYPERLINK("https://klasma.github.io/Logging_1885/kartor/A 50989-2023 karta.png", "A 50989-2023")</f>
        <v/>
      </c>
      <c r="V20">
        <f>HYPERLINK("https://klasma.github.io/Logging_1885/klagomål/A 50989-2023 FSC-klagomål.docx", "A 50989-2023")</f>
        <v/>
      </c>
      <c r="W20">
        <f>HYPERLINK("https://klasma.github.io/Logging_1885/klagomålsmail/A 50989-2023 FSC-klagomål mail.docx", "A 50989-2023")</f>
        <v/>
      </c>
      <c r="X20">
        <f>HYPERLINK("https://klasma.github.io/Logging_1885/tillsyn/A 50989-2023 tillsynsbegäran.docx", "A 50989-2023")</f>
        <v/>
      </c>
      <c r="Y20">
        <f>HYPERLINK("https://klasma.github.io/Logging_1885/tillsynsmail/A 50989-2023 tillsynsbegäran mail.docx", "A 50989-2023")</f>
        <v/>
      </c>
    </row>
    <row r="21" ht="15" customHeight="1">
      <c r="A21" t="inlineStr">
        <is>
          <t>A 50988-2023</t>
        </is>
      </c>
      <c r="B21" s="1" t="n">
        <v>45218</v>
      </c>
      <c r="C21" s="1" t="n">
        <v>45629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Orange taggsvamp
Dropptaggsvamp
Skarp dropptaggsvamp</t>
        </is>
      </c>
      <c r="S21">
        <f>HYPERLINK("https://klasma.github.io/Logging_1885/artfynd/A 50988-2023 artfynd.xlsx", "A 50988-2023")</f>
        <v/>
      </c>
      <c r="T21">
        <f>HYPERLINK("https://klasma.github.io/Logging_1885/kartor/A 50988-2023 karta.png", "A 50988-2023")</f>
        <v/>
      </c>
      <c r="V21">
        <f>HYPERLINK("https://klasma.github.io/Logging_1885/klagomål/A 50988-2023 FSC-klagomål.docx", "A 50988-2023")</f>
        <v/>
      </c>
      <c r="W21">
        <f>HYPERLINK("https://klasma.github.io/Logging_1885/klagomålsmail/A 50988-2023 FSC-klagomål mail.docx", "A 50988-2023")</f>
        <v/>
      </c>
      <c r="X21">
        <f>HYPERLINK("https://klasma.github.io/Logging_1885/tillsyn/A 50988-2023 tillsynsbegäran.docx", "A 50988-2023")</f>
        <v/>
      </c>
      <c r="Y21">
        <f>HYPERLINK("https://klasma.github.io/Logging_1885/tillsynsmail/A 50988-2023 tillsynsbegäran mail.docx", "A 50988-2023")</f>
        <v/>
      </c>
    </row>
    <row r="22" ht="15" customHeight="1">
      <c r="A22" t="inlineStr">
        <is>
          <t>A 54020-2024</t>
        </is>
      </c>
      <c r="B22" s="1" t="n">
        <v>45616</v>
      </c>
      <c r="C22" s="1" t="n">
        <v>45629</v>
      </c>
      <c r="D22" t="inlineStr">
        <is>
          <t>ÖREBRO LÄN</t>
        </is>
      </c>
      <c r="E22" t="inlineStr">
        <is>
          <t>LINDESBERG</t>
        </is>
      </c>
      <c r="G22" t="n">
        <v>2.8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hackspett
Skogsklocka
Kambräken</t>
        </is>
      </c>
      <c r="S22">
        <f>HYPERLINK("https://klasma.github.io/Logging_1885/artfynd/A 54020-2024 artfynd.xlsx", "A 54020-2024")</f>
        <v/>
      </c>
      <c r="T22">
        <f>HYPERLINK("https://klasma.github.io/Logging_1885/kartor/A 54020-2024 karta.png", "A 54020-2024")</f>
        <v/>
      </c>
      <c r="V22">
        <f>HYPERLINK("https://klasma.github.io/Logging_1885/klagomål/A 54020-2024 FSC-klagomål.docx", "A 54020-2024")</f>
        <v/>
      </c>
      <c r="W22">
        <f>HYPERLINK("https://klasma.github.io/Logging_1885/klagomålsmail/A 54020-2024 FSC-klagomål mail.docx", "A 54020-2024")</f>
        <v/>
      </c>
      <c r="X22">
        <f>HYPERLINK("https://klasma.github.io/Logging_1885/tillsyn/A 54020-2024 tillsynsbegäran.docx", "A 54020-2024")</f>
        <v/>
      </c>
      <c r="Y22">
        <f>HYPERLINK("https://klasma.github.io/Logging_1885/tillsynsmail/A 54020-2024 tillsynsbegäran mail.docx", "A 54020-2024")</f>
        <v/>
      </c>
      <c r="Z22">
        <f>HYPERLINK("https://klasma.github.io/Logging_1885/fåglar/A 54020-2024 prioriterade fågelarter.docx", "A 54020-2024")</f>
        <v/>
      </c>
    </row>
    <row r="23" ht="15" customHeight="1">
      <c r="A23" t="inlineStr">
        <is>
          <t>A 26686-2019</t>
        </is>
      </c>
      <c r="B23" s="1" t="n">
        <v>43608</v>
      </c>
      <c r="C23" s="1" t="n">
        <v>45629</v>
      </c>
      <c r="D23" t="inlineStr">
        <is>
          <t>ÖREBRO LÄN</t>
        </is>
      </c>
      <c r="E23" t="inlineStr">
        <is>
          <t>LINDESBERG</t>
        </is>
      </c>
      <c r="F23" t="inlineStr">
        <is>
          <t>Kommuner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Svart trolldruva</t>
        </is>
      </c>
      <c r="S23">
        <f>HYPERLINK("https://klasma.github.io/Logging_1885/artfynd/A 26686-2019 artfynd.xlsx", "A 26686-2019")</f>
        <v/>
      </c>
      <c r="T23">
        <f>HYPERLINK("https://klasma.github.io/Logging_1885/kartor/A 26686-2019 karta.png", "A 26686-2019")</f>
        <v/>
      </c>
      <c r="V23">
        <f>HYPERLINK("https://klasma.github.io/Logging_1885/klagomål/A 26686-2019 FSC-klagomål.docx", "A 26686-2019")</f>
        <v/>
      </c>
      <c r="W23">
        <f>HYPERLINK("https://klasma.github.io/Logging_1885/klagomålsmail/A 26686-2019 FSC-klagomål mail.docx", "A 26686-2019")</f>
        <v/>
      </c>
      <c r="X23">
        <f>HYPERLINK("https://klasma.github.io/Logging_1885/tillsyn/A 26686-2019 tillsynsbegäran.docx", "A 26686-2019")</f>
        <v/>
      </c>
      <c r="Y23">
        <f>HYPERLINK("https://klasma.github.io/Logging_1885/tillsynsmail/A 26686-2019 tillsynsbegäran mail.docx", "A 26686-2019")</f>
        <v/>
      </c>
    </row>
    <row r="24" ht="15" customHeight="1">
      <c r="A24" t="inlineStr">
        <is>
          <t>A 49419-2019</t>
        </is>
      </c>
      <c r="B24" s="1" t="n">
        <v>43732</v>
      </c>
      <c r="C24" s="1" t="n">
        <v>45629</v>
      </c>
      <c r="D24" t="inlineStr">
        <is>
          <t>ÖREBRO LÄN</t>
        </is>
      </c>
      <c r="E24" t="inlineStr">
        <is>
          <t>LINDESBERG</t>
        </is>
      </c>
      <c r="F24" t="inlineStr">
        <is>
          <t>Sveaskog</t>
        </is>
      </c>
      <c r="G24" t="n">
        <v>7.5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Sotnätfjäril</t>
        </is>
      </c>
      <c r="S24">
        <f>HYPERLINK("https://klasma.github.io/Logging_1885/artfynd/A 49419-2019 artfynd.xlsx", "A 49419-2019")</f>
        <v/>
      </c>
      <c r="T24">
        <f>HYPERLINK("https://klasma.github.io/Logging_1885/kartor/A 49419-2019 karta.png", "A 49419-2019")</f>
        <v/>
      </c>
      <c r="V24">
        <f>HYPERLINK("https://klasma.github.io/Logging_1885/klagomål/A 49419-2019 FSC-klagomål.docx", "A 49419-2019")</f>
        <v/>
      </c>
      <c r="W24">
        <f>HYPERLINK("https://klasma.github.io/Logging_1885/klagomålsmail/A 49419-2019 FSC-klagomål mail.docx", "A 49419-2019")</f>
        <v/>
      </c>
      <c r="X24">
        <f>HYPERLINK("https://klasma.github.io/Logging_1885/tillsyn/A 49419-2019 tillsynsbegäran.docx", "A 49419-2019")</f>
        <v/>
      </c>
      <c r="Y24">
        <f>HYPERLINK("https://klasma.github.io/Logging_1885/tillsynsmail/A 49419-2019 tillsynsbegäran mail.docx", "A 49419-2019")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45629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45629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45629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45629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45629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45629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45629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45629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45629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45629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45629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45629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45629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45629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45629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45629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45629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45629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45629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45629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45629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45629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45629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45629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45629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45629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45629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45629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45629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45629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45629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45629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45629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45629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45629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45629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45629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45629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45629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45629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45629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45629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45629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45629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45629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45629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45629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45629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45629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45629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45629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45629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45629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45629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45629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45629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45629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45629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45629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45629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45629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45629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45629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45629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45629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45629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45629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45629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45629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45629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45629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45629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45629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45629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45629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45629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45629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45629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45629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45629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45629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45629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45629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45629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45629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45629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45629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45629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45629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45629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45629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45629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45629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45629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45629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45629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45629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45629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45629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45629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45629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45629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45629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45629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45629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45629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45629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45629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45629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45629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45629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45629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45629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45629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45629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45629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45629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45629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45629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45629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45629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45629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45629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45629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45629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45629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45629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45629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45629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45629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45629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45629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45629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45629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45629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45629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45629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45629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45629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45629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45629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45629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45629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45629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45629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45629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45629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45629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45629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45629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45629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45629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45629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45629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45629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45629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45629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45629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45629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45629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45629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45629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45629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45629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45629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45629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45629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45629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45629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45629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45629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45629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45629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45629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45629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45629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45629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45629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45629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45629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45629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45629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45629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45629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45629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45629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45629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45629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45629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45629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45629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45629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45629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45629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45629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45629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45629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45629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45629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45629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45629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45629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45629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45629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45629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45629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45629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45629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45629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45629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45629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45629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45629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45629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45629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45629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45629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45629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45629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45629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45629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45629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45629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45629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45629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45629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45629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45629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45629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45629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45629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45629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45629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45629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45629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45629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45629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45629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45629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45629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45629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45629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45629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45629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45629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45629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45629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45629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45629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45629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45629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45629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45629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45629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45629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45629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45629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45629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45629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45629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45629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45629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45629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45629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45629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45629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45629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45629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45629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45629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45629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45629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45629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45629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45629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45629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45629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45629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45629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45629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45629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45629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45629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45629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45629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45629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45629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45629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45629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45629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45629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45629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45629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45629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45629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45629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45629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45629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45629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45629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45629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45629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45629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45629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45629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45629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45629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45629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45629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45629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45629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45629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45629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45629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45629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45629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45629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45629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45629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45629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45629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45629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45629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45629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45629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45629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45629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45629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45629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45629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45629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45629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45629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45629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45629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45629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45629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45629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45629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45629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45629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45629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45629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45629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45629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45629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45629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45629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45629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45629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45629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45629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45629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45629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45629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45629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45629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45629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45629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45629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45629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45629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45629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45629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45629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45629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45629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45629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45629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45629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45629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45629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45629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45629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45629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45629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45629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45629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45629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45629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45629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45629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45629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45629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45629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45629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45629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45629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45629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45629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45629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45629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45629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45629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45629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45629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45629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45629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45629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45629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45629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45629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45629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45629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45629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45629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45629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45629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45629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45629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45629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45629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45629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45629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45629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45629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45629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45629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45629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45629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45629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45629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45629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45629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45629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45629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45629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45629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45629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45629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45629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45629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45629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45629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45629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45629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45629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45629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45629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45629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45629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45629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45629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45629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45629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45629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45629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45629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45629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45629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45629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45629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45629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45629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45629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45629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45629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45629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45629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45629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45629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45629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45629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45629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45629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45629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45629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45629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45629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45629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45629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45629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45629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45629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45629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45629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45629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45629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45629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45629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45629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45629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45629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45629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45629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45629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45629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45629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45629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45629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45629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45629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45629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45629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45629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45629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45629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45629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45629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45629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45629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45629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45629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45629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45629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45629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45629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45629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45629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45629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45629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45629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45629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45629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45629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45629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45629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45629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45629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45629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45629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45629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45629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45629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45629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45629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45629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45629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45629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45629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45629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45629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45629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45629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45629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45629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45629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45629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45629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45629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45629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45629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45629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45629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45629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45629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45629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45629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45629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45629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45629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45629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45629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45629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45629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45629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45629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45629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45629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45629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45629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45629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45629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45629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45629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45629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45629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45629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45629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45629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45629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45629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45629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45629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45629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45629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45629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45629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45629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45629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45629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45629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45629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45629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45629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45629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45629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45629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45629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45629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45629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45629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45629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45629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45629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45629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45629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45629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45629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45629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45629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45629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45629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45629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45629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45629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45629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45629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45629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45629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45629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45629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45629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45629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45629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45629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45629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45629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45629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45629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45629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45629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45629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45629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45629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45629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45629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45629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45629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45629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45629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45629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45629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45629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45629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45629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45629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45629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45629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45629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45629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45629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45629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45629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45629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45629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45629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45629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45629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45629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45629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45629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45629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45629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45629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45629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45629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45629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45629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45629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45629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45629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45629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45629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45629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45629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45629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45629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45629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45629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45629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45629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45629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45629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45629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45629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45629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45629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45629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45629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45629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45629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45629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45629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45629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45629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45629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45629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45629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45629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45629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45629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45629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45629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45629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45629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45629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45629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45629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45629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45629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45629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45629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45629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45629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45629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45629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45629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45629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45629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45629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45629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45629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45629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45629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45629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45629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45629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45629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45629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45629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45629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45629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45629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45629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45629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45629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45629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45629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45629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45629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45629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45629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45629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45629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45629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45629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45629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45629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45629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45629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45629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45629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45629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45629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45629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45629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45629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45629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45629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45629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45629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45629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45629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45629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45629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45629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45629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45629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45629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45629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45629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45629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45629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45629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45629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45629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45629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45629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45629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45629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45629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45629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45629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45629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45629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45629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45629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45629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45629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45629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45629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45629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45629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45629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45629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45629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45629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45629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45629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45629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45629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45629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45629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45629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45629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45629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45629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45629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45629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45629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45629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45629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45629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45629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45629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45629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45629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45629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45629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45629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45629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45629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45629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45629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45629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45629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45629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45629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45629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45629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45629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45629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45629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45629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45629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45629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45629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45629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45629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45629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45629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45629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45629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45629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45629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45629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45629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45629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45629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45629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45629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45629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45629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45629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45629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45629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45629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45629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45629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45629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45629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45629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45629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45629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45629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45629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45629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45629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45629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45629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45629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45629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45629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45629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45629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45629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45629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45629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45629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45629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45629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45629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45629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45629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45629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45629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45629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45629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45629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45629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45629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45629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45629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45629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45629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45629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45629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45629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45629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45629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45629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45629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45629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45629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45629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45629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45629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45629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45629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45629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45629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45629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45629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45629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45629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45629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45629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45629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45629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45629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45629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45629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45629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45629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45629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45629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45629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45629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45629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45629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45629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45629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45629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45629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45629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45629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45629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45629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45629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45629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45629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45629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45629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45629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45629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45629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45629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45629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45629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45629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45629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45629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45629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45629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45629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45629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45629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45629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45629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45629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45629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45629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45629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45629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45629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45629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45629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45629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45629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45629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45629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45629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45629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45629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45629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45629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45629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45629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45629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45629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45629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45629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45629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45629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45629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45629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45629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45629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45629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45629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45629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45629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45629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45629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45629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45629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45629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45629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45629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45629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45629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45629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45629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45629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45629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45629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45629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45629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45629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45629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45629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45629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45629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45629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45629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45629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45629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45629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45629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45629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45629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45629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45629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45629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45629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45629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45629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45629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45629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45629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45629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45629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45629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45629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45629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45629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45629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45629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45629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45629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45629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45629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45629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45629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45629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45629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45629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45629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45629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45629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45629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45629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45629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45629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45629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45629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45629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45629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45629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45629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45629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45629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45629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45629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45629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45629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45629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45629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45629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45629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45629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45629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45629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45629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45629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45629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45629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45629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45629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45629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45629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45629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45629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45629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45629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45629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45629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45629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45629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45629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45629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45629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45629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45629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45629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45629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45629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45629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45629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45629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45629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45629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45629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45629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45629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45629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45629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45629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45629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45629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45629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45629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45629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45629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45629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45629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45629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45629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45629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45629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45629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45629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45629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45629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45629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45629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45629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45629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45629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45629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45629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45629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45629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45629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45629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45629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45629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45629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45629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45629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45629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45629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45629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45629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45629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45629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45629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45629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45629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45629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45629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45629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45629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45629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45629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45629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45629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45629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45629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45629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45629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45629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45629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45629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45629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45629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45629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45629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45629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45629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45629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45629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45629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45629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45629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45629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45629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45629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45629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45629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45629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45629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45629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45629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45629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45629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45629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45629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45629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45629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45629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45629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45629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45629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45629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45629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45629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45629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45629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45629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45629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45629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45629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45629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45629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45629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45629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45629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45629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45629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45629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45629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45629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45629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45629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45629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45629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45629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45629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45629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45629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45629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45629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45629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45629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45629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45629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45629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45629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45629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45629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45629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45629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45629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45629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45629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45629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45629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45629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45629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45629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45629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45629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45629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45629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45629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45629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45629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45629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45629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45629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45629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45629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45629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45629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45629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45629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45629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45629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45629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45629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45629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45629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45629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45629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45629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45629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45629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45629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45629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45629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45629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45629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45629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45629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45629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45629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45629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45629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45629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45629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45629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45629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45629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45629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45629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45629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45629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45629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45629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45629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45629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45629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45629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45629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45629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45629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45629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45629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45629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45629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45629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45629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45629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45629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45629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45629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45629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45629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45629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45629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45629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45629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45629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45629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45629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45629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45629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45629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45629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45629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45629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45629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45629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45629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45629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45629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45629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45629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45629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45629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45629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45629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45629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45629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45629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45629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45629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45629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45629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45629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45629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45629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45629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45629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45629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45629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45629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45629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45629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45629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45629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45629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45629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45629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45629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45629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45629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45629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45629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45629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45629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45629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45629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45629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45629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45629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45629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45629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45629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45629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45629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45629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45629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45629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45629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45629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45629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45629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45629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45629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45629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45629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45629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45629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45629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45629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45629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45629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45629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45629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45629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45629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45629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45629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45629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45629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45629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45629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45629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45629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45629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45629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45629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45629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45629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45629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45629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45629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45629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45629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45629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45629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45629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45629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45629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45629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45629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45629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45629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45629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45629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45629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45629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45629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45629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45629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45629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45629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45629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45629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45629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45629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45629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45629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45629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45629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45629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45629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45629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45629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45629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45629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45629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45629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45629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45629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45629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45629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45629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45629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45629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45629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45629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45629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45629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45629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45629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45629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45629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45629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45629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45629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45629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45629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45629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45629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45629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45629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45629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45629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45629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45629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45629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45629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45629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45629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45629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45629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45629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45629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45629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45629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45629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45629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45629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45629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45629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45629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45629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45629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45629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45629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45629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45629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45629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45629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45629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45629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45629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45629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45629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45629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45629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45629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45629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45629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45629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45629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45629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45629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45629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45629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45629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45629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45629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52930-2024</t>
        </is>
      </c>
      <c r="B1532" s="1" t="n">
        <v>45610</v>
      </c>
      <c r="C1532" s="1" t="n">
        <v>45629</v>
      </c>
      <c r="D1532" t="inlineStr">
        <is>
          <t>ÖREBRO LÄN</t>
        </is>
      </c>
      <c r="E1532" t="inlineStr">
        <is>
          <t>LINDESBERG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52928-2024</t>
        </is>
      </c>
      <c r="B1533" s="1" t="n">
        <v>45610</v>
      </c>
      <c r="C1533" s="1" t="n">
        <v>45629</v>
      </c>
      <c r="D1533" t="inlineStr">
        <is>
          <t>ÖREBRO LÄN</t>
        </is>
      </c>
      <c r="E1533" t="inlineStr">
        <is>
          <t>LINDESBERG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45629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45629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53528-2024</t>
        </is>
      </c>
      <c r="B1536" s="1" t="n">
        <v>45614</v>
      </c>
      <c r="C1536" s="1" t="n">
        <v>45629</v>
      </c>
      <c r="D1536" t="inlineStr">
        <is>
          <t>ÖREBRO LÄN</t>
        </is>
      </c>
      <c r="E1536" t="inlineStr">
        <is>
          <t>LINDESBERG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53597-2024</t>
        </is>
      </c>
      <c r="B1537" s="1" t="n">
        <v>45614</v>
      </c>
      <c r="C1537" s="1" t="n">
        <v>45629</v>
      </c>
      <c r="D1537" t="inlineStr">
        <is>
          <t>ÖREBRO LÄN</t>
        </is>
      </c>
      <c r="E1537" t="inlineStr">
        <is>
          <t>LINDESBERG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45629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45629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54855-2024</t>
        </is>
      </c>
      <c r="B1540" s="1" t="n">
        <v>45618</v>
      </c>
      <c r="C1540" s="1" t="n">
        <v>45629</v>
      </c>
      <c r="D1540" t="inlineStr">
        <is>
          <t>ÖREBRO LÄN</t>
        </is>
      </c>
      <c r="E1540" t="inlineStr">
        <is>
          <t>LINDESBERG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54859-2024</t>
        </is>
      </c>
      <c r="B1541" s="1" t="n">
        <v>45618</v>
      </c>
      <c r="C1541" s="1" t="n">
        <v>45629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54860-2024</t>
        </is>
      </c>
      <c r="B1542" s="1" t="n">
        <v>45618</v>
      </c>
      <c r="C1542" s="1" t="n">
        <v>45629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54864-2024</t>
        </is>
      </c>
      <c r="B1543" s="1" t="n">
        <v>45618</v>
      </c>
      <c r="C1543" s="1" t="n">
        <v>45629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4.4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54772-2024</t>
        </is>
      </c>
      <c r="B1544" s="1" t="n">
        <v>45618</v>
      </c>
      <c r="C1544" s="1" t="n">
        <v>45629</v>
      </c>
      <c r="D1544" t="inlineStr">
        <is>
          <t>ÖREBRO LÄN</t>
        </is>
      </c>
      <c r="E1544" t="inlineStr">
        <is>
          <t>LINDESBERG</t>
        </is>
      </c>
      <c r="G1544" t="n">
        <v>11.3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54784-2024</t>
        </is>
      </c>
      <c r="B1545" s="1" t="n">
        <v>45618</v>
      </c>
      <c r="C1545" s="1" t="n">
        <v>45629</v>
      </c>
      <c r="D1545" t="inlineStr">
        <is>
          <t>ÖREBRO LÄN</t>
        </is>
      </c>
      <c r="E1545" t="inlineStr">
        <is>
          <t>LINDESBERG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54793-2024</t>
        </is>
      </c>
      <c r="B1546" s="1" t="n">
        <v>45618</v>
      </c>
      <c r="C1546" s="1" t="n">
        <v>45629</v>
      </c>
      <c r="D1546" t="inlineStr">
        <is>
          <t>ÖREBRO LÄN</t>
        </is>
      </c>
      <c r="E1546" t="inlineStr">
        <is>
          <t>LINDESBERG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54777-2024</t>
        </is>
      </c>
      <c r="B1547" s="1" t="n">
        <v>45618</v>
      </c>
      <c r="C1547" s="1" t="n">
        <v>45629</v>
      </c>
      <c r="D1547" t="inlineStr">
        <is>
          <t>ÖREBRO LÄN</t>
        </is>
      </c>
      <c r="E1547" t="inlineStr">
        <is>
          <t>LINDESBERG</t>
        </is>
      </c>
      <c r="G1547" t="n">
        <v>7.2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54862-2024</t>
        </is>
      </c>
      <c r="B1548" s="1" t="n">
        <v>45618</v>
      </c>
      <c r="C1548" s="1" t="n">
        <v>45629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12.2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45629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56816-2024</t>
        </is>
      </c>
      <c r="B1550" s="1" t="n">
        <v>45628</v>
      </c>
      <c r="C1550" s="1" t="n">
        <v>45629</v>
      </c>
      <c r="D1550" t="inlineStr">
        <is>
          <t>ÖREBRO LÄN</t>
        </is>
      </c>
      <c r="E1550" t="inlineStr">
        <is>
          <t>LINDESBERG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56912-2024</t>
        </is>
      </c>
      <c r="B1551" s="1" t="n">
        <v>45628</v>
      </c>
      <c r="C1551" s="1" t="n">
        <v>45629</v>
      </c>
      <c r="D1551" t="inlineStr">
        <is>
          <t>ÖREBRO LÄN</t>
        </is>
      </c>
      <c r="E1551" t="inlineStr">
        <is>
          <t>LINDESBERG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56907-2024</t>
        </is>
      </c>
      <c r="B1552" s="1" t="n">
        <v>45628</v>
      </c>
      <c r="C1552" s="1" t="n">
        <v>45629</v>
      </c>
      <c r="D1552" t="inlineStr">
        <is>
          <t>ÖREBRO LÄN</t>
        </is>
      </c>
      <c r="E1552" t="inlineStr">
        <is>
          <t>LINDESBERG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>
      <c r="A1553" t="inlineStr">
        <is>
          <t>A 57033-2024</t>
        </is>
      </c>
      <c r="B1553" s="1" t="n">
        <v>45628</v>
      </c>
      <c r="C1553" s="1" t="n">
        <v>45629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2024-12-03T15:10:02Z</dcterms:created>
  <dcterms:modified xmlns:dcterms="http://purl.org/dc/terms/" xmlns:xsi="http://www.w3.org/2001/XMLSchema-instance" xsi:type="dcterms:W3CDTF">2024-12-03T15:10:03Z</dcterms:modified>
</cp:coreProperties>
</file>