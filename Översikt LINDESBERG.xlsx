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46187</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46187</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46187</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46187</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46187</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46187</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46187</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46187</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46187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42633-2025</t>
        </is>
      </c>
      <c r="B15" s="1" t="n">
        <v>45905.89554398148</v>
      </c>
      <c r="C15" s="1" t="n">
        <v>46187</v>
      </c>
      <c r="D15" t="inlineStr">
        <is>
          <t>ÖREBRO LÄN</t>
        </is>
      </c>
      <c r="E15" t="inlineStr">
        <is>
          <t>LINDESBERG</t>
        </is>
      </c>
      <c r="F15" t="inlineStr">
        <is>
          <t>Sveaskog</t>
        </is>
      </c>
      <c r="G15" t="n">
        <v>1.4</v>
      </c>
      <c r="H15" t="n">
        <v>1</v>
      </c>
      <c r="I15" t="n">
        <v>1</v>
      </c>
      <c r="J15" t="n">
        <v>4</v>
      </c>
      <c r="K15" t="n">
        <v>0</v>
      </c>
      <c r="L15" t="n">
        <v>1</v>
      </c>
      <c r="M15" t="n">
        <v>0</v>
      </c>
      <c r="N15" t="n">
        <v>0</v>
      </c>
      <c r="O15" t="n">
        <v>5</v>
      </c>
      <c r="P15" t="n">
        <v>1</v>
      </c>
      <c r="Q15" t="n">
        <v>6</v>
      </c>
      <c r="R15" s="2" t="inlineStr">
        <is>
          <t>Brun glada
Kandelabersvamp
Motaggsvamp
Svartvit taggsvamp
Veckticka
Blomkålssvamp</t>
        </is>
      </c>
      <c r="S15">
        <f>HYPERLINK("https://klasma.github.io/Logging_1885/artfynd/A 42633-2025 artfynd.xlsx", "A 42633-2025")</f>
        <v/>
      </c>
      <c r="T15">
        <f>HYPERLINK("https://klasma.github.io/Logging_1885/kartor/A 42633-2025 karta.png", "A 42633-2025")</f>
        <v/>
      </c>
      <c r="V15">
        <f>HYPERLINK("https://klasma.github.io/Logging_1885/klagomål/A 42633-2025 FSC-klagomål.docx", "A 42633-2025")</f>
        <v/>
      </c>
      <c r="W15">
        <f>HYPERLINK("https://klasma.github.io/Logging_1885/klagomålsmail/A 42633-2025 FSC-klagomål mail.docx", "A 42633-2025")</f>
        <v/>
      </c>
      <c r="X15">
        <f>HYPERLINK("https://klasma.github.io/Logging_1885/tillsyn/A 42633-2025 tillsynsbegäran.docx", "A 42633-2025")</f>
        <v/>
      </c>
      <c r="Y15">
        <f>HYPERLINK("https://klasma.github.io/Logging_1885/tillsynsmail/A 42633-2025 tillsynsbegäran mail.docx", "A 42633-2025")</f>
        <v/>
      </c>
      <c r="Z15">
        <f>HYPERLINK("https://klasma.github.io/Logging_1885/fåglar/A 42633-2025 prioriterade fågelarter.docx", "A 42633-2025")</f>
        <v/>
      </c>
    </row>
    <row r="16" ht="15" customHeight="1">
      <c r="A16" t="inlineStr">
        <is>
          <t>A 8195-2026</t>
        </is>
      </c>
      <c r="B16" s="1" t="n">
        <v>46064.43017361111</v>
      </c>
      <c r="C16" s="1" t="n">
        <v>46187</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46187</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43429-2024</t>
        </is>
      </c>
      <c r="B18" s="1" t="n">
        <v>45568.63905092593</v>
      </c>
      <c r="C18" s="1" t="n">
        <v>46187</v>
      </c>
      <c r="D18" t="inlineStr">
        <is>
          <t>ÖREBRO LÄN</t>
        </is>
      </c>
      <c r="E18" t="inlineStr">
        <is>
          <t>LINDESBERG</t>
        </is>
      </c>
      <c r="F18" t="inlineStr">
        <is>
          <t>Sveaskog</t>
        </is>
      </c>
      <c r="G18" t="n">
        <v>9.699999999999999</v>
      </c>
      <c r="H18" t="n">
        <v>3</v>
      </c>
      <c r="I18" t="n">
        <v>2</v>
      </c>
      <c r="J18" t="n">
        <v>1</v>
      </c>
      <c r="K18" t="n">
        <v>1</v>
      </c>
      <c r="L18" t="n">
        <v>0</v>
      </c>
      <c r="M18" t="n">
        <v>0</v>
      </c>
      <c r="N18" t="n">
        <v>0</v>
      </c>
      <c r="O18" t="n">
        <v>2</v>
      </c>
      <c r="P18" t="n">
        <v>1</v>
      </c>
      <c r="Q18" t="n">
        <v>6</v>
      </c>
      <c r="R18" s="2" t="inlineStr">
        <is>
          <t>Lappuggla
Tallriska
Dropptaggsvamp
Tallfingersvamp
Fiskgjuse
Kungsfågel</t>
        </is>
      </c>
      <c r="S18">
        <f>HYPERLINK("https://klasma.github.io/Logging_1885/artfynd/A 43429-2024 artfynd.xlsx", "A 43429-2024")</f>
        <v/>
      </c>
      <c r="T18">
        <f>HYPERLINK("https://klasma.github.io/Logging_1885/kartor/A 43429-2024 karta.png", "A 43429-2024")</f>
        <v/>
      </c>
      <c r="V18">
        <f>HYPERLINK("https://klasma.github.io/Logging_1885/klagomål/A 43429-2024 FSC-klagomål.docx", "A 43429-2024")</f>
        <v/>
      </c>
      <c r="W18">
        <f>HYPERLINK("https://klasma.github.io/Logging_1885/klagomålsmail/A 43429-2024 FSC-klagomål mail.docx", "A 43429-2024")</f>
        <v/>
      </c>
      <c r="X18">
        <f>HYPERLINK("https://klasma.github.io/Logging_1885/tillsyn/A 43429-2024 tillsynsbegäran.docx", "A 43429-2024")</f>
        <v/>
      </c>
      <c r="Y18">
        <f>HYPERLINK("https://klasma.github.io/Logging_1885/tillsynsmail/A 43429-2024 tillsynsbegäran mail.docx", "A 43429-2024")</f>
        <v/>
      </c>
      <c r="Z18">
        <f>HYPERLINK("https://klasma.github.io/Logging_1885/fåglar/A 43429-2024 prioriterade fågelarter.docx", "A 43429-2024")</f>
        <v/>
      </c>
    </row>
    <row r="19" ht="15" customHeight="1">
      <c r="A19" t="inlineStr">
        <is>
          <t>A 8189-2026</t>
        </is>
      </c>
      <c r="B19" s="1" t="n">
        <v>46064.42460648148</v>
      </c>
      <c r="C19" s="1" t="n">
        <v>46187</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46187</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46187</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49945-2025</t>
        </is>
      </c>
      <c r="B22" s="1" t="n">
        <v>45940.69754629629</v>
      </c>
      <c r="C22" s="1" t="n">
        <v>46187</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46187</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46187</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28035-2023</t>
        </is>
      </c>
      <c r="B25" s="1" t="n">
        <v>45099</v>
      </c>
      <c r="C25" s="1" t="n">
        <v>46187</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50989-2023</t>
        </is>
      </c>
      <c r="B26" s="1" t="n">
        <v>45218</v>
      </c>
      <c r="C26" s="1" t="n">
        <v>46187</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20364-2026</t>
        </is>
      </c>
      <c r="B27" s="1" t="n">
        <v>46139.67759259259</v>
      </c>
      <c r="C27" s="1" t="n">
        <v>46187</v>
      </c>
      <c r="D27" t="inlineStr">
        <is>
          <t>ÖREBRO LÄN</t>
        </is>
      </c>
      <c r="E27" t="inlineStr">
        <is>
          <t>LINDESBERG</t>
        </is>
      </c>
      <c r="G27" t="n">
        <v>8.199999999999999</v>
      </c>
      <c r="H27" t="n">
        <v>2</v>
      </c>
      <c r="I27" t="n">
        <v>1</v>
      </c>
      <c r="J27" t="n">
        <v>2</v>
      </c>
      <c r="K27" t="n">
        <v>0</v>
      </c>
      <c r="L27" t="n">
        <v>0</v>
      </c>
      <c r="M27" t="n">
        <v>0</v>
      </c>
      <c r="N27" t="n">
        <v>0</v>
      </c>
      <c r="O27" t="n">
        <v>2</v>
      </c>
      <c r="P27" t="n">
        <v>0</v>
      </c>
      <c r="Q27" t="n">
        <v>3</v>
      </c>
      <c r="R27" s="2" t="inlineStr">
        <is>
          <t>Spillkråka
Tretåig hackspett
Bronshjon</t>
        </is>
      </c>
      <c r="S27">
        <f>HYPERLINK("https://klasma.github.io/Logging_1885/artfynd/A 20364-2026 artfynd.xlsx", "A 20364-2026")</f>
        <v/>
      </c>
      <c r="T27">
        <f>HYPERLINK("https://klasma.github.io/Logging_1885/kartor/A 20364-2026 karta.png", "A 20364-2026")</f>
        <v/>
      </c>
      <c r="V27">
        <f>HYPERLINK("https://klasma.github.io/Logging_1885/klagomål/A 20364-2026 FSC-klagomål.docx", "A 20364-2026")</f>
        <v/>
      </c>
      <c r="W27">
        <f>HYPERLINK("https://klasma.github.io/Logging_1885/klagomålsmail/A 20364-2026 FSC-klagomål mail.docx", "A 20364-2026")</f>
        <v/>
      </c>
      <c r="X27">
        <f>HYPERLINK("https://klasma.github.io/Logging_1885/tillsyn/A 20364-2026 tillsynsbegäran.docx", "A 20364-2026")</f>
        <v/>
      </c>
      <c r="Y27">
        <f>HYPERLINK("https://klasma.github.io/Logging_1885/tillsynsmail/A 20364-2026 tillsynsbegäran mail.docx", "A 20364-2026")</f>
        <v/>
      </c>
      <c r="Z27">
        <f>HYPERLINK("https://klasma.github.io/Logging_1885/fåglar/A 20364-2026 prioriterade fågelarter.docx", "A 20364-2026")</f>
        <v/>
      </c>
    </row>
    <row r="28" ht="15" customHeight="1">
      <c r="A28" t="inlineStr">
        <is>
          <t>A 20744-2026</t>
        </is>
      </c>
      <c r="B28" s="1" t="n">
        <v>46141.58104166666</v>
      </c>
      <c r="C28" s="1" t="n">
        <v>46187</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54020-2024</t>
        </is>
      </c>
      <c r="B29" s="1" t="n">
        <v>45616.38605324074</v>
      </c>
      <c r="C29" s="1" t="n">
        <v>46187</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46187</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46187</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42629-2025</t>
        </is>
      </c>
      <c r="B32" s="1" t="n">
        <v>45905.88938657408</v>
      </c>
      <c r="C32" s="1" t="n">
        <v>46187</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38380-2024</t>
        </is>
      </c>
      <c r="B33" s="1" t="n">
        <v>45546.28121527778</v>
      </c>
      <c r="C33" s="1" t="n">
        <v>46187</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57319-2025</t>
        </is>
      </c>
      <c r="B34" s="1" t="n">
        <v>45980.01497685185</v>
      </c>
      <c r="C34" s="1" t="n">
        <v>46187</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46187</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16103-2026</t>
        </is>
      </c>
      <c r="B36" s="1" t="n">
        <v>46108.59048611111</v>
      </c>
      <c r="C36" s="1" t="n">
        <v>46187</v>
      </c>
      <c r="D36" t="inlineStr">
        <is>
          <t>ÖREBRO LÄN</t>
        </is>
      </c>
      <c r="E36" t="inlineStr">
        <is>
          <t>LINDESBERG</t>
        </is>
      </c>
      <c r="G36" t="n">
        <v>5.5</v>
      </c>
      <c r="H36" t="n">
        <v>1</v>
      </c>
      <c r="I36" t="n">
        <v>0</v>
      </c>
      <c r="J36" t="n">
        <v>2</v>
      </c>
      <c r="K36" t="n">
        <v>0</v>
      </c>
      <c r="L36" t="n">
        <v>0</v>
      </c>
      <c r="M36" t="n">
        <v>0</v>
      </c>
      <c r="N36" t="n">
        <v>0</v>
      </c>
      <c r="O36" t="n">
        <v>2</v>
      </c>
      <c r="P36" t="n">
        <v>0</v>
      </c>
      <c r="Q36" t="n">
        <v>2</v>
      </c>
      <c r="R36" s="2" t="inlineStr">
        <is>
          <t>Garnlav
Spillkråka</t>
        </is>
      </c>
      <c r="S36">
        <f>HYPERLINK("https://klasma.github.io/Logging_1885/artfynd/A 16103-2026 artfynd.xlsx", "A 16103-2026")</f>
        <v/>
      </c>
      <c r="T36">
        <f>HYPERLINK("https://klasma.github.io/Logging_1885/kartor/A 16103-2026 karta.png", "A 16103-2026")</f>
        <v/>
      </c>
      <c r="V36">
        <f>HYPERLINK("https://klasma.github.io/Logging_1885/klagomål/A 16103-2026 FSC-klagomål.docx", "A 16103-2026")</f>
        <v/>
      </c>
      <c r="W36">
        <f>HYPERLINK("https://klasma.github.io/Logging_1885/klagomålsmail/A 16103-2026 FSC-klagomål mail.docx", "A 16103-2026")</f>
        <v/>
      </c>
      <c r="X36">
        <f>HYPERLINK("https://klasma.github.io/Logging_1885/tillsyn/A 16103-2026 tillsynsbegäran.docx", "A 16103-2026")</f>
        <v/>
      </c>
      <c r="Y36">
        <f>HYPERLINK("https://klasma.github.io/Logging_1885/tillsynsmail/A 16103-2026 tillsynsbegäran mail.docx", "A 16103-2026")</f>
        <v/>
      </c>
      <c r="Z36">
        <f>HYPERLINK("https://klasma.github.io/Logging_1885/fåglar/A 16103-2026 prioriterade fågelarter.docx", "A 16103-2026")</f>
        <v/>
      </c>
    </row>
    <row r="37" ht="15" customHeight="1">
      <c r="A37" t="inlineStr">
        <is>
          <t>A 21467-2026</t>
        </is>
      </c>
      <c r="B37" s="1" t="n">
        <v>46148.46989583333</v>
      </c>
      <c r="C37" s="1" t="n">
        <v>46187</v>
      </c>
      <c r="D37" t="inlineStr">
        <is>
          <t>ÖREBRO LÄN</t>
        </is>
      </c>
      <c r="E37" t="inlineStr">
        <is>
          <t>LINDESBERG</t>
        </is>
      </c>
      <c r="G37" t="n">
        <v>1.5</v>
      </c>
      <c r="H37" t="n">
        <v>2</v>
      </c>
      <c r="I37" t="n">
        <v>0</v>
      </c>
      <c r="J37" t="n">
        <v>1</v>
      </c>
      <c r="K37" t="n">
        <v>0</v>
      </c>
      <c r="L37" t="n">
        <v>0</v>
      </c>
      <c r="M37" t="n">
        <v>0</v>
      </c>
      <c r="N37" t="n">
        <v>0</v>
      </c>
      <c r="O37" t="n">
        <v>1</v>
      </c>
      <c r="P37" t="n">
        <v>0</v>
      </c>
      <c r="Q37" t="n">
        <v>2</v>
      </c>
      <c r="R37" s="2" t="inlineStr">
        <is>
          <t>Spillkråka
Fläcknycklar</t>
        </is>
      </c>
      <c r="S37">
        <f>HYPERLINK("https://klasma.github.io/Logging_1885/artfynd/A 21467-2026 artfynd.xlsx", "A 21467-2026")</f>
        <v/>
      </c>
      <c r="T37">
        <f>HYPERLINK("https://klasma.github.io/Logging_1885/kartor/A 21467-2026 karta.png", "A 21467-2026")</f>
        <v/>
      </c>
      <c r="U37">
        <f>HYPERLINK("https://klasma.github.io/Logging_1885/knärot/A 21467-2026 karta knärot.png", "A 21467-2026")</f>
        <v/>
      </c>
      <c r="V37">
        <f>HYPERLINK("https://klasma.github.io/Logging_1885/klagomål/A 21467-2026 FSC-klagomål.docx", "A 21467-2026")</f>
        <v/>
      </c>
      <c r="W37">
        <f>HYPERLINK("https://klasma.github.io/Logging_1885/klagomålsmail/A 21467-2026 FSC-klagomål mail.docx", "A 21467-2026")</f>
        <v/>
      </c>
      <c r="X37">
        <f>HYPERLINK("https://klasma.github.io/Logging_1885/tillsyn/A 21467-2026 tillsynsbegäran.docx", "A 21467-2026")</f>
        <v/>
      </c>
      <c r="Y37">
        <f>HYPERLINK("https://klasma.github.io/Logging_1885/tillsynsmail/A 21467-2026 tillsynsbegäran mail.docx", "A 21467-2026")</f>
        <v/>
      </c>
      <c r="Z37">
        <f>HYPERLINK("https://klasma.github.io/Logging_1885/fåglar/A 21467-2026 prioriterade fågelarter.docx", "A 21467-2026")</f>
        <v/>
      </c>
    </row>
    <row r="38" ht="15" customHeight="1">
      <c r="A38" t="inlineStr">
        <is>
          <t>A 15687-2023</t>
        </is>
      </c>
      <c r="B38" s="1" t="n">
        <v>45021</v>
      </c>
      <c r="C38" s="1" t="n">
        <v>46187</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25097-2026</t>
        </is>
      </c>
      <c r="B39" s="1" t="n">
        <v>46175.34005787037</v>
      </c>
      <c r="C39" s="1" t="n">
        <v>46187</v>
      </c>
      <c r="D39" t="inlineStr">
        <is>
          <t>ÖREBRO LÄN</t>
        </is>
      </c>
      <c r="E39" t="inlineStr">
        <is>
          <t>LINDESBERG</t>
        </is>
      </c>
      <c r="F39" t="inlineStr">
        <is>
          <t>Sveaskog</t>
        </is>
      </c>
      <c r="G39" t="n">
        <v>23</v>
      </c>
      <c r="H39" t="n">
        <v>1</v>
      </c>
      <c r="I39" t="n">
        <v>1</v>
      </c>
      <c r="J39" t="n">
        <v>0</v>
      </c>
      <c r="K39" t="n">
        <v>0</v>
      </c>
      <c r="L39" t="n">
        <v>0</v>
      </c>
      <c r="M39" t="n">
        <v>0</v>
      </c>
      <c r="N39" t="n">
        <v>0</v>
      </c>
      <c r="O39" t="n">
        <v>0</v>
      </c>
      <c r="P39" t="n">
        <v>0</v>
      </c>
      <c r="Q39" t="n">
        <v>2</v>
      </c>
      <c r="R39" s="2" t="inlineStr">
        <is>
          <t>Korallblylav
Fläcknycklar</t>
        </is>
      </c>
      <c r="S39">
        <f>HYPERLINK("https://klasma.github.io/Logging_1885/artfynd/A 25097-2026 artfynd.xlsx", "A 25097-2026")</f>
        <v/>
      </c>
      <c r="T39">
        <f>HYPERLINK("https://klasma.github.io/Logging_1885/kartor/A 25097-2026 karta.png", "A 25097-2026")</f>
        <v/>
      </c>
      <c r="V39">
        <f>HYPERLINK("https://klasma.github.io/Logging_1885/klagomål/A 25097-2026 FSC-klagomål.docx", "A 25097-2026")</f>
        <v/>
      </c>
      <c r="W39">
        <f>HYPERLINK("https://klasma.github.io/Logging_1885/klagomålsmail/A 25097-2026 FSC-klagomål mail.docx", "A 25097-2026")</f>
        <v/>
      </c>
      <c r="X39">
        <f>HYPERLINK("https://klasma.github.io/Logging_1885/tillsyn/A 25097-2026 tillsynsbegäran.docx", "A 25097-2026")</f>
        <v/>
      </c>
      <c r="Y39">
        <f>HYPERLINK("https://klasma.github.io/Logging_1885/tillsynsmail/A 25097-2026 tillsynsbegäran mail.docx", "A 25097-2026")</f>
        <v/>
      </c>
    </row>
    <row r="40" ht="15" customHeight="1">
      <c r="A40" t="inlineStr">
        <is>
          <t>A 25096-2026</t>
        </is>
      </c>
      <c r="B40" s="1" t="n">
        <v>46175.33916666666</v>
      </c>
      <c r="C40" s="1" t="n">
        <v>46187</v>
      </c>
      <c r="D40" t="inlineStr">
        <is>
          <t>ÖREBRO LÄN</t>
        </is>
      </c>
      <c r="E40" t="inlineStr">
        <is>
          <t>LINDESBERG</t>
        </is>
      </c>
      <c r="F40" t="inlineStr">
        <is>
          <t>Sveaskog</t>
        </is>
      </c>
      <c r="G40" t="n">
        <v>6.7</v>
      </c>
      <c r="H40" t="n">
        <v>1</v>
      </c>
      <c r="I40" t="n">
        <v>0</v>
      </c>
      <c r="J40" t="n">
        <v>1</v>
      </c>
      <c r="K40" t="n">
        <v>0</v>
      </c>
      <c r="L40" t="n">
        <v>0</v>
      </c>
      <c r="M40" t="n">
        <v>0</v>
      </c>
      <c r="N40" t="n">
        <v>0</v>
      </c>
      <c r="O40" t="n">
        <v>1</v>
      </c>
      <c r="P40" t="n">
        <v>0</v>
      </c>
      <c r="Q40" t="n">
        <v>2</v>
      </c>
      <c r="R40" s="2" t="inlineStr">
        <is>
          <t>Lunglav
Revlummer</t>
        </is>
      </c>
      <c r="S40">
        <f>HYPERLINK("https://klasma.github.io/Logging_1885/artfynd/A 25096-2026 artfynd.xlsx", "A 25096-2026")</f>
        <v/>
      </c>
      <c r="T40">
        <f>HYPERLINK("https://klasma.github.io/Logging_1885/kartor/A 25096-2026 karta.png", "A 25096-2026")</f>
        <v/>
      </c>
      <c r="V40">
        <f>HYPERLINK("https://klasma.github.io/Logging_1885/klagomål/A 25096-2026 FSC-klagomål.docx", "A 25096-2026")</f>
        <v/>
      </c>
      <c r="W40">
        <f>HYPERLINK("https://klasma.github.io/Logging_1885/klagomålsmail/A 25096-2026 FSC-klagomål mail.docx", "A 25096-2026")</f>
        <v/>
      </c>
      <c r="X40">
        <f>HYPERLINK("https://klasma.github.io/Logging_1885/tillsyn/A 25096-2026 tillsynsbegäran.docx", "A 25096-2026")</f>
        <v/>
      </c>
      <c r="Y40">
        <f>HYPERLINK("https://klasma.github.io/Logging_1885/tillsynsmail/A 25096-2026 tillsynsbegäran mail.docx", "A 25096-2026")</f>
        <v/>
      </c>
    </row>
    <row r="41" ht="15" customHeight="1">
      <c r="A41" t="inlineStr">
        <is>
          <t>A 33574-2022</t>
        </is>
      </c>
      <c r="B41" s="1" t="n">
        <v>44789</v>
      </c>
      <c r="C41" s="1" t="n">
        <v>46187</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51851-2025</t>
        </is>
      </c>
      <c r="B42" s="1" t="n">
        <v>45952.35611111111</v>
      </c>
      <c r="C42" s="1" t="n">
        <v>46187</v>
      </c>
      <c r="D42" t="inlineStr">
        <is>
          <t>ÖREBRO LÄN</t>
        </is>
      </c>
      <c r="E42" t="inlineStr">
        <is>
          <t>LINDESBERG</t>
        </is>
      </c>
      <c r="G42" t="n">
        <v>6.9</v>
      </c>
      <c r="H42" t="n">
        <v>0</v>
      </c>
      <c r="I42" t="n">
        <v>0</v>
      </c>
      <c r="J42" t="n">
        <v>2</v>
      </c>
      <c r="K42" t="n">
        <v>0</v>
      </c>
      <c r="L42" t="n">
        <v>0</v>
      </c>
      <c r="M42" t="n">
        <v>0</v>
      </c>
      <c r="N42" t="n">
        <v>0</v>
      </c>
      <c r="O42" t="n">
        <v>2</v>
      </c>
      <c r="P42" t="n">
        <v>0</v>
      </c>
      <c r="Q42" t="n">
        <v>2</v>
      </c>
      <c r="R42" s="2" t="inlineStr">
        <is>
          <t>Garnlav
Motaggsvamp</t>
        </is>
      </c>
      <c r="S42">
        <f>HYPERLINK("https://klasma.github.io/Logging_1885/artfynd/A 51851-2025 artfynd.xlsx", "A 51851-2025")</f>
        <v/>
      </c>
      <c r="T42">
        <f>HYPERLINK("https://klasma.github.io/Logging_1885/kartor/A 51851-2025 karta.png", "A 51851-2025")</f>
        <v/>
      </c>
      <c r="V42">
        <f>HYPERLINK("https://klasma.github.io/Logging_1885/klagomål/A 51851-2025 FSC-klagomål.docx", "A 51851-2025")</f>
        <v/>
      </c>
      <c r="W42">
        <f>HYPERLINK("https://klasma.github.io/Logging_1885/klagomålsmail/A 51851-2025 FSC-klagomål mail.docx", "A 51851-2025")</f>
        <v/>
      </c>
      <c r="X42">
        <f>HYPERLINK("https://klasma.github.io/Logging_1885/tillsyn/A 51851-2025 tillsynsbegäran.docx", "A 51851-2025")</f>
        <v/>
      </c>
      <c r="Y42">
        <f>HYPERLINK("https://klasma.github.io/Logging_1885/tillsynsmail/A 51851-2025 tillsynsbegäran mail.docx", "A 51851-2025")</f>
        <v/>
      </c>
    </row>
    <row r="43" ht="15" customHeight="1">
      <c r="A43" t="inlineStr">
        <is>
          <t>A 32713-2021</t>
        </is>
      </c>
      <c r="B43" s="1" t="n">
        <v>44375</v>
      </c>
      <c r="C43" s="1" t="n">
        <v>46187</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46187</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17563-2022</t>
        </is>
      </c>
      <c r="B45" s="1" t="n">
        <v>44679</v>
      </c>
      <c r="C45" s="1" t="n">
        <v>46187</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48956-2025</t>
        </is>
      </c>
      <c r="B46" s="1" t="n">
        <v>45937.54982638889</v>
      </c>
      <c r="C46" s="1" t="n">
        <v>46187</v>
      </c>
      <c r="D46" t="inlineStr">
        <is>
          <t>ÖREBRO LÄN</t>
        </is>
      </c>
      <c r="E46" t="inlineStr">
        <is>
          <t>LINDESBERG</t>
        </is>
      </c>
      <c r="F46" t="inlineStr">
        <is>
          <t>Sveaskog</t>
        </is>
      </c>
      <c r="G46" t="n">
        <v>2.7</v>
      </c>
      <c r="H46" t="n">
        <v>1</v>
      </c>
      <c r="I46" t="n">
        <v>0</v>
      </c>
      <c r="J46" t="n">
        <v>0</v>
      </c>
      <c r="K46" t="n">
        <v>0</v>
      </c>
      <c r="L46" t="n">
        <v>0</v>
      </c>
      <c r="M46" t="n">
        <v>0</v>
      </c>
      <c r="N46" t="n">
        <v>0</v>
      </c>
      <c r="O46" t="n">
        <v>0</v>
      </c>
      <c r="P46" t="n">
        <v>0</v>
      </c>
      <c r="Q46" t="n">
        <v>1</v>
      </c>
      <c r="R46" s="2" t="inlineStr">
        <is>
          <t>Mattlummer</t>
        </is>
      </c>
      <c r="S46">
        <f>HYPERLINK("https://klasma.github.io/Logging_1885/artfynd/A 48956-2025 artfynd.xlsx", "A 48956-2025")</f>
        <v/>
      </c>
      <c r="T46">
        <f>HYPERLINK("https://klasma.github.io/Logging_1885/kartor/A 48956-2025 karta.png", "A 48956-2025")</f>
        <v/>
      </c>
      <c r="V46">
        <f>HYPERLINK("https://klasma.github.io/Logging_1885/klagomål/A 48956-2025 FSC-klagomål.docx", "A 48956-2025")</f>
        <v/>
      </c>
      <c r="W46">
        <f>HYPERLINK("https://klasma.github.io/Logging_1885/klagomålsmail/A 48956-2025 FSC-klagomål mail.docx", "A 48956-2025")</f>
        <v/>
      </c>
      <c r="X46">
        <f>HYPERLINK("https://klasma.github.io/Logging_1885/tillsyn/A 48956-2025 tillsynsbegäran.docx", "A 48956-2025")</f>
        <v/>
      </c>
      <c r="Y46">
        <f>HYPERLINK("https://klasma.github.io/Logging_1885/tillsynsmail/A 48956-2025 tillsynsbegäran mail.docx", "A 48956-2025")</f>
        <v/>
      </c>
    </row>
    <row r="47" ht="15" customHeight="1">
      <c r="A47" t="inlineStr">
        <is>
          <t>A 21440-2025</t>
        </is>
      </c>
      <c r="B47" s="1" t="n">
        <v>45782.5300462963</v>
      </c>
      <c r="C47" s="1" t="n">
        <v>46187</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50777-2025</t>
        </is>
      </c>
      <c r="B48" s="1" t="n">
        <v>45946.45171296296</v>
      </c>
      <c r="C48" s="1" t="n">
        <v>46187</v>
      </c>
      <c r="D48" t="inlineStr">
        <is>
          <t>ÖREBRO LÄN</t>
        </is>
      </c>
      <c r="E48" t="inlineStr">
        <is>
          <t>LINDESBERG</t>
        </is>
      </c>
      <c r="F48" t="inlineStr">
        <is>
          <t>Sveaskog</t>
        </is>
      </c>
      <c r="G48" t="n">
        <v>5.3</v>
      </c>
      <c r="H48" t="n">
        <v>0</v>
      </c>
      <c r="I48" t="n">
        <v>1</v>
      </c>
      <c r="J48" t="n">
        <v>0</v>
      </c>
      <c r="K48" t="n">
        <v>0</v>
      </c>
      <c r="L48" t="n">
        <v>0</v>
      </c>
      <c r="M48" t="n">
        <v>0</v>
      </c>
      <c r="N48" t="n">
        <v>0</v>
      </c>
      <c r="O48" t="n">
        <v>0</v>
      </c>
      <c r="P48" t="n">
        <v>0</v>
      </c>
      <c r="Q48" t="n">
        <v>1</v>
      </c>
      <c r="R48" s="2" t="inlineStr">
        <is>
          <t>Zontaggsvamp</t>
        </is>
      </c>
      <c r="S48">
        <f>HYPERLINK("https://klasma.github.io/Logging_1885/artfynd/A 50777-2025 artfynd.xlsx", "A 50777-2025")</f>
        <v/>
      </c>
      <c r="T48">
        <f>HYPERLINK("https://klasma.github.io/Logging_1885/kartor/A 50777-2025 karta.png", "A 50777-2025")</f>
        <v/>
      </c>
      <c r="V48">
        <f>HYPERLINK("https://klasma.github.io/Logging_1885/klagomål/A 50777-2025 FSC-klagomål.docx", "A 50777-2025")</f>
        <v/>
      </c>
      <c r="W48">
        <f>HYPERLINK("https://klasma.github.io/Logging_1885/klagomålsmail/A 50777-2025 FSC-klagomål mail.docx", "A 50777-2025")</f>
        <v/>
      </c>
      <c r="X48">
        <f>HYPERLINK("https://klasma.github.io/Logging_1885/tillsyn/A 50777-2025 tillsynsbegäran.docx", "A 50777-2025")</f>
        <v/>
      </c>
      <c r="Y48">
        <f>HYPERLINK("https://klasma.github.io/Logging_1885/tillsynsmail/A 50777-2025 tillsynsbegäran mail.docx", "A 50777-2025")</f>
        <v/>
      </c>
    </row>
    <row r="49" ht="15" customHeight="1">
      <c r="A49" t="inlineStr">
        <is>
          <t>A 50766-2025</t>
        </is>
      </c>
      <c r="B49" s="1" t="n">
        <v>45946.44423611111</v>
      </c>
      <c r="C49" s="1" t="n">
        <v>46187</v>
      </c>
      <c r="D49" t="inlineStr">
        <is>
          <t>ÖREBRO LÄN</t>
        </is>
      </c>
      <c r="E49" t="inlineStr">
        <is>
          <t>LINDESBERG</t>
        </is>
      </c>
      <c r="F49" t="inlineStr">
        <is>
          <t>Sveaskog</t>
        </is>
      </c>
      <c r="G49" t="n">
        <v>2.4</v>
      </c>
      <c r="H49" t="n">
        <v>0</v>
      </c>
      <c r="I49" t="n">
        <v>0</v>
      </c>
      <c r="J49" t="n">
        <v>0</v>
      </c>
      <c r="K49" t="n">
        <v>1</v>
      </c>
      <c r="L49" t="n">
        <v>0</v>
      </c>
      <c r="M49" t="n">
        <v>0</v>
      </c>
      <c r="N49" t="n">
        <v>0</v>
      </c>
      <c r="O49" t="n">
        <v>1</v>
      </c>
      <c r="P49" t="n">
        <v>1</v>
      </c>
      <c r="Q49" t="n">
        <v>1</v>
      </c>
      <c r="R49" s="2" t="inlineStr">
        <is>
          <t>Rotfingersvamp</t>
        </is>
      </c>
      <c r="S49">
        <f>HYPERLINK("https://klasma.github.io/Logging_1885/artfynd/A 50766-2025 artfynd.xlsx", "A 50766-2025")</f>
        <v/>
      </c>
      <c r="T49">
        <f>HYPERLINK("https://klasma.github.io/Logging_1885/kartor/A 50766-2025 karta.png", "A 50766-2025")</f>
        <v/>
      </c>
      <c r="V49">
        <f>HYPERLINK("https://klasma.github.io/Logging_1885/klagomål/A 50766-2025 FSC-klagomål.docx", "A 50766-2025")</f>
        <v/>
      </c>
      <c r="W49">
        <f>HYPERLINK("https://klasma.github.io/Logging_1885/klagomålsmail/A 50766-2025 FSC-klagomål mail.docx", "A 50766-2025")</f>
        <v/>
      </c>
      <c r="X49">
        <f>HYPERLINK("https://klasma.github.io/Logging_1885/tillsyn/A 50766-2025 tillsynsbegäran.docx", "A 50766-2025")</f>
        <v/>
      </c>
      <c r="Y49">
        <f>HYPERLINK("https://klasma.github.io/Logging_1885/tillsynsmail/A 50766-2025 tillsynsbegäran mail.docx", "A 50766-2025")</f>
        <v/>
      </c>
    </row>
    <row r="50" ht="15" customHeight="1">
      <c r="A50" t="inlineStr">
        <is>
          <t>A 50768-2025</t>
        </is>
      </c>
      <c r="B50" s="1" t="n">
        <v>45946.44790509259</v>
      </c>
      <c r="C50" s="1" t="n">
        <v>46187</v>
      </c>
      <c r="D50" t="inlineStr">
        <is>
          <t>ÖREBRO LÄN</t>
        </is>
      </c>
      <c r="E50" t="inlineStr">
        <is>
          <t>LINDESBERG</t>
        </is>
      </c>
      <c r="F50" t="inlineStr">
        <is>
          <t>Sveaskog</t>
        </is>
      </c>
      <c r="G50" t="n">
        <v>3.1</v>
      </c>
      <c r="H50" t="n">
        <v>1</v>
      </c>
      <c r="I50" t="n">
        <v>1</v>
      </c>
      <c r="J50" t="n">
        <v>0</v>
      </c>
      <c r="K50" t="n">
        <v>0</v>
      </c>
      <c r="L50" t="n">
        <v>0</v>
      </c>
      <c r="M50" t="n">
        <v>0</v>
      </c>
      <c r="N50" t="n">
        <v>0</v>
      </c>
      <c r="O50" t="n">
        <v>0</v>
      </c>
      <c r="P50" t="n">
        <v>0</v>
      </c>
      <c r="Q50" t="n">
        <v>1</v>
      </c>
      <c r="R50" s="2" t="inlineStr">
        <is>
          <t>Plattlummer</t>
        </is>
      </c>
      <c r="S50">
        <f>HYPERLINK("https://klasma.github.io/Logging_1885/artfynd/A 50768-2025 artfynd.xlsx", "A 50768-2025")</f>
        <v/>
      </c>
      <c r="T50">
        <f>HYPERLINK("https://klasma.github.io/Logging_1885/kartor/A 50768-2025 karta.png", "A 50768-2025")</f>
        <v/>
      </c>
      <c r="V50">
        <f>HYPERLINK("https://klasma.github.io/Logging_1885/klagomål/A 50768-2025 FSC-klagomål.docx", "A 50768-2025")</f>
        <v/>
      </c>
      <c r="W50">
        <f>HYPERLINK("https://klasma.github.io/Logging_1885/klagomålsmail/A 50768-2025 FSC-klagomål mail.docx", "A 50768-2025")</f>
        <v/>
      </c>
      <c r="X50">
        <f>HYPERLINK("https://klasma.github.io/Logging_1885/tillsyn/A 50768-2025 tillsynsbegäran.docx", "A 50768-2025")</f>
        <v/>
      </c>
      <c r="Y50">
        <f>HYPERLINK("https://klasma.github.io/Logging_1885/tillsynsmail/A 50768-2025 tillsynsbegäran mail.docx", "A 50768-2025")</f>
        <v/>
      </c>
    </row>
    <row r="51" ht="15" customHeight="1">
      <c r="A51" t="inlineStr">
        <is>
          <t>A 52337-2025</t>
        </is>
      </c>
      <c r="B51" s="1" t="n">
        <v>45953.69287037037</v>
      </c>
      <c r="C51" s="1" t="n">
        <v>46187</v>
      </c>
      <c r="D51" t="inlineStr">
        <is>
          <t>ÖREBRO LÄN</t>
        </is>
      </c>
      <c r="E51" t="inlineStr">
        <is>
          <t>LINDESBERG</t>
        </is>
      </c>
      <c r="F51" t="inlineStr">
        <is>
          <t>Sveaskog</t>
        </is>
      </c>
      <c r="G51" t="n">
        <v>3.3</v>
      </c>
      <c r="H51" t="n">
        <v>1</v>
      </c>
      <c r="I51" t="n">
        <v>0</v>
      </c>
      <c r="J51" t="n">
        <v>0</v>
      </c>
      <c r="K51" t="n">
        <v>0</v>
      </c>
      <c r="L51" t="n">
        <v>0</v>
      </c>
      <c r="M51" t="n">
        <v>0</v>
      </c>
      <c r="N51" t="n">
        <v>0</v>
      </c>
      <c r="O51" t="n">
        <v>0</v>
      </c>
      <c r="P51" t="n">
        <v>0</v>
      </c>
      <c r="Q51" t="n">
        <v>1</v>
      </c>
      <c r="R51" s="2" t="inlineStr">
        <is>
          <t>Fläcknycklar</t>
        </is>
      </c>
      <c r="S51">
        <f>HYPERLINK("https://klasma.github.io/Logging_1885/artfynd/A 52337-2025 artfynd.xlsx", "A 52337-2025")</f>
        <v/>
      </c>
      <c r="T51">
        <f>HYPERLINK("https://klasma.github.io/Logging_1885/kartor/A 52337-2025 karta.png", "A 52337-2025")</f>
        <v/>
      </c>
      <c r="V51">
        <f>HYPERLINK("https://klasma.github.io/Logging_1885/klagomål/A 52337-2025 FSC-klagomål.docx", "A 52337-2025")</f>
        <v/>
      </c>
      <c r="W51">
        <f>HYPERLINK("https://klasma.github.io/Logging_1885/klagomålsmail/A 52337-2025 FSC-klagomål mail.docx", "A 52337-2025")</f>
        <v/>
      </c>
      <c r="X51">
        <f>HYPERLINK("https://klasma.github.io/Logging_1885/tillsyn/A 52337-2025 tillsynsbegäran.docx", "A 52337-2025")</f>
        <v/>
      </c>
      <c r="Y51">
        <f>HYPERLINK("https://klasma.github.io/Logging_1885/tillsynsmail/A 52337-2025 tillsynsbegäran mail.docx", "A 52337-2025")</f>
        <v/>
      </c>
    </row>
    <row r="52" ht="15" customHeight="1">
      <c r="A52" t="inlineStr">
        <is>
          <t>A 61129-2024</t>
        </is>
      </c>
      <c r="B52" s="1" t="n">
        <v>45645</v>
      </c>
      <c r="C52" s="1" t="n">
        <v>46187</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57362-2025</t>
        </is>
      </c>
      <c r="B53" s="1" t="n">
        <v>45980.37108796297</v>
      </c>
      <c r="C53" s="1" t="n">
        <v>46187</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45467-2025</t>
        </is>
      </c>
      <c r="B54" s="1" t="n">
        <v>45922.49990740741</v>
      </c>
      <c r="C54" s="1" t="n">
        <v>46187</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46187</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64513-2023</t>
        </is>
      </c>
      <c r="B56" s="1" t="n">
        <v>45281</v>
      </c>
      <c r="C56" s="1" t="n">
        <v>46187</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61132-2024</t>
        </is>
      </c>
      <c r="B57" s="1" t="n">
        <v>45645</v>
      </c>
      <c r="C57" s="1" t="n">
        <v>46187</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8172-2026</t>
        </is>
      </c>
      <c r="B58" s="1" t="n">
        <v>46064</v>
      </c>
      <c r="C58" s="1" t="n">
        <v>46187</v>
      </c>
      <c r="D58" t="inlineStr">
        <is>
          <t>ÖREBRO LÄN</t>
        </is>
      </c>
      <c r="E58" t="inlineStr">
        <is>
          <t>LINDESBERG</t>
        </is>
      </c>
      <c r="G58" t="n">
        <v>2.9</v>
      </c>
      <c r="H58" t="n">
        <v>0</v>
      </c>
      <c r="I58" t="n">
        <v>0</v>
      </c>
      <c r="J58" t="n">
        <v>0</v>
      </c>
      <c r="K58" t="n">
        <v>0</v>
      </c>
      <c r="L58" t="n">
        <v>1</v>
      </c>
      <c r="M58" t="n">
        <v>0</v>
      </c>
      <c r="N58" t="n">
        <v>0</v>
      </c>
      <c r="O58" t="n">
        <v>1</v>
      </c>
      <c r="P58" t="n">
        <v>1</v>
      </c>
      <c r="Q58" t="n">
        <v>1</v>
      </c>
      <c r="R58" s="2" t="inlineStr">
        <is>
          <t>Bågtuss</t>
        </is>
      </c>
      <c r="S58">
        <f>HYPERLINK("https://klasma.github.io/Logging_1885/artfynd/A 8172-2026 artfynd.xlsx", "A 8172-2026")</f>
        <v/>
      </c>
      <c r="T58">
        <f>HYPERLINK("https://klasma.github.io/Logging_1885/kartor/A 8172-2026 karta.png", "A 8172-2026")</f>
        <v/>
      </c>
      <c r="U58">
        <f>HYPERLINK("https://klasma.github.io/Logging_1885/knärot/A 8172-2026 karta knärot.png", "A 8172-2026")</f>
        <v/>
      </c>
      <c r="V58">
        <f>HYPERLINK("https://klasma.github.io/Logging_1885/klagomål/A 8172-2026 FSC-klagomål.docx", "A 8172-2026")</f>
        <v/>
      </c>
      <c r="W58">
        <f>HYPERLINK("https://klasma.github.io/Logging_1885/klagomålsmail/A 8172-2026 FSC-klagomål mail.docx", "A 8172-2026")</f>
        <v/>
      </c>
      <c r="X58">
        <f>HYPERLINK("https://klasma.github.io/Logging_1885/tillsyn/A 8172-2026 tillsynsbegäran.docx", "A 8172-2026")</f>
        <v/>
      </c>
      <c r="Y58">
        <f>HYPERLINK("https://klasma.github.io/Logging_1885/tillsynsmail/A 8172-2026 tillsynsbegäran mail.docx", "A 8172-2026")</f>
        <v/>
      </c>
    </row>
    <row r="59" ht="15" customHeight="1">
      <c r="A59" t="inlineStr">
        <is>
          <t>A 31052-2025</t>
        </is>
      </c>
      <c r="B59" s="1" t="n">
        <v>45832.56153935185</v>
      </c>
      <c r="C59" s="1" t="n">
        <v>46187</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67013-2021</t>
        </is>
      </c>
      <c r="B60" s="1" t="n">
        <v>44522</v>
      </c>
      <c r="C60" s="1" t="n">
        <v>46187</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36669-2024</t>
        </is>
      </c>
      <c r="B61" s="1" t="n">
        <v>45537.64484953704</v>
      </c>
      <c r="C61" s="1" t="n">
        <v>46187</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8175-2026</t>
        </is>
      </c>
      <c r="B62" s="1" t="n">
        <v>46064</v>
      </c>
      <c r="C62" s="1" t="n">
        <v>46187</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Svart trolldruva</t>
        </is>
      </c>
      <c r="S62">
        <f>HYPERLINK("https://klasma.github.io/Logging_1885/artfynd/A 8175-2026 artfynd.xlsx", "A 8175-2026")</f>
        <v/>
      </c>
      <c r="T62">
        <f>HYPERLINK("https://klasma.github.io/Logging_1885/kartor/A 8175-2026 karta.png", "A 8175-2026")</f>
        <v/>
      </c>
      <c r="V62">
        <f>HYPERLINK("https://klasma.github.io/Logging_1885/klagomål/A 8175-2026 FSC-klagomål.docx", "A 8175-2026")</f>
        <v/>
      </c>
      <c r="W62">
        <f>HYPERLINK("https://klasma.github.io/Logging_1885/klagomålsmail/A 8175-2026 FSC-klagomål mail.docx", "A 8175-2026")</f>
        <v/>
      </c>
      <c r="X62">
        <f>HYPERLINK("https://klasma.github.io/Logging_1885/tillsyn/A 8175-2026 tillsynsbegäran.docx", "A 8175-2026")</f>
        <v/>
      </c>
      <c r="Y62">
        <f>HYPERLINK("https://klasma.github.io/Logging_1885/tillsynsmail/A 8175-2026 tillsynsbegäran mail.docx", "A 8175-2026")</f>
        <v/>
      </c>
    </row>
    <row r="63" ht="15" customHeight="1">
      <c r="A63" t="inlineStr">
        <is>
          <t>A 16692-2026</t>
        </is>
      </c>
      <c r="B63" s="1" t="n">
        <v>46112.82201388889</v>
      </c>
      <c r="C63" s="1" t="n">
        <v>46187</v>
      </c>
      <c r="D63" t="inlineStr">
        <is>
          <t>ÖREBRO LÄN</t>
        </is>
      </c>
      <c r="E63" t="inlineStr">
        <is>
          <t>LINDESBERG</t>
        </is>
      </c>
      <c r="G63" t="n">
        <v>4.9</v>
      </c>
      <c r="H63" t="n">
        <v>1</v>
      </c>
      <c r="I63" t="n">
        <v>0</v>
      </c>
      <c r="J63" t="n">
        <v>1</v>
      </c>
      <c r="K63" t="n">
        <v>0</v>
      </c>
      <c r="L63" t="n">
        <v>0</v>
      </c>
      <c r="M63" t="n">
        <v>0</v>
      </c>
      <c r="N63" t="n">
        <v>0</v>
      </c>
      <c r="O63" t="n">
        <v>1</v>
      </c>
      <c r="P63" t="n">
        <v>0</v>
      </c>
      <c r="Q63" t="n">
        <v>1</v>
      </c>
      <c r="R63" s="2" t="inlineStr">
        <is>
          <t>Spillkråka</t>
        </is>
      </c>
      <c r="S63">
        <f>HYPERLINK("https://klasma.github.io/Logging_1885/artfynd/A 16692-2026 artfynd.xlsx", "A 16692-2026")</f>
        <v/>
      </c>
      <c r="T63">
        <f>HYPERLINK("https://klasma.github.io/Logging_1885/kartor/A 16692-2026 karta.png", "A 16692-2026")</f>
        <v/>
      </c>
      <c r="V63">
        <f>HYPERLINK("https://klasma.github.io/Logging_1885/klagomål/A 16692-2026 FSC-klagomål.docx", "A 16692-2026")</f>
        <v/>
      </c>
      <c r="W63">
        <f>HYPERLINK("https://klasma.github.io/Logging_1885/klagomålsmail/A 16692-2026 FSC-klagomål mail.docx", "A 16692-2026")</f>
        <v/>
      </c>
      <c r="X63">
        <f>HYPERLINK("https://klasma.github.io/Logging_1885/tillsyn/A 16692-2026 tillsynsbegäran.docx", "A 16692-2026")</f>
        <v/>
      </c>
      <c r="Y63">
        <f>HYPERLINK("https://klasma.github.io/Logging_1885/tillsynsmail/A 16692-2026 tillsynsbegäran mail.docx", "A 16692-2026")</f>
        <v/>
      </c>
      <c r="Z63">
        <f>HYPERLINK("https://klasma.github.io/Logging_1885/fåglar/A 16692-2026 prioriterade fågelarter.docx", "A 16692-2026")</f>
        <v/>
      </c>
    </row>
    <row r="64" ht="15" customHeight="1">
      <c r="A64" t="inlineStr">
        <is>
          <t>A 16693-2026</t>
        </is>
      </c>
      <c r="B64" s="1" t="n">
        <v>46112.83422453704</v>
      </c>
      <c r="C64" s="1" t="n">
        <v>46187</v>
      </c>
      <c r="D64" t="inlineStr">
        <is>
          <t>ÖREBRO LÄN</t>
        </is>
      </c>
      <c r="E64" t="inlineStr">
        <is>
          <t>LINDESBERG</t>
        </is>
      </c>
      <c r="G64" t="n">
        <v>2.1</v>
      </c>
      <c r="H64" t="n">
        <v>1</v>
      </c>
      <c r="I64" t="n">
        <v>0</v>
      </c>
      <c r="J64" t="n">
        <v>0</v>
      </c>
      <c r="K64" t="n">
        <v>0</v>
      </c>
      <c r="L64" t="n">
        <v>0</v>
      </c>
      <c r="M64" t="n">
        <v>0</v>
      </c>
      <c r="N64" t="n">
        <v>0</v>
      </c>
      <c r="O64" t="n">
        <v>0</v>
      </c>
      <c r="P64" t="n">
        <v>0</v>
      </c>
      <c r="Q64" t="n">
        <v>1</v>
      </c>
      <c r="R64" s="2" t="inlineStr">
        <is>
          <t>Tjäder</t>
        </is>
      </c>
      <c r="S64">
        <f>HYPERLINK("https://klasma.github.io/Logging_1885/artfynd/A 16693-2026 artfynd.xlsx", "A 16693-2026")</f>
        <v/>
      </c>
      <c r="T64">
        <f>HYPERLINK("https://klasma.github.io/Logging_1885/kartor/A 16693-2026 karta.png", "A 16693-2026")</f>
        <v/>
      </c>
      <c r="V64">
        <f>HYPERLINK("https://klasma.github.io/Logging_1885/klagomål/A 16693-2026 FSC-klagomål.docx", "A 16693-2026")</f>
        <v/>
      </c>
      <c r="W64">
        <f>HYPERLINK("https://klasma.github.io/Logging_1885/klagomålsmail/A 16693-2026 FSC-klagomål mail.docx", "A 16693-2026")</f>
        <v/>
      </c>
      <c r="X64">
        <f>HYPERLINK("https://klasma.github.io/Logging_1885/tillsyn/A 16693-2026 tillsynsbegäran.docx", "A 16693-2026")</f>
        <v/>
      </c>
      <c r="Y64">
        <f>HYPERLINK("https://klasma.github.io/Logging_1885/tillsynsmail/A 16693-2026 tillsynsbegäran mail.docx", "A 16693-2026")</f>
        <v/>
      </c>
      <c r="Z64">
        <f>HYPERLINK("https://klasma.github.io/Logging_1885/fåglar/A 16693-2026 prioriterade fågelarter.docx", "A 16693-2026")</f>
        <v/>
      </c>
    </row>
    <row r="65" ht="15" customHeight="1">
      <c r="A65" t="inlineStr">
        <is>
          <t>A 23337-2026</t>
        </is>
      </c>
      <c r="B65" s="1" t="n">
        <v>46162.56237268518</v>
      </c>
      <c r="C65" s="1" t="n">
        <v>46187</v>
      </c>
      <c r="D65" t="inlineStr">
        <is>
          <t>ÖREBRO LÄN</t>
        </is>
      </c>
      <c r="E65" t="inlineStr">
        <is>
          <t>LINDESBERG</t>
        </is>
      </c>
      <c r="F65" t="inlineStr">
        <is>
          <t>Naturvårdsverket</t>
        </is>
      </c>
      <c r="G65" t="n">
        <v>1.4</v>
      </c>
      <c r="H65" t="n">
        <v>1</v>
      </c>
      <c r="I65" t="n">
        <v>0</v>
      </c>
      <c r="J65" t="n">
        <v>1</v>
      </c>
      <c r="K65" t="n">
        <v>0</v>
      </c>
      <c r="L65" t="n">
        <v>0</v>
      </c>
      <c r="M65" t="n">
        <v>0</v>
      </c>
      <c r="N65" t="n">
        <v>0</v>
      </c>
      <c r="O65" t="n">
        <v>1</v>
      </c>
      <c r="P65" t="n">
        <v>0</v>
      </c>
      <c r="Q65" t="n">
        <v>1</v>
      </c>
      <c r="R65" s="2" t="inlineStr">
        <is>
          <t>Spillkråka</t>
        </is>
      </c>
      <c r="S65">
        <f>HYPERLINK("https://klasma.github.io/Logging_1885/artfynd/A 23337-2026 artfynd.xlsx", "A 23337-2026")</f>
        <v/>
      </c>
      <c r="T65">
        <f>HYPERLINK("https://klasma.github.io/Logging_1885/kartor/A 23337-2026 karta.png", "A 23337-2026")</f>
        <v/>
      </c>
      <c r="V65">
        <f>HYPERLINK("https://klasma.github.io/Logging_1885/klagomål/A 23337-2026 FSC-klagomål.docx", "A 23337-2026")</f>
        <v/>
      </c>
      <c r="W65">
        <f>HYPERLINK("https://klasma.github.io/Logging_1885/klagomålsmail/A 23337-2026 FSC-klagomål mail.docx", "A 23337-2026")</f>
        <v/>
      </c>
      <c r="X65">
        <f>HYPERLINK("https://klasma.github.io/Logging_1885/tillsyn/A 23337-2026 tillsynsbegäran.docx", "A 23337-2026")</f>
        <v/>
      </c>
      <c r="Y65">
        <f>HYPERLINK("https://klasma.github.io/Logging_1885/tillsynsmail/A 23337-2026 tillsynsbegäran mail.docx", "A 23337-2026")</f>
        <v/>
      </c>
      <c r="Z65">
        <f>HYPERLINK("https://klasma.github.io/Logging_1885/fåglar/A 23337-2026 prioriterade fågelarter.docx", "A 23337-2026")</f>
        <v/>
      </c>
    </row>
    <row r="66" ht="15" customHeight="1">
      <c r="A66" t="inlineStr">
        <is>
          <t>A 18180-2026</t>
        </is>
      </c>
      <c r="B66" s="1" t="n">
        <v>46125.67597222222</v>
      </c>
      <c r="C66" s="1" t="n">
        <v>46187</v>
      </c>
      <c r="D66" t="inlineStr">
        <is>
          <t>ÖREBRO LÄN</t>
        </is>
      </c>
      <c r="E66" t="inlineStr">
        <is>
          <t>LINDESBERG</t>
        </is>
      </c>
      <c r="F66" t="inlineStr">
        <is>
          <t>Sveaskog</t>
        </is>
      </c>
      <c r="G66" t="n">
        <v>2.1</v>
      </c>
      <c r="H66" t="n">
        <v>0</v>
      </c>
      <c r="I66" t="n">
        <v>1</v>
      </c>
      <c r="J66" t="n">
        <v>0</v>
      </c>
      <c r="K66" t="n">
        <v>0</v>
      </c>
      <c r="L66" t="n">
        <v>0</v>
      </c>
      <c r="M66" t="n">
        <v>0</v>
      </c>
      <c r="N66" t="n">
        <v>0</v>
      </c>
      <c r="O66" t="n">
        <v>0</v>
      </c>
      <c r="P66" t="n">
        <v>0</v>
      </c>
      <c r="Q66" t="n">
        <v>1</v>
      </c>
      <c r="R66" s="2" t="inlineStr">
        <is>
          <t>Dropptaggsvamp</t>
        </is>
      </c>
      <c r="S66">
        <f>HYPERLINK("https://klasma.github.io/Logging_1885/artfynd/A 18180-2026 artfynd.xlsx", "A 18180-2026")</f>
        <v/>
      </c>
      <c r="T66">
        <f>HYPERLINK("https://klasma.github.io/Logging_1885/kartor/A 18180-2026 karta.png", "A 18180-2026")</f>
        <v/>
      </c>
      <c r="V66">
        <f>HYPERLINK("https://klasma.github.io/Logging_1885/klagomål/A 18180-2026 FSC-klagomål.docx", "A 18180-2026")</f>
        <v/>
      </c>
      <c r="W66">
        <f>HYPERLINK("https://klasma.github.io/Logging_1885/klagomålsmail/A 18180-2026 FSC-klagomål mail.docx", "A 18180-2026")</f>
        <v/>
      </c>
      <c r="X66">
        <f>HYPERLINK("https://klasma.github.io/Logging_1885/tillsyn/A 18180-2026 tillsynsbegäran.docx", "A 18180-2026")</f>
        <v/>
      </c>
      <c r="Y66">
        <f>HYPERLINK("https://klasma.github.io/Logging_1885/tillsynsmail/A 18180-2026 tillsynsbegäran mail.docx", "A 18180-2026")</f>
        <v/>
      </c>
    </row>
    <row r="67" ht="15" customHeight="1">
      <c r="A67" t="inlineStr">
        <is>
          <t>A 37834-2025</t>
        </is>
      </c>
      <c r="B67" s="1" t="n">
        <v>45881.42446759259</v>
      </c>
      <c r="C67" s="1" t="n">
        <v>46187</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18178-2026</t>
        </is>
      </c>
      <c r="B68" s="1" t="n">
        <v>46125.67452546296</v>
      </c>
      <c r="C68" s="1" t="n">
        <v>46187</v>
      </c>
      <c r="D68" t="inlineStr">
        <is>
          <t>ÖREBRO LÄN</t>
        </is>
      </c>
      <c r="E68" t="inlineStr">
        <is>
          <t>LINDESBERG</t>
        </is>
      </c>
      <c r="F68" t="inlineStr">
        <is>
          <t>Sveaskog</t>
        </is>
      </c>
      <c r="G68" t="n">
        <v>4.4</v>
      </c>
      <c r="H68" t="n">
        <v>0</v>
      </c>
      <c r="I68" t="n">
        <v>0</v>
      </c>
      <c r="J68" t="n">
        <v>1</v>
      </c>
      <c r="K68" t="n">
        <v>0</v>
      </c>
      <c r="L68" t="n">
        <v>0</v>
      </c>
      <c r="M68" t="n">
        <v>0</v>
      </c>
      <c r="N68" t="n">
        <v>0</v>
      </c>
      <c r="O68" t="n">
        <v>1</v>
      </c>
      <c r="P68" t="n">
        <v>0</v>
      </c>
      <c r="Q68" t="n">
        <v>1</v>
      </c>
      <c r="R68" s="2" t="inlineStr">
        <is>
          <t>Svartvit taggsvamp</t>
        </is>
      </c>
      <c r="S68">
        <f>HYPERLINK("https://klasma.github.io/Logging_1885/artfynd/A 18178-2026 artfynd.xlsx", "A 18178-2026")</f>
        <v/>
      </c>
      <c r="T68">
        <f>HYPERLINK("https://klasma.github.io/Logging_1885/kartor/A 18178-2026 karta.png", "A 18178-2026")</f>
        <v/>
      </c>
      <c r="V68">
        <f>HYPERLINK("https://klasma.github.io/Logging_1885/klagomål/A 18178-2026 FSC-klagomål.docx", "A 18178-2026")</f>
        <v/>
      </c>
      <c r="W68">
        <f>HYPERLINK("https://klasma.github.io/Logging_1885/klagomålsmail/A 18178-2026 FSC-klagomål mail.docx", "A 18178-2026")</f>
        <v/>
      </c>
      <c r="X68">
        <f>HYPERLINK("https://klasma.github.io/Logging_1885/tillsyn/A 18178-2026 tillsynsbegäran.docx", "A 18178-2026")</f>
        <v/>
      </c>
      <c r="Y68">
        <f>HYPERLINK("https://klasma.github.io/Logging_1885/tillsynsmail/A 18178-2026 tillsynsbegäran mail.docx", "A 18178-2026")</f>
        <v/>
      </c>
    </row>
    <row r="69" ht="15" customHeight="1">
      <c r="A69" t="inlineStr">
        <is>
          <t>A 6192-2025</t>
        </is>
      </c>
      <c r="B69" s="1" t="n">
        <v>45698.46697916667</v>
      </c>
      <c r="C69" s="1" t="n">
        <v>46187</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18639-2026</t>
        </is>
      </c>
      <c r="B70" s="1" t="n">
        <v>46128.32203703704</v>
      </c>
      <c r="C70" s="1" t="n">
        <v>46187</v>
      </c>
      <c r="D70" t="inlineStr">
        <is>
          <t>ÖREBRO LÄN</t>
        </is>
      </c>
      <c r="E70" t="inlineStr">
        <is>
          <t>LINDESBERG</t>
        </is>
      </c>
      <c r="F70" t="inlineStr">
        <is>
          <t>Sveaskog</t>
        </is>
      </c>
      <c r="G70" t="n">
        <v>6</v>
      </c>
      <c r="H70" t="n">
        <v>1</v>
      </c>
      <c r="I70" t="n">
        <v>1</v>
      </c>
      <c r="J70" t="n">
        <v>0</v>
      </c>
      <c r="K70" t="n">
        <v>0</v>
      </c>
      <c r="L70" t="n">
        <v>0</v>
      </c>
      <c r="M70" t="n">
        <v>0</v>
      </c>
      <c r="N70" t="n">
        <v>0</v>
      </c>
      <c r="O70" t="n">
        <v>0</v>
      </c>
      <c r="P70" t="n">
        <v>0</v>
      </c>
      <c r="Q70" t="n">
        <v>1</v>
      </c>
      <c r="R70" s="2" t="inlineStr">
        <is>
          <t>Plattlummer</t>
        </is>
      </c>
      <c r="S70">
        <f>HYPERLINK("https://klasma.github.io/Logging_1885/artfynd/A 18639-2026 artfynd.xlsx", "A 18639-2026")</f>
        <v/>
      </c>
      <c r="T70">
        <f>HYPERLINK("https://klasma.github.io/Logging_1885/kartor/A 18639-2026 karta.png", "A 18639-2026")</f>
        <v/>
      </c>
      <c r="V70">
        <f>HYPERLINK("https://klasma.github.io/Logging_1885/klagomål/A 18639-2026 FSC-klagomål.docx", "A 18639-2026")</f>
        <v/>
      </c>
      <c r="W70">
        <f>HYPERLINK("https://klasma.github.io/Logging_1885/klagomålsmail/A 18639-2026 FSC-klagomål mail.docx", "A 18639-2026")</f>
        <v/>
      </c>
      <c r="X70">
        <f>HYPERLINK("https://klasma.github.io/Logging_1885/tillsyn/A 18639-2026 tillsynsbegäran.docx", "A 18639-2026")</f>
        <v/>
      </c>
      <c r="Y70">
        <f>HYPERLINK("https://klasma.github.io/Logging_1885/tillsynsmail/A 18639-2026 tillsynsbegäran mail.docx", "A 18639-2026")</f>
        <v/>
      </c>
    </row>
    <row r="71" ht="15" customHeight="1">
      <c r="A71" t="inlineStr">
        <is>
          <t>A 28569-2024</t>
        </is>
      </c>
      <c r="B71" s="1" t="n">
        <v>45478.39592592593</v>
      </c>
      <c r="C71" s="1" t="n">
        <v>46187</v>
      </c>
      <c r="D71" t="inlineStr">
        <is>
          <t>ÖREBRO LÄN</t>
        </is>
      </c>
      <c r="E71" t="inlineStr">
        <is>
          <t>LINDESBERG</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HYPERLINK("https://klasma.github.io/Logging_1885/artfynd/A 28569-2024 artfynd.xlsx", "A 28569-2024")</f>
        <v/>
      </c>
      <c r="T71">
        <f>HYPERLINK("https://klasma.github.io/Logging_1885/kartor/A 28569-2024 karta.png", "A 28569-2024")</f>
        <v/>
      </c>
      <c r="V71">
        <f>HYPERLINK("https://klasma.github.io/Logging_1885/klagomål/A 28569-2024 FSC-klagomål.docx", "A 28569-2024")</f>
        <v/>
      </c>
      <c r="W71">
        <f>HYPERLINK("https://klasma.github.io/Logging_1885/klagomålsmail/A 28569-2024 FSC-klagomål mail.docx", "A 28569-2024")</f>
        <v/>
      </c>
      <c r="X71">
        <f>HYPERLINK("https://klasma.github.io/Logging_1885/tillsyn/A 28569-2024 tillsynsbegäran.docx", "A 28569-2024")</f>
        <v/>
      </c>
      <c r="Y71">
        <f>HYPERLINK("https://klasma.github.io/Logging_1885/tillsynsmail/A 28569-2024 tillsynsbegäran mail.docx", "A 28569-2024")</f>
        <v/>
      </c>
    </row>
    <row r="72" ht="15" customHeight="1">
      <c r="A72" t="inlineStr">
        <is>
          <t>A 16791-2024</t>
        </is>
      </c>
      <c r="B72" s="1" t="n">
        <v>45411.42858796296</v>
      </c>
      <c r="C72" s="1" t="n">
        <v>46187</v>
      </c>
      <c r="D72" t="inlineStr">
        <is>
          <t>ÖREBRO LÄN</t>
        </is>
      </c>
      <c r="E72" t="inlineStr">
        <is>
          <t>LINDESBERG</t>
        </is>
      </c>
      <c r="G72" t="n">
        <v>16.1</v>
      </c>
      <c r="H72" t="n">
        <v>1</v>
      </c>
      <c r="I72" t="n">
        <v>0</v>
      </c>
      <c r="J72" t="n">
        <v>1</v>
      </c>
      <c r="K72" t="n">
        <v>0</v>
      </c>
      <c r="L72" t="n">
        <v>0</v>
      </c>
      <c r="M72" t="n">
        <v>0</v>
      </c>
      <c r="N72" t="n">
        <v>0</v>
      </c>
      <c r="O72" t="n">
        <v>1</v>
      </c>
      <c r="P72" t="n">
        <v>0</v>
      </c>
      <c r="Q72" t="n">
        <v>1</v>
      </c>
      <c r="R72" s="2" t="inlineStr">
        <is>
          <t>Spillkråka</t>
        </is>
      </c>
      <c r="S72">
        <f>HYPERLINK("https://klasma.github.io/Logging_1885/artfynd/A 16791-2024 artfynd.xlsx", "A 16791-2024")</f>
        <v/>
      </c>
      <c r="T72">
        <f>HYPERLINK("https://klasma.github.io/Logging_1885/kartor/A 16791-2024 karta.png", "A 16791-2024")</f>
        <v/>
      </c>
      <c r="V72">
        <f>HYPERLINK("https://klasma.github.io/Logging_1885/klagomål/A 16791-2024 FSC-klagomål.docx", "A 16791-2024")</f>
        <v/>
      </c>
      <c r="W72">
        <f>HYPERLINK("https://klasma.github.io/Logging_1885/klagomålsmail/A 16791-2024 FSC-klagomål mail.docx", "A 16791-2024")</f>
        <v/>
      </c>
      <c r="X72">
        <f>HYPERLINK("https://klasma.github.io/Logging_1885/tillsyn/A 16791-2024 tillsynsbegäran.docx", "A 16791-2024")</f>
        <v/>
      </c>
      <c r="Y72">
        <f>HYPERLINK("https://klasma.github.io/Logging_1885/tillsynsmail/A 16791-2024 tillsynsbegäran mail.docx", "A 16791-2024")</f>
        <v/>
      </c>
      <c r="Z72">
        <f>HYPERLINK("https://klasma.github.io/Logging_1885/fåglar/A 16791-2024 prioriterade fågelarter.docx", "A 16791-2024")</f>
        <v/>
      </c>
    </row>
    <row r="73" ht="15" customHeight="1">
      <c r="A73" t="inlineStr">
        <is>
          <t>A 53600-2024</t>
        </is>
      </c>
      <c r="B73" s="1" t="n">
        <v>45614.68596064814</v>
      </c>
      <c r="C73" s="1" t="n">
        <v>46187</v>
      </c>
      <c r="D73" t="inlineStr">
        <is>
          <t>ÖREBRO LÄN</t>
        </is>
      </c>
      <c r="E73" t="inlineStr">
        <is>
          <t>LINDESBERG</t>
        </is>
      </c>
      <c r="G73" t="n">
        <v>2.2</v>
      </c>
      <c r="H73" t="n">
        <v>1</v>
      </c>
      <c r="I73" t="n">
        <v>0</v>
      </c>
      <c r="J73" t="n">
        <v>0</v>
      </c>
      <c r="K73" t="n">
        <v>0</v>
      </c>
      <c r="L73" t="n">
        <v>1</v>
      </c>
      <c r="M73" t="n">
        <v>0</v>
      </c>
      <c r="N73" t="n">
        <v>0</v>
      </c>
      <c r="O73" t="n">
        <v>1</v>
      </c>
      <c r="P73" t="n">
        <v>1</v>
      </c>
      <c r="Q73" t="n">
        <v>1</v>
      </c>
      <c r="R73" s="2" t="inlineStr">
        <is>
          <t>Asknätfjäril</t>
        </is>
      </c>
      <c r="S73">
        <f>HYPERLINK("https://klasma.github.io/Logging_1885/artfynd/A 53600-2024 artfynd.xlsx", "A 53600-2024")</f>
        <v/>
      </c>
      <c r="T73">
        <f>HYPERLINK("https://klasma.github.io/Logging_1885/kartor/A 53600-2024 karta.png", "A 53600-2024")</f>
        <v/>
      </c>
      <c r="V73">
        <f>HYPERLINK("https://klasma.github.io/Logging_1885/klagomål/A 53600-2024 FSC-klagomål.docx", "A 53600-2024")</f>
        <v/>
      </c>
      <c r="W73">
        <f>HYPERLINK("https://klasma.github.io/Logging_1885/klagomålsmail/A 53600-2024 FSC-klagomål mail.docx", "A 53600-2024")</f>
        <v/>
      </c>
      <c r="X73">
        <f>HYPERLINK("https://klasma.github.io/Logging_1885/tillsyn/A 53600-2024 tillsynsbegäran.docx", "A 53600-2024")</f>
        <v/>
      </c>
      <c r="Y73">
        <f>HYPERLINK("https://klasma.github.io/Logging_1885/tillsynsmail/A 53600-2024 tillsynsbegäran mail.docx", "A 53600-2024")</f>
        <v/>
      </c>
    </row>
    <row r="74" ht="15" customHeight="1">
      <c r="A74" t="inlineStr">
        <is>
          <t>A 70466-2021</t>
        </is>
      </c>
      <c r="B74" s="1" t="n">
        <v>44536</v>
      </c>
      <c r="C74" s="1" t="n">
        <v>46187</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58206-2023</t>
        </is>
      </c>
      <c r="B75" s="1" t="n">
        <v>45250</v>
      </c>
      <c r="C75" s="1" t="n">
        <v>46187</v>
      </c>
      <c r="D75" t="inlineStr">
        <is>
          <t>ÖREBRO LÄN</t>
        </is>
      </c>
      <c r="E75" t="inlineStr">
        <is>
          <t>LINDESBERG</t>
        </is>
      </c>
      <c r="F75" t="inlineStr">
        <is>
          <t>Sveaskog</t>
        </is>
      </c>
      <c r="G75" t="n">
        <v>1.4</v>
      </c>
      <c r="H75" t="n">
        <v>1</v>
      </c>
      <c r="I75" t="n">
        <v>0</v>
      </c>
      <c r="J75" t="n">
        <v>0</v>
      </c>
      <c r="K75" t="n">
        <v>0</v>
      </c>
      <c r="L75" t="n">
        <v>0</v>
      </c>
      <c r="M75" t="n">
        <v>0</v>
      </c>
      <c r="N75" t="n">
        <v>0</v>
      </c>
      <c r="O75" t="n">
        <v>0</v>
      </c>
      <c r="P75" t="n">
        <v>0</v>
      </c>
      <c r="Q75" t="n">
        <v>1</v>
      </c>
      <c r="R75" s="2" t="inlineStr">
        <is>
          <t>Fläcknycklar</t>
        </is>
      </c>
      <c r="S75">
        <f>HYPERLINK("https://klasma.github.io/Logging_1885/artfynd/A 58206-2023 artfynd.xlsx", "A 58206-2023")</f>
        <v/>
      </c>
      <c r="T75">
        <f>HYPERLINK("https://klasma.github.io/Logging_1885/kartor/A 58206-2023 karta.png", "A 58206-2023")</f>
        <v/>
      </c>
      <c r="V75">
        <f>HYPERLINK("https://klasma.github.io/Logging_1885/klagomål/A 58206-2023 FSC-klagomål.docx", "A 58206-2023")</f>
        <v/>
      </c>
      <c r="W75">
        <f>HYPERLINK("https://klasma.github.io/Logging_1885/klagomålsmail/A 58206-2023 FSC-klagomål mail.docx", "A 58206-2023")</f>
        <v/>
      </c>
      <c r="X75">
        <f>HYPERLINK("https://klasma.github.io/Logging_1885/tillsyn/A 58206-2023 tillsynsbegäran.docx", "A 58206-2023")</f>
        <v/>
      </c>
      <c r="Y75">
        <f>HYPERLINK("https://klasma.github.io/Logging_1885/tillsynsmail/A 58206-2023 tillsynsbegäran mail.docx", "A 58206-2023")</f>
        <v/>
      </c>
    </row>
    <row r="76" ht="15" customHeight="1">
      <c r="A76" t="inlineStr">
        <is>
          <t>A 28787-2023</t>
        </is>
      </c>
      <c r="B76" s="1" t="n">
        <v>45104.3483912037</v>
      </c>
      <c r="C76" s="1" t="n">
        <v>46187</v>
      </c>
      <c r="D76" t="inlineStr">
        <is>
          <t>ÖREBRO LÄN</t>
        </is>
      </c>
      <c r="E76" t="inlineStr">
        <is>
          <t>LINDESBERG</t>
        </is>
      </c>
      <c r="F76" t="inlineStr">
        <is>
          <t>Sveaskog</t>
        </is>
      </c>
      <c r="G76" t="n">
        <v>0.5</v>
      </c>
      <c r="H76" t="n">
        <v>1</v>
      </c>
      <c r="I76" t="n">
        <v>0</v>
      </c>
      <c r="J76" t="n">
        <v>0</v>
      </c>
      <c r="K76" t="n">
        <v>0</v>
      </c>
      <c r="L76" t="n">
        <v>0</v>
      </c>
      <c r="M76" t="n">
        <v>0</v>
      </c>
      <c r="N76" t="n">
        <v>0</v>
      </c>
      <c r="O76" t="n">
        <v>0</v>
      </c>
      <c r="P76" t="n">
        <v>0</v>
      </c>
      <c r="Q76" t="n">
        <v>1</v>
      </c>
      <c r="R76" s="2" t="inlineStr">
        <is>
          <t>Fläcknycklar</t>
        </is>
      </c>
      <c r="S76">
        <f>HYPERLINK("https://klasma.github.io/Logging_1885/artfynd/A 28787-2023 artfynd.xlsx", "A 28787-2023")</f>
        <v/>
      </c>
      <c r="T76">
        <f>HYPERLINK("https://klasma.github.io/Logging_1885/kartor/A 28787-2023 karta.png", "A 28787-2023")</f>
        <v/>
      </c>
      <c r="V76">
        <f>HYPERLINK("https://klasma.github.io/Logging_1885/klagomål/A 28787-2023 FSC-klagomål.docx", "A 28787-2023")</f>
        <v/>
      </c>
      <c r="W76">
        <f>HYPERLINK("https://klasma.github.io/Logging_1885/klagomålsmail/A 28787-2023 FSC-klagomål mail.docx", "A 28787-2023")</f>
        <v/>
      </c>
      <c r="X76">
        <f>HYPERLINK("https://klasma.github.io/Logging_1885/tillsyn/A 28787-2023 tillsynsbegäran.docx", "A 28787-2023")</f>
        <v/>
      </c>
      <c r="Y76">
        <f>HYPERLINK("https://klasma.github.io/Logging_1885/tillsynsmail/A 28787-2023 tillsynsbegäran mail.docx", "A 28787-2023")</f>
        <v/>
      </c>
    </row>
    <row r="77" ht="15" customHeight="1">
      <c r="A77" t="inlineStr">
        <is>
          <t>A 56049-2022</t>
        </is>
      </c>
      <c r="B77" s="1" t="n">
        <v>44889.5746875</v>
      </c>
      <c r="C77" s="1" t="n">
        <v>46187</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46187</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46187</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46187</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48986-2021</t>
        </is>
      </c>
      <c r="B81" s="1" t="n">
        <v>44453</v>
      </c>
      <c r="C81" s="1" t="n">
        <v>46187</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46187</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46187</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57817-2021</t>
        </is>
      </c>
      <c r="B84" s="1" t="n">
        <v>44484</v>
      </c>
      <c r="C84" s="1" t="n">
        <v>46187</v>
      </c>
      <c r="D84" t="inlineStr">
        <is>
          <t>ÖREBRO LÄN</t>
        </is>
      </c>
      <c r="E84" t="inlineStr">
        <is>
          <t>LINDESBERG</t>
        </is>
      </c>
      <c r="G84" t="n">
        <v>2.3</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46187</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46187</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46187</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46187</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46187</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46187</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46187</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46187</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46187</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23971-2022</t>
        </is>
      </c>
      <c r="B94" s="1" t="n">
        <v>44722.78552083333</v>
      </c>
      <c r="C94" s="1" t="n">
        <v>46187</v>
      </c>
      <c r="D94" t="inlineStr">
        <is>
          <t>ÖREBRO LÄN</t>
        </is>
      </c>
      <c r="E94" t="inlineStr">
        <is>
          <t>LINDESBERG</t>
        </is>
      </c>
      <c r="G94" t="n">
        <v>6.1</v>
      </c>
      <c r="H94" t="n">
        <v>0</v>
      </c>
      <c r="I94" t="n">
        <v>0</v>
      </c>
      <c r="J94" t="n">
        <v>0</v>
      </c>
      <c r="K94" t="n">
        <v>0</v>
      </c>
      <c r="L94" t="n">
        <v>0</v>
      </c>
      <c r="M94" t="n">
        <v>0</v>
      </c>
      <c r="N94" t="n">
        <v>0</v>
      </c>
      <c r="O94" t="n">
        <v>0</v>
      </c>
      <c r="P94" t="n">
        <v>0</v>
      </c>
      <c r="Q94" t="n">
        <v>0</v>
      </c>
      <c r="R94" s="2" t="inlineStr"/>
    </row>
    <row r="95" ht="15" customHeight="1">
      <c r="A95" t="inlineStr">
        <is>
          <t>A 49743-2022</t>
        </is>
      </c>
      <c r="B95" s="1" t="n">
        <v>44862</v>
      </c>
      <c r="C95" s="1" t="n">
        <v>46187</v>
      </c>
      <c r="D95" t="inlineStr">
        <is>
          <t>ÖREBRO LÄN</t>
        </is>
      </c>
      <c r="E95" t="inlineStr">
        <is>
          <t>LINDESBERG</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46187</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46187</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46187</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46187</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46187</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46187</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12522-2022</t>
        </is>
      </c>
      <c r="B102" s="1" t="n">
        <v>44638</v>
      </c>
      <c r="C102" s="1" t="n">
        <v>46187</v>
      </c>
      <c r="D102" t="inlineStr">
        <is>
          <t>ÖREBRO LÄN</t>
        </is>
      </c>
      <c r="E102" t="inlineStr">
        <is>
          <t>LINDESBERG</t>
        </is>
      </c>
      <c r="G102" t="n">
        <v>6.2</v>
      </c>
      <c r="H102" t="n">
        <v>0</v>
      </c>
      <c r="I102" t="n">
        <v>0</v>
      </c>
      <c r="J102" t="n">
        <v>0</v>
      </c>
      <c r="K102" t="n">
        <v>0</v>
      </c>
      <c r="L102" t="n">
        <v>0</v>
      </c>
      <c r="M102" t="n">
        <v>0</v>
      </c>
      <c r="N102" t="n">
        <v>0</v>
      </c>
      <c r="O102" t="n">
        <v>0</v>
      </c>
      <c r="P102" t="n">
        <v>0</v>
      </c>
      <c r="Q102" t="n">
        <v>0</v>
      </c>
      <c r="R102" s="2" t="inlineStr"/>
    </row>
    <row r="103" ht="15" customHeight="1">
      <c r="A103" t="inlineStr">
        <is>
          <t>A 33760-2022</t>
        </is>
      </c>
      <c r="B103" s="1" t="n">
        <v>44790</v>
      </c>
      <c r="C103" s="1" t="n">
        <v>46187</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46187</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46187</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46187</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46187</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6958-2022</t>
        </is>
      </c>
      <c r="B108" s="1" t="n">
        <v>44603</v>
      </c>
      <c r="C108" s="1" t="n">
        <v>46187</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46187</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46187</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46187</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16435-2022</t>
        </is>
      </c>
      <c r="B112" s="1" t="n">
        <v>44671</v>
      </c>
      <c r="C112" s="1" t="n">
        <v>46187</v>
      </c>
      <c r="D112" t="inlineStr">
        <is>
          <t>ÖREBRO LÄN</t>
        </is>
      </c>
      <c r="E112" t="inlineStr">
        <is>
          <t>LINDESBERG</t>
        </is>
      </c>
      <c r="G112" t="n">
        <v>3.2</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46187</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21606-2022</t>
        </is>
      </c>
      <c r="B114" s="1" t="n">
        <v>44706.65927083333</v>
      </c>
      <c r="C114" s="1" t="n">
        <v>46187</v>
      </c>
      <c r="D114" t="inlineStr">
        <is>
          <t>ÖREBRO LÄN</t>
        </is>
      </c>
      <c r="E114" t="inlineStr">
        <is>
          <t>LINDESBERG</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53153-2021</t>
        </is>
      </c>
      <c r="B115" s="1" t="n">
        <v>44468.34099537037</v>
      </c>
      <c r="C115" s="1" t="n">
        <v>46187</v>
      </c>
      <c r="D115" t="inlineStr">
        <is>
          <t>ÖREBRO LÄN</t>
        </is>
      </c>
      <c r="E115" t="inlineStr">
        <is>
          <t>LINDESBERG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40099-2021</t>
        </is>
      </c>
      <c r="B116" s="1" t="n">
        <v>44418.58454861111</v>
      </c>
      <c r="C116" s="1" t="n">
        <v>46187</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2110-2022</t>
        </is>
      </c>
      <c r="B117" s="1" t="n">
        <v>44577.84596064815</v>
      </c>
      <c r="C117" s="1" t="n">
        <v>46187</v>
      </c>
      <c r="D117" t="inlineStr">
        <is>
          <t>ÖREBRO LÄN</t>
        </is>
      </c>
      <c r="E117" t="inlineStr">
        <is>
          <t>LINDESBERG</t>
        </is>
      </c>
      <c r="G117" t="n">
        <v>4.4</v>
      </c>
      <c r="H117" t="n">
        <v>0</v>
      </c>
      <c r="I117" t="n">
        <v>0</v>
      </c>
      <c r="J117" t="n">
        <v>0</v>
      </c>
      <c r="K117" t="n">
        <v>0</v>
      </c>
      <c r="L117" t="n">
        <v>0</v>
      </c>
      <c r="M117" t="n">
        <v>0</v>
      </c>
      <c r="N117" t="n">
        <v>0</v>
      </c>
      <c r="O117" t="n">
        <v>0</v>
      </c>
      <c r="P117" t="n">
        <v>0</v>
      </c>
      <c r="Q117" t="n">
        <v>0</v>
      </c>
      <c r="R117" s="2" t="inlineStr"/>
    </row>
    <row r="118" ht="15" customHeight="1">
      <c r="A118" t="inlineStr">
        <is>
          <t>A 62981-2021</t>
        </is>
      </c>
      <c r="B118" s="1" t="n">
        <v>44505.36354166667</v>
      </c>
      <c r="C118" s="1" t="n">
        <v>46187</v>
      </c>
      <c r="D118" t="inlineStr">
        <is>
          <t>ÖREBRO LÄN</t>
        </is>
      </c>
      <c r="E118" t="inlineStr">
        <is>
          <t>LINDESBERG</t>
        </is>
      </c>
      <c r="G118" t="n">
        <v>2.3</v>
      </c>
      <c r="H118" t="n">
        <v>0</v>
      </c>
      <c r="I118" t="n">
        <v>0</v>
      </c>
      <c r="J118" t="n">
        <v>0</v>
      </c>
      <c r="K118" t="n">
        <v>0</v>
      </c>
      <c r="L118" t="n">
        <v>0</v>
      </c>
      <c r="M118" t="n">
        <v>0</v>
      </c>
      <c r="N118" t="n">
        <v>0</v>
      </c>
      <c r="O118" t="n">
        <v>0</v>
      </c>
      <c r="P118" t="n">
        <v>0</v>
      </c>
      <c r="Q118" t="n">
        <v>0</v>
      </c>
      <c r="R118" s="2" t="inlineStr"/>
    </row>
    <row r="119" ht="15" customHeight="1">
      <c r="A119" t="inlineStr">
        <is>
          <t>A 72713-2021</t>
        </is>
      </c>
      <c r="B119" s="1" t="n">
        <v>44546.67978009259</v>
      </c>
      <c r="C119" s="1" t="n">
        <v>46187</v>
      </c>
      <c r="D119" t="inlineStr">
        <is>
          <t>ÖREBRO LÄN</t>
        </is>
      </c>
      <c r="E119" t="inlineStr">
        <is>
          <t>LINDESBERG</t>
        </is>
      </c>
      <c r="G119" t="n">
        <v>0.3</v>
      </c>
      <c r="H119" t="n">
        <v>0</v>
      </c>
      <c r="I119" t="n">
        <v>0</v>
      </c>
      <c r="J119" t="n">
        <v>0</v>
      </c>
      <c r="K119" t="n">
        <v>0</v>
      </c>
      <c r="L119" t="n">
        <v>0</v>
      </c>
      <c r="M119" t="n">
        <v>0</v>
      </c>
      <c r="N119" t="n">
        <v>0</v>
      </c>
      <c r="O119" t="n">
        <v>0</v>
      </c>
      <c r="P119" t="n">
        <v>0</v>
      </c>
      <c r="Q119" t="n">
        <v>0</v>
      </c>
      <c r="R119" s="2" t="inlineStr"/>
    </row>
    <row r="120" ht="15" customHeight="1">
      <c r="A120" t="inlineStr">
        <is>
          <t>A 16424-2022</t>
        </is>
      </c>
      <c r="B120" s="1" t="n">
        <v>44671</v>
      </c>
      <c r="C120" s="1" t="n">
        <v>46187</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33058-2021</t>
        </is>
      </c>
      <c r="B121" s="1" t="n">
        <v>44375</v>
      </c>
      <c r="C121" s="1" t="n">
        <v>46187</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40351-2022</t>
        </is>
      </c>
      <c r="B122" s="1" t="n">
        <v>44823.37396990741</v>
      </c>
      <c r="C122" s="1" t="n">
        <v>46187</v>
      </c>
      <c r="D122" t="inlineStr">
        <is>
          <t>ÖREBRO LÄN</t>
        </is>
      </c>
      <c r="E122" t="inlineStr">
        <is>
          <t>LINDESBERG</t>
        </is>
      </c>
      <c r="G122" t="n">
        <v>0.3</v>
      </c>
      <c r="H122" t="n">
        <v>0</v>
      </c>
      <c r="I122" t="n">
        <v>0</v>
      </c>
      <c r="J122" t="n">
        <v>0</v>
      </c>
      <c r="K122" t="n">
        <v>0</v>
      </c>
      <c r="L122" t="n">
        <v>0</v>
      </c>
      <c r="M122" t="n">
        <v>0</v>
      </c>
      <c r="N122" t="n">
        <v>0</v>
      </c>
      <c r="O122" t="n">
        <v>0</v>
      </c>
      <c r="P122" t="n">
        <v>0</v>
      </c>
      <c r="Q122" t="n">
        <v>0</v>
      </c>
      <c r="R122" s="2" t="inlineStr"/>
    </row>
    <row r="123" ht="15" customHeight="1">
      <c r="A123" t="inlineStr">
        <is>
          <t>A 33785-2021</t>
        </is>
      </c>
      <c r="B123" s="1" t="n">
        <v>44378.55319444444</v>
      </c>
      <c r="C123" s="1" t="n">
        <v>46187</v>
      </c>
      <c r="D123" t="inlineStr">
        <is>
          <t>ÖREBRO LÄN</t>
        </is>
      </c>
      <c r="E123" t="inlineStr">
        <is>
          <t>LINDESBERG</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67060-2021</t>
        </is>
      </c>
      <c r="B124" s="1" t="n">
        <v>44522.87423611111</v>
      </c>
      <c r="C124" s="1" t="n">
        <v>46187</v>
      </c>
      <c r="D124" t="inlineStr">
        <is>
          <t>ÖREBRO LÄN</t>
        </is>
      </c>
      <c r="E124" t="inlineStr">
        <is>
          <t>LINDESBERG</t>
        </is>
      </c>
      <c r="G124" t="n">
        <v>6.3</v>
      </c>
      <c r="H124" t="n">
        <v>0</v>
      </c>
      <c r="I124" t="n">
        <v>0</v>
      </c>
      <c r="J124" t="n">
        <v>0</v>
      </c>
      <c r="K124" t="n">
        <v>0</v>
      </c>
      <c r="L124" t="n">
        <v>0</v>
      </c>
      <c r="M124" t="n">
        <v>0</v>
      </c>
      <c r="N124" t="n">
        <v>0</v>
      </c>
      <c r="O124" t="n">
        <v>0</v>
      </c>
      <c r="P124" t="n">
        <v>0</v>
      </c>
      <c r="Q124" t="n">
        <v>0</v>
      </c>
      <c r="R124" s="2" t="inlineStr"/>
    </row>
    <row r="125" ht="15" customHeight="1">
      <c r="A125" t="inlineStr">
        <is>
          <t>A 11926-2022</t>
        </is>
      </c>
      <c r="B125" s="1" t="n">
        <v>44635.51386574074</v>
      </c>
      <c r="C125" s="1" t="n">
        <v>46187</v>
      </c>
      <c r="D125" t="inlineStr">
        <is>
          <t>ÖREBRO LÄN</t>
        </is>
      </c>
      <c r="E125" t="inlineStr">
        <is>
          <t>LINDESBERG</t>
        </is>
      </c>
      <c r="G125" t="n">
        <v>2.7</v>
      </c>
      <c r="H125" t="n">
        <v>0</v>
      </c>
      <c r="I125" t="n">
        <v>0</v>
      </c>
      <c r="J125" t="n">
        <v>0</v>
      </c>
      <c r="K125" t="n">
        <v>0</v>
      </c>
      <c r="L125" t="n">
        <v>0</v>
      </c>
      <c r="M125" t="n">
        <v>0</v>
      </c>
      <c r="N125" t="n">
        <v>0</v>
      </c>
      <c r="O125" t="n">
        <v>0</v>
      </c>
      <c r="P125" t="n">
        <v>0</v>
      </c>
      <c r="Q125" t="n">
        <v>0</v>
      </c>
      <c r="R125" s="2" t="inlineStr"/>
    </row>
    <row r="126" ht="15" customHeight="1">
      <c r="A126" t="inlineStr">
        <is>
          <t>A 44197-2021</t>
        </is>
      </c>
      <c r="B126" s="1" t="n">
        <v>44434.74203703704</v>
      </c>
      <c r="C126" s="1" t="n">
        <v>46187</v>
      </c>
      <c r="D126" t="inlineStr">
        <is>
          <t>ÖREBRO LÄN</t>
        </is>
      </c>
      <c r="E126" t="inlineStr">
        <is>
          <t>LINDESBERG</t>
        </is>
      </c>
      <c r="G126" t="n">
        <v>1.1</v>
      </c>
      <c r="H126" t="n">
        <v>0</v>
      </c>
      <c r="I126" t="n">
        <v>0</v>
      </c>
      <c r="J126" t="n">
        <v>0</v>
      </c>
      <c r="K126" t="n">
        <v>0</v>
      </c>
      <c r="L126" t="n">
        <v>0</v>
      </c>
      <c r="M126" t="n">
        <v>0</v>
      </c>
      <c r="N126" t="n">
        <v>0</v>
      </c>
      <c r="O126" t="n">
        <v>0</v>
      </c>
      <c r="P126" t="n">
        <v>0</v>
      </c>
      <c r="Q126" t="n">
        <v>0</v>
      </c>
      <c r="R126" s="2" t="inlineStr"/>
    </row>
    <row r="127" ht="15" customHeight="1">
      <c r="A127" t="inlineStr">
        <is>
          <t>A 19562-2022</t>
        </is>
      </c>
      <c r="B127" s="1" t="n">
        <v>44693.66775462963</v>
      </c>
      <c r="C127" s="1" t="n">
        <v>46187</v>
      </c>
      <c r="D127" t="inlineStr">
        <is>
          <t>ÖREBRO LÄN</t>
        </is>
      </c>
      <c r="E127" t="inlineStr">
        <is>
          <t>LINDESBERG</t>
        </is>
      </c>
      <c r="F127" t="inlineStr">
        <is>
          <t>Kyrkan</t>
        </is>
      </c>
      <c r="G127" t="n">
        <v>4.2</v>
      </c>
      <c r="H127" t="n">
        <v>0</v>
      </c>
      <c r="I127" t="n">
        <v>0</v>
      </c>
      <c r="J127" t="n">
        <v>0</v>
      </c>
      <c r="K127" t="n">
        <v>0</v>
      </c>
      <c r="L127" t="n">
        <v>0</v>
      </c>
      <c r="M127" t="n">
        <v>0</v>
      </c>
      <c r="N127" t="n">
        <v>0</v>
      </c>
      <c r="O127" t="n">
        <v>0</v>
      </c>
      <c r="P127" t="n">
        <v>0</v>
      </c>
      <c r="Q127" t="n">
        <v>0</v>
      </c>
      <c r="R127" s="2" t="inlineStr"/>
    </row>
    <row r="128" ht="15" customHeight="1">
      <c r="A128" t="inlineStr">
        <is>
          <t>A 57765-2021</t>
        </is>
      </c>
      <c r="B128" s="1" t="n">
        <v>44484.56523148148</v>
      </c>
      <c r="C128" s="1" t="n">
        <v>46187</v>
      </c>
      <c r="D128" t="inlineStr">
        <is>
          <t>ÖREBRO LÄN</t>
        </is>
      </c>
      <c r="E128" t="inlineStr">
        <is>
          <t>LINDESBERG</t>
        </is>
      </c>
      <c r="G128" t="n">
        <v>3.4</v>
      </c>
      <c r="H128" t="n">
        <v>0</v>
      </c>
      <c r="I128" t="n">
        <v>0</v>
      </c>
      <c r="J128" t="n">
        <v>0</v>
      </c>
      <c r="K128" t="n">
        <v>0</v>
      </c>
      <c r="L128" t="n">
        <v>0</v>
      </c>
      <c r="M128" t="n">
        <v>0</v>
      </c>
      <c r="N128" t="n">
        <v>0</v>
      </c>
      <c r="O128" t="n">
        <v>0</v>
      </c>
      <c r="P128" t="n">
        <v>0</v>
      </c>
      <c r="Q128" t="n">
        <v>0</v>
      </c>
      <c r="R128" s="2" t="inlineStr"/>
    </row>
    <row r="129" ht="15" customHeight="1">
      <c r="A129" t="inlineStr">
        <is>
          <t>A 19612-2022</t>
        </is>
      </c>
      <c r="B129" s="1" t="n">
        <v>44694.29309027778</v>
      </c>
      <c r="C129" s="1" t="n">
        <v>46187</v>
      </c>
      <c r="D129" t="inlineStr">
        <is>
          <t>ÖREBRO LÄN</t>
        </is>
      </c>
      <c r="E129" t="inlineStr">
        <is>
          <t>LINDESBERG</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46187</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63071-2021</t>
        </is>
      </c>
      <c r="B131" s="1" t="n">
        <v>44505</v>
      </c>
      <c r="C131" s="1" t="n">
        <v>46187</v>
      </c>
      <c r="D131" t="inlineStr">
        <is>
          <t>ÖREBRO LÄN</t>
        </is>
      </c>
      <c r="E131" t="inlineStr">
        <is>
          <t>LINDESBERG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59182-2021</t>
        </is>
      </c>
      <c r="B132" s="1" t="n">
        <v>44490</v>
      </c>
      <c r="C132" s="1" t="n">
        <v>46187</v>
      </c>
      <c r="D132" t="inlineStr">
        <is>
          <t>ÖREBRO LÄN</t>
        </is>
      </c>
      <c r="E132" t="inlineStr">
        <is>
          <t>LINDESBERG</t>
        </is>
      </c>
      <c r="G132" t="n">
        <v>1.4</v>
      </c>
      <c r="H132" t="n">
        <v>0</v>
      </c>
      <c r="I132" t="n">
        <v>0</v>
      </c>
      <c r="J132" t="n">
        <v>0</v>
      </c>
      <c r="K132" t="n">
        <v>0</v>
      </c>
      <c r="L132" t="n">
        <v>0</v>
      </c>
      <c r="M132" t="n">
        <v>0</v>
      </c>
      <c r="N132" t="n">
        <v>0</v>
      </c>
      <c r="O132" t="n">
        <v>0</v>
      </c>
      <c r="P132" t="n">
        <v>0</v>
      </c>
      <c r="Q132" t="n">
        <v>0</v>
      </c>
      <c r="R132" s="2" t="inlineStr"/>
    </row>
    <row r="133" ht="15" customHeight="1">
      <c r="A133" t="inlineStr">
        <is>
          <t>A 11271-2022</t>
        </is>
      </c>
      <c r="B133" s="1" t="n">
        <v>44629</v>
      </c>
      <c r="C133" s="1" t="n">
        <v>46187</v>
      </c>
      <c r="D133" t="inlineStr">
        <is>
          <t>ÖREBRO LÄN</t>
        </is>
      </c>
      <c r="E133" t="inlineStr">
        <is>
          <t>LINDESBERG</t>
        </is>
      </c>
      <c r="G133" t="n">
        <v>7.8</v>
      </c>
      <c r="H133" t="n">
        <v>0</v>
      </c>
      <c r="I133" t="n">
        <v>0</v>
      </c>
      <c r="J133" t="n">
        <v>0</v>
      </c>
      <c r="K133" t="n">
        <v>0</v>
      </c>
      <c r="L133" t="n">
        <v>0</v>
      </c>
      <c r="M133" t="n">
        <v>0</v>
      </c>
      <c r="N133" t="n">
        <v>0</v>
      </c>
      <c r="O133" t="n">
        <v>0</v>
      </c>
      <c r="P133" t="n">
        <v>0</v>
      </c>
      <c r="Q133" t="n">
        <v>0</v>
      </c>
      <c r="R133" s="2" t="inlineStr"/>
    </row>
    <row r="134" ht="15" customHeight="1">
      <c r="A134" t="inlineStr">
        <is>
          <t>A 41580-2021</t>
        </is>
      </c>
      <c r="B134" s="1" t="n">
        <v>44425.40128472223</v>
      </c>
      <c r="C134" s="1" t="n">
        <v>46187</v>
      </c>
      <c r="D134" t="inlineStr">
        <is>
          <t>ÖREBRO LÄN</t>
        </is>
      </c>
      <c r="E134" t="inlineStr">
        <is>
          <t>LINDESBERG</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50498-2021</t>
        </is>
      </c>
      <c r="B135" s="1" t="n">
        <v>44459.57613425926</v>
      </c>
      <c r="C135" s="1" t="n">
        <v>46187</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47425-2021</t>
        </is>
      </c>
      <c r="B136" s="1" t="n">
        <v>44447</v>
      </c>
      <c r="C136" s="1" t="n">
        <v>46187</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16123-2022</t>
        </is>
      </c>
      <c r="B137" s="1" t="n">
        <v>44665</v>
      </c>
      <c r="C137" s="1" t="n">
        <v>46187</v>
      </c>
      <c r="D137" t="inlineStr">
        <is>
          <t>ÖREBRO LÄN</t>
        </is>
      </c>
      <c r="E137" t="inlineStr">
        <is>
          <t>LINDESBERG</t>
        </is>
      </c>
      <c r="G137" t="n">
        <v>10.6</v>
      </c>
      <c r="H137" t="n">
        <v>0</v>
      </c>
      <c r="I137" t="n">
        <v>0</v>
      </c>
      <c r="J137" t="n">
        <v>0</v>
      </c>
      <c r="K137" t="n">
        <v>0</v>
      </c>
      <c r="L137" t="n">
        <v>0</v>
      </c>
      <c r="M137" t="n">
        <v>0</v>
      </c>
      <c r="N137" t="n">
        <v>0</v>
      </c>
      <c r="O137" t="n">
        <v>0</v>
      </c>
      <c r="P137" t="n">
        <v>0</v>
      </c>
      <c r="Q137" t="n">
        <v>0</v>
      </c>
      <c r="R137" s="2" t="inlineStr"/>
    </row>
    <row r="138" ht="15" customHeight="1">
      <c r="A138" t="inlineStr">
        <is>
          <t>A 5338-2022</t>
        </is>
      </c>
      <c r="B138" s="1" t="n">
        <v>44594</v>
      </c>
      <c r="C138" s="1" t="n">
        <v>46187</v>
      </c>
      <c r="D138" t="inlineStr">
        <is>
          <t>ÖREBRO LÄN</t>
        </is>
      </c>
      <c r="E138" t="inlineStr">
        <is>
          <t>LINDESBERG</t>
        </is>
      </c>
      <c r="G138" t="n">
        <v>1.3</v>
      </c>
      <c r="H138" t="n">
        <v>0</v>
      </c>
      <c r="I138" t="n">
        <v>0</v>
      </c>
      <c r="J138" t="n">
        <v>0</v>
      </c>
      <c r="K138" t="n">
        <v>0</v>
      </c>
      <c r="L138" t="n">
        <v>0</v>
      </c>
      <c r="M138" t="n">
        <v>0</v>
      </c>
      <c r="N138" t="n">
        <v>0</v>
      </c>
      <c r="O138" t="n">
        <v>0</v>
      </c>
      <c r="P138" t="n">
        <v>0</v>
      </c>
      <c r="Q138" t="n">
        <v>0</v>
      </c>
      <c r="R138" s="2" t="inlineStr"/>
    </row>
    <row r="139" ht="15" customHeight="1">
      <c r="A139" t="inlineStr">
        <is>
          <t>A 43453-2021</t>
        </is>
      </c>
      <c r="B139" s="1" t="n">
        <v>44432.68241898148</v>
      </c>
      <c r="C139" s="1" t="n">
        <v>46187</v>
      </c>
      <c r="D139" t="inlineStr">
        <is>
          <t>ÖREBRO LÄN</t>
        </is>
      </c>
      <c r="E139" t="inlineStr">
        <is>
          <t>LINDESBERG</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43452-2021</t>
        </is>
      </c>
      <c r="B140" s="1" t="n">
        <v>44432</v>
      </c>
      <c r="C140" s="1" t="n">
        <v>46187</v>
      </c>
      <c r="D140" t="inlineStr">
        <is>
          <t>ÖREBRO LÄN</t>
        </is>
      </c>
      <c r="E140" t="inlineStr">
        <is>
          <t>LINDESBERG</t>
        </is>
      </c>
      <c r="F140" t="inlineStr">
        <is>
          <t>Sveaskog</t>
        </is>
      </c>
      <c r="G140" t="n">
        <v>1.1</v>
      </c>
      <c r="H140" t="n">
        <v>0</v>
      </c>
      <c r="I140" t="n">
        <v>0</v>
      </c>
      <c r="J140" t="n">
        <v>0</v>
      </c>
      <c r="K140" t="n">
        <v>0</v>
      </c>
      <c r="L140" t="n">
        <v>0</v>
      </c>
      <c r="M140" t="n">
        <v>0</v>
      </c>
      <c r="N140" t="n">
        <v>0</v>
      </c>
      <c r="O140" t="n">
        <v>0</v>
      </c>
      <c r="P140" t="n">
        <v>0</v>
      </c>
      <c r="Q140" t="n">
        <v>0</v>
      </c>
      <c r="R140" s="2" t="inlineStr"/>
      <c r="U140">
        <f>HYPERLINK("https://klasma.github.io/Logging_1885/knärot/A 43452-2021 karta knärot.png", "A 43452-2021")</f>
        <v/>
      </c>
      <c r="V140">
        <f>HYPERLINK("https://klasma.github.io/Logging_1885/klagomål/A 43452-2021 FSC-klagomål.docx", "A 43452-2021")</f>
        <v/>
      </c>
      <c r="W140">
        <f>HYPERLINK("https://klasma.github.io/Logging_1885/klagomålsmail/A 43452-2021 FSC-klagomål mail.docx", "A 43452-2021")</f>
        <v/>
      </c>
      <c r="X140">
        <f>HYPERLINK("https://klasma.github.io/Logging_1885/tillsyn/A 43452-2021 tillsynsbegäran.docx", "A 43452-2021")</f>
        <v/>
      </c>
      <c r="Y140">
        <f>HYPERLINK("https://klasma.github.io/Logging_1885/tillsynsmail/A 43452-2021 tillsynsbegäran mail.docx", "A 43452-2021")</f>
        <v/>
      </c>
    </row>
    <row r="141" ht="15" customHeight="1">
      <c r="A141" t="inlineStr">
        <is>
          <t>A 58103-2021</t>
        </is>
      </c>
      <c r="B141" s="1" t="n">
        <v>44487.51556712963</v>
      </c>
      <c r="C141" s="1" t="n">
        <v>46187</v>
      </c>
      <c r="D141" t="inlineStr">
        <is>
          <t>ÖREBRO LÄN</t>
        </is>
      </c>
      <c r="E141" t="inlineStr">
        <is>
          <t>LINDESBERG</t>
        </is>
      </c>
      <c r="G141" t="n">
        <v>0.6</v>
      </c>
      <c r="H141" t="n">
        <v>0</v>
      </c>
      <c r="I141" t="n">
        <v>0</v>
      </c>
      <c r="J141" t="n">
        <v>0</v>
      </c>
      <c r="K141" t="n">
        <v>0</v>
      </c>
      <c r="L141" t="n">
        <v>0</v>
      </c>
      <c r="M141" t="n">
        <v>0</v>
      </c>
      <c r="N141" t="n">
        <v>0</v>
      </c>
      <c r="O141" t="n">
        <v>0</v>
      </c>
      <c r="P141" t="n">
        <v>0</v>
      </c>
      <c r="Q141" t="n">
        <v>0</v>
      </c>
      <c r="R141" s="2" t="inlineStr"/>
    </row>
    <row r="142" ht="15" customHeight="1">
      <c r="A142" t="inlineStr">
        <is>
          <t>A 60900-2021</t>
        </is>
      </c>
      <c r="B142" s="1" t="n">
        <v>44497</v>
      </c>
      <c r="C142" s="1" t="n">
        <v>46187</v>
      </c>
      <c r="D142" t="inlineStr">
        <is>
          <t>ÖREBRO LÄN</t>
        </is>
      </c>
      <c r="E142" t="inlineStr">
        <is>
          <t>LINDESBERG</t>
        </is>
      </c>
      <c r="G142" t="n">
        <v>7.3</v>
      </c>
      <c r="H142" t="n">
        <v>0</v>
      </c>
      <c r="I142" t="n">
        <v>0</v>
      </c>
      <c r="J142" t="n">
        <v>0</v>
      </c>
      <c r="K142" t="n">
        <v>0</v>
      </c>
      <c r="L142" t="n">
        <v>0</v>
      </c>
      <c r="M142" t="n">
        <v>0</v>
      </c>
      <c r="N142" t="n">
        <v>0</v>
      </c>
      <c r="O142" t="n">
        <v>0</v>
      </c>
      <c r="P142" t="n">
        <v>0</v>
      </c>
      <c r="Q142" t="n">
        <v>0</v>
      </c>
      <c r="R142" s="2" t="inlineStr"/>
    </row>
    <row r="143" ht="15" customHeight="1">
      <c r="A143" t="inlineStr">
        <is>
          <t>A 52187-2021</t>
        </is>
      </c>
      <c r="B143" s="1" t="n">
        <v>44463</v>
      </c>
      <c r="C143" s="1" t="n">
        <v>46187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50069-2021</t>
        </is>
      </c>
      <c r="B144" s="1" t="n">
        <v>44456</v>
      </c>
      <c r="C144" s="1" t="n">
        <v>46187</v>
      </c>
      <c r="D144" t="inlineStr">
        <is>
          <t>ÖREBRO LÄN</t>
        </is>
      </c>
      <c r="E144" t="inlineStr">
        <is>
          <t>LINDESBERG</t>
        </is>
      </c>
      <c r="G144" t="n">
        <v>14.5</v>
      </c>
      <c r="H144" t="n">
        <v>0</v>
      </c>
      <c r="I144" t="n">
        <v>0</v>
      </c>
      <c r="J144" t="n">
        <v>0</v>
      </c>
      <c r="K144" t="n">
        <v>0</v>
      </c>
      <c r="L144" t="n">
        <v>0</v>
      </c>
      <c r="M144" t="n">
        <v>0</v>
      </c>
      <c r="N144" t="n">
        <v>0</v>
      </c>
      <c r="O144" t="n">
        <v>0</v>
      </c>
      <c r="P144" t="n">
        <v>0</v>
      </c>
      <c r="Q144" t="n">
        <v>0</v>
      </c>
      <c r="R144" s="2" t="inlineStr"/>
    </row>
    <row r="145" ht="15" customHeight="1">
      <c r="A145" t="inlineStr">
        <is>
          <t>A 39773-2022</t>
        </is>
      </c>
      <c r="B145" s="1" t="n">
        <v>44819</v>
      </c>
      <c r="C145" s="1" t="n">
        <v>46187</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25885-2022</t>
        </is>
      </c>
      <c r="B146" s="1" t="n">
        <v>44733.71126157408</v>
      </c>
      <c r="C146" s="1" t="n">
        <v>46187</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16600-2022</t>
        </is>
      </c>
      <c r="B147" s="1" t="n">
        <v>44672</v>
      </c>
      <c r="C147" s="1" t="n">
        <v>46187</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41207-2022</t>
        </is>
      </c>
      <c r="B148" s="1" t="n">
        <v>44825.99293981482</v>
      </c>
      <c r="C148" s="1" t="n">
        <v>46187</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46187</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48154-2021</t>
        </is>
      </c>
      <c r="B150" s="1" t="n">
        <v>44449</v>
      </c>
      <c r="C150" s="1" t="n">
        <v>46187</v>
      </c>
      <c r="D150" t="inlineStr">
        <is>
          <t>ÖREBRO LÄN</t>
        </is>
      </c>
      <c r="E150" t="inlineStr">
        <is>
          <t>LINDESBERG</t>
        </is>
      </c>
      <c r="G150" t="n">
        <v>0.4</v>
      </c>
      <c r="H150" t="n">
        <v>0</v>
      </c>
      <c r="I150" t="n">
        <v>0</v>
      </c>
      <c r="J150" t="n">
        <v>0</v>
      </c>
      <c r="K150" t="n">
        <v>0</v>
      </c>
      <c r="L150" t="n">
        <v>0</v>
      </c>
      <c r="M150" t="n">
        <v>0</v>
      </c>
      <c r="N150" t="n">
        <v>0</v>
      </c>
      <c r="O150" t="n">
        <v>0</v>
      </c>
      <c r="P150" t="n">
        <v>0</v>
      </c>
      <c r="Q150" t="n">
        <v>0</v>
      </c>
      <c r="R150" s="2" t="inlineStr"/>
    </row>
    <row r="151" ht="15" customHeight="1">
      <c r="A151" t="inlineStr">
        <is>
          <t>A 10277-2022</t>
        </is>
      </c>
      <c r="B151" s="1" t="n">
        <v>44622.69101851852</v>
      </c>
      <c r="C151" s="1" t="n">
        <v>46187</v>
      </c>
      <c r="D151" t="inlineStr">
        <is>
          <t>ÖREBRO LÄN</t>
        </is>
      </c>
      <c r="E151" t="inlineStr">
        <is>
          <t>LINDESBERG</t>
        </is>
      </c>
      <c r="G151" t="n">
        <v>4.2</v>
      </c>
      <c r="H151" t="n">
        <v>0</v>
      </c>
      <c r="I151" t="n">
        <v>0</v>
      </c>
      <c r="J151" t="n">
        <v>0</v>
      </c>
      <c r="K151" t="n">
        <v>0</v>
      </c>
      <c r="L151" t="n">
        <v>0</v>
      </c>
      <c r="M151" t="n">
        <v>0</v>
      </c>
      <c r="N151" t="n">
        <v>0</v>
      </c>
      <c r="O151" t="n">
        <v>0</v>
      </c>
      <c r="P151" t="n">
        <v>0</v>
      </c>
      <c r="Q151" t="n">
        <v>0</v>
      </c>
      <c r="R151" s="2" t="inlineStr"/>
    </row>
    <row r="152" ht="15" customHeight="1">
      <c r="A152" t="inlineStr">
        <is>
          <t>A 52851-2022</t>
        </is>
      </c>
      <c r="B152" s="1" t="n">
        <v>44875.47543981481</v>
      </c>
      <c r="C152" s="1" t="n">
        <v>46187</v>
      </c>
      <c r="D152" t="inlineStr">
        <is>
          <t>ÖREBRO LÄN</t>
        </is>
      </c>
      <c r="E152" t="inlineStr">
        <is>
          <t>LINDESBERG</t>
        </is>
      </c>
      <c r="G152" t="n">
        <v>2.9</v>
      </c>
      <c r="H152" t="n">
        <v>0</v>
      </c>
      <c r="I152" t="n">
        <v>0</v>
      </c>
      <c r="J152" t="n">
        <v>0</v>
      </c>
      <c r="K152" t="n">
        <v>0</v>
      </c>
      <c r="L152" t="n">
        <v>0</v>
      </c>
      <c r="M152" t="n">
        <v>0</v>
      </c>
      <c r="N152" t="n">
        <v>0</v>
      </c>
      <c r="O152" t="n">
        <v>0</v>
      </c>
      <c r="P152" t="n">
        <v>0</v>
      </c>
      <c r="Q152" t="n">
        <v>0</v>
      </c>
      <c r="R152" s="2" t="inlineStr"/>
    </row>
    <row r="153" ht="15" customHeight="1">
      <c r="A153" t="inlineStr">
        <is>
          <t>A 59655-2021</t>
        </is>
      </c>
      <c r="B153" s="1" t="n">
        <v>44491</v>
      </c>
      <c r="C153" s="1" t="n">
        <v>46187</v>
      </c>
      <c r="D153" t="inlineStr">
        <is>
          <t>ÖREBRO LÄN</t>
        </is>
      </c>
      <c r="E153" t="inlineStr">
        <is>
          <t>LINDESBERG</t>
        </is>
      </c>
      <c r="G153" t="n">
        <v>7</v>
      </c>
      <c r="H153" t="n">
        <v>0</v>
      </c>
      <c r="I153" t="n">
        <v>0</v>
      </c>
      <c r="J153" t="n">
        <v>0</v>
      </c>
      <c r="K153" t="n">
        <v>0</v>
      </c>
      <c r="L153" t="n">
        <v>0</v>
      </c>
      <c r="M153" t="n">
        <v>0</v>
      </c>
      <c r="N153" t="n">
        <v>0</v>
      </c>
      <c r="O153" t="n">
        <v>0</v>
      </c>
      <c r="P153" t="n">
        <v>0</v>
      </c>
      <c r="Q153" t="n">
        <v>0</v>
      </c>
      <c r="R153" s="2" t="inlineStr"/>
    </row>
    <row r="154" ht="15" customHeight="1">
      <c r="A154" t="inlineStr">
        <is>
          <t>A 68491-2021</t>
        </is>
      </c>
      <c r="B154" s="1" t="n">
        <v>44526</v>
      </c>
      <c r="C154" s="1" t="n">
        <v>46187</v>
      </c>
      <c r="D154" t="inlineStr">
        <is>
          <t>ÖREBRO LÄN</t>
        </is>
      </c>
      <c r="E154" t="inlineStr">
        <is>
          <t>LINDESBERG</t>
        </is>
      </c>
      <c r="G154" t="n">
        <v>1</v>
      </c>
      <c r="H154" t="n">
        <v>0</v>
      </c>
      <c r="I154" t="n">
        <v>0</v>
      </c>
      <c r="J154" t="n">
        <v>0</v>
      </c>
      <c r="K154" t="n">
        <v>0</v>
      </c>
      <c r="L154" t="n">
        <v>0</v>
      </c>
      <c r="M154" t="n">
        <v>0</v>
      </c>
      <c r="N154" t="n">
        <v>0</v>
      </c>
      <c r="O154" t="n">
        <v>0</v>
      </c>
      <c r="P154" t="n">
        <v>0</v>
      </c>
      <c r="Q154" t="n">
        <v>0</v>
      </c>
      <c r="R154" s="2" t="inlineStr"/>
    </row>
    <row r="155" ht="15" customHeight="1">
      <c r="A155" t="inlineStr">
        <is>
          <t>A 36221-2021</t>
        </is>
      </c>
      <c r="B155" s="1" t="n">
        <v>44389</v>
      </c>
      <c r="C155" s="1" t="n">
        <v>46187</v>
      </c>
      <c r="D155" t="inlineStr">
        <is>
          <t>ÖREBRO LÄN</t>
        </is>
      </c>
      <c r="E155" t="inlineStr">
        <is>
          <t>LINDESBERG</t>
        </is>
      </c>
      <c r="G155" t="n">
        <v>5.9</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46187</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56123-2022</t>
        </is>
      </c>
      <c r="B157" s="1" t="n">
        <v>44889.68100694445</v>
      </c>
      <c r="C157" s="1" t="n">
        <v>46187</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6726-2022</t>
        </is>
      </c>
      <c r="B158" s="1" t="n">
        <v>44602</v>
      </c>
      <c r="C158" s="1" t="n">
        <v>46187</v>
      </c>
      <c r="D158" t="inlineStr">
        <is>
          <t>ÖREBRO LÄN</t>
        </is>
      </c>
      <c r="E158" t="inlineStr">
        <is>
          <t>LINDESBERG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36220-2021</t>
        </is>
      </c>
      <c r="B159" s="1" t="n">
        <v>44389</v>
      </c>
      <c r="C159" s="1" t="n">
        <v>46187</v>
      </c>
      <c r="D159" t="inlineStr">
        <is>
          <t>ÖREBRO LÄN</t>
        </is>
      </c>
      <c r="E159" t="inlineStr">
        <is>
          <t>LINDESBERG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31950-2022</t>
        </is>
      </c>
      <c r="B160" s="1" t="n">
        <v>44777</v>
      </c>
      <c r="C160" s="1" t="n">
        <v>46187</v>
      </c>
      <c r="D160" t="inlineStr">
        <is>
          <t>ÖREBRO LÄN</t>
        </is>
      </c>
      <c r="E160" t="inlineStr">
        <is>
          <t>LINDESBERG</t>
        </is>
      </c>
      <c r="G160" t="n">
        <v>1.2</v>
      </c>
      <c r="H160" t="n">
        <v>0</v>
      </c>
      <c r="I160" t="n">
        <v>0</v>
      </c>
      <c r="J160" t="n">
        <v>0</v>
      </c>
      <c r="K160" t="n">
        <v>0</v>
      </c>
      <c r="L160" t="n">
        <v>0</v>
      </c>
      <c r="M160" t="n">
        <v>0</v>
      </c>
      <c r="N160" t="n">
        <v>0</v>
      </c>
      <c r="O160" t="n">
        <v>0</v>
      </c>
      <c r="P160" t="n">
        <v>0</v>
      </c>
      <c r="Q160" t="n">
        <v>0</v>
      </c>
      <c r="R160" s="2" t="inlineStr"/>
    </row>
    <row r="161" ht="15" customHeight="1">
      <c r="A161" t="inlineStr">
        <is>
          <t>A 16130-2022</t>
        </is>
      </c>
      <c r="B161" s="1" t="n">
        <v>44665</v>
      </c>
      <c r="C161" s="1" t="n">
        <v>46187</v>
      </c>
      <c r="D161" t="inlineStr">
        <is>
          <t>ÖREBRO LÄN</t>
        </is>
      </c>
      <c r="E161" t="inlineStr">
        <is>
          <t>LINDESBERG</t>
        </is>
      </c>
      <c r="G161" t="n">
        <v>3.5</v>
      </c>
      <c r="H161" t="n">
        <v>0</v>
      </c>
      <c r="I161" t="n">
        <v>0</v>
      </c>
      <c r="J161" t="n">
        <v>0</v>
      </c>
      <c r="K161" t="n">
        <v>0</v>
      </c>
      <c r="L161" t="n">
        <v>0</v>
      </c>
      <c r="M161" t="n">
        <v>0</v>
      </c>
      <c r="N161" t="n">
        <v>0</v>
      </c>
      <c r="O161" t="n">
        <v>0</v>
      </c>
      <c r="P161" t="n">
        <v>0</v>
      </c>
      <c r="Q161" t="n">
        <v>0</v>
      </c>
      <c r="R161" s="2" t="inlineStr"/>
    </row>
    <row r="162" ht="15" customHeight="1">
      <c r="A162" t="inlineStr">
        <is>
          <t>A 48365-2021</t>
        </is>
      </c>
      <c r="B162" s="1" t="n">
        <v>44451.78710648148</v>
      </c>
      <c r="C162" s="1" t="n">
        <v>46187</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46187</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56681-2021</t>
        </is>
      </c>
      <c r="B164" s="1" t="n">
        <v>44481.34877314815</v>
      </c>
      <c r="C164" s="1" t="n">
        <v>46187</v>
      </c>
      <c r="D164" t="inlineStr">
        <is>
          <t>ÖREBRO LÄN</t>
        </is>
      </c>
      <c r="E164" t="inlineStr">
        <is>
          <t>LINDESBERG</t>
        </is>
      </c>
      <c r="G164" t="n">
        <v>2.6</v>
      </c>
      <c r="H164" t="n">
        <v>0</v>
      </c>
      <c r="I164" t="n">
        <v>0</v>
      </c>
      <c r="J164" t="n">
        <v>0</v>
      </c>
      <c r="K164" t="n">
        <v>0</v>
      </c>
      <c r="L164" t="n">
        <v>0</v>
      </c>
      <c r="M164" t="n">
        <v>0</v>
      </c>
      <c r="N164" t="n">
        <v>0</v>
      </c>
      <c r="O164" t="n">
        <v>0</v>
      </c>
      <c r="P164" t="n">
        <v>0</v>
      </c>
      <c r="Q164" t="n">
        <v>0</v>
      </c>
      <c r="R164" s="2" t="inlineStr"/>
    </row>
    <row r="165" ht="15" customHeight="1">
      <c r="A165" t="inlineStr">
        <is>
          <t>A 59671-2021</t>
        </is>
      </c>
      <c r="B165" s="1" t="n">
        <v>44491</v>
      </c>
      <c r="C165" s="1" t="n">
        <v>46187</v>
      </c>
      <c r="D165" t="inlineStr">
        <is>
          <t>ÖREBRO LÄN</t>
        </is>
      </c>
      <c r="E165" t="inlineStr">
        <is>
          <t>LINDESBERG</t>
        </is>
      </c>
      <c r="G165" t="n">
        <v>7</v>
      </c>
      <c r="H165" t="n">
        <v>0</v>
      </c>
      <c r="I165" t="n">
        <v>0</v>
      </c>
      <c r="J165" t="n">
        <v>0</v>
      </c>
      <c r="K165" t="n">
        <v>0</v>
      </c>
      <c r="L165" t="n">
        <v>0</v>
      </c>
      <c r="M165" t="n">
        <v>0</v>
      </c>
      <c r="N165" t="n">
        <v>0</v>
      </c>
      <c r="O165" t="n">
        <v>0</v>
      </c>
      <c r="P165" t="n">
        <v>0</v>
      </c>
      <c r="Q165" t="n">
        <v>0</v>
      </c>
      <c r="R165" s="2" t="inlineStr"/>
    </row>
    <row r="166" ht="15" customHeight="1">
      <c r="A166" t="inlineStr">
        <is>
          <t>A 62014-2021</t>
        </is>
      </c>
      <c r="B166" s="1" t="n">
        <v>44502</v>
      </c>
      <c r="C166" s="1" t="n">
        <v>46187</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32907-2022</t>
        </is>
      </c>
      <c r="B167" s="1" t="n">
        <v>44784</v>
      </c>
      <c r="C167" s="1" t="n">
        <v>46187</v>
      </c>
      <c r="D167" t="inlineStr">
        <is>
          <t>ÖREBRO LÄN</t>
        </is>
      </c>
      <c r="E167" t="inlineStr">
        <is>
          <t>LINDESBERG</t>
        </is>
      </c>
      <c r="G167" t="n">
        <v>0.5</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46187</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48939-2021</t>
        </is>
      </c>
      <c r="B169" s="1" t="n">
        <v>44453</v>
      </c>
      <c r="C169" s="1" t="n">
        <v>46187</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70500-2021</t>
        </is>
      </c>
      <c r="B170" s="1" t="n">
        <v>44536</v>
      </c>
      <c r="C170" s="1" t="n">
        <v>46187</v>
      </c>
      <c r="D170" t="inlineStr">
        <is>
          <t>ÖREBRO LÄN</t>
        </is>
      </c>
      <c r="E170" t="inlineStr">
        <is>
          <t>LINDESBERG</t>
        </is>
      </c>
      <c r="G170" t="n">
        <v>1.8</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46187</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49055-2022</t>
        </is>
      </c>
      <c r="B172" s="1" t="n">
        <v>44860</v>
      </c>
      <c r="C172" s="1" t="n">
        <v>46187</v>
      </c>
      <c r="D172" t="inlineStr">
        <is>
          <t>ÖREBRO LÄN</t>
        </is>
      </c>
      <c r="E172" t="inlineStr">
        <is>
          <t>LINDESBERG</t>
        </is>
      </c>
      <c r="F172" t="inlineStr">
        <is>
          <t>Sveaskog</t>
        </is>
      </c>
      <c r="G172" t="n">
        <v>0.7</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46187</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52153-2022</t>
        </is>
      </c>
      <c r="B174" s="1" t="n">
        <v>44873.47148148148</v>
      </c>
      <c r="C174" s="1" t="n">
        <v>46187</v>
      </c>
      <c r="D174" t="inlineStr">
        <is>
          <t>ÖREBRO LÄN</t>
        </is>
      </c>
      <c r="E174" t="inlineStr">
        <is>
          <t>LINDESBERG</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70475-2021</t>
        </is>
      </c>
      <c r="B175" s="1" t="n">
        <v>44536</v>
      </c>
      <c r="C175" s="1" t="n">
        <v>46187</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33084-2021</t>
        </is>
      </c>
      <c r="B176" s="1" t="n">
        <v>44376</v>
      </c>
      <c r="C176" s="1" t="n">
        <v>46187</v>
      </c>
      <c r="D176" t="inlineStr">
        <is>
          <t>ÖREBRO LÄN</t>
        </is>
      </c>
      <c r="E176" t="inlineStr">
        <is>
          <t>LINDESBERG</t>
        </is>
      </c>
      <c r="G176" t="n">
        <v>3.1</v>
      </c>
      <c r="H176" t="n">
        <v>0</v>
      </c>
      <c r="I176" t="n">
        <v>0</v>
      </c>
      <c r="J176" t="n">
        <v>0</v>
      </c>
      <c r="K176" t="n">
        <v>0</v>
      </c>
      <c r="L176" t="n">
        <v>0</v>
      </c>
      <c r="M176" t="n">
        <v>0</v>
      </c>
      <c r="N176" t="n">
        <v>0</v>
      </c>
      <c r="O176" t="n">
        <v>0</v>
      </c>
      <c r="P176" t="n">
        <v>0</v>
      </c>
      <c r="Q176" t="n">
        <v>0</v>
      </c>
      <c r="R176" s="2" t="inlineStr"/>
    </row>
    <row r="177" ht="15" customHeight="1">
      <c r="A177" t="inlineStr">
        <is>
          <t>A 7859-2022</t>
        </is>
      </c>
      <c r="B177" s="1" t="n">
        <v>44608</v>
      </c>
      <c r="C177" s="1" t="n">
        <v>46187</v>
      </c>
      <c r="D177" t="inlineStr">
        <is>
          <t>ÖREBRO LÄN</t>
        </is>
      </c>
      <c r="E177" t="inlineStr">
        <is>
          <t>LINDESBERG</t>
        </is>
      </c>
      <c r="F177" t="inlineStr">
        <is>
          <t>Kyrkan</t>
        </is>
      </c>
      <c r="G177" t="n">
        <v>0.7</v>
      </c>
      <c r="H177" t="n">
        <v>0</v>
      </c>
      <c r="I177" t="n">
        <v>0</v>
      </c>
      <c r="J177" t="n">
        <v>0</v>
      </c>
      <c r="K177" t="n">
        <v>0</v>
      </c>
      <c r="L177" t="n">
        <v>0</v>
      </c>
      <c r="M177" t="n">
        <v>0</v>
      </c>
      <c r="N177" t="n">
        <v>0</v>
      </c>
      <c r="O177" t="n">
        <v>0</v>
      </c>
      <c r="P177" t="n">
        <v>0</v>
      </c>
      <c r="Q177" t="n">
        <v>0</v>
      </c>
      <c r="R177" s="2" t="inlineStr"/>
    </row>
    <row r="178" ht="15" customHeight="1">
      <c r="A178" t="inlineStr">
        <is>
          <t>A 35990-2021</t>
        </is>
      </c>
      <c r="B178" s="1" t="n">
        <v>44389</v>
      </c>
      <c r="C178" s="1" t="n">
        <v>46187</v>
      </c>
      <c r="D178" t="inlineStr">
        <is>
          <t>ÖREBRO LÄN</t>
        </is>
      </c>
      <c r="E178" t="inlineStr">
        <is>
          <t>LINDESBERG</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71090-2021</t>
        </is>
      </c>
      <c r="B179" s="1" t="n">
        <v>44539.31923611111</v>
      </c>
      <c r="C179" s="1" t="n">
        <v>46187</v>
      </c>
      <c r="D179" t="inlineStr">
        <is>
          <t>ÖREBRO LÄN</t>
        </is>
      </c>
      <c r="E179" t="inlineStr">
        <is>
          <t>LINDESBERG</t>
        </is>
      </c>
      <c r="G179" t="n">
        <v>4.3</v>
      </c>
      <c r="H179" t="n">
        <v>0</v>
      </c>
      <c r="I179" t="n">
        <v>0</v>
      </c>
      <c r="J179" t="n">
        <v>0</v>
      </c>
      <c r="K179" t="n">
        <v>0</v>
      </c>
      <c r="L179" t="n">
        <v>0</v>
      </c>
      <c r="M179" t="n">
        <v>0</v>
      </c>
      <c r="N179" t="n">
        <v>0</v>
      </c>
      <c r="O179" t="n">
        <v>0</v>
      </c>
      <c r="P179" t="n">
        <v>0</v>
      </c>
      <c r="Q179" t="n">
        <v>0</v>
      </c>
      <c r="R179" s="2" t="inlineStr"/>
    </row>
    <row r="180" ht="15" customHeight="1">
      <c r="A180" t="inlineStr">
        <is>
          <t>A 71092-2021</t>
        </is>
      </c>
      <c r="B180" s="1" t="n">
        <v>44539</v>
      </c>
      <c r="C180" s="1" t="n">
        <v>46187</v>
      </c>
      <c r="D180" t="inlineStr">
        <is>
          <t>ÖREBRO LÄN</t>
        </is>
      </c>
      <c r="E180" t="inlineStr">
        <is>
          <t>LINDESBERG</t>
        </is>
      </c>
      <c r="G180" t="n">
        <v>0.8</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46187</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46187</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46187</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56260-2021</t>
        </is>
      </c>
      <c r="B184" s="1" t="n">
        <v>44479.58512731481</v>
      </c>
      <c r="C184" s="1" t="n">
        <v>46187</v>
      </c>
      <c r="D184" t="inlineStr">
        <is>
          <t>ÖREBRO LÄN</t>
        </is>
      </c>
      <c r="E184" t="inlineStr">
        <is>
          <t>LINDESBERG</t>
        </is>
      </c>
      <c r="G184" t="n">
        <v>1.4</v>
      </c>
      <c r="H184" t="n">
        <v>0</v>
      </c>
      <c r="I184" t="n">
        <v>0</v>
      </c>
      <c r="J184" t="n">
        <v>0</v>
      </c>
      <c r="K184" t="n">
        <v>0</v>
      </c>
      <c r="L184" t="n">
        <v>0</v>
      </c>
      <c r="M184" t="n">
        <v>0</v>
      </c>
      <c r="N184" t="n">
        <v>0</v>
      </c>
      <c r="O184" t="n">
        <v>0</v>
      </c>
      <c r="P184" t="n">
        <v>0</v>
      </c>
      <c r="Q184" t="n">
        <v>0</v>
      </c>
      <c r="R184" s="2" t="inlineStr"/>
    </row>
    <row r="185" ht="15" customHeight="1">
      <c r="A185" t="inlineStr">
        <is>
          <t>A 30122-2021</t>
        </is>
      </c>
      <c r="B185" s="1" t="n">
        <v>44363</v>
      </c>
      <c r="C185" s="1" t="n">
        <v>46187</v>
      </c>
      <c r="D185" t="inlineStr">
        <is>
          <t>ÖREBRO LÄN</t>
        </is>
      </c>
      <c r="E185" t="inlineStr">
        <is>
          <t>LINDESBERG</t>
        </is>
      </c>
      <c r="G185" t="n">
        <v>3.3</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46187</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32818-2022</t>
        </is>
      </c>
      <c r="B187" s="1" t="n">
        <v>44784.38697916667</v>
      </c>
      <c r="C187" s="1" t="n">
        <v>46187</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59006-2021</t>
        </is>
      </c>
      <c r="B188" s="1" t="n">
        <v>44490</v>
      </c>
      <c r="C188" s="1" t="n">
        <v>46187</v>
      </c>
      <c r="D188" t="inlineStr">
        <is>
          <t>ÖREBRO LÄN</t>
        </is>
      </c>
      <c r="E188" t="inlineStr">
        <is>
          <t>LINDESBERG</t>
        </is>
      </c>
      <c r="G188" t="n">
        <v>5.6</v>
      </c>
      <c r="H188" t="n">
        <v>0</v>
      </c>
      <c r="I188" t="n">
        <v>0</v>
      </c>
      <c r="J188" t="n">
        <v>0</v>
      </c>
      <c r="K188" t="n">
        <v>0</v>
      </c>
      <c r="L188" t="n">
        <v>0</v>
      </c>
      <c r="M188" t="n">
        <v>0</v>
      </c>
      <c r="N188" t="n">
        <v>0</v>
      </c>
      <c r="O188" t="n">
        <v>0</v>
      </c>
      <c r="P188" t="n">
        <v>0</v>
      </c>
      <c r="Q188" t="n">
        <v>0</v>
      </c>
      <c r="R188" s="2" t="inlineStr"/>
    </row>
    <row r="189" ht="15" customHeight="1">
      <c r="A189" t="inlineStr">
        <is>
          <t>A 20238-2022</t>
        </is>
      </c>
      <c r="B189" s="1" t="n">
        <v>44698.62354166667</v>
      </c>
      <c r="C189" s="1" t="n">
        <v>46187</v>
      </c>
      <c r="D189" t="inlineStr">
        <is>
          <t>ÖREBRO LÄN</t>
        </is>
      </c>
      <c r="E189" t="inlineStr">
        <is>
          <t>LINDESBERG</t>
        </is>
      </c>
      <c r="F189" t="inlineStr">
        <is>
          <t>Naturvårdsverket</t>
        </is>
      </c>
      <c r="G189" t="n">
        <v>2.9</v>
      </c>
      <c r="H189" t="n">
        <v>0</v>
      </c>
      <c r="I189" t="n">
        <v>0</v>
      </c>
      <c r="J189" t="n">
        <v>0</v>
      </c>
      <c r="K189" t="n">
        <v>0</v>
      </c>
      <c r="L189" t="n">
        <v>0</v>
      </c>
      <c r="M189" t="n">
        <v>0</v>
      </c>
      <c r="N189" t="n">
        <v>0</v>
      </c>
      <c r="O189" t="n">
        <v>0</v>
      </c>
      <c r="P189" t="n">
        <v>0</v>
      </c>
      <c r="Q189" t="n">
        <v>0</v>
      </c>
      <c r="R189" s="2" t="inlineStr"/>
    </row>
    <row r="190" ht="15" customHeight="1">
      <c r="A190" t="inlineStr">
        <is>
          <t>A 2406-2024</t>
        </is>
      </c>
      <c r="B190" s="1" t="n">
        <v>45310</v>
      </c>
      <c r="C190" s="1" t="n">
        <v>46187</v>
      </c>
      <c r="D190" t="inlineStr">
        <is>
          <t>ÖREBRO LÄN</t>
        </is>
      </c>
      <c r="E190" t="inlineStr">
        <is>
          <t>LINDESBERG</t>
        </is>
      </c>
      <c r="G190" t="n">
        <v>16.1</v>
      </c>
      <c r="H190" t="n">
        <v>0</v>
      </c>
      <c r="I190" t="n">
        <v>0</v>
      </c>
      <c r="J190" t="n">
        <v>0</v>
      </c>
      <c r="K190" t="n">
        <v>0</v>
      </c>
      <c r="L190" t="n">
        <v>0</v>
      </c>
      <c r="M190" t="n">
        <v>0</v>
      </c>
      <c r="N190" t="n">
        <v>0</v>
      </c>
      <c r="O190" t="n">
        <v>0</v>
      </c>
      <c r="P190" t="n">
        <v>0</v>
      </c>
      <c r="Q190" t="n">
        <v>0</v>
      </c>
      <c r="R190" s="2" t="inlineStr"/>
    </row>
    <row r="191" ht="15" customHeight="1">
      <c r="A191" t="inlineStr">
        <is>
          <t>A 13417-2025</t>
        </is>
      </c>
      <c r="B191" s="1" t="n">
        <v>45736.30940972222</v>
      </c>
      <c r="C191" s="1" t="n">
        <v>46187</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35230-2024</t>
        </is>
      </c>
      <c r="B192" s="1" t="n">
        <v>45530</v>
      </c>
      <c r="C192" s="1" t="n">
        <v>46187</v>
      </c>
      <c r="D192" t="inlineStr">
        <is>
          <t>ÖREBRO LÄN</t>
        </is>
      </c>
      <c r="E192" t="inlineStr">
        <is>
          <t>LINDESBERG</t>
        </is>
      </c>
      <c r="G192" t="n">
        <v>1.7</v>
      </c>
      <c r="H192" t="n">
        <v>0</v>
      </c>
      <c r="I192" t="n">
        <v>0</v>
      </c>
      <c r="J192" t="n">
        <v>0</v>
      </c>
      <c r="K192" t="n">
        <v>0</v>
      </c>
      <c r="L192" t="n">
        <v>0</v>
      </c>
      <c r="M192" t="n">
        <v>0</v>
      </c>
      <c r="N192" t="n">
        <v>0</v>
      </c>
      <c r="O192" t="n">
        <v>0</v>
      </c>
      <c r="P192" t="n">
        <v>0</v>
      </c>
      <c r="Q192" t="n">
        <v>0</v>
      </c>
      <c r="R192" s="2" t="inlineStr"/>
    </row>
    <row r="193" ht="15" customHeight="1">
      <c r="A193" t="inlineStr">
        <is>
          <t>A 65194-2023</t>
        </is>
      </c>
      <c r="B193" s="1" t="n">
        <v>45289</v>
      </c>
      <c r="C193" s="1" t="n">
        <v>46187</v>
      </c>
      <c r="D193" t="inlineStr">
        <is>
          <t>ÖREBRO LÄN</t>
        </is>
      </c>
      <c r="E193" t="inlineStr">
        <is>
          <t>LINDESBERG</t>
        </is>
      </c>
      <c r="G193" t="n">
        <v>1</v>
      </c>
      <c r="H193" t="n">
        <v>0</v>
      </c>
      <c r="I193" t="n">
        <v>0</v>
      </c>
      <c r="J193" t="n">
        <v>0</v>
      </c>
      <c r="K193" t="n">
        <v>0</v>
      </c>
      <c r="L193" t="n">
        <v>0</v>
      </c>
      <c r="M193" t="n">
        <v>0</v>
      </c>
      <c r="N193" t="n">
        <v>0</v>
      </c>
      <c r="O193" t="n">
        <v>0</v>
      </c>
      <c r="P193" t="n">
        <v>0</v>
      </c>
      <c r="Q193" t="n">
        <v>0</v>
      </c>
      <c r="R193" s="2" t="inlineStr"/>
    </row>
    <row r="194" ht="15" customHeight="1">
      <c r="A194" t="inlineStr">
        <is>
          <t>A 69208-2021</t>
        </is>
      </c>
      <c r="B194" s="1" t="n">
        <v>44531.3575</v>
      </c>
      <c r="C194" s="1" t="n">
        <v>46187</v>
      </c>
      <c r="D194" t="inlineStr">
        <is>
          <t>ÖREBRO LÄN</t>
        </is>
      </c>
      <c r="E194" t="inlineStr">
        <is>
          <t>LINDESBERG</t>
        </is>
      </c>
      <c r="G194" t="n">
        <v>2</v>
      </c>
      <c r="H194" t="n">
        <v>0</v>
      </c>
      <c r="I194" t="n">
        <v>0</v>
      </c>
      <c r="J194" t="n">
        <v>0</v>
      </c>
      <c r="K194" t="n">
        <v>0</v>
      </c>
      <c r="L194" t="n">
        <v>0</v>
      </c>
      <c r="M194" t="n">
        <v>0</v>
      </c>
      <c r="N194" t="n">
        <v>0</v>
      </c>
      <c r="O194" t="n">
        <v>0</v>
      </c>
      <c r="P194" t="n">
        <v>0</v>
      </c>
      <c r="Q194" t="n">
        <v>0</v>
      </c>
      <c r="R194" s="2" t="inlineStr"/>
    </row>
    <row r="195" ht="15" customHeight="1">
      <c r="A195" t="inlineStr">
        <is>
          <t>A 33282-2024</t>
        </is>
      </c>
      <c r="B195" s="1" t="n">
        <v>45518.71482638889</v>
      </c>
      <c r="C195" s="1" t="n">
        <v>46187</v>
      </c>
      <c r="D195" t="inlineStr">
        <is>
          <t>ÖREBRO LÄN</t>
        </is>
      </c>
      <c r="E195" t="inlineStr">
        <is>
          <t>LINDESBERG</t>
        </is>
      </c>
      <c r="G195" t="n">
        <v>7.5</v>
      </c>
      <c r="H195" t="n">
        <v>0</v>
      </c>
      <c r="I195" t="n">
        <v>0</v>
      </c>
      <c r="J195" t="n">
        <v>0</v>
      </c>
      <c r="K195" t="n">
        <v>0</v>
      </c>
      <c r="L195" t="n">
        <v>0</v>
      </c>
      <c r="M195" t="n">
        <v>0</v>
      </c>
      <c r="N195" t="n">
        <v>0</v>
      </c>
      <c r="O195" t="n">
        <v>0</v>
      </c>
      <c r="P195" t="n">
        <v>0</v>
      </c>
      <c r="Q195" t="n">
        <v>0</v>
      </c>
      <c r="R195" s="2" t="inlineStr"/>
    </row>
    <row r="196" ht="15" customHeight="1">
      <c r="A196" t="inlineStr">
        <is>
          <t>A 46603-2021</t>
        </is>
      </c>
      <c r="B196" s="1" t="n">
        <v>44445</v>
      </c>
      <c r="C196" s="1" t="n">
        <v>46187</v>
      </c>
      <c r="D196" t="inlineStr">
        <is>
          <t>ÖREBRO LÄN</t>
        </is>
      </c>
      <c r="E196" t="inlineStr">
        <is>
          <t>LINDESBERG</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20954-2024</t>
        </is>
      </c>
      <c r="B197" s="1" t="n">
        <v>45439.56605324074</v>
      </c>
      <c r="C197" s="1" t="n">
        <v>46187</v>
      </c>
      <c r="D197" t="inlineStr">
        <is>
          <t>ÖREBRO LÄN</t>
        </is>
      </c>
      <c r="E197" t="inlineStr">
        <is>
          <t>LINDESBERG</t>
        </is>
      </c>
      <c r="G197" t="n">
        <v>0.9</v>
      </c>
      <c r="H197" t="n">
        <v>0</v>
      </c>
      <c r="I197" t="n">
        <v>0</v>
      </c>
      <c r="J197" t="n">
        <v>0</v>
      </c>
      <c r="K197" t="n">
        <v>0</v>
      </c>
      <c r="L197" t="n">
        <v>0</v>
      </c>
      <c r="M197" t="n">
        <v>0</v>
      </c>
      <c r="N197" t="n">
        <v>0</v>
      </c>
      <c r="O197" t="n">
        <v>0</v>
      </c>
      <c r="P197" t="n">
        <v>0</v>
      </c>
      <c r="Q197" t="n">
        <v>0</v>
      </c>
      <c r="R197" s="2" t="inlineStr"/>
    </row>
    <row r="198" ht="15" customHeight="1">
      <c r="A198" t="inlineStr">
        <is>
          <t>A 6962-2023</t>
        </is>
      </c>
      <c r="B198" s="1" t="n">
        <v>44967.60165509259</v>
      </c>
      <c r="C198" s="1" t="n">
        <v>46187</v>
      </c>
      <c r="D198" t="inlineStr">
        <is>
          <t>ÖREBRO LÄN</t>
        </is>
      </c>
      <c r="E198" t="inlineStr">
        <is>
          <t>LINDESBERG</t>
        </is>
      </c>
      <c r="G198" t="n">
        <v>11.4</v>
      </c>
      <c r="H198" t="n">
        <v>0</v>
      </c>
      <c r="I198" t="n">
        <v>0</v>
      </c>
      <c r="J198" t="n">
        <v>0</v>
      </c>
      <c r="K198" t="n">
        <v>0</v>
      </c>
      <c r="L198" t="n">
        <v>0</v>
      </c>
      <c r="M198" t="n">
        <v>0</v>
      </c>
      <c r="N198" t="n">
        <v>0</v>
      </c>
      <c r="O198" t="n">
        <v>0</v>
      </c>
      <c r="P198" t="n">
        <v>0</v>
      </c>
      <c r="Q198" t="n">
        <v>0</v>
      </c>
      <c r="R198" s="2" t="inlineStr"/>
    </row>
    <row r="199" ht="15" customHeight="1">
      <c r="A199" t="inlineStr">
        <is>
          <t>A 36015-2021</t>
        </is>
      </c>
      <c r="B199" s="1" t="n">
        <v>44389</v>
      </c>
      <c r="C199" s="1" t="n">
        <v>46187</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30767-2023</t>
        </is>
      </c>
      <c r="B200" s="1" t="n">
        <v>45112.67952546296</v>
      </c>
      <c r="C200" s="1" t="n">
        <v>46187</v>
      </c>
      <c r="D200" t="inlineStr">
        <is>
          <t>ÖREBRO LÄN</t>
        </is>
      </c>
      <c r="E200" t="inlineStr">
        <is>
          <t>LINDESBERG</t>
        </is>
      </c>
      <c r="G200" t="n">
        <v>3.9</v>
      </c>
      <c r="H200" t="n">
        <v>0</v>
      </c>
      <c r="I200" t="n">
        <v>0</v>
      </c>
      <c r="J200" t="n">
        <v>0</v>
      </c>
      <c r="K200" t="n">
        <v>0</v>
      </c>
      <c r="L200" t="n">
        <v>0</v>
      </c>
      <c r="M200" t="n">
        <v>0</v>
      </c>
      <c r="N200" t="n">
        <v>0</v>
      </c>
      <c r="O200" t="n">
        <v>0</v>
      </c>
      <c r="P200" t="n">
        <v>0</v>
      </c>
      <c r="Q200" t="n">
        <v>0</v>
      </c>
      <c r="R200" s="2" t="inlineStr"/>
    </row>
    <row r="201" ht="15" customHeight="1">
      <c r="A201" t="inlineStr">
        <is>
          <t>A 29857-2023</t>
        </is>
      </c>
      <c r="B201" s="1" t="n">
        <v>45107</v>
      </c>
      <c r="C201" s="1" t="n">
        <v>46187</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33707-2021</t>
        </is>
      </c>
      <c r="B202" s="1" t="n">
        <v>44378.46403935185</v>
      </c>
      <c r="C202" s="1" t="n">
        <v>46187</v>
      </c>
      <c r="D202" t="inlineStr">
        <is>
          <t>ÖREBRO LÄN</t>
        </is>
      </c>
      <c r="E202" t="inlineStr">
        <is>
          <t>LINDESBERG</t>
        </is>
      </c>
      <c r="G202" t="n">
        <v>2</v>
      </c>
      <c r="H202" t="n">
        <v>0</v>
      </c>
      <c r="I202" t="n">
        <v>0</v>
      </c>
      <c r="J202" t="n">
        <v>0</v>
      </c>
      <c r="K202" t="n">
        <v>0</v>
      </c>
      <c r="L202" t="n">
        <v>0</v>
      </c>
      <c r="M202" t="n">
        <v>0</v>
      </c>
      <c r="N202" t="n">
        <v>0</v>
      </c>
      <c r="O202" t="n">
        <v>0</v>
      </c>
      <c r="P202" t="n">
        <v>0</v>
      </c>
      <c r="Q202" t="n">
        <v>0</v>
      </c>
      <c r="R202" s="2" t="inlineStr"/>
    </row>
    <row r="203" ht="15" customHeight="1">
      <c r="A203" t="inlineStr">
        <is>
          <t>A 17895-2022</t>
        </is>
      </c>
      <c r="B203" s="1" t="n">
        <v>44683</v>
      </c>
      <c r="C203" s="1" t="n">
        <v>46187</v>
      </c>
      <c r="D203" t="inlineStr">
        <is>
          <t>ÖREBRO LÄN</t>
        </is>
      </c>
      <c r="E203" t="inlineStr">
        <is>
          <t>LINDESBERG</t>
        </is>
      </c>
      <c r="G203" t="n">
        <v>1.3</v>
      </c>
      <c r="H203" t="n">
        <v>0</v>
      </c>
      <c r="I203" t="n">
        <v>0</v>
      </c>
      <c r="J203" t="n">
        <v>0</v>
      </c>
      <c r="K203" t="n">
        <v>0</v>
      </c>
      <c r="L203" t="n">
        <v>0</v>
      </c>
      <c r="M203" t="n">
        <v>0</v>
      </c>
      <c r="N203" t="n">
        <v>0</v>
      </c>
      <c r="O203" t="n">
        <v>0</v>
      </c>
      <c r="P203" t="n">
        <v>0</v>
      </c>
      <c r="Q203" t="n">
        <v>0</v>
      </c>
      <c r="R203" s="2" t="inlineStr"/>
    </row>
    <row r="204" ht="15" customHeight="1">
      <c r="A204" t="inlineStr">
        <is>
          <t>A 35739-2024</t>
        </is>
      </c>
      <c r="B204" s="1" t="n">
        <v>45532</v>
      </c>
      <c r="C204" s="1" t="n">
        <v>46187</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8213-2023</t>
        </is>
      </c>
      <c r="B205" s="1" t="n">
        <v>44974.55693287037</v>
      </c>
      <c r="C205" s="1" t="n">
        <v>46187</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7120-2025</t>
        </is>
      </c>
      <c r="B206" s="1" t="n">
        <v>45702</v>
      </c>
      <c r="C206" s="1" t="n">
        <v>46187</v>
      </c>
      <c r="D206" t="inlineStr">
        <is>
          <t>ÖREBRO LÄN</t>
        </is>
      </c>
      <c r="E206" t="inlineStr">
        <is>
          <t>LINDESBERG</t>
        </is>
      </c>
      <c r="G206" t="n">
        <v>0.5</v>
      </c>
      <c r="H206" t="n">
        <v>0</v>
      </c>
      <c r="I206" t="n">
        <v>0</v>
      </c>
      <c r="J206" t="n">
        <v>0</v>
      </c>
      <c r="K206" t="n">
        <v>0</v>
      </c>
      <c r="L206" t="n">
        <v>0</v>
      </c>
      <c r="M206" t="n">
        <v>0</v>
      </c>
      <c r="N206" t="n">
        <v>0</v>
      </c>
      <c r="O206" t="n">
        <v>0</v>
      </c>
      <c r="P206" t="n">
        <v>0</v>
      </c>
      <c r="Q206" t="n">
        <v>0</v>
      </c>
      <c r="R206" s="2" t="inlineStr"/>
    </row>
    <row r="207" ht="15" customHeight="1">
      <c r="A207" t="inlineStr">
        <is>
          <t>A 53046-2024</t>
        </is>
      </c>
      <c r="B207" s="1" t="n">
        <v>45611.44960648148</v>
      </c>
      <c r="C207" s="1" t="n">
        <v>46187</v>
      </c>
      <c r="D207" t="inlineStr">
        <is>
          <t>ÖREBRO LÄN</t>
        </is>
      </c>
      <c r="E207" t="inlineStr">
        <is>
          <t>LINDESBERG</t>
        </is>
      </c>
      <c r="G207" t="n">
        <v>1.2</v>
      </c>
      <c r="H207" t="n">
        <v>0</v>
      </c>
      <c r="I207" t="n">
        <v>0</v>
      </c>
      <c r="J207" t="n">
        <v>0</v>
      </c>
      <c r="K207" t="n">
        <v>0</v>
      </c>
      <c r="L207" t="n">
        <v>0</v>
      </c>
      <c r="M207" t="n">
        <v>0</v>
      </c>
      <c r="N207" t="n">
        <v>0</v>
      </c>
      <c r="O207" t="n">
        <v>0</v>
      </c>
      <c r="P207" t="n">
        <v>0</v>
      </c>
      <c r="Q207" t="n">
        <v>0</v>
      </c>
      <c r="R207" s="2" t="inlineStr"/>
    </row>
    <row r="208" ht="15" customHeight="1">
      <c r="A208" t="inlineStr">
        <is>
          <t>A 51539-2024</t>
        </is>
      </c>
      <c r="B208" s="1" t="n">
        <v>45604.58837962963</v>
      </c>
      <c r="C208" s="1" t="n">
        <v>46187</v>
      </c>
      <c r="D208" t="inlineStr">
        <is>
          <t>ÖREBRO LÄN</t>
        </is>
      </c>
      <c r="E208" t="inlineStr">
        <is>
          <t>LINDESBERG</t>
        </is>
      </c>
      <c r="G208" t="n">
        <v>1.4</v>
      </c>
      <c r="H208" t="n">
        <v>0</v>
      </c>
      <c r="I208" t="n">
        <v>0</v>
      </c>
      <c r="J208" t="n">
        <v>0</v>
      </c>
      <c r="K208" t="n">
        <v>0</v>
      </c>
      <c r="L208" t="n">
        <v>0</v>
      </c>
      <c r="M208" t="n">
        <v>0</v>
      </c>
      <c r="N208" t="n">
        <v>0</v>
      </c>
      <c r="O208" t="n">
        <v>0</v>
      </c>
      <c r="P208" t="n">
        <v>0</v>
      </c>
      <c r="Q208" t="n">
        <v>0</v>
      </c>
      <c r="R208" s="2" t="inlineStr"/>
    </row>
    <row r="209" ht="15" customHeight="1">
      <c r="A209" t="inlineStr">
        <is>
          <t>A 195-2022</t>
        </is>
      </c>
      <c r="B209" s="1" t="n">
        <v>44564</v>
      </c>
      <c r="C209" s="1" t="n">
        <v>46187</v>
      </c>
      <c r="D209" t="inlineStr">
        <is>
          <t>ÖREBRO LÄN</t>
        </is>
      </c>
      <c r="E209" t="inlineStr">
        <is>
          <t>LINDESBERG</t>
        </is>
      </c>
      <c r="G209" t="n">
        <v>4.7</v>
      </c>
      <c r="H209" t="n">
        <v>0</v>
      </c>
      <c r="I209" t="n">
        <v>0</v>
      </c>
      <c r="J209" t="n">
        <v>0</v>
      </c>
      <c r="K209" t="n">
        <v>0</v>
      </c>
      <c r="L209" t="n">
        <v>0</v>
      </c>
      <c r="M209" t="n">
        <v>0</v>
      </c>
      <c r="N209" t="n">
        <v>0</v>
      </c>
      <c r="O209" t="n">
        <v>0</v>
      </c>
      <c r="P209" t="n">
        <v>0</v>
      </c>
      <c r="Q209" t="n">
        <v>0</v>
      </c>
      <c r="R209" s="2" t="inlineStr"/>
    </row>
    <row r="210" ht="15" customHeight="1">
      <c r="A210" t="inlineStr">
        <is>
          <t>A 51379-2023</t>
        </is>
      </c>
      <c r="B210" s="1" t="n">
        <v>45219</v>
      </c>
      <c r="C210" s="1" t="n">
        <v>46187</v>
      </c>
      <c r="D210" t="inlineStr">
        <is>
          <t>ÖREBRO LÄN</t>
        </is>
      </c>
      <c r="E210" t="inlineStr">
        <is>
          <t>LINDESBERG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16618-2023</t>
        </is>
      </c>
      <c r="B211" s="1" t="n">
        <v>45030</v>
      </c>
      <c r="C211" s="1" t="n">
        <v>46187</v>
      </c>
      <c r="D211" t="inlineStr">
        <is>
          <t>ÖREBRO LÄN</t>
        </is>
      </c>
      <c r="E211" t="inlineStr">
        <is>
          <t>LINDESBERG</t>
        </is>
      </c>
      <c r="F211" t="inlineStr">
        <is>
          <t>Kommuner</t>
        </is>
      </c>
      <c r="G211" t="n">
        <v>4.6</v>
      </c>
      <c r="H211" t="n">
        <v>0</v>
      </c>
      <c r="I211" t="n">
        <v>0</v>
      </c>
      <c r="J211" t="n">
        <v>0</v>
      </c>
      <c r="K211" t="n">
        <v>0</v>
      </c>
      <c r="L211" t="n">
        <v>0</v>
      </c>
      <c r="M211" t="n">
        <v>0</v>
      </c>
      <c r="N211" t="n">
        <v>0</v>
      </c>
      <c r="O211" t="n">
        <v>0</v>
      </c>
      <c r="P211" t="n">
        <v>0</v>
      </c>
      <c r="Q211" t="n">
        <v>0</v>
      </c>
      <c r="R211" s="2" t="inlineStr"/>
    </row>
    <row r="212" ht="15" customHeight="1">
      <c r="A212" t="inlineStr">
        <is>
          <t>A 16054-2022</t>
        </is>
      </c>
      <c r="B212" s="1" t="n">
        <v>44665</v>
      </c>
      <c r="C212" s="1" t="n">
        <v>46187</v>
      </c>
      <c r="D212" t="inlineStr">
        <is>
          <t>ÖREBRO LÄN</t>
        </is>
      </c>
      <c r="E212" t="inlineStr">
        <is>
          <t>LINDESBERG</t>
        </is>
      </c>
      <c r="G212" t="n">
        <v>6.9</v>
      </c>
      <c r="H212" t="n">
        <v>0</v>
      </c>
      <c r="I212" t="n">
        <v>0</v>
      </c>
      <c r="J212" t="n">
        <v>0</v>
      </c>
      <c r="K212" t="n">
        <v>0</v>
      </c>
      <c r="L212" t="n">
        <v>0</v>
      </c>
      <c r="M212" t="n">
        <v>0</v>
      </c>
      <c r="N212" t="n">
        <v>0</v>
      </c>
      <c r="O212" t="n">
        <v>0</v>
      </c>
      <c r="P212" t="n">
        <v>0</v>
      </c>
      <c r="Q212" t="n">
        <v>0</v>
      </c>
      <c r="R212" s="2" t="inlineStr"/>
    </row>
    <row r="213" ht="15" customHeight="1">
      <c r="A213" t="inlineStr">
        <is>
          <t>A 48620-2025</t>
        </is>
      </c>
      <c r="B213" s="1" t="n">
        <v>45936.49210648148</v>
      </c>
      <c r="C213" s="1" t="n">
        <v>46187</v>
      </c>
      <c r="D213" t="inlineStr">
        <is>
          <t>ÖREBRO LÄN</t>
        </is>
      </c>
      <c r="E213" t="inlineStr">
        <is>
          <t>LINDESBERG</t>
        </is>
      </c>
      <c r="F213" t="inlineStr">
        <is>
          <t>Sveaskog</t>
        </is>
      </c>
      <c r="G213" t="n">
        <v>5.2</v>
      </c>
      <c r="H213" t="n">
        <v>0</v>
      </c>
      <c r="I213" t="n">
        <v>0</v>
      </c>
      <c r="J213" t="n">
        <v>0</v>
      </c>
      <c r="K213" t="n">
        <v>0</v>
      </c>
      <c r="L213" t="n">
        <v>0</v>
      </c>
      <c r="M213" t="n">
        <v>0</v>
      </c>
      <c r="N213" t="n">
        <v>0</v>
      </c>
      <c r="O213" t="n">
        <v>0</v>
      </c>
      <c r="P213" t="n">
        <v>0</v>
      </c>
      <c r="Q213" t="n">
        <v>0</v>
      </c>
      <c r="R213" s="2" t="inlineStr"/>
    </row>
    <row r="214" ht="15" customHeight="1">
      <c r="A214" t="inlineStr">
        <is>
          <t>A 48618-2025</t>
        </is>
      </c>
      <c r="B214" s="1" t="n">
        <v>45936.49026620371</v>
      </c>
      <c r="C214" s="1" t="n">
        <v>46187</v>
      </c>
      <c r="D214" t="inlineStr">
        <is>
          <t>ÖREBRO LÄN</t>
        </is>
      </c>
      <c r="E214" t="inlineStr">
        <is>
          <t>LINDESBERG</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49544-2023</t>
        </is>
      </c>
      <c r="B215" s="1" t="n">
        <v>45211</v>
      </c>
      <c r="C215" s="1" t="n">
        <v>46187</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48867-2025</t>
        </is>
      </c>
      <c r="B216" s="1" t="n">
        <v>45937.4484837963</v>
      </c>
      <c r="C216" s="1" t="n">
        <v>46187</v>
      </c>
      <c r="D216" t="inlineStr">
        <is>
          <t>ÖREBRO LÄN</t>
        </is>
      </c>
      <c r="E216" t="inlineStr">
        <is>
          <t>LINDESBERG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38509-2025</t>
        </is>
      </c>
      <c r="B217" s="1" t="n">
        <v>45884.38858796296</v>
      </c>
      <c r="C217" s="1" t="n">
        <v>46187</v>
      </c>
      <c r="D217" t="inlineStr">
        <is>
          <t>ÖREBRO LÄN</t>
        </is>
      </c>
      <c r="E217" t="inlineStr">
        <is>
          <t>LINDESBERG</t>
        </is>
      </c>
      <c r="G217" t="n">
        <v>14.9</v>
      </c>
      <c r="H217" t="n">
        <v>0</v>
      </c>
      <c r="I217" t="n">
        <v>0</v>
      </c>
      <c r="J217" t="n">
        <v>0</v>
      </c>
      <c r="K217" t="n">
        <v>0</v>
      </c>
      <c r="L217" t="n">
        <v>0</v>
      </c>
      <c r="M217" t="n">
        <v>0</v>
      </c>
      <c r="N217" t="n">
        <v>0</v>
      </c>
      <c r="O217" t="n">
        <v>0</v>
      </c>
      <c r="P217" t="n">
        <v>0</v>
      </c>
      <c r="Q217" t="n">
        <v>0</v>
      </c>
      <c r="R217" s="2" t="inlineStr"/>
    </row>
    <row r="218" ht="15" customHeight="1">
      <c r="A218" t="inlineStr">
        <is>
          <t>A 49133-2025</t>
        </is>
      </c>
      <c r="B218" s="1" t="n">
        <v>45937.92319444445</v>
      </c>
      <c r="C218" s="1" t="n">
        <v>46187</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27702-2025</t>
        </is>
      </c>
      <c r="B219" s="1" t="n">
        <v>45813</v>
      </c>
      <c r="C219" s="1" t="n">
        <v>46187</v>
      </c>
      <c r="D219" t="inlineStr">
        <is>
          <t>ÖREBRO LÄN</t>
        </is>
      </c>
      <c r="E219" t="inlineStr">
        <is>
          <t>LINDESBERG</t>
        </is>
      </c>
      <c r="G219" t="n">
        <v>1.4</v>
      </c>
      <c r="H219" t="n">
        <v>0</v>
      </c>
      <c r="I219" t="n">
        <v>0</v>
      </c>
      <c r="J219" t="n">
        <v>0</v>
      </c>
      <c r="K219" t="n">
        <v>0</v>
      </c>
      <c r="L219" t="n">
        <v>0</v>
      </c>
      <c r="M219" t="n">
        <v>0</v>
      </c>
      <c r="N219" t="n">
        <v>0</v>
      </c>
      <c r="O219" t="n">
        <v>0</v>
      </c>
      <c r="P219" t="n">
        <v>0</v>
      </c>
      <c r="Q219" t="n">
        <v>0</v>
      </c>
      <c r="R219" s="2" t="inlineStr"/>
    </row>
    <row r="220" ht="15" customHeight="1">
      <c r="A220" t="inlineStr">
        <is>
          <t>A 48993-2025</t>
        </is>
      </c>
      <c r="B220" s="1" t="n">
        <v>45937.58590277778</v>
      </c>
      <c r="C220" s="1" t="n">
        <v>46187</v>
      </c>
      <c r="D220" t="inlineStr">
        <is>
          <t>ÖREBRO LÄN</t>
        </is>
      </c>
      <c r="E220" t="inlineStr">
        <is>
          <t>LINDESBERG</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23260-2024</t>
        </is>
      </c>
      <c r="B221" s="1" t="n">
        <v>45453.36664351852</v>
      </c>
      <c r="C221" s="1" t="n">
        <v>46187</v>
      </c>
      <c r="D221" t="inlineStr">
        <is>
          <t>ÖREBRO LÄN</t>
        </is>
      </c>
      <c r="E221" t="inlineStr">
        <is>
          <t>LINDESBERG</t>
        </is>
      </c>
      <c r="F221" t="inlineStr">
        <is>
          <t>Sveaskog</t>
        </is>
      </c>
      <c r="G221" t="n">
        <v>0.3</v>
      </c>
      <c r="H221" t="n">
        <v>0</v>
      </c>
      <c r="I221" t="n">
        <v>0</v>
      </c>
      <c r="J221" t="n">
        <v>0</v>
      </c>
      <c r="K221" t="n">
        <v>0</v>
      </c>
      <c r="L221" t="n">
        <v>0</v>
      </c>
      <c r="M221" t="n">
        <v>0</v>
      </c>
      <c r="N221" t="n">
        <v>0</v>
      </c>
      <c r="O221" t="n">
        <v>0</v>
      </c>
      <c r="P221" t="n">
        <v>0</v>
      </c>
      <c r="Q221" t="n">
        <v>0</v>
      </c>
      <c r="R221" s="2" t="inlineStr"/>
    </row>
    <row r="222" ht="15" customHeight="1">
      <c r="A222" t="inlineStr">
        <is>
          <t>A 12692-2024</t>
        </is>
      </c>
      <c r="B222" s="1" t="n">
        <v>45384.43418981481</v>
      </c>
      <c r="C222" s="1" t="n">
        <v>46187</v>
      </c>
      <c r="D222" t="inlineStr">
        <is>
          <t>ÖREBRO LÄN</t>
        </is>
      </c>
      <c r="E222" t="inlineStr">
        <is>
          <t>LINDESBERG</t>
        </is>
      </c>
      <c r="G222" t="n">
        <v>5.2</v>
      </c>
      <c r="H222" t="n">
        <v>0</v>
      </c>
      <c r="I222" t="n">
        <v>0</v>
      </c>
      <c r="J222" t="n">
        <v>0</v>
      </c>
      <c r="K222" t="n">
        <v>0</v>
      </c>
      <c r="L222" t="n">
        <v>0</v>
      </c>
      <c r="M222" t="n">
        <v>0</v>
      </c>
      <c r="N222" t="n">
        <v>0</v>
      </c>
      <c r="O222" t="n">
        <v>0</v>
      </c>
      <c r="P222" t="n">
        <v>0</v>
      </c>
      <c r="Q222" t="n">
        <v>0</v>
      </c>
      <c r="R222" s="2" t="inlineStr"/>
    </row>
    <row r="223" ht="15" customHeight="1">
      <c r="A223" t="inlineStr">
        <is>
          <t>A 46607-2021</t>
        </is>
      </c>
      <c r="B223" s="1" t="n">
        <v>44445.55690972223</v>
      </c>
      <c r="C223" s="1" t="n">
        <v>46187</v>
      </c>
      <c r="D223" t="inlineStr">
        <is>
          <t>ÖREBRO LÄN</t>
        </is>
      </c>
      <c r="E223" t="inlineStr">
        <is>
          <t>LINDESBERG</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49183-2025</t>
        </is>
      </c>
      <c r="B224" s="1" t="n">
        <v>45938.39741898148</v>
      </c>
      <c r="C224" s="1" t="n">
        <v>46187</v>
      </c>
      <c r="D224" t="inlineStr">
        <is>
          <t>ÖREBRO LÄN</t>
        </is>
      </c>
      <c r="E224" t="inlineStr">
        <is>
          <t>LINDESBERG</t>
        </is>
      </c>
      <c r="G224" t="n">
        <v>4.4</v>
      </c>
      <c r="H224" t="n">
        <v>0</v>
      </c>
      <c r="I224" t="n">
        <v>0</v>
      </c>
      <c r="J224" t="n">
        <v>0</v>
      </c>
      <c r="K224" t="n">
        <v>0</v>
      </c>
      <c r="L224" t="n">
        <v>0</v>
      </c>
      <c r="M224" t="n">
        <v>0</v>
      </c>
      <c r="N224" t="n">
        <v>0</v>
      </c>
      <c r="O224" t="n">
        <v>0</v>
      </c>
      <c r="P224" t="n">
        <v>0</v>
      </c>
      <c r="Q224" t="n">
        <v>0</v>
      </c>
      <c r="R224" s="2" t="inlineStr"/>
    </row>
    <row r="225" ht="15" customHeight="1">
      <c r="A225" t="inlineStr">
        <is>
          <t>A 61594-2024</t>
        </is>
      </c>
      <c r="B225" s="1" t="n">
        <v>45646.63482638889</v>
      </c>
      <c r="C225" s="1" t="n">
        <v>46187</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49707-2025</t>
        </is>
      </c>
      <c r="B226" s="1" t="n">
        <v>45939.67951388889</v>
      </c>
      <c r="C226" s="1" t="n">
        <v>46187</v>
      </c>
      <c r="D226" t="inlineStr">
        <is>
          <t>ÖREBRO LÄN</t>
        </is>
      </c>
      <c r="E226" t="inlineStr">
        <is>
          <t>LINDESBERG</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20930-2025</t>
        </is>
      </c>
      <c r="B227" s="1" t="n">
        <v>45777.42628472222</v>
      </c>
      <c r="C227" s="1" t="n">
        <v>46187</v>
      </c>
      <c r="D227" t="inlineStr">
        <is>
          <t>ÖREBRO LÄN</t>
        </is>
      </c>
      <c r="E227" t="inlineStr">
        <is>
          <t>LINDESBERG</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34676-2023</t>
        </is>
      </c>
      <c r="B228" s="1" t="n">
        <v>45140</v>
      </c>
      <c r="C228" s="1" t="n">
        <v>46187</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49946-2025</t>
        </is>
      </c>
      <c r="B229" s="1" t="n">
        <v>45940.69862268519</v>
      </c>
      <c r="C229" s="1" t="n">
        <v>46187</v>
      </c>
      <c r="D229" t="inlineStr">
        <is>
          <t>ÖREBRO LÄN</t>
        </is>
      </c>
      <c r="E229" t="inlineStr">
        <is>
          <t>LINDESBERG</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16447-2025</t>
        </is>
      </c>
      <c r="B230" s="1" t="n">
        <v>45751.50498842593</v>
      </c>
      <c r="C230" s="1" t="n">
        <v>46187</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49943-2025</t>
        </is>
      </c>
      <c r="B231" s="1" t="n">
        <v>45940.69521990741</v>
      </c>
      <c r="C231" s="1" t="n">
        <v>46187</v>
      </c>
      <c r="D231" t="inlineStr">
        <is>
          <t>ÖREBRO LÄN</t>
        </is>
      </c>
      <c r="E231" t="inlineStr">
        <is>
          <t>LINDESBERG</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49944-2025</t>
        </is>
      </c>
      <c r="B232" s="1" t="n">
        <v>45940.69643518519</v>
      </c>
      <c r="C232" s="1" t="n">
        <v>46187</v>
      </c>
      <c r="D232" t="inlineStr">
        <is>
          <t>ÖREBRO LÄN</t>
        </is>
      </c>
      <c r="E232" t="inlineStr">
        <is>
          <t>LINDESBERG</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49947-2025</t>
        </is>
      </c>
      <c r="B233" s="1" t="n">
        <v>45940.70018518518</v>
      </c>
      <c r="C233" s="1" t="n">
        <v>46187</v>
      </c>
      <c r="D233" t="inlineStr">
        <is>
          <t>ÖREBRO LÄN</t>
        </is>
      </c>
      <c r="E233" t="inlineStr">
        <is>
          <t>LINDESBERG</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50072-2025</t>
        </is>
      </c>
      <c r="B234" s="1" t="n">
        <v>45943.45966435185</v>
      </c>
      <c r="C234" s="1" t="n">
        <v>46187</v>
      </c>
      <c r="D234" t="inlineStr">
        <is>
          <t>ÖREBRO LÄN</t>
        </is>
      </c>
      <c r="E234" t="inlineStr">
        <is>
          <t>LINDESBERG</t>
        </is>
      </c>
      <c r="G234" t="n">
        <v>1.5</v>
      </c>
      <c r="H234" t="n">
        <v>0</v>
      </c>
      <c r="I234" t="n">
        <v>0</v>
      </c>
      <c r="J234" t="n">
        <v>0</v>
      </c>
      <c r="K234" t="n">
        <v>0</v>
      </c>
      <c r="L234" t="n">
        <v>0</v>
      </c>
      <c r="M234" t="n">
        <v>0</v>
      </c>
      <c r="N234" t="n">
        <v>0</v>
      </c>
      <c r="O234" t="n">
        <v>0</v>
      </c>
      <c r="P234" t="n">
        <v>0</v>
      </c>
      <c r="Q234" t="n">
        <v>0</v>
      </c>
      <c r="R234" s="2" t="inlineStr"/>
    </row>
    <row r="235" ht="15" customHeight="1">
      <c r="A235" t="inlineStr">
        <is>
          <t>A 50086-2025</t>
        </is>
      </c>
      <c r="B235" s="1" t="n">
        <v>45943.47649305555</v>
      </c>
      <c r="C235" s="1" t="n">
        <v>46187</v>
      </c>
      <c r="D235" t="inlineStr">
        <is>
          <t>ÖREBRO LÄN</t>
        </is>
      </c>
      <c r="E235" t="inlineStr">
        <is>
          <t>LINDESBERG</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50073-2025</t>
        </is>
      </c>
      <c r="B236" s="1" t="n">
        <v>45943.4603125</v>
      </c>
      <c r="C236" s="1" t="n">
        <v>46187</v>
      </c>
      <c r="D236" t="inlineStr">
        <is>
          <t>ÖREBRO LÄN</t>
        </is>
      </c>
      <c r="E236" t="inlineStr">
        <is>
          <t>LINDESBERG</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12795-2025</t>
        </is>
      </c>
      <c r="B237" s="1" t="n">
        <v>45733.60959490741</v>
      </c>
      <c r="C237" s="1" t="n">
        <v>46187</v>
      </c>
      <c r="D237" t="inlineStr">
        <is>
          <t>ÖREBRO LÄN</t>
        </is>
      </c>
      <c r="E237" t="inlineStr">
        <is>
          <t>LINDESBERG</t>
        </is>
      </c>
      <c r="G237" t="n">
        <v>10.8</v>
      </c>
      <c r="H237" t="n">
        <v>0</v>
      </c>
      <c r="I237" t="n">
        <v>0</v>
      </c>
      <c r="J237" t="n">
        <v>0</v>
      </c>
      <c r="K237" t="n">
        <v>0</v>
      </c>
      <c r="L237" t="n">
        <v>0</v>
      </c>
      <c r="M237" t="n">
        <v>0</v>
      </c>
      <c r="N237" t="n">
        <v>0</v>
      </c>
      <c r="O237" t="n">
        <v>0</v>
      </c>
      <c r="P237" t="n">
        <v>0</v>
      </c>
      <c r="Q237" t="n">
        <v>0</v>
      </c>
      <c r="R237" s="2" t="inlineStr"/>
    </row>
    <row r="238" ht="15" customHeight="1">
      <c r="A238" t="inlineStr">
        <is>
          <t>A 20944-2025</t>
        </is>
      </c>
      <c r="B238" s="1" t="n">
        <v>45777</v>
      </c>
      <c r="C238" s="1" t="n">
        <v>46187</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20950-2025</t>
        </is>
      </c>
      <c r="B239" s="1" t="n">
        <v>45777.43878472222</v>
      </c>
      <c r="C239" s="1" t="n">
        <v>46187</v>
      </c>
      <c r="D239" t="inlineStr">
        <is>
          <t>ÖREBRO LÄN</t>
        </is>
      </c>
      <c r="E239" t="inlineStr">
        <is>
          <t>LINDESBERG</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46187</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46187</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20804-2025</t>
        </is>
      </c>
      <c r="B242" s="1" t="n">
        <v>45776.65518518518</v>
      </c>
      <c r="C242" s="1" t="n">
        <v>46187</v>
      </c>
      <c r="D242" t="inlineStr">
        <is>
          <t>ÖREBRO LÄN</t>
        </is>
      </c>
      <c r="E242" t="inlineStr">
        <is>
          <t>LINDESBERG</t>
        </is>
      </c>
      <c r="G242" t="n">
        <v>3.2</v>
      </c>
      <c r="H242" t="n">
        <v>0</v>
      </c>
      <c r="I242" t="n">
        <v>0</v>
      </c>
      <c r="J242" t="n">
        <v>0</v>
      </c>
      <c r="K242" t="n">
        <v>0</v>
      </c>
      <c r="L242" t="n">
        <v>0</v>
      </c>
      <c r="M242" t="n">
        <v>0</v>
      </c>
      <c r="N242" t="n">
        <v>0</v>
      </c>
      <c r="O242" t="n">
        <v>0</v>
      </c>
      <c r="P242" t="n">
        <v>0</v>
      </c>
      <c r="Q242" t="n">
        <v>0</v>
      </c>
      <c r="R242" s="2" t="inlineStr"/>
    </row>
    <row r="243" ht="15" customHeight="1">
      <c r="A243" t="inlineStr">
        <is>
          <t>A 46647-2024</t>
        </is>
      </c>
      <c r="B243" s="1" t="n">
        <v>45583</v>
      </c>
      <c r="C243" s="1" t="n">
        <v>46187</v>
      </c>
      <c r="D243" t="inlineStr">
        <is>
          <t>ÖREBRO LÄN</t>
        </is>
      </c>
      <c r="E243" t="inlineStr">
        <is>
          <t>LINDESBERG</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43247-2023</t>
        </is>
      </c>
      <c r="B244" s="1" t="n">
        <v>45183.48666666666</v>
      </c>
      <c r="C244" s="1" t="n">
        <v>46187</v>
      </c>
      <c r="D244" t="inlineStr">
        <is>
          <t>ÖREBRO LÄN</t>
        </is>
      </c>
      <c r="E244" t="inlineStr">
        <is>
          <t>LINDESBERG</t>
        </is>
      </c>
      <c r="G244" t="n">
        <v>3</v>
      </c>
      <c r="H244" t="n">
        <v>0</v>
      </c>
      <c r="I244" t="n">
        <v>0</v>
      </c>
      <c r="J244" t="n">
        <v>0</v>
      </c>
      <c r="K244" t="n">
        <v>0</v>
      </c>
      <c r="L244" t="n">
        <v>0</v>
      </c>
      <c r="M244" t="n">
        <v>0</v>
      </c>
      <c r="N244" t="n">
        <v>0</v>
      </c>
      <c r="O244" t="n">
        <v>0</v>
      </c>
      <c r="P244" t="n">
        <v>0</v>
      </c>
      <c r="Q244" t="n">
        <v>0</v>
      </c>
      <c r="R244" s="2" t="inlineStr"/>
    </row>
    <row r="245" ht="15" customHeight="1">
      <c r="A245" t="inlineStr">
        <is>
          <t>A 37507-2023</t>
        </is>
      </c>
      <c r="B245" s="1" t="n">
        <v>45158.41768518519</v>
      </c>
      <c r="C245" s="1" t="n">
        <v>46187</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21812-2025</t>
        </is>
      </c>
      <c r="B246" s="1" t="n">
        <v>45783.71833333333</v>
      </c>
      <c r="C246" s="1" t="n">
        <v>46187</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51172-2025</t>
        </is>
      </c>
      <c r="B247" s="1" t="n">
        <v>45947.60508101852</v>
      </c>
      <c r="C247" s="1" t="n">
        <v>46187</v>
      </c>
      <c r="D247" t="inlineStr">
        <is>
          <t>ÖREBRO LÄN</t>
        </is>
      </c>
      <c r="E247" t="inlineStr">
        <is>
          <t>LINDESBERG</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50933-2025</t>
        </is>
      </c>
      <c r="B248" s="1" t="n">
        <v>45946.68859953704</v>
      </c>
      <c r="C248" s="1" t="n">
        <v>46187</v>
      </c>
      <c r="D248" t="inlineStr">
        <is>
          <t>ÖREBRO LÄN</t>
        </is>
      </c>
      <c r="E248" t="inlineStr">
        <is>
          <t>LINDESBERG</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50765-2025</t>
        </is>
      </c>
      <c r="B249" s="1" t="n">
        <v>45946.44216435185</v>
      </c>
      <c r="C249" s="1" t="n">
        <v>46187</v>
      </c>
      <c r="D249" t="inlineStr">
        <is>
          <t>ÖREBRO LÄN</t>
        </is>
      </c>
      <c r="E249" t="inlineStr">
        <is>
          <t>LINDESBERG</t>
        </is>
      </c>
      <c r="F249" t="inlineStr">
        <is>
          <t>Sveaskog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51030-2025</t>
        </is>
      </c>
      <c r="B250" s="1" t="n">
        <v>45947.40105324074</v>
      </c>
      <c r="C250" s="1" t="n">
        <v>46187</v>
      </c>
      <c r="D250" t="inlineStr">
        <is>
          <t>ÖREBRO LÄN</t>
        </is>
      </c>
      <c r="E250" t="inlineStr">
        <is>
          <t>LINDESBERG</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50936-2025</t>
        </is>
      </c>
      <c r="B251" s="1" t="n">
        <v>45946.69616898148</v>
      </c>
      <c r="C251" s="1" t="n">
        <v>46187</v>
      </c>
      <c r="D251" t="inlineStr">
        <is>
          <t>ÖREBRO LÄN</t>
        </is>
      </c>
      <c r="E251" t="inlineStr">
        <is>
          <t>LINDESBERG</t>
        </is>
      </c>
      <c r="G251" t="n">
        <v>2.9</v>
      </c>
      <c r="H251" t="n">
        <v>0</v>
      </c>
      <c r="I251" t="n">
        <v>0</v>
      </c>
      <c r="J251" t="n">
        <v>0</v>
      </c>
      <c r="K251" t="n">
        <v>0</v>
      </c>
      <c r="L251" t="n">
        <v>0</v>
      </c>
      <c r="M251" t="n">
        <v>0</v>
      </c>
      <c r="N251" t="n">
        <v>0</v>
      </c>
      <c r="O251" t="n">
        <v>0</v>
      </c>
      <c r="P251" t="n">
        <v>0</v>
      </c>
      <c r="Q251" t="n">
        <v>0</v>
      </c>
      <c r="R251" s="2" t="inlineStr"/>
    </row>
    <row r="252" ht="15" customHeight="1">
      <c r="A252" t="inlineStr">
        <is>
          <t>A 43195-2024</t>
        </is>
      </c>
      <c r="B252" s="1" t="n">
        <v>45567.68003472222</v>
      </c>
      <c r="C252" s="1" t="n">
        <v>46187</v>
      </c>
      <c r="D252" t="inlineStr">
        <is>
          <t>ÖREBRO LÄN</t>
        </is>
      </c>
      <c r="E252" t="inlineStr">
        <is>
          <t>LINDESBERG</t>
        </is>
      </c>
      <c r="G252" t="n">
        <v>27.8</v>
      </c>
      <c r="H252" t="n">
        <v>0</v>
      </c>
      <c r="I252" t="n">
        <v>0</v>
      </c>
      <c r="J252" t="n">
        <v>0</v>
      </c>
      <c r="K252" t="n">
        <v>0</v>
      </c>
      <c r="L252" t="n">
        <v>0</v>
      </c>
      <c r="M252" t="n">
        <v>0</v>
      </c>
      <c r="N252" t="n">
        <v>0</v>
      </c>
      <c r="O252" t="n">
        <v>0</v>
      </c>
      <c r="P252" t="n">
        <v>0</v>
      </c>
      <c r="Q252" t="n">
        <v>0</v>
      </c>
      <c r="R252" s="2" t="inlineStr"/>
    </row>
    <row r="253" ht="15" customHeight="1">
      <c r="A253" t="inlineStr">
        <is>
          <t>A 38861-2025</t>
        </is>
      </c>
      <c r="B253" s="1" t="n">
        <v>45887.56101851852</v>
      </c>
      <c r="C253" s="1" t="n">
        <v>46187</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53189-2023</t>
        </is>
      </c>
      <c r="B254" s="1" t="n">
        <v>45194</v>
      </c>
      <c r="C254" s="1" t="n">
        <v>46187</v>
      </c>
      <c r="D254" t="inlineStr">
        <is>
          <t>ÖREBRO LÄN</t>
        </is>
      </c>
      <c r="E254" t="inlineStr">
        <is>
          <t>LINDESBERG</t>
        </is>
      </c>
      <c r="G254" t="n">
        <v>2</v>
      </c>
      <c r="H254" t="n">
        <v>0</v>
      </c>
      <c r="I254" t="n">
        <v>0</v>
      </c>
      <c r="J254" t="n">
        <v>0</v>
      </c>
      <c r="K254" t="n">
        <v>0</v>
      </c>
      <c r="L254" t="n">
        <v>0</v>
      </c>
      <c r="M254" t="n">
        <v>0</v>
      </c>
      <c r="N254" t="n">
        <v>0</v>
      </c>
      <c r="O254" t="n">
        <v>0</v>
      </c>
      <c r="P254" t="n">
        <v>0</v>
      </c>
      <c r="Q254" t="n">
        <v>0</v>
      </c>
      <c r="R254" s="2" t="inlineStr"/>
    </row>
    <row r="255" ht="15" customHeight="1">
      <c r="A255" t="inlineStr">
        <is>
          <t>A 52117-2025</t>
        </is>
      </c>
      <c r="B255" s="1" t="n">
        <v>45952.70765046297</v>
      </c>
      <c r="C255" s="1" t="n">
        <v>46187</v>
      </c>
      <c r="D255" t="inlineStr">
        <is>
          <t>ÖREBRO LÄN</t>
        </is>
      </c>
      <c r="E255" t="inlineStr">
        <is>
          <t>LINDESBERG</t>
        </is>
      </c>
      <c r="G255" t="n">
        <v>4.6</v>
      </c>
      <c r="H255" t="n">
        <v>0</v>
      </c>
      <c r="I255" t="n">
        <v>0</v>
      </c>
      <c r="J255" t="n">
        <v>0</v>
      </c>
      <c r="K255" t="n">
        <v>0</v>
      </c>
      <c r="L255" t="n">
        <v>0</v>
      </c>
      <c r="M255" t="n">
        <v>0</v>
      </c>
      <c r="N255" t="n">
        <v>0</v>
      </c>
      <c r="O255" t="n">
        <v>0</v>
      </c>
      <c r="P255" t="n">
        <v>0</v>
      </c>
      <c r="Q255" t="n">
        <v>0</v>
      </c>
      <c r="R255" s="2" t="inlineStr"/>
    </row>
    <row r="256" ht="15" customHeight="1">
      <c r="A256" t="inlineStr">
        <is>
          <t>A 52103-2025</t>
        </is>
      </c>
      <c r="B256" s="1" t="n">
        <v>45952.68439814815</v>
      </c>
      <c r="C256" s="1" t="n">
        <v>46187</v>
      </c>
      <c r="D256" t="inlineStr">
        <is>
          <t>ÖREBRO LÄN</t>
        </is>
      </c>
      <c r="E256" t="inlineStr">
        <is>
          <t>LINDESBERG</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23649-2023</t>
        </is>
      </c>
      <c r="B257" s="1" t="n">
        <v>45074</v>
      </c>
      <c r="C257" s="1" t="n">
        <v>46187</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45041-2024</t>
        </is>
      </c>
      <c r="B258" s="1" t="n">
        <v>45575.53690972222</v>
      </c>
      <c r="C258" s="1" t="n">
        <v>46187</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39429-2025</t>
        </is>
      </c>
      <c r="B259" s="1" t="n">
        <v>45889.67577546297</v>
      </c>
      <c r="C259" s="1" t="n">
        <v>46187</v>
      </c>
      <c r="D259" t="inlineStr">
        <is>
          <t>ÖREBRO LÄN</t>
        </is>
      </c>
      <c r="E259" t="inlineStr">
        <is>
          <t>LINDESBERG</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29938-2024</t>
        </is>
      </c>
      <c r="B260" s="1" t="n">
        <v>45488.41480324074</v>
      </c>
      <c r="C260" s="1" t="n">
        <v>46187</v>
      </c>
      <c r="D260" t="inlineStr">
        <is>
          <t>ÖREBRO LÄN</t>
        </is>
      </c>
      <c r="E260" t="inlineStr">
        <is>
          <t>LINDESBERG</t>
        </is>
      </c>
      <c r="G260" t="n">
        <v>4</v>
      </c>
      <c r="H260" t="n">
        <v>0</v>
      </c>
      <c r="I260" t="n">
        <v>0</v>
      </c>
      <c r="J260" t="n">
        <v>0</v>
      </c>
      <c r="K260" t="n">
        <v>0</v>
      </c>
      <c r="L260" t="n">
        <v>0</v>
      </c>
      <c r="M260" t="n">
        <v>0</v>
      </c>
      <c r="N260" t="n">
        <v>0</v>
      </c>
      <c r="O260" t="n">
        <v>0</v>
      </c>
      <c r="P260" t="n">
        <v>0</v>
      </c>
      <c r="Q260" t="n">
        <v>0</v>
      </c>
      <c r="R260" s="2" t="inlineStr"/>
    </row>
    <row r="261" ht="15" customHeight="1">
      <c r="A261" t="inlineStr">
        <is>
          <t>A 39421-2025</t>
        </is>
      </c>
      <c r="B261" s="1" t="n">
        <v>45889.66935185185</v>
      </c>
      <c r="C261" s="1" t="n">
        <v>46187</v>
      </c>
      <c r="D261" t="inlineStr">
        <is>
          <t>ÖREBRO LÄN</t>
        </is>
      </c>
      <c r="E261" t="inlineStr">
        <is>
          <t>LINDESBERG</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39424-2025</t>
        </is>
      </c>
      <c r="B262" s="1" t="n">
        <v>45889.67290509259</v>
      </c>
      <c r="C262" s="1" t="n">
        <v>46187</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47535-2022</t>
        </is>
      </c>
      <c r="B263" s="1" t="n">
        <v>44853.79818287037</v>
      </c>
      <c r="C263" s="1" t="n">
        <v>46187</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43433-2024</t>
        </is>
      </c>
      <c r="B264" s="1" t="n">
        <v>45568.64523148148</v>
      </c>
      <c r="C264" s="1" t="n">
        <v>46187</v>
      </c>
      <c r="D264" t="inlineStr">
        <is>
          <t>ÖREBRO LÄN</t>
        </is>
      </c>
      <c r="E264" t="inlineStr">
        <is>
          <t>LINDESBERG</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52104-2025</t>
        </is>
      </c>
      <c r="B265" s="1" t="n">
        <v>45952.68524305556</v>
      </c>
      <c r="C265" s="1" t="n">
        <v>46187</v>
      </c>
      <c r="D265" t="inlineStr">
        <is>
          <t>ÖREBRO LÄN</t>
        </is>
      </c>
      <c r="E265" t="inlineStr">
        <is>
          <t>LINDESBERG</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31861-2024</t>
        </is>
      </c>
      <c r="B266" s="1" t="n">
        <v>45509.73383101852</v>
      </c>
      <c r="C266" s="1" t="n">
        <v>46187</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52401-2025</t>
        </is>
      </c>
      <c r="B267" s="1" t="n">
        <v>45954.35075231481</v>
      </c>
      <c r="C267" s="1" t="n">
        <v>46187</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52402-2025</t>
        </is>
      </c>
      <c r="B268" s="1" t="n">
        <v>45954.35387731482</v>
      </c>
      <c r="C268" s="1" t="n">
        <v>46187</v>
      </c>
      <c r="D268" t="inlineStr">
        <is>
          <t>ÖREBRO LÄN</t>
        </is>
      </c>
      <c r="E268" t="inlineStr">
        <is>
          <t>LINDESBERG</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23102-2023</t>
        </is>
      </c>
      <c r="B269" s="1" t="n">
        <v>45075.44152777778</v>
      </c>
      <c r="C269" s="1" t="n">
        <v>46187</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40347-2025</t>
        </is>
      </c>
      <c r="B270" s="1" t="n">
        <v>45895.4790625</v>
      </c>
      <c r="C270" s="1" t="n">
        <v>46187</v>
      </c>
      <c r="D270" t="inlineStr">
        <is>
          <t>ÖREBRO LÄN</t>
        </is>
      </c>
      <c r="E270" t="inlineStr">
        <is>
          <t>LINDESBERG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40346-2025</t>
        </is>
      </c>
      <c r="B271" s="1" t="n">
        <v>45895.47704861111</v>
      </c>
      <c r="C271" s="1" t="n">
        <v>46187</v>
      </c>
      <c r="D271" t="inlineStr">
        <is>
          <t>ÖREBRO LÄN</t>
        </is>
      </c>
      <c r="E271" t="inlineStr">
        <is>
          <t>LINDESBERG</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2414-2024</t>
        </is>
      </c>
      <c r="B272" s="1" t="n">
        <v>45310.87931712963</v>
      </c>
      <c r="C272" s="1" t="n">
        <v>46187</v>
      </c>
      <c r="D272" t="inlineStr">
        <is>
          <t>ÖREBRO LÄN</t>
        </is>
      </c>
      <c r="E272" t="inlineStr">
        <is>
          <t>LINDESBERG</t>
        </is>
      </c>
      <c r="G272" t="n">
        <v>7.2</v>
      </c>
      <c r="H272" t="n">
        <v>0</v>
      </c>
      <c r="I272" t="n">
        <v>0</v>
      </c>
      <c r="J272" t="n">
        <v>0</v>
      </c>
      <c r="K272" t="n">
        <v>0</v>
      </c>
      <c r="L272" t="n">
        <v>0</v>
      </c>
      <c r="M272" t="n">
        <v>0</v>
      </c>
      <c r="N272" t="n">
        <v>0</v>
      </c>
      <c r="O272" t="n">
        <v>0</v>
      </c>
      <c r="P272" t="n">
        <v>0</v>
      </c>
      <c r="Q272" t="n">
        <v>0</v>
      </c>
      <c r="R272" s="2" t="inlineStr"/>
    </row>
    <row r="273" ht="15" customHeight="1">
      <c r="A273" t="inlineStr">
        <is>
          <t>A 1490-2024</t>
        </is>
      </c>
      <c r="B273" s="1" t="n">
        <v>45305</v>
      </c>
      <c r="C273" s="1" t="n">
        <v>46187</v>
      </c>
      <c r="D273" t="inlineStr">
        <is>
          <t>ÖREBRO LÄN</t>
        </is>
      </c>
      <c r="E273" t="inlineStr">
        <is>
          <t>LINDESBERG</t>
        </is>
      </c>
      <c r="G273" t="n">
        <v>17.6</v>
      </c>
      <c r="H273" t="n">
        <v>0</v>
      </c>
      <c r="I273" t="n">
        <v>0</v>
      </c>
      <c r="J273" t="n">
        <v>0</v>
      </c>
      <c r="K273" t="n">
        <v>0</v>
      </c>
      <c r="L273" t="n">
        <v>0</v>
      </c>
      <c r="M273" t="n">
        <v>0</v>
      </c>
      <c r="N273" t="n">
        <v>0</v>
      </c>
      <c r="O273" t="n">
        <v>0</v>
      </c>
      <c r="P273" t="n">
        <v>0</v>
      </c>
      <c r="Q273" t="n">
        <v>0</v>
      </c>
      <c r="R273" s="2" t="inlineStr"/>
    </row>
    <row r="274" ht="15" customHeight="1">
      <c r="A274" t="inlineStr">
        <is>
          <t>A 54249-2025</t>
        </is>
      </c>
      <c r="B274" s="1" t="n">
        <v>45964.64599537037</v>
      </c>
      <c r="C274" s="1" t="n">
        <v>46187</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40357-2025</t>
        </is>
      </c>
      <c r="B275" s="1" t="n">
        <v>45895.48927083334</v>
      </c>
      <c r="C275" s="1" t="n">
        <v>46187</v>
      </c>
      <c r="D275" t="inlineStr">
        <is>
          <t>ÖREBRO LÄN</t>
        </is>
      </c>
      <c r="E275" t="inlineStr">
        <is>
          <t>LINDESBERG</t>
        </is>
      </c>
      <c r="F275" t="inlineStr">
        <is>
          <t>Sveaskog</t>
        </is>
      </c>
      <c r="G275" t="n">
        <v>2.7</v>
      </c>
      <c r="H275" t="n">
        <v>0</v>
      </c>
      <c r="I275" t="n">
        <v>0</v>
      </c>
      <c r="J275" t="n">
        <v>0</v>
      </c>
      <c r="K275" t="n">
        <v>0</v>
      </c>
      <c r="L275" t="n">
        <v>0</v>
      </c>
      <c r="M275" t="n">
        <v>0</v>
      </c>
      <c r="N275" t="n">
        <v>0</v>
      </c>
      <c r="O275" t="n">
        <v>0</v>
      </c>
      <c r="P275" t="n">
        <v>0</v>
      </c>
      <c r="Q275" t="n">
        <v>0</v>
      </c>
      <c r="R275" s="2" t="inlineStr"/>
    </row>
    <row r="276" ht="15" customHeight="1">
      <c r="A276" t="inlineStr">
        <is>
          <t>A 27434-2023</t>
        </is>
      </c>
      <c r="B276" s="1" t="n">
        <v>45097.38688657407</v>
      </c>
      <c r="C276" s="1" t="n">
        <v>46187</v>
      </c>
      <c r="D276" t="inlineStr">
        <is>
          <t>ÖREBRO LÄN</t>
        </is>
      </c>
      <c r="E276" t="inlineStr">
        <is>
          <t>LINDESBERG</t>
        </is>
      </c>
      <c r="G276" t="n">
        <v>10.7</v>
      </c>
      <c r="H276" t="n">
        <v>0</v>
      </c>
      <c r="I276" t="n">
        <v>0</v>
      </c>
      <c r="J276" t="n">
        <v>0</v>
      </c>
      <c r="K276" t="n">
        <v>0</v>
      </c>
      <c r="L276" t="n">
        <v>0</v>
      </c>
      <c r="M276" t="n">
        <v>0</v>
      </c>
      <c r="N276" t="n">
        <v>0</v>
      </c>
      <c r="O276" t="n">
        <v>0</v>
      </c>
      <c r="P276" t="n">
        <v>0</v>
      </c>
      <c r="Q276" t="n">
        <v>0</v>
      </c>
      <c r="R276" s="2" t="inlineStr"/>
    </row>
    <row r="277" ht="15" customHeight="1">
      <c r="A277" t="inlineStr">
        <is>
          <t>A 54070-2025</t>
        </is>
      </c>
      <c r="B277" s="1" t="n">
        <v>45964.34680555556</v>
      </c>
      <c r="C277" s="1" t="n">
        <v>46187</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24583-2024</t>
        </is>
      </c>
      <c r="B278" s="1" t="n">
        <v>45460.46358796296</v>
      </c>
      <c r="C278" s="1" t="n">
        <v>46187</v>
      </c>
      <c r="D278" t="inlineStr">
        <is>
          <t>ÖREBRO LÄN</t>
        </is>
      </c>
      <c r="E278" t="inlineStr">
        <is>
          <t>LINDESBERG</t>
        </is>
      </c>
      <c r="G278" t="n">
        <v>13.7</v>
      </c>
      <c r="H278" t="n">
        <v>0</v>
      </c>
      <c r="I278" t="n">
        <v>0</v>
      </c>
      <c r="J278" t="n">
        <v>0</v>
      </c>
      <c r="K278" t="n">
        <v>0</v>
      </c>
      <c r="L278" t="n">
        <v>0</v>
      </c>
      <c r="M278" t="n">
        <v>0</v>
      </c>
      <c r="N278" t="n">
        <v>0</v>
      </c>
      <c r="O278" t="n">
        <v>0</v>
      </c>
      <c r="P278" t="n">
        <v>0</v>
      </c>
      <c r="Q278" t="n">
        <v>0</v>
      </c>
      <c r="R278" s="2" t="inlineStr"/>
    </row>
    <row r="279" ht="15" customHeight="1">
      <c r="A279" t="inlineStr">
        <is>
          <t>A 54072-2025</t>
        </is>
      </c>
      <c r="B279" s="1" t="n">
        <v>45964.3550925926</v>
      </c>
      <c r="C279" s="1" t="n">
        <v>46187</v>
      </c>
      <c r="D279" t="inlineStr">
        <is>
          <t>ÖREBRO LÄN</t>
        </is>
      </c>
      <c r="E279" t="inlineStr">
        <is>
          <t>LINDESBERG</t>
        </is>
      </c>
      <c r="G279" t="n">
        <v>1.3</v>
      </c>
      <c r="H279" t="n">
        <v>0</v>
      </c>
      <c r="I279" t="n">
        <v>0</v>
      </c>
      <c r="J279" t="n">
        <v>0</v>
      </c>
      <c r="K279" t="n">
        <v>0</v>
      </c>
      <c r="L279" t="n">
        <v>0</v>
      </c>
      <c r="M279" t="n">
        <v>0</v>
      </c>
      <c r="N279" t="n">
        <v>0</v>
      </c>
      <c r="O279" t="n">
        <v>0</v>
      </c>
      <c r="P279" t="n">
        <v>0</v>
      </c>
      <c r="Q279" t="n">
        <v>0</v>
      </c>
      <c r="R279" s="2" t="inlineStr"/>
    </row>
    <row r="280" ht="15" customHeight="1">
      <c r="A280" t="inlineStr">
        <is>
          <t>A 54250-2025</t>
        </is>
      </c>
      <c r="B280" s="1" t="n">
        <v>45964.64709490741</v>
      </c>
      <c r="C280" s="1" t="n">
        <v>46187</v>
      </c>
      <c r="D280" t="inlineStr">
        <is>
          <t>ÖREBRO LÄN</t>
        </is>
      </c>
      <c r="E280" t="inlineStr">
        <is>
          <t>LINDESBERG</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54251-2025</t>
        </is>
      </c>
      <c r="B281" s="1" t="n">
        <v>45964.64778935185</v>
      </c>
      <c r="C281" s="1" t="n">
        <v>46187</v>
      </c>
      <c r="D281" t="inlineStr">
        <is>
          <t>ÖREBRO LÄN</t>
        </is>
      </c>
      <c r="E281" t="inlineStr">
        <is>
          <t>LINDESBERG</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7201-2024</t>
        </is>
      </c>
      <c r="B282" s="1" t="n">
        <v>45344.6027662037</v>
      </c>
      <c r="C282" s="1" t="n">
        <v>46187</v>
      </c>
      <c r="D282" t="inlineStr">
        <is>
          <t>ÖREBRO LÄN</t>
        </is>
      </c>
      <c r="E282" t="inlineStr">
        <is>
          <t>LINDESBERG</t>
        </is>
      </c>
      <c r="G282" t="n">
        <v>4.7</v>
      </c>
      <c r="H282" t="n">
        <v>0</v>
      </c>
      <c r="I282" t="n">
        <v>0</v>
      </c>
      <c r="J282" t="n">
        <v>0</v>
      </c>
      <c r="K282" t="n">
        <v>0</v>
      </c>
      <c r="L282" t="n">
        <v>0</v>
      </c>
      <c r="M282" t="n">
        <v>0</v>
      </c>
      <c r="N282" t="n">
        <v>0</v>
      </c>
      <c r="O282" t="n">
        <v>0</v>
      </c>
      <c r="P282" t="n">
        <v>0</v>
      </c>
      <c r="Q282" t="n">
        <v>0</v>
      </c>
      <c r="R282" s="2" t="inlineStr"/>
    </row>
    <row r="283" ht="15" customHeight="1">
      <c r="A283" t="inlineStr">
        <is>
          <t>A 5080-2024</t>
        </is>
      </c>
      <c r="B283" s="1" t="n">
        <v>45330</v>
      </c>
      <c r="C283" s="1" t="n">
        <v>46187</v>
      </c>
      <c r="D283" t="inlineStr">
        <is>
          <t>ÖREBRO LÄN</t>
        </is>
      </c>
      <c r="E283" t="inlineStr">
        <is>
          <t>LINDESBERG</t>
        </is>
      </c>
      <c r="G283" t="n">
        <v>1.5</v>
      </c>
      <c r="H283" t="n">
        <v>0</v>
      </c>
      <c r="I283" t="n">
        <v>0</v>
      </c>
      <c r="J283" t="n">
        <v>0</v>
      </c>
      <c r="K283" t="n">
        <v>0</v>
      </c>
      <c r="L283" t="n">
        <v>0</v>
      </c>
      <c r="M283" t="n">
        <v>0</v>
      </c>
      <c r="N283" t="n">
        <v>0</v>
      </c>
      <c r="O283" t="n">
        <v>0</v>
      </c>
      <c r="P283" t="n">
        <v>0</v>
      </c>
      <c r="Q283" t="n">
        <v>0</v>
      </c>
      <c r="R283" s="2" t="inlineStr"/>
    </row>
    <row r="284" ht="15" customHeight="1">
      <c r="A284" t="inlineStr">
        <is>
          <t>A 43532-2024</t>
        </is>
      </c>
      <c r="B284" s="1" t="n">
        <v>45569.3533912037</v>
      </c>
      <c r="C284" s="1" t="n">
        <v>46187</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59282-2023</t>
        </is>
      </c>
      <c r="B285" s="1" t="n">
        <v>45253</v>
      </c>
      <c r="C285" s="1" t="n">
        <v>46187</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15899-2025</t>
        </is>
      </c>
      <c r="B286" s="1" t="n">
        <v>45749.42258101852</v>
      </c>
      <c r="C286" s="1" t="n">
        <v>46187</v>
      </c>
      <c r="D286" t="inlineStr">
        <is>
          <t>ÖREBRO LÄN</t>
        </is>
      </c>
      <c r="E286" t="inlineStr">
        <is>
          <t>LINDESBERG</t>
        </is>
      </c>
      <c r="G286" t="n">
        <v>6.6</v>
      </c>
      <c r="H286" t="n">
        <v>0</v>
      </c>
      <c r="I286" t="n">
        <v>0</v>
      </c>
      <c r="J286" t="n">
        <v>0</v>
      </c>
      <c r="K286" t="n">
        <v>0</v>
      </c>
      <c r="L286" t="n">
        <v>0</v>
      </c>
      <c r="M286" t="n">
        <v>0</v>
      </c>
      <c r="N286" t="n">
        <v>0</v>
      </c>
      <c r="O286" t="n">
        <v>0</v>
      </c>
      <c r="P286" t="n">
        <v>0</v>
      </c>
      <c r="Q286" t="n">
        <v>0</v>
      </c>
      <c r="R286" s="2" t="inlineStr"/>
    </row>
    <row r="287" ht="15" customHeight="1">
      <c r="A287" t="inlineStr">
        <is>
          <t>A 47601-2023</t>
        </is>
      </c>
      <c r="B287" s="1" t="n">
        <v>45203.45681712963</v>
      </c>
      <c r="C287" s="1" t="n">
        <v>46187</v>
      </c>
      <c r="D287" t="inlineStr">
        <is>
          <t>ÖREBRO LÄN</t>
        </is>
      </c>
      <c r="E287" t="inlineStr">
        <is>
          <t>LINDESBERG</t>
        </is>
      </c>
      <c r="G287" t="n">
        <v>37.6</v>
      </c>
      <c r="H287" t="n">
        <v>0</v>
      </c>
      <c r="I287" t="n">
        <v>0</v>
      </c>
      <c r="J287" t="n">
        <v>0</v>
      </c>
      <c r="K287" t="n">
        <v>0</v>
      </c>
      <c r="L287" t="n">
        <v>0</v>
      </c>
      <c r="M287" t="n">
        <v>0</v>
      </c>
      <c r="N287" t="n">
        <v>0</v>
      </c>
      <c r="O287" t="n">
        <v>0</v>
      </c>
      <c r="P287" t="n">
        <v>0</v>
      </c>
      <c r="Q287" t="n">
        <v>0</v>
      </c>
      <c r="R287" s="2" t="inlineStr"/>
    </row>
    <row r="288" ht="15" customHeight="1">
      <c r="A288" t="inlineStr">
        <is>
          <t>A 22078-2025</t>
        </is>
      </c>
      <c r="B288" s="1" t="n">
        <v>45785.4253125</v>
      </c>
      <c r="C288" s="1" t="n">
        <v>46187</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52284-2024</t>
        </is>
      </c>
      <c r="B289" s="1" t="n">
        <v>45608</v>
      </c>
      <c r="C289" s="1" t="n">
        <v>46187</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53355-2023</t>
        </is>
      </c>
      <c r="B290" s="1" t="n">
        <v>45229.66430555555</v>
      </c>
      <c r="C290" s="1" t="n">
        <v>46187</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62308-2023</t>
        </is>
      </c>
      <c r="B291" s="1" t="n">
        <v>45267.69052083333</v>
      </c>
      <c r="C291" s="1" t="n">
        <v>46187</v>
      </c>
      <c r="D291" t="inlineStr">
        <is>
          <t>ÖREBRO LÄN</t>
        </is>
      </c>
      <c r="E291" t="inlineStr">
        <is>
          <t>LINDESBERG</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15895-2025</t>
        </is>
      </c>
      <c r="B292" s="1" t="n">
        <v>45749</v>
      </c>
      <c r="C292" s="1" t="n">
        <v>46187</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46187</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41889-2025</t>
        </is>
      </c>
      <c r="B294" s="1" t="n">
        <v>45903.37475694445</v>
      </c>
      <c r="C294" s="1" t="n">
        <v>46187</v>
      </c>
      <c r="D294" t="inlineStr">
        <is>
          <t>ÖREBRO LÄN</t>
        </is>
      </c>
      <c r="E294" t="inlineStr">
        <is>
          <t>LINDESBERG</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52930-2024</t>
        </is>
      </c>
      <c r="B295" s="1" t="n">
        <v>45610.7466087963</v>
      </c>
      <c r="C295" s="1" t="n">
        <v>46187</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56579-2023</t>
        </is>
      </c>
      <c r="B296" s="1" t="n">
        <v>45243.62420138889</v>
      </c>
      <c r="C296" s="1" t="n">
        <v>46187</v>
      </c>
      <c r="D296" t="inlineStr">
        <is>
          <t>ÖREBRO LÄN</t>
        </is>
      </c>
      <c r="E296" t="inlineStr">
        <is>
          <t>LINDESBERG</t>
        </is>
      </c>
      <c r="F296" t="inlineStr">
        <is>
          <t>Naturvårdsverket</t>
        </is>
      </c>
      <c r="G296" t="n">
        <v>1.6</v>
      </c>
      <c r="H296" t="n">
        <v>0</v>
      </c>
      <c r="I296" t="n">
        <v>0</v>
      </c>
      <c r="J296" t="n">
        <v>0</v>
      </c>
      <c r="K296" t="n">
        <v>0</v>
      </c>
      <c r="L296" t="n">
        <v>0</v>
      </c>
      <c r="M296" t="n">
        <v>0</v>
      </c>
      <c r="N296" t="n">
        <v>0</v>
      </c>
      <c r="O296" t="n">
        <v>0</v>
      </c>
      <c r="P296" t="n">
        <v>0</v>
      </c>
      <c r="Q296" t="n">
        <v>0</v>
      </c>
      <c r="R296" s="2" t="inlineStr"/>
    </row>
    <row r="297" ht="15" customHeight="1">
      <c r="A297" t="inlineStr">
        <is>
          <t>A 56582-2023</t>
        </is>
      </c>
      <c r="B297" s="1" t="n">
        <v>45243</v>
      </c>
      <c r="C297" s="1" t="n">
        <v>46187</v>
      </c>
      <c r="D297" t="inlineStr">
        <is>
          <t>ÖREBRO LÄN</t>
        </is>
      </c>
      <c r="E297" t="inlineStr">
        <is>
          <t>LINDESBERG</t>
        </is>
      </c>
      <c r="F297" t="inlineStr">
        <is>
          <t>Naturvårdsverket</t>
        </is>
      </c>
      <c r="G297" t="n">
        <v>2.3</v>
      </c>
      <c r="H297" t="n">
        <v>0</v>
      </c>
      <c r="I297" t="n">
        <v>0</v>
      </c>
      <c r="J297" t="n">
        <v>0</v>
      </c>
      <c r="K297" t="n">
        <v>0</v>
      </c>
      <c r="L297" t="n">
        <v>0</v>
      </c>
      <c r="M297" t="n">
        <v>0</v>
      </c>
      <c r="N297" t="n">
        <v>0</v>
      </c>
      <c r="O297" t="n">
        <v>0</v>
      </c>
      <c r="P297" t="n">
        <v>0</v>
      </c>
      <c r="Q297" t="n">
        <v>0</v>
      </c>
      <c r="R297" s="2" t="inlineStr"/>
    </row>
    <row r="298" ht="15" customHeight="1">
      <c r="A298" t="inlineStr">
        <is>
          <t>A 41947-2023</t>
        </is>
      </c>
      <c r="B298" s="1" t="n">
        <v>45177.31795138889</v>
      </c>
      <c r="C298" s="1" t="n">
        <v>46187</v>
      </c>
      <c r="D298" t="inlineStr">
        <is>
          <t>ÖREBRO LÄN</t>
        </is>
      </c>
      <c r="E298" t="inlineStr">
        <is>
          <t>LINDESBERG</t>
        </is>
      </c>
      <c r="F298" t="inlineStr">
        <is>
          <t>Kyrkan</t>
        </is>
      </c>
      <c r="G298" t="n">
        <v>0.7</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46187</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36680-2024</t>
        </is>
      </c>
      <c r="B300" s="1" t="n">
        <v>45537.65305555556</v>
      </c>
      <c r="C300" s="1" t="n">
        <v>46187</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55255-2025</t>
        </is>
      </c>
      <c r="B301" s="1" t="n">
        <v>45968.63695601852</v>
      </c>
      <c r="C301" s="1" t="n">
        <v>46187</v>
      </c>
      <c r="D301" t="inlineStr">
        <is>
          <t>ÖREBRO LÄN</t>
        </is>
      </c>
      <c r="E301" t="inlineStr">
        <is>
          <t>LINDESBERG</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46187</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36686-2024</t>
        </is>
      </c>
      <c r="B303" s="1" t="n">
        <v>45537.665</v>
      </c>
      <c r="C303" s="1" t="n">
        <v>46187</v>
      </c>
      <c r="D303" t="inlineStr">
        <is>
          <t>ÖREBRO LÄN</t>
        </is>
      </c>
      <c r="E303" t="inlineStr">
        <is>
          <t>LINDESBERG</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62968-2023</t>
        </is>
      </c>
      <c r="B304" s="1" t="n">
        <v>45272.57385416667</v>
      </c>
      <c r="C304" s="1" t="n">
        <v>46187</v>
      </c>
      <c r="D304" t="inlineStr">
        <is>
          <t>ÖREBRO LÄN</t>
        </is>
      </c>
      <c r="E304" t="inlineStr">
        <is>
          <t>LINDESBERG</t>
        </is>
      </c>
      <c r="G304" t="n">
        <v>0.6</v>
      </c>
      <c r="H304" t="n">
        <v>0</v>
      </c>
      <c r="I304" t="n">
        <v>0</v>
      </c>
      <c r="J304" t="n">
        <v>0</v>
      </c>
      <c r="K304" t="n">
        <v>0</v>
      </c>
      <c r="L304" t="n">
        <v>0</v>
      </c>
      <c r="M304" t="n">
        <v>0</v>
      </c>
      <c r="N304" t="n">
        <v>0</v>
      </c>
      <c r="O304" t="n">
        <v>0</v>
      </c>
      <c r="P304" t="n">
        <v>0</v>
      </c>
      <c r="Q304" t="n">
        <v>0</v>
      </c>
      <c r="R304" s="2" t="inlineStr"/>
    </row>
    <row r="305" ht="15" customHeight="1">
      <c r="A305" t="inlineStr">
        <is>
          <t>A 28776-2023</t>
        </is>
      </c>
      <c r="B305" s="1" t="n">
        <v>45104.34107638889</v>
      </c>
      <c r="C305" s="1" t="n">
        <v>46187</v>
      </c>
      <c r="D305" t="inlineStr">
        <is>
          <t>ÖREBRO LÄN</t>
        </is>
      </c>
      <c r="E305" t="inlineStr">
        <is>
          <t>LINDESBERG</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55490-2025</t>
        </is>
      </c>
      <c r="B306" s="1" t="n">
        <v>45971.57659722222</v>
      </c>
      <c r="C306" s="1" t="n">
        <v>46187</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42630-2025</t>
        </is>
      </c>
      <c r="B307" s="1" t="n">
        <v>45905.89143518519</v>
      </c>
      <c r="C307" s="1" t="n">
        <v>46187</v>
      </c>
      <c r="D307" t="inlineStr">
        <is>
          <t>ÖREBRO LÄN</t>
        </is>
      </c>
      <c r="E307" t="inlineStr">
        <is>
          <t>LINDESBERG</t>
        </is>
      </c>
      <c r="F307" t="inlineStr">
        <is>
          <t>Sveaskog</t>
        </is>
      </c>
      <c r="G307" t="n">
        <v>9.9</v>
      </c>
      <c r="H307" t="n">
        <v>0</v>
      </c>
      <c r="I307" t="n">
        <v>0</v>
      </c>
      <c r="J307" t="n">
        <v>0</v>
      </c>
      <c r="K307" t="n">
        <v>0</v>
      </c>
      <c r="L307" t="n">
        <v>0</v>
      </c>
      <c r="M307" t="n">
        <v>0</v>
      </c>
      <c r="N307" t="n">
        <v>0</v>
      </c>
      <c r="O307" t="n">
        <v>0</v>
      </c>
      <c r="P307" t="n">
        <v>0</v>
      </c>
      <c r="Q307" t="n">
        <v>0</v>
      </c>
      <c r="R307" s="2" t="inlineStr"/>
    </row>
    <row r="308" ht="15" customHeight="1">
      <c r="A308" t="inlineStr">
        <is>
          <t>A 42631-2025</t>
        </is>
      </c>
      <c r="B308" s="1" t="n">
        <v>45905.89236111111</v>
      </c>
      <c r="C308" s="1" t="n">
        <v>46187</v>
      </c>
      <c r="D308" t="inlineStr">
        <is>
          <t>ÖREBRO LÄN</t>
        </is>
      </c>
      <c r="E308" t="inlineStr">
        <is>
          <t>LINDESBERG</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37843-2025</t>
        </is>
      </c>
      <c r="B309" s="1" t="n">
        <v>45881.43759259259</v>
      </c>
      <c r="C309" s="1" t="n">
        <v>46187</v>
      </c>
      <c r="D309" t="inlineStr">
        <is>
          <t>ÖREBRO LÄN</t>
        </is>
      </c>
      <c r="E309" t="inlineStr">
        <is>
          <t>LINDESBERG</t>
        </is>
      </c>
      <c r="G309" t="n">
        <v>5.2</v>
      </c>
      <c r="H309" t="n">
        <v>0</v>
      </c>
      <c r="I309" t="n">
        <v>0</v>
      </c>
      <c r="J309" t="n">
        <v>0</v>
      </c>
      <c r="K309" t="n">
        <v>0</v>
      </c>
      <c r="L309" t="n">
        <v>0</v>
      </c>
      <c r="M309" t="n">
        <v>0</v>
      </c>
      <c r="N309" t="n">
        <v>0</v>
      </c>
      <c r="O309" t="n">
        <v>0</v>
      </c>
      <c r="P309" t="n">
        <v>0</v>
      </c>
      <c r="Q309" t="n">
        <v>0</v>
      </c>
      <c r="R309" s="2" t="inlineStr"/>
    </row>
    <row r="310" ht="15" customHeight="1">
      <c r="A310" t="inlineStr">
        <is>
          <t>A 15936-2025</t>
        </is>
      </c>
      <c r="B310" s="1" t="n">
        <v>45749.4737962963</v>
      </c>
      <c r="C310" s="1" t="n">
        <v>46187</v>
      </c>
      <c r="D310" t="inlineStr">
        <is>
          <t>ÖREBRO LÄN</t>
        </is>
      </c>
      <c r="E310" t="inlineStr">
        <is>
          <t>LINDESBERG</t>
        </is>
      </c>
      <c r="G310" t="n">
        <v>22.3</v>
      </c>
      <c r="H310" t="n">
        <v>0</v>
      </c>
      <c r="I310" t="n">
        <v>0</v>
      </c>
      <c r="J310" t="n">
        <v>0</v>
      </c>
      <c r="K310" t="n">
        <v>0</v>
      </c>
      <c r="L310" t="n">
        <v>0</v>
      </c>
      <c r="M310" t="n">
        <v>0</v>
      </c>
      <c r="N310" t="n">
        <v>0</v>
      </c>
      <c r="O310" t="n">
        <v>0</v>
      </c>
      <c r="P310" t="n">
        <v>0</v>
      </c>
      <c r="Q310" t="n">
        <v>0</v>
      </c>
      <c r="R310" s="2" t="inlineStr"/>
    </row>
    <row r="311" ht="15" customHeight="1">
      <c r="A311" t="inlineStr">
        <is>
          <t>A 59641-2024</t>
        </is>
      </c>
      <c r="B311" s="1" t="n">
        <v>45639.30934027778</v>
      </c>
      <c r="C311" s="1" t="n">
        <v>46187</v>
      </c>
      <c r="D311" t="inlineStr">
        <is>
          <t>ÖREBRO LÄN</t>
        </is>
      </c>
      <c r="E311" t="inlineStr">
        <is>
          <t>LINDESBERG</t>
        </is>
      </c>
      <c r="G311" t="n">
        <v>2.1</v>
      </c>
      <c r="H311" t="n">
        <v>0</v>
      </c>
      <c r="I311" t="n">
        <v>0</v>
      </c>
      <c r="J311" t="n">
        <v>0</v>
      </c>
      <c r="K311" t="n">
        <v>0</v>
      </c>
      <c r="L311" t="n">
        <v>0</v>
      </c>
      <c r="M311" t="n">
        <v>0</v>
      </c>
      <c r="N311" t="n">
        <v>0</v>
      </c>
      <c r="O311" t="n">
        <v>0</v>
      </c>
      <c r="P311" t="n">
        <v>0</v>
      </c>
      <c r="Q311" t="n">
        <v>0</v>
      </c>
      <c r="R311" s="2" t="inlineStr"/>
    </row>
    <row r="312" ht="15" customHeight="1">
      <c r="A312" t="inlineStr">
        <is>
          <t>A 10564-2023</t>
        </is>
      </c>
      <c r="B312" s="1" t="n">
        <v>44988</v>
      </c>
      <c r="C312" s="1" t="n">
        <v>46187</v>
      </c>
      <c r="D312" t="inlineStr">
        <is>
          <t>ÖREBRO LÄN</t>
        </is>
      </c>
      <c r="E312" t="inlineStr">
        <is>
          <t>LINDESBERG</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42707-2023</t>
        </is>
      </c>
      <c r="B313" s="1" t="n">
        <v>45181</v>
      </c>
      <c r="C313" s="1" t="n">
        <v>46187</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17779-2024</t>
        </is>
      </c>
      <c r="B314" s="1" t="n">
        <v>45418.66800925926</v>
      </c>
      <c r="C314" s="1" t="n">
        <v>46187</v>
      </c>
      <c r="D314" t="inlineStr">
        <is>
          <t>ÖREBRO LÄN</t>
        </is>
      </c>
      <c r="E314" t="inlineStr">
        <is>
          <t>LINDESBERG</t>
        </is>
      </c>
      <c r="G314" t="n">
        <v>3.7</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46187</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56306-2025</t>
        </is>
      </c>
      <c r="B316" s="1" t="n">
        <v>45974.61217592593</v>
      </c>
      <c r="C316" s="1" t="n">
        <v>46187</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54793-2024</t>
        </is>
      </c>
      <c r="B317" s="1" t="n">
        <v>45618</v>
      </c>
      <c r="C317" s="1" t="n">
        <v>46187</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56308-2025</t>
        </is>
      </c>
      <c r="B318" s="1" t="n">
        <v>45974.61344907407</v>
      </c>
      <c r="C318" s="1" t="n">
        <v>46187</v>
      </c>
      <c r="D318" t="inlineStr">
        <is>
          <t>ÖREBRO LÄN</t>
        </is>
      </c>
      <c r="E318" t="inlineStr">
        <is>
          <t>LINDESBERG</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56232-2025</t>
        </is>
      </c>
      <c r="B319" s="1" t="n">
        <v>45974.53239583333</v>
      </c>
      <c r="C319" s="1" t="n">
        <v>46187</v>
      </c>
      <c r="D319" t="inlineStr">
        <is>
          <t>ÖREBRO LÄN</t>
        </is>
      </c>
      <c r="E319" t="inlineStr">
        <is>
          <t>LINDESBERG</t>
        </is>
      </c>
      <c r="G319" t="n">
        <v>3.2</v>
      </c>
      <c r="H319" t="n">
        <v>0</v>
      </c>
      <c r="I319" t="n">
        <v>0</v>
      </c>
      <c r="J319" t="n">
        <v>0</v>
      </c>
      <c r="K319" t="n">
        <v>0</v>
      </c>
      <c r="L319" t="n">
        <v>0</v>
      </c>
      <c r="M319" t="n">
        <v>0</v>
      </c>
      <c r="N319" t="n">
        <v>0</v>
      </c>
      <c r="O319" t="n">
        <v>0</v>
      </c>
      <c r="P319" t="n">
        <v>0</v>
      </c>
      <c r="Q319" t="n">
        <v>0</v>
      </c>
      <c r="R319" s="2" t="inlineStr"/>
    </row>
    <row r="320" ht="15" customHeight="1">
      <c r="A320" t="inlineStr">
        <is>
          <t>A 43847-2025</t>
        </is>
      </c>
      <c r="B320" s="1" t="n">
        <v>45912.63751157407</v>
      </c>
      <c r="C320" s="1" t="n">
        <v>46187</v>
      </c>
      <c r="D320" t="inlineStr">
        <is>
          <t>ÖREBRO LÄN</t>
        </is>
      </c>
      <c r="E320" t="inlineStr">
        <is>
          <t>LINDESBERG</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1400-2025</t>
        </is>
      </c>
      <c r="B321" s="1" t="n">
        <v>45667</v>
      </c>
      <c r="C321" s="1" t="n">
        <v>46187</v>
      </c>
      <c r="D321" t="inlineStr">
        <is>
          <t>ÖREBRO LÄN</t>
        </is>
      </c>
      <c r="E321" t="inlineStr">
        <is>
          <t>LINDESBERG</t>
        </is>
      </c>
      <c r="F321" t="inlineStr">
        <is>
          <t>Allmännings- och besparingsskogar</t>
        </is>
      </c>
      <c r="G321" t="n">
        <v>11.3</v>
      </c>
      <c r="H321" t="n">
        <v>0</v>
      </c>
      <c r="I321" t="n">
        <v>0</v>
      </c>
      <c r="J321" t="n">
        <v>0</v>
      </c>
      <c r="K321" t="n">
        <v>0</v>
      </c>
      <c r="L321" t="n">
        <v>0</v>
      </c>
      <c r="M321" t="n">
        <v>0</v>
      </c>
      <c r="N321" t="n">
        <v>0</v>
      </c>
      <c r="O321" t="n">
        <v>0</v>
      </c>
      <c r="P321" t="n">
        <v>0</v>
      </c>
      <c r="Q321" t="n">
        <v>0</v>
      </c>
      <c r="R321" s="2" t="inlineStr"/>
    </row>
    <row r="322" ht="15" customHeight="1">
      <c r="A322" t="inlineStr">
        <is>
          <t>A 36291-2022</t>
        </is>
      </c>
      <c r="B322" s="1" t="n">
        <v>44803.64361111111</v>
      </c>
      <c r="C322" s="1" t="n">
        <v>46187</v>
      </c>
      <c r="D322" t="inlineStr">
        <is>
          <t>ÖREBRO LÄN</t>
        </is>
      </c>
      <c r="E322" t="inlineStr">
        <is>
          <t>LINDESBERG</t>
        </is>
      </c>
      <c r="G322" t="n">
        <v>3.8</v>
      </c>
      <c r="H322" t="n">
        <v>0</v>
      </c>
      <c r="I322" t="n">
        <v>0</v>
      </c>
      <c r="J322" t="n">
        <v>0</v>
      </c>
      <c r="K322" t="n">
        <v>0</v>
      </c>
      <c r="L322" t="n">
        <v>0</v>
      </c>
      <c r="M322" t="n">
        <v>0</v>
      </c>
      <c r="N322" t="n">
        <v>0</v>
      </c>
      <c r="O322" t="n">
        <v>0</v>
      </c>
      <c r="P322" t="n">
        <v>0</v>
      </c>
      <c r="Q322" t="n">
        <v>0</v>
      </c>
      <c r="R322" s="2" t="inlineStr"/>
    </row>
    <row r="323" ht="15" customHeight="1">
      <c r="A323" t="inlineStr">
        <is>
          <t>A 21202-2024</t>
        </is>
      </c>
      <c r="B323" s="1" t="n">
        <v>45440.5433912037</v>
      </c>
      <c r="C323" s="1" t="n">
        <v>46187</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56226-2025</t>
        </is>
      </c>
      <c r="B324" s="1" t="n">
        <v>45974.51283564815</v>
      </c>
      <c r="C324" s="1" t="n">
        <v>46187</v>
      </c>
      <c r="D324" t="inlineStr">
        <is>
          <t>ÖREBRO LÄN</t>
        </is>
      </c>
      <c r="E324" t="inlineStr">
        <is>
          <t>LINDESBERG</t>
        </is>
      </c>
      <c r="G324" t="n">
        <v>1.8</v>
      </c>
      <c r="H324" t="n">
        <v>0</v>
      </c>
      <c r="I324" t="n">
        <v>0</v>
      </c>
      <c r="J324" t="n">
        <v>0</v>
      </c>
      <c r="K324" t="n">
        <v>0</v>
      </c>
      <c r="L324" t="n">
        <v>0</v>
      </c>
      <c r="M324" t="n">
        <v>0</v>
      </c>
      <c r="N324" t="n">
        <v>0</v>
      </c>
      <c r="O324" t="n">
        <v>0</v>
      </c>
      <c r="P324" t="n">
        <v>0</v>
      </c>
      <c r="Q324" t="n">
        <v>0</v>
      </c>
      <c r="R324" s="2" t="inlineStr"/>
    </row>
    <row r="325" ht="15" customHeight="1">
      <c r="A325" t="inlineStr">
        <is>
          <t>A 57299-2025</t>
        </is>
      </c>
      <c r="B325" s="1" t="n">
        <v>45979.81347222222</v>
      </c>
      <c r="C325" s="1" t="n">
        <v>46187</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57317-2025</t>
        </is>
      </c>
      <c r="B326" s="1" t="n">
        <v>45980.01226851852</v>
      </c>
      <c r="C326" s="1" t="n">
        <v>46187</v>
      </c>
      <c r="D326" t="inlineStr">
        <is>
          <t>ÖREBRO LÄN</t>
        </is>
      </c>
      <c r="E326" t="inlineStr">
        <is>
          <t>LINDESBERG</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57300-2025</t>
        </is>
      </c>
      <c r="B327" s="1" t="n">
        <v>45979.81403935186</v>
      </c>
      <c r="C327" s="1" t="n">
        <v>46187</v>
      </c>
      <c r="D327" t="inlineStr">
        <is>
          <t>ÖREBRO LÄN</t>
        </is>
      </c>
      <c r="E327" t="inlineStr">
        <is>
          <t>LINDESBERG</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57359-2025</t>
        </is>
      </c>
      <c r="B328" s="1" t="n">
        <v>45980.36866898148</v>
      </c>
      <c r="C328" s="1" t="n">
        <v>46187</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57361-2025</t>
        </is>
      </c>
      <c r="B329" s="1" t="n">
        <v>45980.36988425926</v>
      </c>
      <c r="C329" s="1" t="n">
        <v>46187</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57313-2025</t>
        </is>
      </c>
      <c r="B330" s="1" t="n">
        <v>45979.97458333334</v>
      </c>
      <c r="C330" s="1" t="n">
        <v>46187</v>
      </c>
      <c r="D330" t="inlineStr">
        <is>
          <t>ÖREBRO LÄN</t>
        </is>
      </c>
      <c r="E330" t="inlineStr">
        <is>
          <t>LINDESBERG</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57314-2025</t>
        </is>
      </c>
      <c r="B331" s="1" t="n">
        <v>45980.00710648148</v>
      </c>
      <c r="C331" s="1" t="n">
        <v>46187</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57315-2025</t>
        </is>
      </c>
      <c r="B332" s="1" t="n">
        <v>45980.00753472222</v>
      </c>
      <c r="C332" s="1" t="n">
        <v>46187</v>
      </c>
      <c r="D332" t="inlineStr">
        <is>
          <t>ÖREBRO LÄN</t>
        </is>
      </c>
      <c r="E332" t="inlineStr">
        <is>
          <t>LINDESBERG</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57316-2025</t>
        </is>
      </c>
      <c r="B333" s="1" t="n">
        <v>45980.0115625</v>
      </c>
      <c r="C333" s="1" t="n">
        <v>46187</v>
      </c>
      <c r="D333" t="inlineStr">
        <is>
          <t>ÖREBRO LÄN</t>
        </is>
      </c>
      <c r="E333" t="inlineStr">
        <is>
          <t>LINDESBERG</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57320-2025</t>
        </is>
      </c>
      <c r="B334" s="1" t="n">
        <v>45980.01553240741</v>
      </c>
      <c r="C334" s="1" t="n">
        <v>46187</v>
      </c>
      <c r="D334" t="inlineStr">
        <is>
          <t>ÖREBRO LÄN</t>
        </is>
      </c>
      <c r="E334" t="inlineStr">
        <is>
          <t>LINDESBERG</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57363-2025</t>
        </is>
      </c>
      <c r="B335" s="1" t="n">
        <v>45980.3716087963</v>
      </c>
      <c r="C335" s="1" t="n">
        <v>46187</v>
      </c>
      <c r="D335" t="inlineStr">
        <is>
          <t>ÖREBRO LÄN</t>
        </is>
      </c>
      <c r="E335" t="inlineStr">
        <is>
          <t>LINDESBERG</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10836-2024</t>
        </is>
      </c>
      <c r="B336" s="1" t="n">
        <v>45369</v>
      </c>
      <c r="C336" s="1" t="n">
        <v>46187</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33716-2021</t>
        </is>
      </c>
      <c r="B337" s="1" t="n">
        <v>44378.46857638889</v>
      </c>
      <c r="C337" s="1" t="n">
        <v>46187</v>
      </c>
      <c r="D337" t="inlineStr">
        <is>
          <t>ÖREBRO LÄN</t>
        </is>
      </c>
      <c r="E337" t="inlineStr">
        <is>
          <t>LINDESBERG</t>
        </is>
      </c>
      <c r="G337" t="n">
        <v>4.6</v>
      </c>
      <c r="H337" t="n">
        <v>0</v>
      </c>
      <c r="I337" t="n">
        <v>0</v>
      </c>
      <c r="J337" t="n">
        <v>0</v>
      </c>
      <c r="K337" t="n">
        <v>0</v>
      </c>
      <c r="L337" t="n">
        <v>0</v>
      </c>
      <c r="M337" t="n">
        <v>0</v>
      </c>
      <c r="N337" t="n">
        <v>0</v>
      </c>
      <c r="O337" t="n">
        <v>0</v>
      </c>
      <c r="P337" t="n">
        <v>0</v>
      </c>
      <c r="Q337" t="n">
        <v>0</v>
      </c>
      <c r="R337" s="2" t="inlineStr"/>
    </row>
    <row r="338" ht="15" customHeight="1">
      <c r="A338" t="inlineStr">
        <is>
          <t>A 23536-2023</t>
        </is>
      </c>
      <c r="B338" s="1" t="n">
        <v>45077</v>
      </c>
      <c r="C338" s="1" t="n">
        <v>46187</v>
      </c>
      <c r="D338" t="inlineStr">
        <is>
          <t>ÖREBRO LÄN</t>
        </is>
      </c>
      <c r="E338" t="inlineStr">
        <is>
          <t>LINDESBERG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46187</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19914-2024</t>
        </is>
      </c>
      <c r="B340" s="1" t="n">
        <v>45433.58099537037</v>
      </c>
      <c r="C340" s="1" t="n">
        <v>46187</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55631-2022</t>
        </is>
      </c>
      <c r="B341" s="1" t="n">
        <v>44888.4577662037</v>
      </c>
      <c r="C341" s="1" t="n">
        <v>46187</v>
      </c>
      <c r="D341" t="inlineStr">
        <is>
          <t>ÖREBRO LÄN</t>
        </is>
      </c>
      <c r="E341" t="inlineStr">
        <is>
          <t>LINDESBERG</t>
        </is>
      </c>
      <c r="G341" t="n">
        <v>4.4</v>
      </c>
      <c r="H341" t="n">
        <v>0</v>
      </c>
      <c r="I341" t="n">
        <v>0</v>
      </c>
      <c r="J341" t="n">
        <v>0</v>
      </c>
      <c r="K341" t="n">
        <v>0</v>
      </c>
      <c r="L341" t="n">
        <v>0</v>
      </c>
      <c r="M341" t="n">
        <v>0</v>
      </c>
      <c r="N341" t="n">
        <v>0</v>
      </c>
      <c r="O341" t="n">
        <v>0</v>
      </c>
      <c r="P341" t="n">
        <v>0</v>
      </c>
      <c r="Q341" t="n">
        <v>0</v>
      </c>
      <c r="R341" s="2" t="inlineStr"/>
    </row>
    <row r="342" ht="15" customHeight="1">
      <c r="A342" t="inlineStr">
        <is>
          <t>A 46404-2025</t>
        </is>
      </c>
      <c r="B342" s="1" t="n">
        <v>45925.56173611111</v>
      </c>
      <c r="C342" s="1" t="n">
        <v>46187</v>
      </c>
      <c r="D342" t="inlineStr">
        <is>
          <t>ÖREBRO LÄN</t>
        </is>
      </c>
      <c r="E342" t="inlineStr">
        <is>
          <t>LINDESBERG</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265-2023</t>
        </is>
      </c>
      <c r="B343" s="1" t="n">
        <v>44928</v>
      </c>
      <c r="C343" s="1" t="n">
        <v>46187</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60115-2022</t>
        </is>
      </c>
      <c r="B344" s="1" t="n">
        <v>44902</v>
      </c>
      <c r="C344" s="1" t="n">
        <v>46187</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46484-2025</t>
        </is>
      </c>
      <c r="B345" s="1" t="n">
        <v>45925.70290509259</v>
      </c>
      <c r="C345" s="1" t="n">
        <v>46187</v>
      </c>
      <c r="D345" t="inlineStr">
        <is>
          <t>ÖREBRO LÄN</t>
        </is>
      </c>
      <c r="E345" t="inlineStr">
        <is>
          <t>LINDESBERG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29975-2023</t>
        </is>
      </c>
      <c r="B346" s="1" t="n">
        <v>45108.7553587963</v>
      </c>
      <c r="C346" s="1" t="n">
        <v>46187</v>
      </c>
      <c r="D346" t="inlineStr">
        <is>
          <t>ÖREBRO LÄN</t>
        </is>
      </c>
      <c r="E346" t="inlineStr">
        <is>
          <t>LINDESBERG</t>
        </is>
      </c>
      <c r="G346" t="n">
        <v>6.4</v>
      </c>
      <c r="H346" t="n">
        <v>0</v>
      </c>
      <c r="I346" t="n">
        <v>0</v>
      </c>
      <c r="J346" t="n">
        <v>0</v>
      </c>
      <c r="K346" t="n">
        <v>0</v>
      </c>
      <c r="L346" t="n">
        <v>0</v>
      </c>
      <c r="M346" t="n">
        <v>0</v>
      </c>
      <c r="N346" t="n">
        <v>0</v>
      </c>
      <c r="O346" t="n">
        <v>0</v>
      </c>
      <c r="P346" t="n">
        <v>0</v>
      </c>
      <c r="Q346" t="n">
        <v>0</v>
      </c>
      <c r="R346" s="2" t="inlineStr"/>
    </row>
    <row r="347" ht="15" customHeight="1">
      <c r="A347" t="inlineStr">
        <is>
          <t>A 60400-2025</t>
        </is>
      </c>
      <c r="B347" s="1" t="n">
        <v>45995</v>
      </c>
      <c r="C347" s="1" t="n">
        <v>46187</v>
      </c>
      <c r="D347" t="inlineStr">
        <is>
          <t>ÖREBRO LÄN</t>
        </is>
      </c>
      <c r="E347" t="inlineStr">
        <is>
          <t>LINDESBERG</t>
        </is>
      </c>
      <c r="G347" t="n">
        <v>11.2</v>
      </c>
      <c r="H347" t="n">
        <v>0</v>
      </c>
      <c r="I347" t="n">
        <v>0</v>
      </c>
      <c r="J347" t="n">
        <v>0</v>
      </c>
      <c r="K347" t="n">
        <v>0</v>
      </c>
      <c r="L347" t="n">
        <v>0</v>
      </c>
      <c r="M347" t="n">
        <v>0</v>
      </c>
      <c r="N347" t="n">
        <v>0</v>
      </c>
      <c r="O347" t="n">
        <v>0</v>
      </c>
      <c r="P347" t="n">
        <v>0</v>
      </c>
      <c r="Q347" t="n">
        <v>0</v>
      </c>
      <c r="R347" s="2" t="inlineStr"/>
    </row>
    <row r="348" ht="15" customHeight="1">
      <c r="A348" t="inlineStr">
        <is>
          <t>A 60450-2025</t>
        </is>
      </c>
      <c r="B348" s="1" t="n">
        <v>45995</v>
      </c>
      <c r="C348" s="1" t="n">
        <v>46187</v>
      </c>
      <c r="D348" t="inlineStr">
        <is>
          <t>ÖREBRO LÄN</t>
        </is>
      </c>
      <c r="E348" t="inlineStr">
        <is>
          <t>LINDESBERG</t>
        </is>
      </c>
      <c r="G348" t="n">
        <v>4.1</v>
      </c>
      <c r="H348" t="n">
        <v>0</v>
      </c>
      <c r="I348" t="n">
        <v>0</v>
      </c>
      <c r="J348" t="n">
        <v>0</v>
      </c>
      <c r="K348" t="n">
        <v>0</v>
      </c>
      <c r="L348" t="n">
        <v>0</v>
      </c>
      <c r="M348" t="n">
        <v>0</v>
      </c>
      <c r="N348" t="n">
        <v>0</v>
      </c>
      <c r="O348" t="n">
        <v>0</v>
      </c>
      <c r="P348" t="n">
        <v>0</v>
      </c>
      <c r="Q348" t="n">
        <v>0</v>
      </c>
      <c r="R348" s="2" t="inlineStr"/>
    </row>
    <row r="349" ht="15" customHeight="1">
      <c r="A349" t="inlineStr">
        <is>
          <t>A 40905-2023</t>
        </is>
      </c>
      <c r="B349" s="1" t="n">
        <v>45173.39315972223</v>
      </c>
      <c r="C349" s="1" t="n">
        <v>46187</v>
      </c>
      <c r="D349" t="inlineStr">
        <is>
          <t>ÖREBRO LÄN</t>
        </is>
      </c>
      <c r="E349" t="inlineStr">
        <is>
          <t>LINDESBERG</t>
        </is>
      </c>
      <c r="G349" t="n">
        <v>0.5</v>
      </c>
      <c r="H349" t="n">
        <v>0</v>
      </c>
      <c r="I349" t="n">
        <v>0</v>
      </c>
      <c r="J349" t="n">
        <v>0</v>
      </c>
      <c r="K349" t="n">
        <v>0</v>
      </c>
      <c r="L349" t="n">
        <v>0</v>
      </c>
      <c r="M349" t="n">
        <v>0</v>
      </c>
      <c r="N349" t="n">
        <v>0</v>
      </c>
      <c r="O349" t="n">
        <v>0</v>
      </c>
      <c r="P349" t="n">
        <v>0</v>
      </c>
      <c r="Q349" t="n">
        <v>0</v>
      </c>
      <c r="R349" s="2" t="inlineStr"/>
    </row>
    <row r="350" ht="15" customHeight="1">
      <c r="A350" t="inlineStr">
        <is>
          <t>A 47678-2025</t>
        </is>
      </c>
      <c r="B350" s="1" t="n">
        <v>45931.57967592592</v>
      </c>
      <c r="C350" s="1" t="n">
        <v>46187</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47676-2025</t>
        </is>
      </c>
      <c r="B351" s="1" t="n">
        <v>45931.57756944445</v>
      </c>
      <c r="C351" s="1" t="n">
        <v>46187</v>
      </c>
      <c r="D351" t="inlineStr">
        <is>
          <t>ÖREBRO LÄN</t>
        </is>
      </c>
      <c r="E351" t="inlineStr">
        <is>
          <t>LINDESBERG</t>
        </is>
      </c>
      <c r="G351" t="n">
        <v>0.8</v>
      </c>
      <c r="H351" t="n">
        <v>0</v>
      </c>
      <c r="I351" t="n">
        <v>0</v>
      </c>
      <c r="J351" t="n">
        <v>0</v>
      </c>
      <c r="K351" t="n">
        <v>0</v>
      </c>
      <c r="L351" t="n">
        <v>0</v>
      </c>
      <c r="M351" t="n">
        <v>0</v>
      </c>
      <c r="N351" t="n">
        <v>0</v>
      </c>
      <c r="O351" t="n">
        <v>0</v>
      </c>
      <c r="P351" t="n">
        <v>0</v>
      </c>
      <c r="Q351" t="n">
        <v>0</v>
      </c>
      <c r="R351" s="2" t="inlineStr"/>
    </row>
    <row r="352" ht="15" customHeight="1">
      <c r="A352" t="inlineStr">
        <is>
          <t>A 40085-2023</t>
        </is>
      </c>
      <c r="B352" s="1" t="n">
        <v>45168.92155092592</v>
      </c>
      <c r="C352" s="1" t="n">
        <v>46187</v>
      </c>
      <c r="D352" t="inlineStr">
        <is>
          <t>ÖREBRO LÄN</t>
        </is>
      </c>
      <c r="E352" t="inlineStr">
        <is>
          <t>LINDESBERG</t>
        </is>
      </c>
      <c r="G352" t="n">
        <v>6.1</v>
      </c>
      <c r="H352" t="n">
        <v>0</v>
      </c>
      <c r="I352" t="n">
        <v>0</v>
      </c>
      <c r="J352" t="n">
        <v>0</v>
      </c>
      <c r="K352" t="n">
        <v>0</v>
      </c>
      <c r="L352" t="n">
        <v>0</v>
      </c>
      <c r="M352" t="n">
        <v>0</v>
      </c>
      <c r="N352" t="n">
        <v>0</v>
      </c>
      <c r="O352" t="n">
        <v>0</v>
      </c>
      <c r="P352" t="n">
        <v>0</v>
      </c>
      <c r="Q352" t="n">
        <v>0</v>
      </c>
      <c r="R352" s="2" t="inlineStr"/>
    </row>
    <row r="353" ht="15" customHeight="1">
      <c r="A353" t="inlineStr">
        <is>
          <t>A 40117-2023</t>
        </is>
      </c>
      <c r="B353" s="1" t="n">
        <v>45168.94197916667</v>
      </c>
      <c r="C353" s="1" t="n">
        <v>46187</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61761-2025</t>
        </is>
      </c>
      <c r="B354" s="1" t="n">
        <v>46002.62465277778</v>
      </c>
      <c r="C354" s="1" t="n">
        <v>46187</v>
      </c>
      <c r="D354" t="inlineStr">
        <is>
          <t>ÖREBRO LÄN</t>
        </is>
      </c>
      <c r="E354" t="inlineStr">
        <is>
          <t>LINDESBERG</t>
        </is>
      </c>
      <c r="G354" t="n">
        <v>3.8</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46187</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46187</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61745-2025</t>
        </is>
      </c>
      <c r="B357" s="1" t="n">
        <v>46002.60324074074</v>
      </c>
      <c r="C357" s="1" t="n">
        <v>46187</v>
      </c>
      <c r="D357" t="inlineStr">
        <is>
          <t>ÖREBRO LÄN</t>
        </is>
      </c>
      <c r="E357" t="inlineStr">
        <is>
          <t>LINDESBERG</t>
        </is>
      </c>
      <c r="G357" t="n">
        <v>1.8</v>
      </c>
      <c r="H357" t="n">
        <v>0</v>
      </c>
      <c r="I357" t="n">
        <v>0</v>
      </c>
      <c r="J357" t="n">
        <v>0</v>
      </c>
      <c r="K357" t="n">
        <v>0</v>
      </c>
      <c r="L357" t="n">
        <v>0</v>
      </c>
      <c r="M357" t="n">
        <v>0</v>
      </c>
      <c r="N357" t="n">
        <v>0</v>
      </c>
      <c r="O357" t="n">
        <v>0</v>
      </c>
      <c r="P357" t="n">
        <v>0</v>
      </c>
      <c r="Q357" t="n">
        <v>0</v>
      </c>
      <c r="R357" s="2" t="inlineStr"/>
    </row>
    <row r="358" ht="15" customHeight="1">
      <c r="A358" t="inlineStr">
        <is>
          <t>A 9966-2023</t>
        </is>
      </c>
      <c r="B358" s="1" t="n">
        <v>44979</v>
      </c>
      <c r="C358" s="1" t="n">
        <v>46187</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61758-2025</t>
        </is>
      </c>
      <c r="B359" s="1" t="n">
        <v>46002.61762731482</v>
      </c>
      <c r="C359" s="1" t="n">
        <v>46187</v>
      </c>
      <c r="D359" t="inlineStr">
        <is>
          <t>ÖREBRO LÄN</t>
        </is>
      </c>
      <c r="E359" t="inlineStr">
        <is>
          <t>LINDESBERG</t>
        </is>
      </c>
      <c r="G359" t="n">
        <v>1.8</v>
      </c>
      <c r="H359" t="n">
        <v>0</v>
      </c>
      <c r="I359" t="n">
        <v>0</v>
      </c>
      <c r="J359" t="n">
        <v>0</v>
      </c>
      <c r="K359" t="n">
        <v>0</v>
      </c>
      <c r="L359" t="n">
        <v>0</v>
      </c>
      <c r="M359" t="n">
        <v>0</v>
      </c>
      <c r="N359" t="n">
        <v>0</v>
      </c>
      <c r="O359" t="n">
        <v>0</v>
      </c>
      <c r="P359" t="n">
        <v>0</v>
      </c>
      <c r="Q359" t="n">
        <v>0</v>
      </c>
      <c r="R359" s="2" t="inlineStr"/>
    </row>
    <row r="360" ht="15" customHeight="1">
      <c r="A360" t="inlineStr">
        <is>
          <t>A 58050-2025</t>
        </is>
      </c>
      <c r="B360" s="1" t="n">
        <v>45982</v>
      </c>
      <c r="C360" s="1" t="n">
        <v>46187</v>
      </c>
      <c r="D360" t="inlineStr">
        <is>
          <t>ÖREBRO LÄN</t>
        </is>
      </c>
      <c r="E360" t="inlineStr">
        <is>
          <t>LINDESBERG</t>
        </is>
      </c>
      <c r="G360" t="n">
        <v>0.6</v>
      </c>
      <c r="H360" t="n">
        <v>0</v>
      </c>
      <c r="I360" t="n">
        <v>0</v>
      </c>
      <c r="J360" t="n">
        <v>0</v>
      </c>
      <c r="K360" t="n">
        <v>0</v>
      </c>
      <c r="L360" t="n">
        <v>0</v>
      </c>
      <c r="M360" t="n">
        <v>0</v>
      </c>
      <c r="N360" t="n">
        <v>0</v>
      </c>
      <c r="O360" t="n">
        <v>0</v>
      </c>
      <c r="P360" t="n">
        <v>0</v>
      </c>
      <c r="Q360" t="n">
        <v>0</v>
      </c>
      <c r="R360" s="2" t="inlineStr"/>
    </row>
    <row r="361" ht="15" customHeight="1">
      <c r="A361" t="inlineStr">
        <is>
          <t>A 58056-2025</t>
        </is>
      </c>
      <c r="B361" s="1" t="n">
        <v>45982</v>
      </c>
      <c r="C361" s="1" t="n">
        <v>46187</v>
      </c>
      <c r="D361" t="inlineStr">
        <is>
          <t>ÖREBRO LÄN</t>
        </is>
      </c>
      <c r="E361" t="inlineStr">
        <is>
          <t>LINDESBERG</t>
        </is>
      </c>
      <c r="G361" t="n">
        <v>0.9</v>
      </c>
      <c r="H361" t="n">
        <v>0</v>
      </c>
      <c r="I361" t="n">
        <v>0</v>
      </c>
      <c r="J361" t="n">
        <v>0</v>
      </c>
      <c r="K361" t="n">
        <v>0</v>
      </c>
      <c r="L361" t="n">
        <v>0</v>
      </c>
      <c r="M361" t="n">
        <v>0</v>
      </c>
      <c r="N361" t="n">
        <v>0</v>
      </c>
      <c r="O361" t="n">
        <v>0</v>
      </c>
      <c r="P361" t="n">
        <v>0</v>
      </c>
      <c r="Q361" t="n">
        <v>0</v>
      </c>
      <c r="R361" s="2" t="inlineStr"/>
    </row>
    <row r="362" ht="15" customHeight="1">
      <c r="A362" t="inlineStr">
        <is>
          <t>A 63083-2025</t>
        </is>
      </c>
      <c r="B362" s="1" t="n">
        <v>46009.67175925926</v>
      </c>
      <c r="C362" s="1" t="n">
        <v>46187</v>
      </c>
      <c r="D362" t="inlineStr">
        <is>
          <t>ÖREBRO LÄN</t>
        </is>
      </c>
      <c r="E362" t="inlineStr">
        <is>
          <t>LINDESBERG</t>
        </is>
      </c>
      <c r="G362" t="n">
        <v>0.7</v>
      </c>
      <c r="H362" t="n">
        <v>0</v>
      </c>
      <c r="I362" t="n">
        <v>0</v>
      </c>
      <c r="J362" t="n">
        <v>0</v>
      </c>
      <c r="K362" t="n">
        <v>0</v>
      </c>
      <c r="L362" t="n">
        <v>0</v>
      </c>
      <c r="M362" t="n">
        <v>0</v>
      </c>
      <c r="N362" t="n">
        <v>0</v>
      </c>
      <c r="O362" t="n">
        <v>0</v>
      </c>
      <c r="P362" t="n">
        <v>0</v>
      </c>
      <c r="Q362" t="n">
        <v>0</v>
      </c>
      <c r="R362" s="2" t="inlineStr"/>
    </row>
    <row r="363" ht="15" customHeight="1">
      <c r="A363" t="inlineStr">
        <is>
          <t>A 63526-2025</t>
        </is>
      </c>
      <c r="B363" s="1" t="n">
        <v>46013</v>
      </c>
      <c r="C363" s="1" t="n">
        <v>46187</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23844-2025</t>
        </is>
      </c>
      <c r="B364" s="1" t="n">
        <v>45793.62422453704</v>
      </c>
      <c r="C364" s="1" t="n">
        <v>46187</v>
      </c>
      <c r="D364" t="inlineStr">
        <is>
          <t>ÖREBRO LÄN</t>
        </is>
      </c>
      <c r="E364" t="inlineStr">
        <is>
          <t>LINDESBERG</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24186-2024</t>
        </is>
      </c>
      <c r="B365" s="1" t="n">
        <v>45456.90869212963</v>
      </c>
      <c r="C365" s="1" t="n">
        <v>46187</v>
      </c>
      <c r="D365" t="inlineStr">
        <is>
          <t>ÖREBRO LÄN</t>
        </is>
      </c>
      <c r="E365" t="inlineStr">
        <is>
          <t>LINDESBERG</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60941-2024</t>
        </is>
      </c>
      <c r="B366" s="1" t="n">
        <v>45645.3712037037</v>
      </c>
      <c r="C366" s="1" t="n">
        <v>46187</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56507-2021</t>
        </is>
      </c>
      <c r="B367" s="1" t="n">
        <v>44480.58034722223</v>
      </c>
      <c r="C367" s="1" t="n">
        <v>46187</v>
      </c>
      <c r="D367" t="inlineStr">
        <is>
          <t>ÖREBRO LÄN</t>
        </is>
      </c>
      <c r="E367" t="inlineStr">
        <is>
          <t>LINDESBERG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47069-2023</t>
        </is>
      </c>
      <c r="B368" s="1" t="n">
        <v>45201</v>
      </c>
      <c r="C368" s="1" t="n">
        <v>46187</v>
      </c>
      <c r="D368" t="inlineStr">
        <is>
          <t>ÖREBRO LÄN</t>
        </is>
      </c>
      <c r="E368" t="inlineStr">
        <is>
          <t>LINDESBERG</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47074-2023</t>
        </is>
      </c>
      <c r="B369" s="1" t="n">
        <v>45201.60283564815</v>
      </c>
      <c r="C369" s="1" t="n">
        <v>46187</v>
      </c>
      <c r="D369" t="inlineStr">
        <is>
          <t>ÖREBRO LÄN</t>
        </is>
      </c>
      <c r="E369" t="inlineStr">
        <is>
          <t>LINDESBERG</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4997-2024</t>
        </is>
      </c>
      <c r="B370" s="1" t="n">
        <v>45329</v>
      </c>
      <c r="C370" s="1" t="n">
        <v>46187</v>
      </c>
      <c r="D370" t="inlineStr">
        <is>
          <t>ÖREBRO LÄN</t>
        </is>
      </c>
      <c r="E370" t="inlineStr">
        <is>
          <t>LINDESBERG</t>
        </is>
      </c>
      <c r="F370" t="inlineStr">
        <is>
          <t>BillerudKorsnäs AB</t>
        </is>
      </c>
      <c r="G370" t="n">
        <v>3</v>
      </c>
      <c r="H370" t="n">
        <v>0</v>
      </c>
      <c r="I370" t="n">
        <v>0</v>
      </c>
      <c r="J370" t="n">
        <v>0</v>
      </c>
      <c r="K370" t="n">
        <v>0</v>
      </c>
      <c r="L370" t="n">
        <v>0</v>
      </c>
      <c r="M370" t="n">
        <v>0</v>
      </c>
      <c r="N370" t="n">
        <v>0</v>
      </c>
      <c r="O370" t="n">
        <v>0</v>
      </c>
      <c r="P370" t="n">
        <v>0</v>
      </c>
      <c r="Q370" t="n">
        <v>0</v>
      </c>
      <c r="R370" s="2" t="inlineStr"/>
    </row>
    <row r="371" ht="15" customHeight="1">
      <c r="A371" t="inlineStr">
        <is>
          <t>A 33284-2024</t>
        </is>
      </c>
      <c r="B371" s="1" t="n">
        <v>45518.71721064814</v>
      </c>
      <c r="C371" s="1" t="n">
        <v>46187</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38696-2024</t>
        </is>
      </c>
      <c r="B372" s="1" t="n">
        <v>45547.36590277778</v>
      </c>
      <c r="C372" s="1" t="n">
        <v>46187</v>
      </c>
      <c r="D372" t="inlineStr">
        <is>
          <t>ÖREBRO LÄN</t>
        </is>
      </c>
      <c r="E372" t="inlineStr">
        <is>
          <t>LINDESBERG</t>
        </is>
      </c>
      <c r="G372" t="n">
        <v>2</v>
      </c>
      <c r="H372" t="n">
        <v>0</v>
      </c>
      <c r="I372" t="n">
        <v>0</v>
      </c>
      <c r="J372" t="n">
        <v>0</v>
      </c>
      <c r="K372" t="n">
        <v>0</v>
      </c>
      <c r="L372" t="n">
        <v>0</v>
      </c>
      <c r="M372" t="n">
        <v>0</v>
      </c>
      <c r="N372" t="n">
        <v>0</v>
      </c>
      <c r="O372" t="n">
        <v>0</v>
      </c>
      <c r="P372" t="n">
        <v>0</v>
      </c>
      <c r="Q372" t="n">
        <v>0</v>
      </c>
      <c r="R372" s="2" t="inlineStr"/>
    </row>
    <row r="373" ht="15" customHeight="1">
      <c r="A373" t="inlineStr">
        <is>
          <t>A 19219-2023</t>
        </is>
      </c>
      <c r="B373" s="1" t="n">
        <v>45048</v>
      </c>
      <c r="C373" s="1" t="n">
        <v>46187</v>
      </c>
      <c r="D373" t="inlineStr">
        <is>
          <t>ÖREBRO LÄN</t>
        </is>
      </c>
      <c r="E373" t="inlineStr">
        <is>
          <t>LINDESBERG</t>
        </is>
      </c>
      <c r="G373" t="n">
        <v>1</v>
      </c>
      <c r="H373" t="n">
        <v>0</v>
      </c>
      <c r="I373" t="n">
        <v>0</v>
      </c>
      <c r="J373" t="n">
        <v>0</v>
      </c>
      <c r="K373" t="n">
        <v>0</v>
      </c>
      <c r="L373" t="n">
        <v>0</v>
      </c>
      <c r="M373" t="n">
        <v>0</v>
      </c>
      <c r="N373" t="n">
        <v>0</v>
      </c>
      <c r="O373" t="n">
        <v>0</v>
      </c>
      <c r="P373" t="n">
        <v>0</v>
      </c>
      <c r="Q373" t="n">
        <v>0</v>
      </c>
      <c r="R373" s="2" t="inlineStr"/>
    </row>
    <row r="374" ht="15" customHeight="1">
      <c r="A374" t="inlineStr">
        <is>
          <t>A 1742-2022</t>
        </is>
      </c>
      <c r="B374" s="1" t="n">
        <v>44574.50425925926</v>
      </c>
      <c r="C374" s="1" t="n">
        <v>46187</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610-2026</t>
        </is>
      </c>
      <c r="B375" s="1" t="n">
        <v>46029</v>
      </c>
      <c r="C375" s="1" t="n">
        <v>46187</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52928-2024</t>
        </is>
      </c>
      <c r="B376" s="1" t="n">
        <v>45610</v>
      </c>
      <c r="C376" s="1" t="n">
        <v>46187</v>
      </c>
      <c r="D376" t="inlineStr">
        <is>
          <t>ÖREBRO LÄN</t>
        </is>
      </c>
      <c r="E376" t="inlineStr">
        <is>
          <t>LINDESBERG</t>
        </is>
      </c>
      <c r="G376" t="n">
        <v>8.6</v>
      </c>
      <c r="H376" t="n">
        <v>0</v>
      </c>
      <c r="I376" t="n">
        <v>0</v>
      </c>
      <c r="J376" t="n">
        <v>0</v>
      </c>
      <c r="K376" t="n">
        <v>0</v>
      </c>
      <c r="L376" t="n">
        <v>0</v>
      </c>
      <c r="M376" t="n">
        <v>0</v>
      </c>
      <c r="N376" t="n">
        <v>0</v>
      </c>
      <c r="O376" t="n">
        <v>0</v>
      </c>
      <c r="P376" t="n">
        <v>0</v>
      </c>
      <c r="Q376" t="n">
        <v>0</v>
      </c>
      <c r="R376" s="2" t="inlineStr"/>
    </row>
    <row r="377" ht="15" customHeight="1">
      <c r="A377" t="inlineStr">
        <is>
          <t>A 73500-2021</t>
        </is>
      </c>
      <c r="B377" s="1" t="n">
        <v>44551</v>
      </c>
      <c r="C377" s="1" t="n">
        <v>46187</v>
      </c>
      <c r="D377" t="inlineStr">
        <is>
          <t>ÖREBRO LÄN</t>
        </is>
      </c>
      <c r="E377" t="inlineStr">
        <is>
          <t>LINDESBERG</t>
        </is>
      </c>
      <c r="G377" t="n">
        <v>1.1</v>
      </c>
      <c r="H377" t="n">
        <v>0</v>
      </c>
      <c r="I377" t="n">
        <v>0</v>
      </c>
      <c r="J377" t="n">
        <v>0</v>
      </c>
      <c r="K377" t="n">
        <v>0</v>
      </c>
      <c r="L377" t="n">
        <v>0</v>
      </c>
      <c r="M377" t="n">
        <v>0</v>
      </c>
      <c r="N377" t="n">
        <v>0</v>
      </c>
      <c r="O377" t="n">
        <v>0</v>
      </c>
      <c r="P377" t="n">
        <v>0</v>
      </c>
      <c r="Q377" t="n">
        <v>0</v>
      </c>
      <c r="R377" s="2" t="inlineStr"/>
    </row>
    <row r="378" ht="15" customHeight="1">
      <c r="A378" t="inlineStr">
        <is>
          <t>A 23932-2025</t>
        </is>
      </c>
      <c r="B378" s="1" t="n">
        <v>45795.70912037037</v>
      </c>
      <c r="C378" s="1" t="n">
        <v>46187</v>
      </c>
      <c r="D378" t="inlineStr">
        <is>
          <t>ÖREBRO LÄN</t>
        </is>
      </c>
      <c r="E378" t="inlineStr">
        <is>
          <t>LINDESBERG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37125-2023</t>
        </is>
      </c>
      <c r="B379" s="1" t="n">
        <v>45155.5653125</v>
      </c>
      <c r="C379" s="1" t="n">
        <v>46187</v>
      </c>
      <c r="D379" t="inlineStr">
        <is>
          <t>ÖREBRO LÄN</t>
        </is>
      </c>
      <c r="E379" t="inlineStr">
        <is>
          <t>LINDESBERG</t>
        </is>
      </c>
      <c r="G379" t="n">
        <v>2</v>
      </c>
      <c r="H379" t="n">
        <v>0</v>
      </c>
      <c r="I379" t="n">
        <v>0</v>
      </c>
      <c r="J379" t="n">
        <v>0</v>
      </c>
      <c r="K379" t="n">
        <v>0</v>
      </c>
      <c r="L379" t="n">
        <v>0</v>
      </c>
      <c r="M379" t="n">
        <v>0</v>
      </c>
      <c r="N379" t="n">
        <v>0</v>
      </c>
      <c r="O379" t="n">
        <v>0</v>
      </c>
      <c r="P379" t="n">
        <v>0</v>
      </c>
      <c r="Q379" t="n">
        <v>0</v>
      </c>
      <c r="R379" s="2" t="inlineStr"/>
    </row>
    <row r="380" ht="15" customHeight="1">
      <c r="A380" t="inlineStr">
        <is>
          <t>A 16864-2022</t>
        </is>
      </c>
      <c r="B380" s="1" t="n">
        <v>44675</v>
      </c>
      <c r="C380" s="1" t="n">
        <v>46187</v>
      </c>
      <c r="D380" t="inlineStr">
        <is>
          <t>ÖREBRO LÄN</t>
        </is>
      </c>
      <c r="E380" t="inlineStr">
        <is>
          <t>LINDESBERG</t>
        </is>
      </c>
      <c r="F380" t="inlineStr">
        <is>
          <t>Kyrkan</t>
        </is>
      </c>
      <c r="G380" t="n">
        <v>1.7</v>
      </c>
      <c r="H380" t="n">
        <v>0</v>
      </c>
      <c r="I380" t="n">
        <v>0</v>
      </c>
      <c r="J380" t="n">
        <v>0</v>
      </c>
      <c r="K380" t="n">
        <v>0</v>
      </c>
      <c r="L380" t="n">
        <v>0</v>
      </c>
      <c r="M380" t="n">
        <v>0</v>
      </c>
      <c r="N380" t="n">
        <v>0</v>
      </c>
      <c r="O380" t="n">
        <v>0</v>
      </c>
      <c r="P380" t="n">
        <v>0</v>
      </c>
      <c r="Q380" t="n">
        <v>0</v>
      </c>
      <c r="R380" s="2" t="inlineStr"/>
    </row>
    <row r="381" ht="15" customHeight="1">
      <c r="A381" t="inlineStr">
        <is>
          <t>A 57944-2023</t>
        </is>
      </c>
      <c r="B381" s="1" t="n">
        <v>45244</v>
      </c>
      <c r="C381" s="1" t="n">
        <v>46187</v>
      </c>
      <c r="D381" t="inlineStr">
        <is>
          <t>ÖREBRO LÄN</t>
        </is>
      </c>
      <c r="E381" t="inlineStr">
        <is>
          <t>LINDESBERG</t>
        </is>
      </c>
      <c r="G381" t="n">
        <v>2.4</v>
      </c>
      <c r="H381" t="n">
        <v>0</v>
      </c>
      <c r="I381" t="n">
        <v>0</v>
      </c>
      <c r="J381" t="n">
        <v>0</v>
      </c>
      <c r="K381" t="n">
        <v>0</v>
      </c>
      <c r="L381" t="n">
        <v>0</v>
      </c>
      <c r="M381" t="n">
        <v>0</v>
      </c>
      <c r="N381" t="n">
        <v>0</v>
      </c>
      <c r="O381" t="n">
        <v>0</v>
      </c>
      <c r="P381" t="n">
        <v>0</v>
      </c>
      <c r="Q381" t="n">
        <v>0</v>
      </c>
      <c r="R381" s="2" t="inlineStr"/>
    </row>
    <row r="382" ht="15" customHeight="1">
      <c r="A382" t="inlineStr">
        <is>
          <t>A 24017-2025</t>
        </is>
      </c>
      <c r="B382" s="1" t="n">
        <v>45796.44885416667</v>
      </c>
      <c r="C382" s="1" t="n">
        <v>46187</v>
      </c>
      <c r="D382" t="inlineStr">
        <is>
          <t>ÖREBRO LÄN</t>
        </is>
      </c>
      <c r="E382" t="inlineStr">
        <is>
          <t>LINDESBERG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24107-2025</t>
        </is>
      </c>
      <c r="B383" s="1" t="n">
        <v>45796</v>
      </c>
      <c r="C383" s="1" t="n">
        <v>46187</v>
      </c>
      <c r="D383" t="inlineStr">
        <is>
          <t>ÖREBRO LÄN</t>
        </is>
      </c>
      <c r="E383" t="inlineStr">
        <is>
          <t>LINDESBERG</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24011-2025</t>
        </is>
      </c>
      <c r="B384" s="1" t="n">
        <v>45796</v>
      </c>
      <c r="C384" s="1" t="n">
        <v>46187</v>
      </c>
      <c r="D384" t="inlineStr">
        <is>
          <t>ÖREBRO LÄN</t>
        </is>
      </c>
      <c r="E384" t="inlineStr">
        <is>
          <t>LINDESBERG</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24020-2025</t>
        </is>
      </c>
      <c r="B385" s="1" t="n">
        <v>45796.45054398148</v>
      </c>
      <c r="C385" s="1" t="n">
        <v>46187</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911-2026</t>
        </is>
      </c>
      <c r="B386" s="1" t="n">
        <v>46030.47725694445</v>
      </c>
      <c r="C386" s="1" t="n">
        <v>46187</v>
      </c>
      <c r="D386" t="inlineStr">
        <is>
          <t>ÖREBRO LÄN</t>
        </is>
      </c>
      <c r="E386" t="inlineStr">
        <is>
          <t>LINDESBERG</t>
        </is>
      </c>
      <c r="G386" t="n">
        <v>1.6</v>
      </c>
      <c r="H386" t="n">
        <v>0</v>
      </c>
      <c r="I386" t="n">
        <v>0</v>
      </c>
      <c r="J386" t="n">
        <v>0</v>
      </c>
      <c r="K386" t="n">
        <v>0</v>
      </c>
      <c r="L386" t="n">
        <v>0</v>
      </c>
      <c r="M386" t="n">
        <v>0</v>
      </c>
      <c r="N386" t="n">
        <v>0</v>
      </c>
      <c r="O386" t="n">
        <v>0</v>
      </c>
      <c r="P386" t="n">
        <v>0</v>
      </c>
      <c r="Q386" t="n">
        <v>0</v>
      </c>
      <c r="R386" s="2" t="inlineStr"/>
    </row>
    <row r="387" ht="15" customHeight="1">
      <c r="A387" t="inlineStr">
        <is>
          <t>A 24043-2024</t>
        </is>
      </c>
      <c r="B387" s="1" t="n">
        <v>45456.48927083334</v>
      </c>
      <c r="C387" s="1" t="n">
        <v>46187</v>
      </c>
      <c r="D387" t="inlineStr">
        <is>
          <t>ÖREBRO LÄN</t>
        </is>
      </c>
      <c r="E387" t="inlineStr">
        <is>
          <t>LINDESBERG</t>
        </is>
      </c>
      <c r="G387" t="n">
        <v>6.2</v>
      </c>
      <c r="H387" t="n">
        <v>0</v>
      </c>
      <c r="I387" t="n">
        <v>0</v>
      </c>
      <c r="J387" t="n">
        <v>0</v>
      </c>
      <c r="K387" t="n">
        <v>0</v>
      </c>
      <c r="L387" t="n">
        <v>0</v>
      </c>
      <c r="M387" t="n">
        <v>0</v>
      </c>
      <c r="N387" t="n">
        <v>0</v>
      </c>
      <c r="O387" t="n">
        <v>0</v>
      </c>
      <c r="P387" t="n">
        <v>0</v>
      </c>
      <c r="Q387" t="n">
        <v>0</v>
      </c>
      <c r="R387" s="2" t="inlineStr"/>
    </row>
    <row r="388" ht="15" customHeight="1">
      <c r="A388" t="inlineStr">
        <is>
          <t>A 2556-2026</t>
        </is>
      </c>
      <c r="B388" s="1" t="n">
        <v>46035</v>
      </c>
      <c r="C388" s="1" t="n">
        <v>46187</v>
      </c>
      <c r="D388" t="inlineStr">
        <is>
          <t>ÖREBRO LÄN</t>
        </is>
      </c>
      <c r="E388" t="inlineStr">
        <is>
          <t>LINDESBERG</t>
        </is>
      </c>
      <c r="G388" t="n">
        <v>3.4</v>
      </c>
      <c r="H388" t="n">
        <v>0</v>
      </c>
      <c r="I388" t="n">
        <v>0</v>
      </c>
      <c r="J388" t="n">
        <v>0</v>
      </c>
      <c r="K388" t="n">
        <v>0</v>
      </c>
      <c r="L388" t="n">
        <v>0</v>
      </c>
      <c r="M388" t="n">
        <v>0</v>
      </c>
      <c r="N388" t="n">
        <v>0</v>
      </c>
      <c r="O388" t="n">
        <v>0</v>
      </c>
      <c r="P388" t="n">
        <v>0</v>
      </c>
      <c r="Q388" t="n">
        <v>0</v>
      </c>
      <c r="R388" s="2" t="inlineStr"/>
    </row>
    <row r="389" ht="15" customHeight="1">
      <c r="A389" t="inlineStr">
        <is>
          <t>A 11953-2024</t>
        </is>
      </c>
      <c r="B389" s="1" t="n">
        <v>45376.70292824074</v>
      </c>
      <c r="C389" s="1" t="n">
        <v>46187</v>
      </c>
      <c r="D389" t="inlineStr">
        <is>
          <t>ÖREBRO LÄN</t>
        </is>
      </c>
      <c r="E389" t="inlineStr">
        <is>
          <t>LINDESBERG</t>
        </is>
      </c>
      <c r="G389" t="n">
        <v>5.7</v>
      </c>
      <c r="H389" t="n">
        <v>0</v>
      </c>
      <c r="I389" t="n">
        <v>0</v>
      </c>
      <c r="J389" t="n">
        <v>0</v>
      </c>
      <c r="K389" t="n">
        <v>0</v>
      </c>
      <c r="L389" t="n">
        <v>0</v>
      </c>
      <c r="M389" t="n">
        <v>0</v>
      </c>
      <c r="N389" t="n">
        <v>0</v>
      </c>
      <c r="O389" t="n">
        <v>0</v>
      </c>
      <c r="P389" t="n">
        <v>0</v>
      </c>
      <c r="Q389" t="n">
        <v>0</v>
      </c>
      <c r="R389" s="2" t="inlineStr"/>
    </row>
    <row r="390" ht="15" customHeight="1">
      <c r="A390" t="inlineStr">
        <is>
          <t>A 50170-2022</t>
        </is>
      </c>
      <c r="B390" s="1" t="n">
        <v>44865.600625</v>
      </c>
      <c r="C390" s="1" t="n">
        <v>46187</v>
      </c>
      <c r="D390" t="inlineStr">
        <is>
          <t>ÖREBRO LÄN</t>
        </is>
      </c>
      <c r="E390" t="inlineStr">
        <is>
          <t>LINDESBERG</t>
        </is>
      </c>
      <c r="G390" t="n">
        <v>2.1</v>
      </c>
      <c r="H390" t="n">
        <v>0</v>
      </c>
      <c r="I390" t="n">
        <v>0</v>
      </c>
      <c r="J390" t="n">
        <v>0</v>
      </c>
      <c r="K390" t="n">
        <v>0</v>
      </c>
      <c r="L390" t="n">
        <v>0</v>
      </c>
      <c r="M390" t="n">
        <v>0</v>
      </c>
      <c r="N390" t="n">
        <v>0</v>
      </c>
      <c r="O390" t="n">
        <v>0</v>
      </c>
      <c r="P390" t="n">
        <v>0</v>
      </c>
      <c r="Q390" t="n">
        <v>0</v>
      </c>
      <c r="R390" s="2" t="inlineStr"/>
    </row>
    <row r="391" ht="15" customHeight="1">
      <c r="A391" t="inlineStr">
        <is>
          <t>A 48231-2024</t>
        </is>
      </c>
      <c r="B391" s="1" t="n">
        <v>45590.37590277778</v>
      </c>
      <c r="C391" s="1" t="n">
        <v>46187</v>
      </c>
      <c r="D391" t="inlineStr">
        <is>
          <t>ÖREBRO LÄN</t>
        </is>
      </c>
      <c r="E391" t="inlineStr">
        <is>
          <t>LINDESBERG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1749-2026</t>
        </is>
      </c>
      <c r="B392" s="1" t="n">
        <v>46034.65601851852</v>
      </c>
      <c r="C392" s="1" t="n">
        <v>46187</v>
      </c>
      <c r="D392" t="inlineStr">
        <is>
          <t>ÖREBRO LÄN</t>
        </is>
      </c>
      <c r="E392" t="inlineStr">
        <is>
          <t>LINDESBERG</t>
        </is>
      </c>
      <c r="G392" t="n">
        <v>2.2</v>
      </c>
      <c r="H392" t="n">
        <v>0</v>
      </c>
      <c r="I392" t="n">
        <v>0</v>
      </c>
      <c r="J392" t="n">
        <v>0</v>
      </c>
      <c r="K392" t="n">
        <v>0</v>
      </c>
      <c r="L392" t="n">
        <v>0</v>
      </c>
      <c r="M392" t="n">
        <v>0</v>
      </c>
      <c r="N392" t="n">
        <v>0</v>
      </c>
      <c r="O392" t="n">
        <v>0</v>
      </c>
      <c r="P392" t="n">
        <v>0</v>
      </c>
      <c r="Q392" t="n">
        <v>0</v>
      </c>
      <c r="R392" s="2" t="inlineStr"/>
    </row>
    <row r="393" ht="15" customHeight="1">
      <c r="A393" t="inlineStr">
        <is>
          <t>A 28469-2023</t>
        </is>
      </c>
      <c r="B393" s="1" t="n">
        <v>45103</v>
      </c>
      <c r="C393" s="1" t="n">
        <v>46187</v>
      </c>
      <c r="D393" t="inlineStr">
        <is>
          <t>ÖREBRO LÄN</t>
        </is>
      </c>
      <c r="E393" t="inlineStr">
        <is>
          <t>LINDESBERG</t>
        </is>
      </c>
      <c r="G393" t="n">
        <v>0.3</v>
      </c>
      <c r="H393" t="n">
        <v>0</v>
      </c>
      <c r="I393" t="n">
        <v>0</v>
      </c>
      <c r="J393" t="n">
        <v>0</v>
      </c>
      <c r="K393" t="n">
        <v>0</v>
      </c>
      <c r="L393" t="n">
        <v>0</v>
      </c>
      <c r="M393" t="n">
        <v>0</v>
      </c>
      <c r="N393" t="n">
        <v>0</v>
      </c>
      <c r="O393" t="n">
        <v>0</v>
      </c>
      <c r="P393" t="n">
        <v>0</v>
      </c>
      <c r="Q393" t="n">
        <v>0</v>
      </c>
      <c r="R393" s="2" t="inlineStr"/>
    </row>
    <row r="394" ht="15" customHeight="1">
      <c r="A394" t="inlineStr">
        <is>
          <t>A 72706-2021</t>
        </is>
      </c>
      <c r="B394" s="1" t="n">
        <v>44546.67222222222</v>
      </c>
      <c r="C394" s="1" t="n">
        <v>46187</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45481-2023</t>
        </is>
      </c>
      <c r="B395" s="1" t="n">
        <v>45194</v>
      </c>
      <c r="C395" s="1" t="n">
        <v>46187</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59766-2022</t>
        </is>
      </c>
      <c r="B396" s="1" t="n">
        <v>44908.49152777778</v>
      </c>
      <c r="C396" s="1" t="n">
        <v>46187</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27013-2024</t>
        </is>
      </c>
      <c r="B397" s="1" t="n">
        <v>45471.40384259259</v>
      </c>
      <c r="C397" s="1" t="n">
        <v>46187</v>
      </c>
      <c r="D397" t="inlineStr">
        <is>
          <t>ÖREBRO LÄN</t>
        </is>
      </c>
      <c r="E397" t="inlineStr">
        <is>
          <t>LINDESBERG</t>
        </is>
      </c>
      <c r="G397" t="n">
        <v>5.2</v>
      </c>
      <c r="H397" t="n">
        <v>0</v>
      </c>
      <c r="I397" t="n">
        <v>0</v>
      </c>
      <c r="J397" t="n">
        <v>0</v>
      </c>
      <c r="K397" t="n">
        <v>0</v>
      </c>
      <c r="L397" t="n">
        <v>0</v>
      </c>
      <c r="M397" t="n">
        <v>0</v>
      </c>
      <c r="N397" t="n">
        <v>0</v>
      </c>
      <c r="O397" t="n">
        <v>0</v>
      </c>
      <c r="P397" t="n">
        <v>0</v>
      </c>
      <c r="Q397" t="n">
        <v>0</v>
      </c>
      <c r="R397" s="2" t="inlineStr"/>
    </row>
    <row r="398" ht="15" customHeight="1">
      <c r="A398" t="inlineStr">
        <is>
          <t>A 2704-2026</t>
        </is>
      </c>
      <c r="B398" s="1" t="n">
        <v>46037.69133101852</v>
      </c>
      <c r="C398" s="1" t="n">
        <v>46187</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25842-2025</t>
        </is>
      </c>
      <c r="B399" s="1" t="n">
        <v>45804.45474537037</v>
      </c>
      <c r="C399" s="1" t="n">
        <v>46187</v>
      </c>
      <c r="D399" t="inlineStr">
        <is>
          <t>ÖREBRO LÄN</t>
        </is>
      </c>
      <c r="E399" t="inlineStr">
        <is>
          <t>LINDESBERG</t>
        </is>
      </c>
      <c r="G399" t="n">
        <v>1.7</v>
      </c>
      <c r="H399" t="n">
        <v>0</v>
      </c>
      <c r="I399" t="n">
        <v>0</v>
      </c>
      <c r="J399" t="n">
        <v>0</v>
      </c>
      <c r="K399" t="n">
        <v>0</v>
      </c>
      <c r="L399" t="n">
        <v>0</v>
      </c>
      <c r="M399" t="n">
        <v>0</v>
      </c>
      <c r="N399" t="n">
        <v>0</v>
      </c>
      <c r="O399" t="n">
        <v>0</v>
      </c>
      <c r="P399" t="n">
        <v>0</v>
      </c>
      <c r="Q399" t="n">
        <v>0</v>
      </c>
      <c r="R399" s="2" t="inlineStr"/>
    </row>
    <row r="400" ht="15" customHeight="1">
      <c r="A400" t="inlineStr">
        <is>
          <t>A 27134-2024</t>
        </is>
      </c>
      <c r="B400" s="1" t="n">
        <v>45471.52878472222</v>
      </c>
      <c r="C400" s="1" t="n">
        <v>46187</v>
      </c>
      <c r="D400" t="inlineStr">
        <is>
          <t>ÖREBRO LÄN</t>
        </is>
      </c>
      <c r="E400" t="inlineStr">
        <is>
          <t>LINDESBERG</t>
        </is>
      </c>
      <c r="G400" t="n">
        <v>0.7</v>
      </c>
      <c r="H400" t="n">
        <v>0</v>
      </c>
      <c r="I400" t="n">
        <v>0</v>
      </c>
      <c r="J400" t="n">
        <v>0</v>
      </c>
      <c r="K400" t="n">
        <v>0</v>
      </c>
      <c r="L400" t="n">
        <v>0</v>
      </c>
      <c r="M400" t="n">
        <v>0</v>
      </c>
      <c r="N400" t="n">
        <v>0</v>
      </c>
      <c r="O400" t="n">
        <v>0</v>
      </c>
      <c r="P400" t="n">
        <v>0</v>
      </c>
      <c r="Q400" t="n">
        <v>0</v>
      </c>
      <c r="R400" s="2" t="inlineStr"/>
    </row>
    <row r="401" ht="15" customHeight="1">
      <c r="A401" t="inlineStr">
        <is>
          <t>A 3315-2026</t>
        </is>
      </c>
      <c r="B401" s="1" t="n">
        <v>46041.68443287037</v>
      </c>
      <c r="C401" s="1" t="n">
        <v>46187</v>
      </c>
      <c r="D401" t="inlineStr">
        <is>
          <t>ÖREBRO LÄN</t>
        </is>
      </c>
      <c r="E401" t="inlineStr">
        <is>
          <t>LINDESBERG</t>
        </is>
      </c>
      <c r="G401" t="n">
        <v>7.6</v>
      </c>
      <c r="H401" t="n">
        <v>0</v>
      </c>
      <c r="I401" t="n">
        <v>0</v>
      </c>
      <c r="J401" t="n">
        <v>0</v>
      </c>
      <c r="K401" t="n">
        <v>0</v>
      </c>
      <c r="L401" t="n">
        <v>0</v>
      </c>
      <c r="M401" t="n">
        <v>0</v>
      </c>
      <c r="N401" t="n">
        <v>0</v>
      </c>
      <c r="O401" t="n">
        <v>0</v>
      </c>
      <c r="P401" t="n">
        <v>0</v>
      </c>
      <c r="Q401" t="n">
        <v>0</v>
      </c>
      <c r="R401" s="2" t="inlineStr"/>
    </row>
    <row r="402" ht="15" customHeight="1">
      <c r="A402" t="inlineStr">
        <is>
          <t>A 2969-2026</t>
        </is>
      </c>
      <c r="B402" s="1" t="n">
        <v>46038.61912037037</v>
      </c>
      <c r="C402" s="1" t="n">
        <v>46187</v>
      </c>
      <c r="D402" t="inlineStr">
        <is>
          <t>ÖREBRO LÄN</t>
        </is>
      </c>
      <c r="E402" t="inlineStr">
        <is>
          <t>LINDESBERG</t>
        </is>
      </c>
      <c r="G402" t="n">
        <v>2.6</v>
      </c>
      <c r="H402" t="n">
        <v>0</v>
      </c>
      <c r="I402" t="n">
        <v>0</v>
      </c>
      <c r="J402" t="n">
        <v>0</v>
      </c>
      <c r="K402" t="n">
        <v>0</v>
      </c>
      <c r="L402" t="n">
        <v>0</v>
      </c>
      <c r="M402" t="n">
        <v>0</v>
      </c>
      <c r="N402" t="n">
        <v>0</v>
      </c>
      <c r="O402" t="n">
        <v>0</v>
      </c>
      <c r="P402" t="n">
        <v>0</v>
      </c>
      <c r="Q402" t="n">
        <v>0</v>
      </c>
      <c r="R402" s="2" t="inlineStr"/>
    </row>
    <row r="403" ht="15" customHeight="1">
      <c r="A403" t="inlineStr">
        <is>
          <t>A 36121-2023</t>
        </is>
      </c>
      <c r="B403" s="1" t="n">
        <v>45148</v>
      </c>
      <c r="C403" s="1" t="n">
        <v>46187</v>
      </c>
      <c r="D403" t="inlineStr">
        <is>
          <t>ÖREBRO LÄN</t>
        </is>
      </c>
      <c r="E403" t="inlineStr">
        <is>
          <t>LINDESBERG</t>
        </is>
      </c>
      <c r="G403" t="n">
        <v>7.1</v>
      </c>
      <c r="H403" t="n">
        <v>0</v>
      </c>
      <c r="I403" t="n">
        <v>0</v>
      </c>
      <c r="J403" t="n">
        <v>0</v>
      </c>
      <c r="K403" t="n">
        <v>0</v>
      </c>
      <c r="L403" t="n">
        <v>0</v>
      </c>
      <c r="M403" t="n">
        <v>0</v>
      </c>
      <c r="N403" t="n">
        <v>0</v>
      </c>
      <c r="O403" t="n">
        <v>0</v>
      </c>
      <c r="P403" t="n">
        <v>0</v>
      </c>
      <c r="Q403" t="n">
        <v>0</v>
      </c>
      <c r="R403" s="2" t="inlineStr"/>
    </row>
    <row r="404" ht="15" customHeight="1">
      <c r="A404" t="inlineStr">
        <is>
          <t>A 36280-2023</t>
        </is>
      </c>
      <c r="B404" s="1" t="n">
        <v>45152.34586805556</v>
      </c>
      <c r="C404" s="1" t="n">
        <v>46187</v>
      </c>
      <c r="D404" t="inlineStr">
        <is>
          <t>ÖREBRO LÄN</t>
        </is>
      </c>
      <c r="E404" t="inlineStr">
        <is>
          <t>LINDESBERG</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2902-2026</t>
        </is>
      </c>
      <c r="B405" s="1" t="n">
        <v>46038.55849537037</v>
      </c>
      <c r="C405" s="1" t="n">
        <v>46187</v>
      </c>
      <c r="D405" t="inlineStr">
        <is>
          <t>ÖREBRO LÄN</t>
        </is>
      </c>
      <c r="E405" t="inlineStr">
        <is>
          <t>LINDESBERG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44449-2023</t>
        </is>
      </c>
      <c r="B406" s="1" t="n">
        <v>45189.38135416667</v>
      </c>
      <c r="C406" s="1" t="n">
        <v>46187</v>
      </c>
      <c r="D406" t="inlineStr">
        <is>
          <t>ÖREBRO LÄN</t>
        </is>
      </c>
      <c r="E406" t="inlineStr">
        <is>
          <t>LINDESBERG</t>
        </is>
      </c>
      <c r="G406" t="n">
        <v>13.7</v>
      </c>
      <c r="H406" t="n">
        <v>0</v>
      </c>
      <c r="I406" t="n">
        <v>0</v>
      </c>
      <c r="J406" t="n">
        <v>0</v>
      </c>
      <c r="K406" t="n">
        <v>0</v>
      </c>
      <c r="L406" t="n">
        <v>0</v>
      </c>
      <c r="M406" t="n">
        <v>0</v>
      </c>
      <c r="N406" t="n">
        <v>0</v>
      </c>
      <c r="O406" t="n">
        <v>0</v>
      </c>
      <c r="P406" t="n">
        <v>0</v>
      </c>
      <c r="Q406" t="n">
        <v>0</v>
      </c>
      <c r="R406" s="2" t="inlineStr"/>
    </row>
    <row r="407" ht="15" customHeight="1">
      <c r="A407" t="inlineStr">
        <is>
          <t>A 2929-2026</t>
        </is>
      </c>
      <c r="B407" s="1" t="n">
        <v>46038.58241898148</v>
      </c>
      <c r="C407" s="1" t="n">
        <v>46187</v>
      </c>
      <c r="D407" t="inlineStr">
        <is>
          <t>ÖREBRO LÄN</t>
        </is>
      </c>
      <c r="E407" t="inlineStr">
        <is>
          <t>LINDESBERG</t>
        </is>
      </c>
      <c r="G407" t="n">
        <v>1.8</v>
      </c>
      <c r="H407" t="n">
        <v>0</v>
      </c>
      <c r="I407" t="n">
        <v>0</v>
      </c>
      <c r="J407" t="n">
        <v>0</v>
      </c>
      <c r="K407" t="n">
        <v>0</v>
      </c>
      <c r="L407" t="n">
        <v>0</v>
      </c>
      <c r="M407" t="n">
        <v>0</v>
      </c>
      <c r="N407" t="n">
        <v>0</v>
      </c>
      <c r="O407" t="n">
        <v>0</v>
      </c>
      <c r="P407" t="n">
        <v>0</v>
      </c>
      <c r="Q407" t="n">
        <v>0</v>
      </c>
      <c r="R407" s="2" t="inlineStr"/>
    </row>
    <row r="408" ht="15" customHeight="1">
      <c r="A408" t="inlineStr">
        <is>
          <t>A 2949-2026</t>
        </is>
      </c>
      <c r="B408" s="1" t="n">
        <v>46038.59640046296</v>
      </c>
      <c r="C408" s="1" t="n">
        <v>46187</v>
      </c>
      <c r="D408" t="inlineStr">
        <is>
          <t>ÖREBRO LÄN</t>
        </is>
      </c>
      <c r="E408" t="inlineStr">
        <is>
          <t>LINDESBERG</t>
        </is>
      </c>
      <c r="G408" t="n">
        <v>4</v>
      </c>
      <c r="H408" t="n">
        <v>0</v>
      </c>
      <c r="I408" t="n">
        <v>0</v>
      </c>
      <c r="J408" t="n">
        <v>0</v>
      </c>
      <c r="K408" t="n">
        <v>0</v>
      </c>
      <c r="L408" t="n">
        <v>0</v>
      </c>
      <c r="M408" t="n">
        <v>0</v>
      </c>
      <c r="N408" t="n">
        <v>0</v>
      </c>
      <c r="O408" t="n">
        <v>0</v>
      </c>
      <c r="P408" t="n">
        <v>0</v>
      </c>
      <c r="Q408" t="n">
        <v>0</v>
      </c>
      <c r="R408" s="2" t="inlineStr"/>
    </row>
    <row r="409" ht="15" customHeight="1">
      <c r="A409" t="inlineStr">
        <is>
          <t>A 2859-2026</t>
        </is>
      </c>
      <c r="B409" s="1" t="n">
        <v>46038.49269675926</v>
      </c>
      <c r="C409" s="1" t="n">
        <v>46187</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2103-2022</t>
        </is>
      </c>
      <c r="B410" s="1" t="n">
        <v>44577.81121527778</v>
      </c>
      <c r="C410" s="1" t="n">
        <v>46187</v>
      </c>
      <c r="D410" t="inlineStr">
        <is>
          <t>ÖREBRO LÄN</t>
        </is>
      </c>
      <c r="E410" t="inlineStr">
        <is>
          <t>LINDESBERG</t>
        </is>
      </c>
      <c r="G410" t="n">
        <v>1.4</v>
      </c>
      <c r="H410" t="n">
        <v>0</v>
      </c>
      <c r="I410" t="n">
        <v>0</v>
      </c>
      <c r="J410" t="n">
        <v>0</v>
      </c>
      <c r="K410" t="n">
        <v>0</v>
      </c>
      <c r="L410" t="n">
        <v>0</v>
      </c>
      <c r="M410" t="n">
        <v>0</v>
      </c>
      <c r="N410" t="n">
        <v>0</v>
      </c>
      <c r="O410" t="n">
        <v>0</v>
      </c>
      <c r="P410" t="n">
        <v>0</v>
      </c>
      <c r="Q410" t="n">
        <v>0</v>
      </c>
      <c r="R410" s="2" t="inlineStr"/>
    </row>
    <row r="411" ht="15" customHeight="1">
      <c r="A411" t="inlineStr">
        <is>
          <t>A 2958-2026</t>
        </is>
      </c>
      <c r="B411" s="1" t="n">
        <v>46038.61067129629</v>
      </c>
      <c r="C411" s="1" t="n">
        <v>46187</v>
      </c>
      <c r="D411" t="inlineStr">
        <is>
          <t>ÖREBRO LÄN</t>
        </is>
      </c>
      <c r="E411" t="inlineStr">
        <is>
          <t>LINDESBERG</t>
        </is>
      </c>
      <c r="G411" t="n">
        <v>5.8</v>
      </c>
      <c r="H411" t="n">
        <v>0</v>
      </c>
      <c r="I411" t="n">
        <v>0</v>
      </c>
      <c r="J411" t="n">
        <v>0</v>
      </c>
      <c r="K411" t="n">
        <v>0</v>
      </c>
      <c r="L411" t="n">
        <v>0</v>
      </c>
      <c r="M411" t="n">
        <v>0</v>
      </c>
      <c r="N411" t="n">
        <v>0</v>
      </c>
      <c r="O411" t="n">
        <v>0</v>
      </c>
      <c r="P411" t="n">
        <v>0</v>
      </c>
      <c r="Q411" t="n">
        <v>0</v>
      </c>
      <c r="R411" s="2" t="inlineStr"/>
    </row>
    <row r="412" ht="15" customHeight="1">
      <c r="A412" t="inlineStr">
        <is>
          <t>A 3660-2026</t>
        </is>
      </c>
      <c r="B412" s="1" t="n">
        <v>46043.38744212963</v>
      </c>
      <c r="C412" s="1" t="n">
        <v>46187</v>
      </c>
      <c r="D412" t="inlineStr">
        <is>
          <t>ÖREBRO LÄN</t>
        </is>
      </c>
      <c r="E412" t="inlineStr">
        <is>
          <t>LINDESBERG</t>
        </is>
      </c>
      <c r="G412" t="n">
        <v>3.4</v>
      </c>
      <c r="H412" t="n">
        <v>0</v>
      </c>
      <c r="I412" t="n">
        <v>0</v>
      </c>
      <c r="J412" t="n">
        <v>0</v>
      </c>
      <c r="K412" t="n">
        <v>0</v>
      </c>
      <c r="L412" t="n">
        <v>0</v>
      </c>
      <c r="M412" t="n">
        <v>0</v>
      </c>
      <c r="N412" t="n">
        <v>0</v>
      </c>
      <c r="O412" t="n">
        <v>0</v>
      </c>
      <c r="P412" t="n">
        <v>0</v>
      </c>
      <c r="Q412" t="n">
        <v>0</v>
      </c>
      <c r="R412" s="2" t="inlineStr"/>
    </row>
    <row r="413" ht="15" customHeight="1">
      <c r="A413" t="inlineStr">
        <is>
          <t>A 3659-2026</t>
        </is>
      </c>
      <c r="B413" s="1" t="n">
        <v>46043</v>
      </c>
      <c r="C413" s="1" t="n">
        <v>46187</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33424-2024</t>
        </is>
      </c>
      <c r="B414" s="1" t="n">
        <v>45519.51627314815</v>
      </c>
      <c r="C414" s="1" t="n">
        <v>46187</v>
      </c>
      <c r="D414" t="inlineStr">
        <is>
          <t>ÖREBRO LÄN</t>
        </is>
      </c>
      <c r="E414" t="inlineStr">
        <is>
          <t>LINDESBERG</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57911-2022</t>
        </is>
      </c>
      <c r="B415" s="1" t="n">
        <v>44900.36149305556</v>
      </c>
      <c r="C415" s="1" t="n">
        <v>46187</v>
      </c>
      <c r="D415" t="inlineStr">
        <is>
          <t>ÖREBRO LÄN</t>
        </is>
      </c>
      <c r="E415" t="inlineStr">
        <is>
          <t>LINDESBERG</t>
        </is>
      </c>
      <c r="G415" t="n">
        <v>4.9</v>
      </c>
      <c r="H415" t="n">
        <v>0</v>
      </c>
      <c r="I415" t="n">
        <v>0</v>
      </c>
      <c r="J415" t="n">
        <v>0</v>
      </c>
      <c r="K415" t="n">
        <v>0</v>
      </c>
      <c r="L415" t="n">
        <v>0</v>
      </c>
      <c r="M415" t="n">
        <v>0</v>
      </c>
      <c r="N415" t="n">
        <v>0</v>
      </c>
      <c r="O415" t="n">
        <v>0</v>
      </c>
      <c r="P415" t="n">
        <v>0</v>
      </c>
      <c r="Q415" t="n">
        <v>0</v>
      </c>
      <c r="R415" s="2" t="inlineStr"/>
    </row>
    <row r="416" ht="15" customHeight="1">
      <c r="A416" t="inlineStr">
        <is>
          <t>A 28032-2023</t>
        </is>
      </c>
      <c r="B416" s="1" t="n">
        <v>45099</v>
      </c>
      <c r="C416" s="1" t="n">
        <v>46187</v>
      </c>
      <c r="D416" t="inlineStr">
        <is>
          <t>ÖREBRO LÄN</t>
        </is>
      </c>
      <c r="E416" t="inlineStr">
        <is>
          <t>LINDESBERG</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3951-2026</t>
        </is>
      </c>
      <c r="B417" s="1" t="n">
        <v>46044</v>
      </c>
      <c r="C417" s="1" t="n">
        <v>46187</v>
      </c>
      <c r="D417" t="inlineStr">
        <is>
          <t>ÖREBRO LÄN</t>
        </is>
      </c>
      <c r="E417" t="inlineStr">
        <is>
          <t>LINDESBERG</t>
        </is>
      </c>
      <c r="G417" t="n">
        <v>0.6</v>
      </c>
      <c r="H417" t="n">
        <v>0</v>
      </c>
      <c r="I417" t="n">
        <v>0</v>
      </c>
      <c r="J417" t="n">
        <v>0</v>
      </c>
      <c r="K417" t="n">
        <v>0</v>
      </c>
      <c r="L417" t="n">
        <v>0</v>
      </c>
      <c r="M417" t="n">
        <v>0</v>
      </c>
      <c r="N417" t="n">
        <v>0</v>
      </c>
      <c r="O417" t="n">
        <v>0</v>
      </c>
      <c r="P417" t="n">
        <v>0</v>
      </c>
      <c r="Q417" t="n">
        <v>0</v>
      </c>
      <c r="R417" s="2" t="inlineStr"/>
    </row>
    <row r="418" ht="15" customHeight="1">
      <c r="A418" t="inlineStr">
        <is>
          <t>A 62608-2021</t>
        </is>
      </c>
      <c r="B418" s="1" t="n">
        <v>44503</v>
      </c>
      <c r="C418" s="1" t="n">
        <v>46187</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73860-2021</t>
        </is>
      </c>
      <c r="B419" s="1" t="n">
        <v>44553.35407407407</v>
      </c>
      <c r="C419" s="1" t="n">
        <v>46187</v>
      </c>
      <c r="D419" t="inlineStr">
        <is>
          <t>ÖREBRO LÄN</t>
        </is>
      </c>
      <c r="E419" t="inlineStr">
        <is>
          <t>LINDESBERG</t>
        </is>
      </c>
      <c r="G419" t="n">
        <v>12.7</v>
      </c>
      <c r="H419" t="n">
        <v>0</v>
      </c>
      <c r="I419" t="n">
        <v>0</v>
      </c>
      <c r="J419" t="n">
        <v>0</v>
      </c>
      <c r="K419" t="n">
        <v>0</v>
      </c>
      <c r="L419" t="n">
        <v>0</v>
      </c>
      <c r="M419" t="n">
        <v>0</v>
      </c>
      <c r="N419" t="n">
        <v>0</v>
      </c>
      <c r="O419" t="n">
        <v>0</v>
      </c>
      <c r="P419" t="n">
        <v>0</v>
      </c>
      <c r="Q419" t="n">
        <v>0</v>
      </c>
      <c r="R419" s="2" t="inlineStr"/>
    </row>
    <row r="420" ht="15" customHeight="1">
      <c r="A420" t="inlineStr">
        <is>
          <t>A 3803-2023</t>
        </is>
      </c>
      <c r="B420" s="1" t="n">
        <v>44951.5830324074</v>
      </c>
      <c r="C420" s="1" t="n">
        <v>46187</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46187</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46187</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21986-2023</t>
        </is>
      </c>
      <c r="B423" s="1" t="n">
        <v>45068</v>
      </c>
      <c r="C423" s="1" t="n">
        <v>46187</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44010-2023</t>
        </is>
      </c>
      <c r="B424" s="1" t="n">
        <v>45188</v>
      </c>
      <c r="C424" s="1" t="n">
        <v>46187</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50986-2023</t>
        </is>
      </c>
      <c r="B425" s="1" t="n">
        <v>45218</v>
      </c>
      <c r="C425" s="1" t="n">
        <v>46187</v>
      </c>
      <c r="D425" t="inlineStr">
        <is>
          <t>ÖREBRO LÄN</t>
        </is>
      </c>
      <c r="E425" t="inlineStr">
        <is>
          <t>LINDESBERG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61969-2023</t>
        </is>
      </c>
      <c r="B426" s="1" t="n">
        <v>45266.58394675926</v>
      </c>
      <c r="C426" s="1" t="n">
        <v>46187</v>
      </c>
      <c r="D426" t="inlineStr">
        <is>
          <t>ÖREBRO LÄN</t>
        </is>
      </c>
      <c r="E426" t="inlineStr">
        <is>
          <t>LINDESBERG</t>
        </is>
      </c>
      <c r="G426" t="n">
        <v>10.5</v>
      </c>
      <c r="H426" t="n">
        <v>0</v>
      </c>
      <c r="I426" t="n">
        <v>0</v>
      </c>
      <c r="J426" t="n">
        <v>0</v>
      </c>
      <c r="K426" t="n">
        <v>0</v>
      </c>
      <c r="L426" t="n">
        <v>0</v>
      </c>
      <c r="M426" t="n">
        <v>0</v>
      </c>
      <c r="N426" t="n">
        <v>0</v>
      </c>
      <c r="O426" t="n">
        <v>0</v>
      </c>
      <c r="P426" t="n">
        <v>0</v>
      </c>
      <c r="Q426" t="n">
        <v>0</v>
      </c>
      <c r="R426" s="2" t="inlineStr"/>
    </row>
    <row r="427" ht="15" customHeight="1">
      <c r="A427" t="inlineStr">
        <is>
          <t>A 5235-2026</t>
        </is>
      </c>
      <c r="B427" s="1" t="n">
        <v>46049.84017361111</v>
      </c>
      <c r="C427" s="1" t="n">
        <v>46187</v>
      </c>
      <c r="D427" t="inlineStr">
        <is>
          <t>ÖREBRO LÄN</t>
        </is>
      </c>
      <c r="E427" t="inlineStr">
        <is>
          <t>LINDESBERG</t>
        </is>
      </c>
      <c r="G427" t="n">
        <v>4.8</v>
      </c>
      <c r="H427" t="n">
        <v>0</v>
      </c>
      <c r="I427" t="n">
        <v>0</v>
      </c>
      <c r="J427" t="n">
        <v>0</v>
      </c>
      <c r="K427" t="n">
        <v>0</v>
      </c>
      <c r="L427" t="n">
        <v>0</v>
      </c>
      <c r="M427" t="n">
        <v>0</v>
      </c>
      <c r="N427" t="n">
        <v>0</v>
      </c>
      <c r="O427" t="n">
        <v>0</v>
      </c>
      <c r="P427" t="n">
        <v>0</v>
      </c>
      <c r="Q427" t="n">
        <v>0</v>
      </c>
      <c r="R427" s="2" t="inlineStr"/>
    </row>
    <row r="428" ht="15" customHeight="1">
      <c r="A428" t="inlineStr">
        <is>
          <t>A 40450-2023</t>
        </is>
      </c>
      <c r="B428" s="1" t="n">
        <v>45170</v>
      </c>
      <c r="C428" s="1" t="n">
        <v>46187</v>
      </c>
      <c r="D428" t="inlineStr">
        <is>
          <t>ÖREBRO LÄN</t>
        </is>
      </c>
      <c r="E428" t="inlineStr">
        <is>
          <t>LINDESBERG</t>
        </is>
      </c>
      <c r="F428" t="inlineStr">
        <is>
          <t>Kyrkan</t>
        </is>
      </c>
      <c r="G428" t="n">
        <v>4.3</v>
      </c>
      <c r="H428" t="n">
        <v>0</v>
      </c>
      <c r="I428" t="n">
        <v>0</v>
      </c>
      <c r="J428" t="n">
        <v>0</v>
      </c>
      <c r="K428" t="n">
        <v>0</v>
      </c>
      <c r="L428" t="n">
        <v>0</v>
      </c>
      <c r="M428" t="n">
        <v>0</v>
      </c>
      <c r="N428" t="n">
        <v>0</v>
      </c>
      <c r="O428" t="n">
        <v>0</v>
      </c>
      <c r="P428" t="n">
        <v>0</v>
      </c>
      <c r="Q428" t="n">
        <v>0</v>
      </c>
      <c r="R428" s="2" t="inlineStr"/>
    </row>
    <row r="429" ht="15" customHeight="1">
      <c r="A429" t="inlineStr">
        <is>
          <t>A 53062-2023</t>
        </is>
      </c>
      <c r="B429" s="1" t="n">
        <v>45227.31859953704</v>
      </c>
      <c r="C429" s="1" t="n">
        <v>46187</v>
      </c>
      <c r="D429" t="inlineStr">
        <is>
          <t>ÖREBRO LÄN</t>
        </is>
      </c>
      <c r="E429" t="inlineStr">
        <is>
          <t>LINDESBERG</t>
        </is>
      </c>
      <c r="G429" t="n">
        <v>3.1</v>
      </c>
      <c r="H429" t="n">
        <v>0</v>
      </c>
      <c r="I429" t="n">
        <v>0</v>
      </c>
      <c r="J429" t="n">
        <v>0</v>
      </c>
      <c r="K429" t="n">
        <v>0</v>
      </c>
      <c r="L429" t="n">
        <v>0</v>
      </c>
      <c r="M429" t="n">
        <v>0</v>
      </c>
      <c r="N429" t="n">
        <v>0</v>
      </c>
      <c r="O429" t="n">
        <v>0</v>
      </c>
      <c r="P429" t="n">
        <v>0</v>
      </c>
      <c r="Q429" t="n">
        <v>0</v>
      </c>
      <c r="R429" s="2" t="inlineStr"/>
    </row>
    <row r="430" ht="15" customHeight="1">
      <c r="A430" t="inlineStr">
        <is>
          <t>A 5715-2026</t>
        </is>
      </c>
      <c r="B430" s="1" t="n">
        <v>46051.53563657407</v>
      </c>
      <c r="C430" s="1" t="n">
        <v>46187</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27296-2025</t>
        </is>
      </c>
      <c r="B431" s="1" t="n">
        <v>45812.56952546296</v>
      </c>
      <c r="C431" s="1" t="n">
        <v>46187</v>
      </c>
      <c r="D431" t="inlineStr">
        <is>
          <t>ÖREBRO LÄN</t>
        </is>
      </c>
      <c r="E431" t="inlineStr">
        <is>
          <t>LINDESBERG</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12739-2024</t>
        </is>
      </c>
      <c r="B432" s="1" t="n">
        <v>45384</v>
      </c>
      <c r="C432" s="1" t="n">
        <v>46187</v>
      </c>
      <c r="D432" t="inlineStr">
        <is>
          <t>ÖREBRO LÄN</t>
        </is>
      </c>
      <c r="E432" t="inlineStr">
        <is>
          <t>LINDESBERG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6616-2026</t>
        </is>
      </c>
      <c r="B433" s="1" t="n">
        <v>46056.49075231481</v>
      </c>
      <c r="C433" s="1" t="n">
        <v>46187</v>
      </c>
      <c r="D433" t="inlineStr">
        <is>
          <t>ÖREBRO LÄN</t>
        </is>
      </c>
      <c r="E433" t="inlineStr">
        <is>
          <t>LINDESBERG</t>
        </is>
      </c>
      <c r="G433" t="n">
        <v>9</v>
      </c>
      <c r="H433" t="n">
        <v>0</v>
      </c>
      <c r="I433" t="n">
        <v>0</v>
      </c>
      <c r="J433" t="n">
        <v>0</v>
      </c>
      <c r="K433" t="n">
        <v>0</v>
      </c>
      <c r="L433" t="n">
        <v>0</v>
      </c>
      <c r="M433" t="n">
        <v>0</v>
      </c>
      <c r="N433" t="n">
        <v>0</v>
      </c>
      <c r="O433" t="n">
        <v>0</v>
      </c>
      <c r="P433" t="n">
        <v>0</v>
      </c>
      <c r="Q433" t="n">
        <v>0</v>
      </c>
      <c r="R433" s="2" t="inlineStr"/>
    </row>
    <row r="434" ht="15" customHeight="1">
      <c r="A434" t="inlineStr">
        <is>
          <t>A 26093-2023</t>
        </is>
      </c>
      <c r="B434" s="1" t="n">
        <v>45091.39362268519</v>
      </c>
      <c r="C434" s="1" t="n">
        <v>46187</v>
      </c>
      <c r="D434" t="inlineStr">
        <is>
          <t>ÖREBRO LÄN</t>
        </is>
      </c>
      <c r="E434" t="inlineStr">
        <is>
          <t>LINDESBERG</t>
        </is>
      </c>
      <c r="G434" t="n">
        <v>0.4</v>
      </c>
      <c r="H434" t="n">
        <v>0</v>
      </c>
      <c r="I434" t="n">
        <v>0</v>
      </c>
      <c r="J434" t="n">
        <v>0</v>
      </c>
      <c r="K434" t="n">
        <v>0</v>
      </c>
      <c r="L434" t="n">
        <v>0</v>
      </c>
      <c r="M434" t="n">
        <v>0</v>
      </c>
      <c r="N434" t="n">
        <v>0</v>
      </c>
      <c r="O434" t="n">
        <v>0</v>
      </c>
      <c r="P434" t="n">
        <v>0</v>
      </c>
      <c r="Q434" t="n">
        <v>0</v>
      </c>
      <c r="R434" s="2" t="inlineStr"/>
    </row>
    <row r="435" ht="15" customHeight="1">
      <c r="A435" t="inlineStr">
        <is>
          <t>A 47066-2023</t>
        </is>
      </c>
      <c r="B435" s="1" t="n">
        <v>45201</v>
      </c>
      <c r="C435" s="1" t="n">
        <v>46187</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46187</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6989-2026</t>
        </is>
      </c>
      <c r="B437" s="1" t="n">
        <v>46057.60342592592</v>
      </c>
      <c r="C437" s="1" t="n">
        <v>46187</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6524-2026</t>
        </is>
      </c>
      <c r="B438" s="1" t="n">
        <v>46056.40425925926</v>
      </c>
      <c r="C438" s="1" t="n">
        <v>46187</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28040-2025</t>
        </is>
      </c>
      <c r="B439" s="1" t="n">
        <v>45817.6455324074</v>
      </c>
      <c r="C439" s="1" t="n">
        <v>46187</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59804-2023</t>
        </is>
      </c>
      <c r="B440" s="1" t="n">
        <v>45257.48188657407</v>
      </c>
      <c r="C440" s="1" t="n">
        <v>46187</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61691-2023</t>
        </is>
      </c>
      <c r="B441" s="1" t="n">
        <v>45265.64142361111</v>
      </c>
      <c r="C441" s="1" t="n">
        <v>46187</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43081-2021</t>
        </is>
      </c>
      <c r="B442" s="1" t="n">
        <v>44431</v>
      </c>
      <c r="C442" s="1" t="n">
        <v>46187</v>
      </c>
      <c r="D442" t="inlineStr">
        <is>
          <t>ÖREBRO LÄN</t>
        </is>
      </c>
      <c r="E442" t="inlineStr">
        <is>
          <t>LINDESBERG</t>
        </is>
      </c>
      <c r="G442" t="n">
        <v>0.5</v>
      </c>
      <c r="H442" t="n">
        <v>0</v>
      </c>
      <c r="I442" t="n">
        <v>0</v>
      </c>
      <c r="J442" t="n">
        <v>0</v>
      </c>
      <c r="K442" t="n">
        <v>0</v>
      </c>
      <c r="L442" t="n">
        <v>0</v>
      </c>
      <c r="M442" t="n">
        <v>0</v>
      </c>
      <c r="N442" t="n">
        <v>0</v>
      </c>
      <c r="O442" t="n">
        <v>0</v>
      </c>
      <c r="P442" t="n">
        <v>0</v>
      </c>
      <c r="Q442" t="n">
        <v>0</v>
      </c>
      <c r="R442" s="2" t="inlineStr"/>
    </row>
    <row r="443" ht="15" customHeight="1">
      <c r="A443" t="inlineStr">
        <is>
          <t>A 32002-2023</t>
        </is>
      </c>
      <c r="B443" s="1" t="n">
        <v>45119.46452546296</v>
      </c>
      <c r="C443" s="1" t="n">
        <v>46187</v>
      </c>
      <c r="D443" t="inlineStr">
        <is>
          <t>ÖREBRO LÄN</t>
        </is>
      </c>
      <c r="E443" t="inlineStr">
        <is>
          <t>LINDESBERG</t>
        </is>
      </c>
      <c r="F443" t="inlineStr">
        <is>
          <t>Kyrkan</t>
        </is>
      </c>
      <c r="G443" t="n">
        <v>0.6</v>
      </c>
      <c r="H443" t="n">
        <v>0</v>
      </c>
      <c r="I443" t="n">
        <v>0</v>
      </c>
      <c r="J443" t="n">
        <v>0</v>
      </c>
      <c r="K443" t="n">
        <v>0</v>
      </c>
      <c r="L443" t="n">
        <v>0</v>
      </c>
      <c r="M443" t="n">
        <v>0</v>
      </c>
      <c r="N443" t="n">
        <v>0</v>
      </c>
      <c r="O443" t="n">
        <v>0</v>
      </c>
      <c r="P443" t="n">
        <v>0</v>
      </c>
      <c r="Q443" t="n">
        <v>0</v>
      </c>
      <c r="R443" s="2" t="inlineStr"/>
    </row>
    <row r="444" ht="15" customHeight="1">
      <c r="A444" t="inlineStr">
        <is>
          <t>A 7661-2024</t>
        </is>
      </c>
      <c r="B444" s="1" t="n">
        <v>45348</v>
      </c>
      <c r="C444" s="1" t="n">
        <v>46187</v>
      </c>
      <c r="D444" t="inlineStr">
        <is>
          <t>ÖREBRO LÄN</t>
        </is>
      </c>
      <c r="E444" t="inlineStr">
        <is>
          <t>LINDESBERG</t>
        </is>
      </c>
      <c r="G444" t="n">
        <v>4.1</v>
      </c>
      <c r="H444" t="n">
        <v>0</v>
      </c>
      <c r="I444" t="n">
        <v>0</v>
      </c>
      <c r="J444" t="n">
        <v>0</v>
      </c>
      <c r="K444" t="n">
        <v>0</v>
      </c>
      <c r="L444" t="n">
        <v>0</v>
      </c>
      <c r="M444" t="n">
        <v>0</v>
      </c>
      <c r="N444" t="n">
        <v>0</v>
      </c>
      <c r="O444" t="n">
        <v>0</v>
      </c>
      <c r="P444" t="n">
        <v>0</v>
      </c>
      <c r="Q444" t="n">
        <v>0</v>
      </c>
      <c r="R444" s="2" t="inlineStr"/>
    </row>
    <row r="445" ht="15" customHeight="1">
      <c r="A445" t="inlineStr">
        <is>
          <t>A 12278-2025</t>
        </is>
      </c>
      <c r="B445" s="1" t="n">
        <v>45729.65171296296</v>
      </c>
      <c r="C445" s="1" t="n">
        <v>46187</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7202-2026</t>
        </is>
      </c>
      <c r="B446" s="1" t="n">
        <v>46058.52864583334</v>
      </c>
      <c r="C446" s="1" t="n">
        <v>46187</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34237-2023</t>
        </is>
      </c>
      <c r="B447" s="1" t="n">
        <v>45138</v>
      </c>
      <c r="C447" s="1" t="n">
        <v>46187</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7069-2026</t>
        </is>
      </c>
      <c r="B448" s="1" t="n">
        <v>46058.30956018518</v>
      </c>
      <c r="C448" s="1" t="n">
        <v>46187</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46187</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28991-2025</t>
        </is>
      </c>
      <c r="B450" s="1" t="n">
        <v>45821.37199074074</v>
      </c>
      <c r="C450" s="1" t="n">
        <v>46187</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3294-2024</t>
        </is>
      </c>
      <c r="B451" s="1" t="n">
        <v>45316</v>
      </c>
      <c r="C451" s="1" t="n">
        <v>46187</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14185-2024</t>
        </is>
      </c>
      <c r="B452" s="1" t="n">
        <v>45393.3562962963</v>
      </c>
      <c r="C452" s="1" t="n">
        <v>46187</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14190-2024</t>
        </is>
      </c>
      <c r="B453" s="1" t="n">
        <v>45393.36060185185</v>
      </c>
      <c r="C453" s="1" t="n">
        <v>46187</v>
      </c>
      <c r="D453" t="inlineStr">
        <is>
          <t>ÖREBRO LÄN</t>
        </is>
      </c>
      <c r="E453" t="inlineStr">
        <is>
          <t>LINDESBERG</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30341-2025</t>
        </is>
      </c>
      <c r="B454" s="1" t="n">
        <v>45827.51862268519</v>
      </c>
      <c r="C454" s="1" t="n">
        <v>46187</v>
      </c>
      <c r="D454" t="inlineStr">
        <is>
          <t>ÖREBRO LÄN</t>
        </is>
      </c>
      <c r="E454" t="inlineStr">
        <is>
          <t>LINDESBERG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30340-2025</t>
        </is>
      </c>
      <c r="B455" s="1" t="n">
        <v>45827.51753472222</v>
      </c>
      <c r="C455" s="1" t="n">
        <v>46187</v>
      </c>
      <c r="D455" t="inlineStr">
        <is>
          <t>ÖREBRO LÄN</t>
        </is>
      </c>
      <c r="E455" t="inlineStr">
        <is>
          <t>LINDESBERG</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30339-2025</t>
        </is>
      </c>
      <c r="B456" s="1" t="n">
        <v>45827.51628472222</v>
      </c>
      <c r="C456" s="1" t="n">
        <v>46187</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51656-2023</t>
        </is>
      </c>
      <c r="B457" s="1" t="n">
        <v>45222</v>
      </c>
      <c r="C457" s="1" t="n">
        <v>46187</v>
      </c>
      <c r="D457" t="inlineStr">
        <is>
          <t>ÖREBRO LÄN</t>
        </is>
      </c>
      <c r="E457" t="inlineStr">
        <is>
          <t>LINDESBERG</t>
        </is>
      </c>
      <c r="G457" t="n">
        <v>1.2</v>
      </c>
      <c r="H457" t="n">
        <v>0</v>
      </c>
      <c r="I457" t="n">
        <v>0</v>
      </c>
      <c r="J457" t="n">
        <v>0</v>
      </c>
      <c r="K457" t="n">
        <v>0</v>
      </c>
      <c r="L457" t="n">
        <v>0</v>
      </c>
      <c r="M457" t="n">
        <v>0</v>
      </c>
      <c r="N457" t="n">
        <v>0</v>
      </c>
      <c r="O457" t="n">
        <v>0</v>
      </c>
      <c r="P457" t="n">
        <v>0</v>
      </c>
      <c r="Q457" t="n">
        <v>0</v>
      </c>
      <c r="R457" s="2" t="inlineStr"/>
    </row>
    <row r="458" ht="15" customHeight="1">
      <c r="A458" t="inlineStr">
        <is>
          <t>A 34029-2024</t>
        </is>
      </c>
      <c r="B458" s="1" t="n">
        <v>45523</v>
      </c>
      <c r="C458" s="1" t="n">
        <v>46187</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3732-2023</t>
        </is>
      </c>
      <c r="B459" s="1" t="n">
        <v>44949</v>
      </c>
      <c r="C459" s="1" t="n">
        <v>46187</v>
      </c>
      <c r="D459" t="inlineStr">
        <is>
          <t>ÖREBRO LÄN</t>
        </is>
      </c>
      <c r="E459" t="inlineStr">
        <is>
          <t>LINDESBERG</t>
        </is>
      </c>
      <c r="G459" t="n">
        <v>3.3</v>
      </c>
      <c r="H459" t="n">
        <v>0</v>
      </c>
      <c r="I459" t="n">
        <v>0</v>
      </c>
      <c r="J459" t="n">
        <v>0</v>
      </c>
      <c r="K459" t="n">
        <v>0</v>
      </c>
      <c r="L459" t="n">
        <v>0</v>
      </c>
      <c r="M459" t="n">
        <v>0</v>
      </c>
      <c r="N459" t="n">
        <v>0</v>
      </c>
      <c r="O459" t="n">
        <v>0</v>
      </c>
      <c r="P459" t="n">
        <v>0</v>
      </c>
      <c r="Q459" t="n">
        <v>0</v>
      </c>
      <c r="R459" s="2" t="inlineStr"/>
    </row>
    <row r="460" ht="15" customHeight="1">
      <c r="A460" t="inlineStr">
        <is>
          <t>A 57069-2022</t>
        </is>
      </c>
      <c r="B460" s="1" t="n">
        <v>44895</v>
      </c>
      <c r="C460" s="1" t="n">
        <v>46187</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4067-2024</t>
        </is>
      </c>
      <c r="B461" s="1" t="n">
        <v>45323</v>
      </c>
      <c r="C461" s="1" t="n">
        <v>46187</v>
      </c>
      <c r="D461" t="inlineStr">
        <is>
          <t>ÖREBRO LÄN</t>
        </is>
      </c>
      <c r="E461" t="inlineStr">
        <is>
          <t>LINDESBERG</t>
        </is>
      </c>
      <c r="G461" t="n">
        <v>1</v>
      </c>
      <c r="H461" t="n">
        <v>0</v>
      </c>
      <c r="I461" t="n">
        <v>0</v>
      </c>
      <c r="J461" t="n">
        <v>0</v>
      </c>
      <c r="K461" t="n">
        <v>0</v>
      </c>
      <c r="L461" t="n">
        <v>0</v>
      </c>
      <c r="M461" t="n">
        <v>0</v>
      </c>
      <c r="N461" t="n">
        <v>0</v>
      </c>
      <c r="O461" t="n">
        <v>0</v>
      </c>
      <c r="P461" t="n">
        <v>0</v>
      </c>
      <c r="Q461" t="n">
        <v>0</v>
      </c>
      <c r="R461" s="2" t="inlineStr"/>
    </row>
    <row r="462" ht="15" customHeight="1">
      <c r="A462" t="inlineStr">
        <is>
          <t>A 9432-2026</t>
        </is>
      </c>
      <c r="B462" s="1" t="n">
        <v>46071.45568287037</v>
      </c>
      <c r="C462" s="1" t="n">
        <v>46187</v>
      </c>
      <c r="D462" t="inlineStr">
        <is>
          <t>ÖREBRO LÄN</t>
        </is>
      </c>
      <c r="E462" t="inlineStr">
        <is>
          <t>LINDESBERG</t>
        </is>
      </c>
      <c r="G462" t="n">
        <v>1.6</v>
      </c>
      <c r="H462" t="n">
        <v>0</v>
      </c>
      <c r="I462" t="n">
        <v>0</v>
      </c>
      <c r="J462" t="n">
        <v>0</v>
      </c>
      <c r="K462" t="n">
        <v>0</v>
      </c>
      <c r="L462" t="n">
        <v>0</v>
      </c>
      <c r="M462" t="n">
        <v>0</v>
      </c>
      <c r="N462" t="n">
        <v>0</v>
      </c>
      <c r="O462" t="n">
        <v>0</v>
      </c>
      <c r="P462" t="n">
        <v>0</v>
      </c>
      <c r="Q462" t="n">
        <v>0</v>
      </c>
      <c r="R462" s="2" t="inlineStr"/>
    </row>
    <row r="463" ht="15" customHeight="1">
      <c r="A463" t="inlineStr">
        <is>
          <t>A 31018-2025</t>
        </is>
      </c>
      <c r="B463" s="1" t="n">
        <v>45832.51255787037</v>
      </c>
      <c r="C463" s="1" t="n">
        <v>46187</v>
      </c>
      <c r="D463" t="inlineStr">
        <is>
          <t>ÖREBRO LÄN</t>
        </is>
      </c>
      <c r="E463" t="inlineStr">
        <is>
          <t>LINDESBERG</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31085-2025</t>
        </is>
      </c>
      <c r="B464" s="1" t="n">
        <v>45832.5902662037</v>
      </c>
      <c r="C464" s="1" t="n">
        <v>46187</v>
      </c>
      <c r="D464" t="inlineStr">
        <is>
          <t>ÖREBRO LÄN</t>
        </is>
      </c>
      <c r="E464" t="inlineStr">
        <is>
          <t>LINDESBERG</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10823-2023</t>
        </is>
      </c>
      <c r="B465" s="1" t="n">
        <v>44990</v>
      </c>
      <c r="C465" s="1" t="n">
        <v>46187</v>
      </c>
      <c r="D465" t="inlineStr">
        <is>
          <t>ÖREBRO LÄN</t>
        </is>
      </c>
      <c r="E465" t="inlineStr">
        <is>
          <t>LINDESBERG</t>
        </is>
      </c>
      <c r="G465" t="n">
        <v>1.8</v>
      </c>
      <c r="H465" t="n">
        <v>0</v>
      </c>
      <c r="I465" t="n">
        <v>0</v>
      </c>
      <c r="J465" t="n">
        <v>0</v>
      </c>
      <c r="K465" t="n">
        <v>0</v>
      </c>
      <c r="L465" t="n">
        <v>0</v>
      </c>
      <c r="M465" t="n">
        <v>0</v>
      </c>
      <c r="N465" t="n">
        <v>0</v>
      </c>
      <c r="O465" t="n">
        <v>0</v>
      </c>
      <c r="P465" t="n">
        <v>0</v>
      </c>
      <c r="Q465" t="n">
        <v>0</v>
      </c>
      <c r="R465" s="2" t="inlineStr"/>
    </row>
    <row r="466" ht="15" customHeight="1">
      <c r="A466" t="inlineStr">
        <is>
          <t>A 8902-2024</t>
        </is>
      </c>
      <c r="B466" s="1" t="n">
        <v>45357.34521990741</v>
      </c>
      <c r="C466" s="1" t="n">
        <v>46187</v>
      </c>
      <c r="D466" t="inlineStr">
        <is>
          <t>ÖREBRO LÄN</t>
        </is>
      </c>
      <c r="E466" t="inlineStr">
        <is>
          <t>LINDESBERG</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9577-2026</t>
        </is>
      </c>
      <c r="B467" s="1" t="n">
        <v>46071.67334490741</v>
      </c>
      <c r="C467" s="1" t="n">
        <v>46187</v>
      </c>
      <c r="D467" t="inlineStr">
        <is>
          <t>ÖREBRO LÄN</t>
        </is>
      </c>
      <c r="E467" t="inlineStr">
        <is>
          <t>LINDESBERG</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40305-2024</t>
        </is>
      </c>
      <c r="B468" s="1" t="n">
        <v>45554.71863425926</v>
      </c>
      <c r="C468" s="1" t="n">
        <v>46187</v>
      </c>
      <c r="D468" t="inlineStr">
        <is>
          <t>ÖREBRO LÄN</t>
        </is>
      </c>
      <c r="E468" t="inlineStr">
        <is>
          <t>LINDESBERG</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19436-2025</t>
        </is>
      </c>
      <c r="B469" s="1" t="n">
        <v>45769.98449074074</v>
      </c>
      <c r="C469" s="1" t="n">
        <v>46187</v>
      </c>
      <c r="D469" t="inlineStr">
        <is>
          <t>ÖREBRO LÄN</t>
        </is>
      </c>
      <c r="E469" t="inlineStr">
        <is>
          <t>LINDESBERG</t>
        </is>
      </c>
      <c r="G469" t="n">
        <v>1.2</v>
      </c>
      <c r="H469" t="n">
        <v>0</v>
      </c>
      <c r="I469" t="n">
        <v>0</v>
      </c>
      <c r="J469" t="n">
        <v>0</v>
      </c>
      <c r="K469" t="n">
        <v>0</v>
      </c>
      <c r="L469" t="n">
        <v>0</v>
      </c>
      <c r="M469" t="n">
        <v>0</v>
      </c>
      <c r="N469" t="n">
        <v>0</v>
      </c>
      <c r="O469" t="n">
        <v>0</v>
      </c>
      <c r="P469" t="n">
        <v>0</v>
      </c>
      <c r="Q469" t="n">
        <v>0</v>
      </c>
      <c r="R469" s="2" t="inlineStr"/>
    </row>
    <row r="470" ht="15" customHeight="1">
      <c r="A470" t="inlineStr">
        <is>
          <t>A 31003-2025</t>
        </is>
      </c>
      <c r="B470" s="1" t="n">
        <v>45832.49579861111</v>
      </c>
      <c r="C470" s="1" t="n">
        <v>46187</v>
      </c>
      <c r="D470" t="inlineStr">
        <is>
          <t>ÖREBRO LÄN</t>
        </is>
      </c>
      <c r="E470" t="inlineStr">
        <is>
          <t>LINDESBERG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22829-2023</t>
        </is>
      </c>
      <c r="B471" s="1" t="n">
        <v>45072.42776620371</v>
      </c>
      <c r="C471" s="1" t="n">
        <v>46187</v>
      </c>
      <c r="D471" t="inlineStr">
        <is>
          <t>ÖREBRO LÄN</t>
        </is>
      </c>
      <c r="E471" t="inlineStr">
        <is>
          <t>LINDESBERG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31014-2025</t>
        </is>
      </c>
      <c r="B472" s="1" t="n">
        <v>45832.51028935185</v>
      </c>
      <c r="C472" s="1" t="n">
        <v>46187</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28463-2024</t>
        </is>
      </c>
      <c r="B473" s="1" t="n">
        <v>45477.70315972222</v>
      </c>
      <c r="C473" s="1" t="n">
        <v>46187</v>
      </c>
      <c r="D473" t="inlineStr">
        <is>
          <t>ÖREBRO LÄN</t>
        </is>
      </c>
      <c r="E473" t="inlineStr">
        <is>
          <t>LINDESBERG</t>
        </is>
      </c>
      <c r="G473" t="n">
        <v>6.3</v>
      </c>
      <c r="H473" t="n">
        <v>0</v>
      </c>
      <c r="I473" t="n">
        <v>0</v>
      </c>
      <c r="J473" t="n">
        <v>0</v>
      </c>
      <c r="K473" t="n">
        <v>0</v>
      </c>
      <c r="L473" t="n">
        <v>0</v>
      </c>
      <c r="M473" t="n">
        <v>0</v>
      </c>
      <c r="N473" t="n">
        <v>0</v>
      </c>
      <c r="O473" t="n">
        <v>0</v>
      </c>
      <c r="P473" t="n">
        <v>0</v>
      </c>
      <c r="Q473" t="n">
        <v>0</v>
      </c>
      <c r="R473" s="2" t="inlineStr"/>
    </row>
    <row r="474" ht="15" customHeight="1">
      <c r="A474" t="inlineStr">
        <is>
          <t>A 15822-2024</t>
        </is>
      </c>
      <c r="B474" s="1" t="n">
        <v>45404.68190972223</v>
      </c>
      <c r="C474" s="1" t="n">
        <v>46187</v>
      </c>
      <c r="D474" t="inlineStr">
        <is>
          <t>ÖREBRO LÄN</t>
        </is>
      </c>
      <c r="E474" t="inlineStr">
        <is>
          <t>LINDESBERG</t>
        </is>
      </c>
      <c r="F474" t="inlineStr">
        <is>
          <t>Sveaskog</t>
        </is>
      </c>
      <c r="G474" t="n">
        <v>6.7</v>
      </c>
      <c r="H474" t="n">
        <v>0</v>
      </c>
      <c r="I474" t="n">
        <v>0</v>
      </c>
      <c r="J474" t="n">
        <v>0</v>
      </c>
      <c r="K474" t="n">
        <v>0</v>
      </c>
      <c r="L474" t="n">
        <v>0</v>
      </c>
      <c r="M474" t="n">
        <v>0</v>
      </c>
      <c r="N474" t="n">
        <v>0</v>
      </c>
      <c r="O474" t="n">
        <v>0</v>
      </c>
      <c r="P474" t="n">
        <v>0</v>
      </c>
      <c r="Q474" t="n">
        <v>0</v>
      </c>
      <c r="R474" s="2" t="inlineStr"/>
    </row>
    <row r="475" ht="15" customHeight="1">
      <c r="A475" t="inlineStr">
        <is>
          <t>A 2107-2022</t>
        </is>
      </c>
      <c r="B475" s="1" t="n">
        <v>44577.83484953704</v>
      </c>
      <c r="C475" s="1" t="n">
        <v>46187</v>
      </c>
      <c r="D475" t="inlineStr">
        <is>
          <t>ÖREBRO LÄN</t>
        </is>
      </c>
      <c r="E475" t="inlineStr">
        <is>
          <t>LINDESBERG</t>
        </is>
      </c>
      <c r="G475" t="n">
        <v>2.9</v>
      </c>
      <c r="H475" t="n">
        <v>0</v>
      </c>
      <c r="I475" t="n">
        <v>0</v>
      </c>
      <c r="J475" t="n">
        <v>0</v>
      </c>
      <c r="K475" t="n">
        <v>0</v>
      </c>
      <c r="L475" t="n">
        <v>0</v>
      </c>
      <c r="M475" t="n">
        <v>0</v>
      </c>
      <c r="N475" t="n">
        <v>0</v>
      </c>
      <c r="O475" t="n">
        <v>0</v>
      </c>
      <c r="P475" t="n">
        <v>0</v>
      </c>
      <c r="Q475" t="n">
        <v>0</v>
      </c>
      <c r="R475" s="2" t="inlineStr"/>
    </row>
    <row r="476" ht="15" customHeight="1">
      <c r="A476" t="inlineStr">
        <is>
          <t>A 23607-2023</t>
        </is>
      </c>
      <c r="B476" s="1" t="n">
        <v>45077</v>
      </c>
      <c r="C476" s="1" t="n">
        <v>46187</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46187</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46219-2022</t>
        </is>
      </c>
      <c r="B478" s="1" t="n">
        <v>44846</v>
      </c>
      <c r="C478" s="1" t="n">
        <v>46187</v>
      </c>
      <c r="D478" t="inlineStr">
        <is>
          <t>ÖREBRO LÄN</t>
        </is>
      </c>
      <c r="E478" t="inlineStr">
        <is>
          <t>LINDESBERG</t>
        </is>
      </c>
      <c r="G478" t="n">
        <v>6</v>
      </c>
      <c r="H478" t="n">
        <v>0</v>
      </c>
      <c r="I478" t="n">
        <v>0</v>
      </c>
      <c r="J478" t="n">
        <v>0</v>
      </c>
      <c r="K478" t="n">
        <v>0</v>
      </c>
      <c r="L478" t="n">
        <v>0</v>
      </c>
      <c r="M478" t="n">
        <v>0</v>
      </c>
      <c r="N478" t="n">
        <v>0</v>
      </c>
      <c r="O478" t="n">
        <v>0</v>
      </c>
      <c r="P478" t="n">
        <v>0</v>
      </c>
      <c r="Q478" t="n">
        <v>0</v>
      </c>
      <c r="R478" s="2" t="inlineStr"/>
    </row>
    <row r="479" ht="15" customHeight="1">
      <c r="A479" t="inlineStr">
        <is>
          <t>A 5358-2022</t>
        </is>
      </c>
      <c r="B479" s="1" t="n">
        <v>44594.84091435185</v>
      </c>
      <c r="C479" s="1" t="n">
        <v>46187</v>
      </c>
      <c r="D479" t="inlineStr">
        <is>
          <t>ÖREBRO LÄN</t>
        </is>
      </c>
      <c r="E479" t="inlineStr">
        <is>
          <t>LINDESBERG</t>
        </is>
      </c>
      <c r="G479" t="n">
        <v>2.8</v>
      </c>
      <c r="H479" t="n">
        <v>0</v>
      </c>
      <c r="I479" t="n">
        <v>0</v>
      </c>
      <c r="J479" t="n">
        <v>0</v>
      </c>
      <c r="K479" t="n">
        <v>0</v>
      </c>
      <c r="L479" t="n">
        <v>0</v>
      </c>
      <c r="M479" t="n">
        <v>0</v>
      </c>
      <c r="N479" t="n">
        <v>0</v>
      </c>
      <c r="O479" t="n">
        <v>0</v>
      </c>
      <c r="P479" t="n">
        <v>0</v>
      </c>
      <c r="Q479" t="n">
        <v>0</v>
      </c>
      <c r="R479" s="2" t="inlineStr"/>
    </row>
    <row r="480" ht="15" customHeight="1">
      <c r="A480" t="inlineStr">
        <is>
          <t>A 32727-2024</t>
        </is>
      </c>
      <c r="B480" s="1" t="n">
        <v>45516.4221412037</v>
      </c>
      <c r="C480" s="1" t="n">
        <v>46187</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60943-2024</t>
        </is>
      </c>
      <c r="B481" s="1" t="n">
        <v>45645.3737962963</v>
      </c>
      <c r="C481" s="1" t="n">
        <v>46187</v>
      </c>
      <c r="D481" t="inlineStr">
        <is>
          <t>ÖREBRO LÄN</t>
        </is>
      </c>
      <c r="E481" t="inlineStr">
        <is>
          <t>LINDESBERG</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34104-2025</t>
        </is>
      </c>
      <c r="B482" s="1" t="n">
        <v>45845.49216435185</v>
      </c>
      <c r="C482" s="1" t="n">
        <v>46187</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33574-2024</t>
        </is>
      </c>
      <c r="B483" s="1" t="n">
        <v>45520.32887731482</v>
      </c>
      <c r="C483" s="1" t="n">
        <v>46187</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41948-2023</t>
        </is>
      </c>
      <c r="B484" s="1" t="n">
        <v>45177.33091435185</v>
      </c>
      <c r="C484" s="1" t="n">
        <v>46187</v>
      </c>
      <c r="D484" t="inlineStr">
        <is>
          <t>ÖREBRO LÄN</t>
        </is>
      </c>
      <c r="E484" t="inlineStr">
        <is>
          <t>LINDESBERG</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34097-2025</t>
        </is>
      </c>
      <c r="B485" s="1" t="n">
        <v>45845.4855787037</v>
      </c>
      <c r="C485" s="1" t="n">
        <v>46187</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61597-2023</t>
        </is>
      </c>
      <c r="B486" s="1" t="n">
        <v>45265.49225694445</v>
      </c>
      <c r="C486" s="1" t="n">
        <v>46187</v>
      </c>
      <c r="D486" t="inlineStr">
        <is>
          <t>ÖREBRO LÄN</t>
        </is>
      </c>
      <c r="E486" t="inlineStr">
        <is>
          <t>LINDESBERG</t>
        </is>
      </c>
      <c r="G486" t="n">
        <v>10.3</v>
      </c>
      <c r="H486" t="n">
        <v>0</v>
      </c>
      <c r="I486" t="n">
        <v>0</v>
      </c>
      <c r="J486" t="n">
        <v>0</v>
      </c>
      <c r="K486" t="n">
        <v>0</v>
      </c>
      <c r="L486" t="n">
        <v>0</v>
      </c>
      <c r="M486" t="n">
        <v>0</v>
      </c>
      <c r="N486" t="n">
        <v>0</v>
      </c>
      <c r="O486" t="n">
        <v>0</v>
      </c>
      <c r="P486" t="n">
        <v>0</v>
      </c>
      <c r="Q486" t="n">
        <v>0</v>
      </c>
      <c r="R486" s="2" t="inlineStr"/>
    </row>
    <row r="487" ht="15" customHeight="1">
      <c r="A487" t="inlineStr">
        <is>
          <t>A 41582-2021</t>
        </is>
      </c>
      <c r="B487" s="1" t="n">
        <v>44425.40297453704</v>
      </c>
      <c r="C487" s="1" t="n">
        <v>46187</v>
      </c>
      <c r="D487" t="inlineStr">
        <is>
          <t>ÖREBRO LÄN</t>
        </is>
      </c>
      <c r="E487" t="inlineStr">
        <is>
          <t>LINDESBERG</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48265-2021</t>
        </is>
      </c>
      <c r="B488" s="1" t="n">
        <v>44449</v>
      </c>
      <c r="C488" s="1" t="n">
        <v>46187</v>
      </c>
      <c r="D488" t="inlineStr">
        <is>
          <t>ÖREBRO LÄN</t>
        </is>
      </c>
      <c r="E488" t="inlineStr">
        <is>
          <t>LINDESBERG</t>
        </is>
      </c>
      <c r="G488" t="n">
        <v>23.7</v>
      </c>
      <c r="H488" t="n">
        <v>0</v>
      </c>
      <c r="I488" t="n">
        <v>0</v>
      </c>
      <c r="J488" t="n">
        <v>0</v>
      </c>
      <c r="K488" t="n">
        <v>0</v>
      </c>
      <c r="L488" t="n">
        <v>0</v>
      </c>
      <c r="M488" t="n">
        <v>0</v>
      </c>
      <c r="N488" t="n">
        <v>0</v>
      </c>
      <c r="O488" t="n">
        <v>0</v>
      </c>
      <c r="P488" t="n">
        <v>0</v>
      </c>
      <c r="Q488" t="n">
        <v>0</v>
      </c>
      <c r="R488" s="2" t="inlineStr"/>
    </row>
    <row r="489" ht="15" customHeight="1">
      <c r="A489" t="inlineStr">
        <is>
          <t>A 67016-2021</t>
        </is>
      </c>
      <c r="B489" s="1" t="n">
        <v>44522</v>
      </c>
      <c r="C489" s="1" t="n">
        <v>46187</v>
      </c>
      <c r="D489" t="inlineStr">
        <is>
          <t>ÖREBRO LÄN</t>
        </is>
      </c>
      <c r="E489" t="inlineStr">
        <is>
          <t>LINDESBERG</t>
        </is>
      </c>
      <c r="G489" t="n">
        <v>8</v>
      </c>
      <c r="H489" t="n">
        <v>0</v>
      </c>
      <c r="I489" t="n">
        <v>0</v>
      </c>
      <c r="J489" t="n">
        <v>0</v>
      </c>
      <c r="K489" t="n">
        <v>0</v>
      </c>
      <c r="L489" t="n">
        <v>0</v>
      </c>
      <c r="M489" t="n">
        <v>0</v>
      </c>
      <c r="N489" t="n">
        <v>0</v>
      </c>
      <c r="O489" t="n">
        <v>0</v>
      </c>
      <c r="P489" t="n">
        <v>0</v>
      </c>
      <c r="Q489" t="n">
        <v>0</v>
      </c>
      <c r="R489" s="2" t="inlineStr"/>
    </row>
    <row r="490" ht="15" customHeight="1">
      <c r="A490" t="inlineStr">
        <is>
          <t>A 7026-2024</t>
        </is>
      </c>
      <c r="B490" s="1" t="n">
        <v>45343.58587962963</v>
      </c>
      <c r="C490" s="1" t="n">
        <v>46187</v>
      </c>
      <c r="D490" t="inlineStr">
        <is>
          <t>ÖREBRO LÄN</t>
        </is>
      </c>
      <c r="E490" t="inlineStr">
        <is>
          <t>LINDESBERG</t>
        </is>
      </c>
      <c r="G490" t="n">
        <v>2.4</v>
      </c>
      <c r="H490" t="n">
        <v>0</v>
      </c>
      <c r="I490" t="n">
        <v>0</v>
      </c>
      <c r="J490" t="n">
        <v>0</v>
      </c>
      <c r="K490" t="n">
        <v>0</v>
      </c>
      <c r="L490" t="n">
        <v>0</v>
      </c>
      <c r="M490" t="n">
        <v>0</v>
      </c>
      <c r="N490" t="n">
        <v>0</v>
      </c>
      <c r="O490" t="n">
        <v>0</v>
      </c>
      <c r="P490" t="n">
        <v>0</v>
      </c>
      <c r="Q490" t="n">
        <v>0</v>
      </c>
      <c r="R490" s="2" t="inlineStr"/>
    </row>
    <row r="491" ht="15" customHeight="1">
      <c r="A491" t="inlineStr">
        <is>
          <t>A 4013-2025</t>
        </is>
      </c>
      <c r="B491" s="1" t="n">
        <v>45684.5790162037</v>
      </c>
      <c r="C491" s="1" t="n">
        <v>46187</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33978-2023</t>
        </is>
      </c>
      <c r="B492" s="1" t="n">
        <v>45134.68158564815</v>
      </c>
      <c r="C492" s="1" t="n">
        <v>46187</v>
      </c>
      <c r="D492" t="inlineStr">
        <is>
          <t>ÖREBRO LÄN</t>
        </is>
      </c>
      <c r="E492" t="inlineStr">
        <is>
          <t>LINDESBERG</t>
        </is>
      </c>
      <c r="G492" t="n">
        <v>4.1</v>
      </c>
      <c r="H492" t="n">
        <v>0</v>
      </c>
      <c r="I492" t="n">
        <v>0</v>
      </c>
      <c r="J492" t="n">
        <v>0</v>
      </c>
      <c r="K492" t="n">
        <v>0</v>
      </c>
      <c r="L492" t="n">
        <v>0</v>
      </c>
      <c r="M492" t="n">
        <v>0</v>
      </c>
      <c r="N492" t="n">
        <v>0</v>
      </c>
      <c r="O492" t="n">
        <v>0</v>
      </c>
      <c r="P492" t="n">
        <v>0</v>
      </c>
      <c r="Q492" t="n">
        <v>0</v>
      </c>
      <c r="R492" s="2" t="inlineStr"/>
    </row>
    <row r="493" ht="15" customHeight="1">
      <c r="A493" t="inlineStr">
        <is>
          <t>A 55272-2023</t>
        </is>
      </c>
      <c r="B493" s="1" t="n">
        <v>45237.67819444444</v>
      </c>
      <c r="C493" s="1" t="n">
        <v>46187</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20387-2026</t>
        </is>
      </c>
      <c r="B494" s="1" t="n">
        <v>46139.71047453704</v>
      </c>
      <c r="C494" s="1" t="n">
        <v>46187</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12307-2025</t>
        </is>
      </c>
      <c r="B495" s="1" t="n">
        <v>45729.76231481481</v>
      </c>
      <c r="C495" s="1" t="n">
        <v>46187</v>
      </c>
      <c r="D495" t="inlineStr">
        <is>
          <t>ÖREBRO LÄN</t>
        </is>
      </c>
      <c r="E495" t="inlineStr">
        <is>
          <t>LINDESBERG</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8834-2023</t>
        </is>
      </c>
      <c r="B496" s="1" t="n">
        <v>44978</v>
      </c>
      <c r="C496" s="1" t="n">
        <v>46187</v>
      </c>
      <c r="D496" t="inlineStr">
        <is>
          <t>ÖREBRO LÄN</t>
        </is>
      </c>
      <c r="E496" t="inlineStr">
        <is>
          <t>LINDESBERG</t>
        </is>
      </c>
      <c r="G496" t="n">
        <v>0.5</v>
      </c>
      <c r="H496" t="n">
        <v>0</v>
      </c>
      <c r="I496" t="n">
        <v>0</v>
      </c>
      <c r="J496" t="n">
        <v>0</v>
      </c>
      <c r="K496" t="n">
        <v>0</v>
      </c>
      <c r="L496" t="n">
        <v>0</v>
      </c>
      <c r="M496" t="n">
        <v>0</v>
      </c>
      <c r="N496" t="n">
        <v>0</v>
      </c>
      <c r="O496" t="n">
        <v>0</v>
      </c>
      <c r="P496" t="n">
        <v>0</v>
      </c>
      <c r="Q496" t="n">
        <v>0</v>
      </c>
      <c r="R496" s="2" t="inlineStr"/>
    </row>
    <row r="497" ht="15" customHeight="1">
      <c r="A497" t="inlineStr">
        <is>
          <t>A 51071-2022</t>
        </is>
      </c>
      <c r="B497" s="1" t="n">
        <v>44868.36924768519</v>
      </c>
      <c r="C497" s="1" t="n">
        <v>46187</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60926-2024</t>
        </is>
      </c>
      <c r="B498" s="1" t="n">
        <v>45645</v>
      </c>
      <c r="C498" s="1" t="n">
        <v>46187</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35229-2024</t>
        </is>
      </c>
      <c r="B499" s="1" t="n">
        <v>45530</v>
      </c>
      <c r="C499" s="1" t="n">
        <v>46187</v>
      </c>
      <c r="D499" t="inlineStr">
        <is>
          <t>ÖREBRO LÄN</t>
        </is>
      </c>
      <c r="E499" t="inlineStr">
        <is>
          <t>LINDESBERG</t>
        </is>
      </c>
      <c r="G499" t="n">
        <v>0.8</v>
      </c>
      <c r="H499" t="n">
        <v>0</v>
      </c>
      <c r="I499" t="n">
        <v>0</v>
      </c>
      <c r="J499" t="n">
        <v>0</v>
      </c>
      <c r="K499" t="n">
        <v>0</v>
      </c>
      <c r="L499" t="n">
        <v>0</v>
      </c>
      <c r="M499" t="n">
        <v>0</v>
      </c>
      <c r="N499" t="n">
        <v>0</v>
      </c>
      <c r="O499" t="n">
        <v>0</v>
      </c>
      <c r="P499" t="n">
        <v>0</v>
      </c>
      <c r="Q499" t="n">
        <v>0</v>
      </c>
      <c r="R499" s="2" t="inlineStr"/>
    </row>
    <row r="500" ht="15" customHeight="1">
      <c r="A500" t="inlineStr">
        <is>
          <t>A 14034-2026</t>
        </is>
      </c>
      <c r="B500" s="1" t="n">
        <v>46098.79559027778</v>
      </c>
      <c r="C500" s="1" t="n">
        <v>46187</v>
      </c>
      <c r="D500" t="inlineStr">
        <is>
          <t>ÖREBRO LÄN</t>
        </is>
      </c>
      <c r="E500" t="inlineStr">
        <is>
          <t>LINDESBERG</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10822-2023</t>
        </is>
      </c>
      <c r="B501" s="1" t="n">
        <v>44990</v>
      </c>
      <c r="C501" s="1" t="n">
        <v>46187</v>
      </c>
      <c r="D501" t="inlineStr">
        <is>
          <t>ÖREBRO LÄN</t>
        </is>
      </c>
      <c r="E501" t="inlineStr">
        <is>
          <t>LINDESBERG</t>
        </is>
      </c>
      <c r="G501" t="n">
        <v>1.3</v>
      </c>
      <c r="H501" t="n">
        <v>0</v>
      </c>
      <c r="I501" t="n">
        <v>0</v>
      </c>
      <c r="J501" t="n">
        <v>0</v>
      </c>
      <c r="K501" t="n">
        <v>0</v>
      </c>
      <c r="L501" t="n">
        <v>0</v>
      </c>
      <c r="M501" t="n">
        <v>0</v>
      </c>
      <c r="N501" t="n">
        <v>0</v>
      </c>
      <c r="O501" t="n">
        <v>0</v>
      </c>
      <c r="P501" t="n">
        <v>0</v>
      </c>
      <c r="Q501" t="n">
        <v>0</v>
      </c>
      <c r="R501" s="2" t="inlineStr"/>
    </row>
    <row r="502" ht="15" customHeight="1">
      <c r="A502" t="inlineStr">
        <is>
          <t>A 24916-2022</t>
        </is>
      </c>
      <c r="B502" s="1" t="n">
        <v>44728</v>
      </c>
      <c r="C502" s="1" t="n">
        <v>46187</v>
      </c>
      <c r="D502" t="inlineStr">
        <is>
          <t>ÖREBRO LÄN</t>
        </is>
      </c>
      <c r="E502" t="inlineStr">
        <is>
          <t>LINDESBERG</t>
        </is>
      </c>
      <c r="G502" t="n">
        <v>8.1</v>
      </c>
      <c r="H502" t="n">
        <v>0</v>
      </c>
      <c r="I502" t="n">
        <v>0</v>
      </c>
      <c r="J502" t="n">
        <v>0</v>
      </c>
      <c r="K502" t="n">
        <v>0</v>
      </c>
      <c r="L502" t="n">
        <v>0</v>
      </c>
      <c r="M502" t="n">
        <v>0</v>
      </c>
      <c r="N502" t="n">
        <v>0</v>
      </c>
      <c r="O502" t="n">
        <v>0</v>
      </c>
      <c r="P502" t="n">
        <v>0</v>
      </c>
      <c r="Q502" t="n">
        <v>0</v>
      </c>
      <c r="R502" s="2" t="inlineStr"/>
    </row>
    <row r="503" ht="15" customHeight="1">
      <c r="A503" t="inlineStr">
        <is>
          <t>A 5677-2025</t>
        </is>
      </c>
      <c r="B503" s="1" t="n">
        <v>45694</v>
      </c>
      <c r="C503" s="1" t="n">
        <v>46187</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3233-2023</t>
        </is>
      </c>
      <c r="B504" s="1" t="n">
        <v>44946</v>
      </c>
      <c r="C504" s="1" t="n">
        <v>46187</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15325-2024</t>
        </is>
      </c>
      <c r="B505" s="1" t="n">
        <v>45400.6709837963</v>
      </c>
      <c r="C505" s="1" t="n">
        <v>46187</v>
      </c>
      <c r="D505" t="inlineStr">
        <is>
          <t>ÖREBRO LÄN</t>
        </is>
      </c>
      <c r="E505" t="inlineStr">
        <is>
          <t>LINDESBERG</t>
        </is>
      </c>
      <c r="F505" t="inlineStr">
        <is>
          <t>Sveaskog</t>
        </is>
      </c>
      <c r="G505" t="n">
        <v>0.3</v>
      </c>
      <c r="H505" t="n">
        <v>0</v>
      </c>
      <c r="I505" t="n">
        <v>0</v>
      </c>
      <c r="J505" t="n">
        <v>0</v>
      </c>
      <c r="K505" t="n">
        <v>0</v>
      </c>
      <c r="L505" t="n">
        <v>0</v>
      </c>
      <c r="M505" t="n">
        <v>0</v>
      </c>
      <c r="N505" t="n">
        <v>0</v>
      </c>
      <c r="O505" t="n">
        <v>0</v>
      </c>
      <c r="P505" t="n">
        <v>0</v>
      </c>
      <c r="Q505" t="n">
        <v>0</v>
      </c>
      <c r="R505" s="2" t="inlineStr"/>
    </row>
    <row r="506" ht="15" customHeight="1">
      <c r="A506" t="inlineStr">
        <is>
          <t>A 40970-2023</t>
        </is>
      </c>
      <c r="B506" s="1" t="n">
        <v>45173</v>
      </c>
      <c r="C506" s="1" t="n">
        <v>46187</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15050-2026</t>
        </is>
      </c>
      <c r="B507" s="1" t="n">
        <v>46104.67331018519</v>
      </c>
      <c r="C507" s="1" t="n">
        <v>46187</v>
      </c>
      <c r="D507" t="inlineStr">
        <is>
          <t>ÖREBRO LÄN</t>
        </is>
      </c>
      <c r="E507" t="inlineStr">
        <is>
          <t>LINDESBERG</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14680-2026</t>
        </is>
      </c>
      <c r="B508" s="1" t="n">
        <v>46101.48212962963</v>
      </c>
      <c r="C508" s="1" t="n">
        <v>46187</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58662-2022</t>
        </is>
      </c>
      <c r="B509" s="1" t="n">
        <v>44902</v>
      </c>
      <c r="C509" s="1" t="n">
        <v>46187</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21084-2026</t>
        </is>
      </c>
      <c r="B510" s="1" t="n">
        <v>46146.43534722222</v>
      </c>
      <c r="C510" s="1" t="n">
        <v>46187</v>
      </c>
      <c r="D510" t="inlineStr">
        <is>
          <t>ÖREBRO LÄN</t>
        </is>
      </c>
      <c r="E510" t="inlineStr">
        <is>
          <t>LINDESBERG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28031-2023</t>
        </is>
      </c>
      <c r="B511" s="1" t="n">
        <v>45099.27354166667</v>
      </c>
      <c r="C511" s="1" t="n">
        <v>46187</v>
      </c>
      <c r="D511" t="inlineStr">
        <is>
          <t>ÖREBRO LÄN</t>
        </is>
      </c>
      <c r="E511" t="inlineStr">
        <is>
          <t>LINDESBERG</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4310-2025</t>
        </is>
      </c>
      <c r="B512" s="1" t="n">
        <v>45685</v>
      </c>
      <c r="C512" s="1" t="n">
        <v>46187</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1681-2025</t>
        </is>
      </c>
      <c r="B513" s="1" t="n">
        <v>45670.69458333333</v>
      </c>
      <c r="C513" s="1" t="n">
        <v>46187</v>
      </c>
      <c r="D513" t="inlineStr">
        <is>
          <t>ÖREBRO LÄN</t>
        </is>
      </c>
      <c r="E513" t="inlineStr">
        <is>
          <t>LINDESBERG</t>
        </is>
      </c>
      <c r="G513" t="n">
        <v>1.9</v>
      </c>
      <c r="H513" t="n">
        <v>0</v>
      </c>
      <c r="I513" t="n">
        <v>0</v>
      </c>
      <c r="J513" t="n">
        <v>0</v>
      </c>
      <c r="K513" t="n">
        <v>0</v>
      </c>
      <c r="L513" t="n">
        <v>0</v>
      </c>
      <c r="M513" t="n">
        <v>0</v>
      </c>
      <c r="N513" t="n">
        <v>0</v>
      </c>
      <c r="O513" t="n">
        <v>0</v>
      </c>
      <c r="P513" t="n">
        <v>0</v>
      </c>
      <c r="Q513" t="n">
        <v>0</v>
      </c>
      <c r="R513" s="2" t="inlineStr"/>
    </row>
    <row r="514" ht="15" customHeight="1">
      <c r="A514" t="inlineStr">
        <is>
          <t>A 47110-2024</t>
        </is>
      </c>
      <c r="B514" s="1" t="n">
        <v>45586.55451388889</v>
      </c>
      <c r="C514" s="1" t="n">
        <v>46187</v>
      </c>
      <c r="D514" t="inlineStr">
        <is>
          <t>ÖREBRO LÄN</t>
        </is>
      </c>
      <c r="E514" t="inlineStr">
        <is>
          <t>LINDESBERG</t>
        </is>
      </c>
      <c r="G514" t="n">
        <v>0.6</v>
      </c>
      <c r="H514" t="n">
        <v>0</v>
      </c>
      <c r="I514" t="n">
        <v>0</v>
      </c>
      <c r="J514" t="n">
        <v>0</v>
      </c>
      <c r="K514" t="n">
        <v>0</v>
      </c>
      <c r="L514" t="n">
        <v>0</v>
      </c>
      <c r="M514" t="n">
        <v>0</v>
      </c>
      <c r="N514" t="n">
        <v>0</v>
      </c>
      <c r="O514" t="n">
        <v>0</v>
      </c>
      <c r="P514" t="n">
        <v>0</v>
      </c>
      <c r="Q514" t="n">
        <v>0</v>
      </c>
      <c r="R514" s="2" t="inlineStr"/>
    </row>
    <row r="515" ht="15" customHeight="1">
      <c r="A515" t="inlineStr">
        <is>
          <t>A 27440-2023</t>
        </is>
      </c>
      <c r="B515" s="1" t="n">
        <v>45097.39893518519</v>
      </c>
      <c r="C515" s="1" t="n">
        <v>46187</v>
      </c>
      <c r="D515" t="inlineStr">
        <is>
          <t>ÖREBRO LÄN</t>
        </is>
      </c>
      <c r="E515" t="inlineStr">
        <is>
          <t>LINDESBERG</t>
        </is>
      </c>
      <c r="G515" t="n">
        <v>6.6</v>
      </c>
      <c r="H515" t="n">
        <v>0</v>
      </c>
      <c r="I515" t="n">
        <v>0</v>
      </c>
      <c r="J515" t="n">
        <v>0</v>
      </c>
      <c r="K515" t="n">
        <v>0</v>
      </c>
      <c r="L515" t="n">
        <v>0</v>
      </c>
      <c r="M515" t="n">
        <v>0</v>
      </c>
      <c r="N515" t="n">
        <v>0</v>
      </c>
      <c r="O515" t="n">
        <v>0</v>
      </c>
      <c r="P515" t="n">
        <v>0</v>
      </c>
      <c r="Q515" t="n">
        <v>0</v>
      </c>
      <c r="R515" s="2" t="inlineStr"/>
    </row>
    <row r="516" ht="15" customHeight="1">
      <c r="A516" t="inlineStr">
        <is>
          <t>A 39137-2024</t>
        </is>
      </c>
      <c r="B516" s="1" t="n">
        <v>45548</v>
      </c>
      <c r="C516" s="1" t="n">
        <v>46187</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39152-2024</t>
        </is>
      </c>
      <c r="B517" s="1" t="n">
        <v>45548</v>
      </c>
      <c r="C517" s="1" t="n">
        <v>46187</v>
      </c>
      <c r="D517" t="inlineStr">
        <is>
          <t>ÖREBRO LÄN</t>
        </is>
      </c>
      <c r="E517" t="inlineStr">
        <is>
          <t>LINDESBERG</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21245-2024</t>
        </is>
      </c>
      <c r="B518" s="1" t="n">
        <v>45440</v>
      </c>
      <c r="C518" s="1" t="n">
        <v>46187</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16092-2026</t>
        </is>
      </c>
      <c r="B519" s="1" t="n">
        <v>46108</v>
      </c>
      <c r="C519" s="1" t="n">
        <v>46187</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21796-2026</t>
        </is>
      </c>
      <c r="B520" s="1" t="n">
        <v>46150.42483796296</v>
      </c>
      <c r="C520" s="1" t="n">
        <v>46187</v>
      </c>
      <c r="D520" t="inlineStr">
        <is>
          <t>ÖREBRO LÄN</t>
        </is>
      </c>
      <c r="E520" t="inlineStr">
        <is>
          <t>LINDESBERG</t>
        </is>
      </c>
      <c r="F520" t="inlineStr">
        <is>
          <t>Naturvårdsverket</t>
        </is>
      </c>
      <c r="G520" t="n">
        <v>5.1</v>
      </c>
      <c r="H520" t="n">
        <v>0</v>
      </c>
      <c r="I520" t="n">
        <v>0</v>
      </c>
      <c r="J520" t="n">
        <v>0</v>
      </c>
      <c r="K520" t="n">
        <v>0</v>
      </c>
      <c r="L520" t="n">
        <v>0</v>
      </c>
      <c r="M520" t="n">
        <v>0</v>
      </c>
      <c r="N520" t="n">
        <v>0</v>
      </c>
      <c r="O520" t="n">
        <v>0</v>
      </c>
      <c r="P520" t="n">
        <v>0</v>
      </c>
      <c r="Q520" t="n">
        <v>0</v>
      </c>
      <c r="R520" s="2" t="inlineStr"/>
    </row>
    <row r="521" ht="15" customHeight="1">
      <c r="A521" t="inlineStr">
        <is>
          <t>A 61601-2024</t>
        </is>
      </c>
      <c r="B521" s="1" t="n">
        <v>45646.63839120371</v>
      </c>
      <c r="C521" s="1" t="n">
        <v>46187</v>
      </c>
      <c r="D521" t="inlineStr">
        <is>
          <t>ÖREBRO LÄN</t>
        </is>
      </c>
      <c r="E521" t="inlineStr">
        <is>
          <t>LINDESBERG</t>
        </is>
      </c>
      <c r="G521" t="n">
        <v>0.5</v>
      </c>
      <c r="H521" t="n">
        <v>0</v>
      </c>
      <c r="I521" t="n">
        <v>0</v>
      </c>
      <c r="J521" t="n">
        <v>0</v>
      </c>
      <c r="K521" t="n">
        <v>0</v>
      </c>
      <c r="L521" t="n">
        <v>0</v>
      </c>
      <c r="M521" t="n">
        <v>0</v>
      </c>
      <c r="N521" t="n">
        <v>0</v>
      </c>
      <c r="O521" t="n">
        <v>0</v>
      </c>
      <c r="P521" t="n">
        <v>0</v>
      </c>
      <c r="Q521" t="n">
        <v>0</v>
      </c>
      <c r="R521" s="2" t="inlineStr"/>
    </row>
    <row r="522" ht="15" customHeight="1">
      <c r="A522" t="inlineStr">
        <is>
          <t>A 6604-2024</t>
        </is>
      </c>
      <c r="B522" s="1" t="n">
        <v>45341.56577546296</v>
      </c>
      <c r="C522" s="1" t="n">
        <v>46187</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16090-2026</t>
        </is>
      </c>
      <c r="B523" s="1" t="n">
        <v>46108</v>
      </c>
      <c r="C523" s="1" t="n">
        <v>46187</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16094-2026</t>
        </is>
      </c>
      <c r="B524" s="1" t="n">
        <v>46108</v>
      </c>
      <c r="C524" s="1" t="n">
        <v>46187</v>
      </c>
      <c r="D524" t="inlineStr">
        <is>
          <t>ÖREBRO LÄN</t>
        </is>
      </c>
      <c r="E524" t="inlineStr">
        <is>
          <t>LINDESBERG</t>
        </is>
      </c>
      <c r="G524" t="n">
        <v>3.9</v>
      </c>
      <c r="H524" t="n">
        <v>0</v>
      </c>
      <c r="I524" t="n">
        <v>0</v>
      </c>
      <c r="J524" t="n">
        <v>0</v>
      </c>
      <c r="K524" t="n">
        <v>0</v>
      </c>
      <c r="L524" t="n">
        <v>0</v>
      </c>
      <c r="M524" t="n">
        <v>0</v>
      </c>
      <c r="N524" t="n">
        <v>0</v>
      </c>
      <c r="O524" t="n">
        <v>0</v>
      </c>
      <c r="P524" t="n">
        <v>0</v>
      </c>
      <c r="Q524" t="n">
        <v>0</v>
      </c>
      <c r="R524" s="2" t="inlineStr"/>
    </row>
    <row r="525" ht="15" customHeight="1">
      <c r="A525" t="inlineStr">
        <is>
          <t>A 42410-2024</t>
        </is>
      </c>
      <c r="B525" s="1" t="n">
        <v>45565</v>
      </c>
      <c r="C525" s="1" t="n">
        <v>46187</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9140-2025</t>
        </is>
      </c>
      <c r="B526" s="1" t="n">
        <v>45714.31533564815</v>
      </c>
      <c r="C526" s="1" t="n">
        <v>46187</v>
      </c>
      <c r="D526" t="inlineStr">
        <is>
          <t>ÖREBRO LÄN</t>
        </is>
      </c>
      <c r="E526" t="inlineStr">
        <is>
          <t>LINDESBERG</t>
        </is>
      </c>
      <c r="G526" t="n">
        <v>0.8</v>
      </c>
      <c r="H526" t="n">
        <v>0</v>
      </c>
      <c r="I526" t="n">
        <v>0</v>
      </c>
      <c r="J526" t="n">
        <v>0</v>
      </c>
      <c r="K526" t="n">
        <v>0</v>
      </c>
      <c r="L526" t="n">
        <v>0</v>
      </c>
      <c r="M526" t="n">
        <v>0</v>
      </c>
      <c r="N526" t="n">
        <v>0</v>
      </c>
      <c r="O526" t="n">
        <v>0</v>
      </c>
      <c r="P526" t="n">
        <v>0</v>
      </c>
      <c r="Q526" t="n">
        <v>0</v>
      </c>
      <c r="R526" s="2" t="inlineStr"/>
    </row>
    <row r="527" ht="15" customHeight="1">
      <c r="A527" t="inlineStr">
        <is>
          <t>A 47304-2024</t>
        </is>
      </c>
      <c r="B527" s="1" t="n">
        <v>45587</v>
      </c>
      <c r="C527" s="1" t="n">
        <v>46187</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21871-2026</t>
        </is>
      </c>
      <c r="B528" s="1" t="n">
        <v>46150.58001157407</v>
      </c>
      <c r="C528" s="1" t="n">
        <v>46187</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8139-2023</t>
        </is>
      </c>
      <c r="B529" s="1" t="n">
        <v>44970</v>
      </c>
      <c r="C529" s="1" t="n">
        <v>46187</v>
      </c>
      <c r="D529" t="inlineStr">
        <is>
          <t>ÖREBRO LÄN</t>
        </is>
      </c>
      <c r="E529" t="inlineStr">
        <is>
          <t>LINDESBERG</t>
        </is>
      </c>
      <c r="G529" t="n">
        <v>3.6</v>
      </c>
      <c r="H529" t="n">
        <v>0</v>
      </c>
      <c r="I529" t="n">
        <v>0</v>
      </c>
      <c r="J529" t="n">
        <v>0</v>
      </c>
      <c r="K529" t="n">
        <v>0</v>
      </c>
      <c r="L529" t="n">
        <v>0</v>
      </c>
      <c r="M529" t="n">
        <v>0</v>
      </c>
      <c r="N529" t="n">
        <v>0</v>
      </c>
      <c r="O529" t="n">
        <v>0</v>
      </c>
      <c r="P529" t="n">
        <v>0</v>
      </c>
      <c r="Q529" t="n">
        <v>0</v>
      </c>
      <c r="R529" s="2" t="inlineStr"/>
    </row>
    <row r="530" ht="15" customHeight="1">
      <c r="A530" t="inlineStr">
        <is>
          <t>A 53168-2023</t>
        </is>
      </c>
      <c r="B530" s="1" t="n">
        <v>45229</v>
      </c>
      <c r="C530" s="1" t="n">
        <v>46187</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36748-2024</t>
        </is>
      </c>
      <c r="B531" s="1" t="n">
        <v>45538.34460648148</v>
      </c>
      <c r="C531" s="1" t="n">
        <v>46187</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64427-2021</t>
        </is>
      </c>
      <c r="B532" s="1" t="n">
        <v>44511</v>
      </c>
      <c r="C532" s="1" t="n">
        <v>46187</v>
      </c>
      <c r="D532" t="inlineStr">
        <is>
          <t>ÖREBRO LÄN</t>
        </is>
      </c>
      <c r="E532" t="inlineStr">
        <is>
          <t>LINDESBERG</t>
        </is>
      </c>
      <c r="G532" t="n">
        <v>2.2</v>
      </c>
      <c r="H532" t="n">
        <v>0</v>
      </c>
      <c r="I532" t="n">
        <v>0</v>
      </c>
      <c r="J532" t="n">
        <v>0</v>
      </c>
      <c r="K532" t="n">
        <v>0</v>
      </c>
      <c r="L532" t="n">
        <v>0</v>
      </c>
      <c r="M532" t="n">
        <v>0</v>
      </c>
      <c r="N532" t="n">
        <v>0</v>
      </c>
      <c r="O532" t="n">
        <v>0</v>
      </c>
      <c r="P532" t="n">
        <v>0</v>
      </c>
      <c r="Q532" t="n">
        <v>0</v>
      </c>
      <c r="R532" s="2" t="inlineStr"/>
    </row>
    <row r="533" ht="15" customHeight="1">
      <c r="A533" t="inlineStr">
        <is>
          <t>A 53352-2023</t>
        </is>
      </c>
      <c r="B533" s="1" t="n">
        <v>45229.66262731481</v>
      </c>
      <c r="C533" s="1" t="n">
        <v>46187</v>
      </c>
      <c r="D533" t="inlineStr">
        <is>
          <t>ÖREBRO LÄN</t>
        </is>
      </c>
      <c r="E533" t="inlineStr">
        <is>
          <t>LINDESBERG</t>
        </is>
      </c>
      <c r="F533" t="inlineStr">
        <is>
          <t>Sveaskog</t>
        </is>
      </c>
      <c r="G533" t="n">
        <v>0.3</v>
      </c>
      <c r="H533" t="n">
        <v>0</v>
      </c>
      <c r="I533" t="n">
        <v>0</v>
      </c>
      <c r="J533" t="n">
        <v>0</v>
      </c>
      <c r="K533" t="n">
        <v>0</v>
      </c>
      <c r="L533" t="n">
        <v>0</v>
      </c>
      <c r="M533" t="n">
        <v>0</v>
      </c>
      <c r="N533" t="n">
        <v>0</v>
      </c>
      <c r="O533" t="n">
        <v>0</v>
      </c>
      <c r="P533" t="n">
        <v>0</v>
      </c>
      <c r="Q533" t="n">
        <v>0</v>
      </c>
      <c r="R533" s="2" t="inlineStr"/>
    </row>
    <row r="534" ht="15" customHeight="1">
      <c r="A534" t="inlineStr">
        <is>
          <t>A 17010-2026</t>
        </is>
      </c>
      <c r="B534" s="1" t="n">
        <v>46114</v>
      </c>
      <c r="C534" s="1" t="n">
        <v>46187</v>
      </c>
      <c r="D534" t="inlineStr">
        <is>
          <t>ÖREBRO LÄN</t>
        </is>
      </c>
      <c r="E534" t="inlineStr">
        <is>
          <t>LINDESBERG</t>
        </is>
      </c>
      <c r="G534" t="n">
        <v>3.7</v>
      </c>
      <c r="H534" t="n">
        <v>0</v>
      </c>
      <c r="I534" t="n">
        <v>0</v>
      </c>
      <c r="J534" t="n">
        <v>0</v>
      </c>
      <c r="K534" t="n">
        <v>0</v>
      </c>
      <c r="L534" t="n">
        <v>0</v>
      </c>
      <c r="M534" t="n">
        <v>0</v>
      </c>
      <c r="N534" t="n">
        <v>0</v>
      </c>
      <c r="O534" t="n">
        <v>0</v>
      </c>
      <c r="P534" t="n">
        <v>0</v>
      </c>
      <c r="Q534" t="n">
        <v>0</v>
      </c>
      <c r="R534" s="2" t="inlineStr"/>
    </row>
    <row r="535" ht="15" customHeight="1">
      <c r="A535" t="inlineStr">
        <is>
          <t>A 36253-2024</t>
        </is>
      </c>
      <c r="B535" s="1" t="n">
        <v>45534.54032407407</v>
      </c>
      <c r="C535" s="1" t="n">
        <v>46187</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16812-2026</t>
        </is>
      </c>
      <c r="B536" s="1" t="n">
        <v>46113.49563657407</v>
      </c>
      <c r="C536" s="1" t="n">
        <v>46187</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17013-2026</t>
        </is>
      </c>
      <c r="B537" s="1" t="n">
        <v>46114</v>
      </c>
      <c r="C537" s="1" t="n">
        <v>46187</v>
      </c>
      <c r="D537" t="inlineStr">
        <is>
          <t>ÖREBRO LÄN</t>
        </is>
      </c>
      <c r="E537" t="inlineStr">
        <is>
          <t>LINDESBERG</t>
        </is>
      </c>
      <c r="G537" t="n">
        <v>1.3</v>
      </c>
      <c r="H537" t="n">
        <v>0</v>
      </c>
      <c r="I537" t="n">
        <v>0</v>
      </c>
      <c r="J537" t="n">
        <v>0</v>
      </c>
      <c r="K537" t="n">
        <v>0</v>
      </c>
      <c r="L537" t="n">
        <v>0</v>
      </c>
      <c r="M537" t="n">
        <v>0</v>
      </c>
      <c r="N537" t="n">
        <v>0</v>
      </c>
      <c r="O537" t="n">
        <v>0</v>
      </c>
      <c r="P537" t="n">
        <v>0</v>
      </c>
      <c r="Q537" t="n">
        <v>0</v>
      </c>
      <c r="R537" s="2" t="inlineStr"/>
    </row>
    <row r="538" ht="15" customHeight="1">
      <c r="A538" t="inlineStr">
        <is>
          <t>A 3026-2026</t>
        </is>
      </c>
      <c r="B538" s="1" t="n">
        <v>46038</v>
      </c>
      <c r="C538" s="1" t="n">
        <v>46187</v>
      </c>
      <c r="D538" t="inlineStr">
        <is>
          <t>ÖREBRO LÄN</t>
        </is>
      </c>
      <c r="E538" t="inlineStr">
        <is>
          <t>LINDESBERG</t>
        </is>
      </c>
      <c r="G538" t="n">
        <v>10.3</v>
      </c>
      <c r="H538" t="n">
        <v>0</v>
      </c>
      <c r="I538" t="n">
        <v>0</v>
      </c>
      <c r="J538" t="n">
        <v>0</v>
      </c>
      <c r="K538" t="n">
        <v>0</v>
      </c>
      <c r="L538" t="n">
        <v>0</v>
      </c>
      <c r="M538" t="n">
        <v>0</v>
      </c>
      <c r="N538" t="n">
        <v>0</v>
      </c>
      <c r="O538" t="n">
        <v>0</v>
      </c>
      <c r="P538" t="n">
        <v>0</v>
      </c>
      <c r="Q538" t="n">
        <v>0</v>
      </c>
      <c r="R538" s="2" t="inlineStr"/>
    </row>
    <row r="539" ht="15" customHeight="1">
      <c r="A539" t="inlineStr">
        <is>
          <t>A 6727-2022</t>
        </is>
      </c>
      <c r="B539" s="1" t="n">
        <v>44602.45490740741</v>
      </c>
      <c r="C539" s="1" t="n">
        <v>46187</v>
      </c>
      <c r="D539" t="inlineStr">
        <is>
          <t>ÖREBRO LÄN</t>
        </is>
      </c>
      <c r="E539" t="inlineStr">
        <is>
          <t>LINDESBERG</t>
        </is>
      </c>
      <c r="G539" t="n">
        <v>0.8</v>
      </c>
      <c r="H539" t="n">
        <v>0</v>
      </c>
      <c r="I539" t="n">
        <v>0</v>
      </c>
      <c r="J539" t="n">
        <v>0</v>
      </c>
      <c r="K539" t="n">
        <v>0</v>
      </c>
      <c r="L539" t="n">
        <v>0</v>
      </c>
      <c r="M539" t="n">
        <v>0</v>
      </c>
      <c r="N539" t="n">
        <v>0</v>
      </c>
      <c r="O539" t="n">
        <v>0</v>
      </c>
      <c r="P539" t="n">
        <v>0</v>
      </c>
      <c r="Q539" t="n">
        <v>0</v>
      </c>
      <c r="R539" s="2" t="inlineStr"/>
    </row>
    <row r="540" ht="15" customHeight="1">
      <c r="A540" t="inlineStr">
        <is>
          <t>A 30514-2025</t>
        </is>
      </c>
      <c r="B540" s="1" t="n">
        <v>45831</v>
      </c>
      <c r="C540" s="1" t="n">
        <v>46187</v>
      </c>
      <c r="D540" t="inlineStr">
        <is>
          <t>ÖREBRO LÄN</t>
        </is>
      </c>
      <c r="E540" t="inlineStr">
        <is>
          <t>LINDESBERG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45173-2024</t>
        </is>
      </c>
      <c r="B541" s="1" t="n">
        <v>45575.65721064815</v>
      </c>
      <c r="C541" s="1" t="n">
        <v>46187</v>
      </c>
      <c r="D541" t="inlineStr">
        <is>
          <t>ÖREBRO LÄN</t>
        </is>
      </c>
      <c r="E541" t="inlineStr">
        <is>
          <t>LINDESBERG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22745-2026</t>
        </is>
      </c>
      <c r="B542" s="1" t="n">
        <v>46157.4291087963</v>
      </c>
      <c r="C542" s="1" t="n">
        <v>46187</v>
      </c>
      <c r="D542" t="inlineStr">
        <is>
          <t>ÖREBRO LÄN</t>
        </is>
      </c>
      <c r="E542" t="inlineStr">
        <is>
          <t>LINDESBERG</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22752-2026</t>
        </is>
      </c>
      <c r="B543" s="1" t="n">
        <v>46157.44695601852</v>
      </c>
      <c r="C543" s="1" t="n">
        <v>46187</v>
      </c>
      <c r="D543" t="inlineStr">
        <is>
          <t>ÖREBRO LÄN</t>
        </is>
      </c>
      <c r="E543" t="inlineStr">
        <is>
          <t>LINDESBERG</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22748-2026</t>
        </is>
      </c>
      <c r="B544" s="1" t="n">
        <v>46157.43287037037</v>
      </c>
      <c r="C544" s="1" t="n">
        <v>46187</v>
      </c>
      <c r="D544" t="inlineStr">
        <is>
          <t>ÖREBRO LÄN</t>
        </is>
      </c>
      <c r="E544" t="inlineStr">
        <is>
          <t>LINDESBERG</t>
        </is>
      </c>
      <c r="G544" t="n">
        <v>3.1</v>
      </c>
      <c r="H544" t="n">
        <v>0</v>
      </c>
      <c r="I544" t="n">
        <v>0</v>
      </c>
      <c r="J544" t="n">
        <v>0</v>
      </c>
      <c r="K544" t="n">
        <v>0</v>
      </c>
      <c r="L544" t="n">
        <v>0</v>
      </c>
      <c r="M544" t="n">
        <v>0</v>
      </c>
      <c r="N544" t="n">
        <v>0</v>
      </c>
      <c r="O544" t="n">
        <v>0</v>
      </c>
      <c r="P544" t="n">
        <v>0</v>
      </c>
      <c r="Q544" t="n">
        <v>0</v>
      </c>
      <c r="R544" s="2" t="inlineStr"/>
    </row>
    <row r="545" ht="15" customHeight="1">
      <c r="A545" t="inlineStr">
        <is>
          <t>A 30512-2025</t>
        </is>
      </c>
      <c r="B545" s="1" t="n">
        <v>45831</v>
      </c>
      <c r="C545" s="1" t="n">
        <v>46187</v>
      </c>
      <c r="D545" t="inlineStr">
        <is>
          <t>ÖREBRO LÄN</t>
        </is>
      </c>
      <c r="E545" t="inlineStr">
        <is>
          <t>LINDESBERG</t>
        </is>
      </c>
      <c r="G545" t="n">
        <v>4.5</v>
      </c>
      <c r="H545" t="n">
        <v>0</v>
      </c>
      <c r="I545" t="n">
        <v>0</v>
      </c>
      <c r="J545" t="n">
        <v>0</v>
      </c>
      <c r="K545" t="n">
        <v>0</v>
      </c>
      <c r="L545" t="n">
        <v>0</v>
      </c>
      <c r="M545" t="n">
        <v>0</v>
      </c>
      <c r="N545" t="n">
        <v>0</v>
      </c>
      <c r="O545" t="n">
        <v>0</v>
      </c>
      <c r="P545" t="n">
        <v>0</v>
      </c>
      <c r="Q545" t="n">
        <v>0</v>
      </c>
      <c r="R545" s="2" t="inlineStr"/>
    </row>
    <row r="546" ht="15" customHeight="1">
      <c r="A546" t="inlineStr">
        <is>
          <t>A 22747-2026</t>
        </is>
      </c>
      <c r="B546" s="1" t="n">
        <v>46157.43127314815</v>
      </c>
      <c r="C546" s="1" t="n">
        <v>46187</v>
      </c>
      <c r="D546" t="inlineStr">
        <is>
          <t>ÖREBRO LÄN</t>
        </is>
      </c>
      <c r="E546" t="inlineStr">
        <is>
          <t>LINDESBERG</t>
        </is>
      </c>
      <c r="G546" t="n">
        <v>4.4</v>
      </c>
      <c r="H546" t="n">
        <v>0</v>
      </c>
      <c r="I546" t="n">
        <v>0</v>
      </c>
      <c r="J546" t="n">
        <v>0</v>
      </c>
      <c r="K546" t="n">
        <v>0</v>
      </c>
      <c r="L546" t="n">
        <v>0</v>
      </c>
      <c r="M546" t="n">
        <v>0</v>
      </c>
      <c r="N546" t="n">
        <v>0</v>
      </c>
      <c r="O546" t="n">
        <v>0</v>
      </c>
      <c r="P546" t="n">
        <v>0</v>
      </c>
      <c r="Q546" t="n">
        <v>0</v>
      </c>
      <c r="R546" s="2" t="inlineStr"/>
    </row>
    <row r="547" ht="15" customHeight="1">
      <c r="A547" t="inlineStr">
        <is>
          <t>A 25012-2023</t>
        </is>
      </c>
      <c r="B547" s="1" t="n">
        <v>45085</v>
      </c>
      <c r="C547" s="1" t="n">
        <v>46187</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17158-2026</t>
        </is>
      </c>
      <c r="B548" s="1" t="n">
        <v>46115.55826388889</v>
      </c>
      <c r="C548" s="1" t="n">
        <v>46187</v>
      </c>
      <c r="D548" t="inlineStr">
        <is>
          <t>ÖREBRO LÄN</t>
        </is>
      </c>
      <c r="E548" t="inlineStr">
        <is>
          <t>LINDESBERG</t>
        </is>
      </c>
      <c r="G548" t="n">
        <v>7.8</v>
      </c>
      <c r="H548" t="n">
        <v>0</v>
      </c>
      <c r="I548" t="n">
        <v>0</v>
      </c>
      <c r="J548" t="n">
        <v>0</v>
      </c>
      <c r="K548" t="n">
        <v>0</v>
      </c>
      <c r="L548" t="n">
        <v>0</v>
      </c>
      <c r="M548" t="n">
        <v>0</v>
      </c>
      <c r="N548" t="n">
        <v>0</v>
      </c>
      <c r="O548" t="n">
        <v>0</v>
      </c>
      <c r="P548" t="n">
        <v>0</v>
      </c>
      <c r="Q548" t="n">
        <v>0</v>
      </c>
      <c r="R548" s="2" t="inlineStr"/>
    </row>
    <row r="549" ht="15" customHeight="1">
      <c r="A549" t="inlineStr">
        <is>
          <t>A 13969-2025</t>
        </is>
      </c>
      <c r="B549" s="1" t="n">
        <v>45738.43714120371</v>
      </c>
      <c r="C549" s="1" t="n">
        <v>46187</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22861-2026</t>
        </is>
      </c>
      <c r="B550" s="1" t="n">
        <v>46160.4221412037</v>
      </c>
      <c r="C550" s="1" t="n">
        <v>46187</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22862-2026</t>
        </is>
      </c>
      <c r="B551" s="1" t="n">
        <v>46160.42400462963</v>
      </c>
      <c r="C551" s="1" t="n">
        <v>46187</v>
      </c>
      <c r="D551" t="inlineStr">
        <is>
          <t>ÖREBRO LÄN</t>
        </is>
      </c>
      <c r="E551" t="inlineStr">
        <is>
          <t>LINDESBERG</t>
        </is>
      </c>
      <c r="G551" t="n">
        <v>2.2</v>
      </c>
      <c r="H551" t="n">
        <v>0</v>
      </c>
      <c r="I551" t="n">
        <v>0</v>
      </c>
      <c r="J551" t="n">
        <v>0</v>
      </c>
      <c r="K551" t="n">
        <v>0</v>
      </c>
      <c r="L551" t="n">
        <v>0</v>
      </c>
      <c r="M551" t="n">
        <v>0</v>
      </c>
      <c r="N551" t="n">
        <v>0</v>
      </c>
      <c r="O551" t="n">
        <v>0</v>
      </c>
      <c r="P551" t="n">
        <v>0</v>
      </c>
      <c r="Q551" t="n">
        <v>0</v>
      </c>
      <c r="R551" s="2" t="inlineStr"/>
    </row>
    <row r="552" ht="15" customHeight="1">
      <c r="A552" t="inlineStr">
        <is>
          <t>A 17154-2026</t>
        </is>
      </c>
      <c r="B552" s="1" t="n">
        <v>46115.49298611111</v>
      </c>
      <c r="C552" s="1" t="n">
        <v>46187</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17157-2026</t>
        </is>
      </c>
      <c r="B553" s="1" t="n">
        <v>46115.52068287037</v>
      </c>
      <c r="C553" s="1" t="n">
        <v>46187</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17159-2026</t>
        </is>
      </c>
      <c r="B554" s="1" t="n">
        <v>46115.57298611111</v>
      </c>
      <c r="C554" s="1" t="n">
        <v>46187</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17155-2026</t>
        </is>
      </c>
      <c r="B555" s="1" t="n">
        <v>46115.50295138889</v>
      </c>
      <c r="C555" s="1" t="n">
        <v>46187</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17156-2026</t>
        </is>
      </c>
      <c r="B556" s="1" t="n">
        <v>46115.51194444444</v>
      </c>
      <c r="C556" s="1" t="n">
        <v>46187</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17161-2026</t>
        </is>
      </c>
      <c r="B557" s="1" t="n">
        <v>46115.59534722222</v>
      </c>
      <c r="C557" s="1" t="n">
        <v>46187</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17162-2026</t>
        </is>
      </c>
      <c r="B558" s="1" t="n">
        <v>46115.60453703703</v>
      </c>
      <c r="C558" s="1" t="n">
        <v>46187</v>
      </c>
      <c r="D558" t="inlineStr">
        <is>
          <t>ÖREBRO LÄN</t>
        </is>
      </c>
      <c r="E558" t="inlineStr">
        <is>
          <t>LINDESBERG</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23187-2026</t>
        </is>
      </c>
      <c r="B559" s="1" t="n">
        <v>46161.69637731482</v>
      </c>
      <c r="C559" s="1" t="n">
        <v>46187</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23174-2026</t>
        </is>
      </c>
      <c r="B560" s="1" t="n">
        <v>46161.67359953704</v>
      </c>
      <c r="C560" s="1" t="n">
        <v>46187</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53366-2023</t>
        </is>
      </c>
      <c r="B561" s="1" t="n">
        <v>45229</v>
      </c>
      <c r="C561" s="1" t="n">
        <v>46187</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23393-2026</t>
        </is>
      </c>
      <c r="B562" s="1" t="n">
        <v>46162.67203703704</v>
      </c>
      <c r="C562" s="1" t="n">
        <v>46187</v>
      </c>
      <c r="D562" t="inlineStr">
        <is>
          <t>ÖREBRO LÄN</t>
        </is>
      </c>
      <c r="E562" t="inlineStr">
        <is>
          <t>LINDESBERG</t>
        </is>
      </c>
      <c r="F562" t="inlineStr">
        <is>
          <t>Naturvårdsverket</t>
        </is>
      </c>
      <c r="G562" t="n">
        <v>1.9</v>
      </c>
      <c r="H562" t="n">
        <v>0</v>
      </c>
      <c r="I562" t="n">
        <v>0</v>
      </c>
      <c r="J562" t="n">
        <v>0</v>
      </c>
      <c r="K562" t="n">
        <v>0</v>
      </c>
      <c r="L562" t="n">
        <v>0</v>
      </c>
      <c r="M562" t="n">
        <v>0</v>
      </c>
      <c r="N562" t="n">
        <v>0</v>
      </c>
      <c r="O562" t="n">
        <v>0</v>
      </c>
      <c r="P562" t="n">
        <v>0</v>
      </c>
      <c r="Q562" t="n">
        <v>0</v>
      </c>
      <c r="R562" s="2" t="inlineStr"/>
    </row>
    <row r="563" ht="15" customHeight="1">
      <c r="A563" t="inlineStr">
        <is>
          <t>A 42430-2024</t>
        </is>
      </c>
      <c r="B563" s="1" t="n">
        <v>45565.40700231482</v>
      </c>
      <c r="C563" s="1" t="n">
        <v>46187</v>
      </c>
      <c r="D563" t="inlineStr">
        <is>
          <t>ÖREBRO LÄN</t>
        </is>
      </c>
      <c r="E563" t="inlineStr">
        <is>
          <t>LINDESBERG</t>
        </is>
      </c>
      <c r="G563" t="n">
        <v>4</v>
      </c>
      <c r="H563" t="n">
        <v>0</v>
      </c>
      <c r="I563" t="n">
        <v>0</v>
      </c>
      <c r="J563" t="n">
        <v>0</v>
      </c>
      <c r="K563" t="n">
        <v>0</v>
      </c>
      <c r="L563" t="n">
        <v>0</v>
      </c>
      <c r="M563" t="n">
        <v>0</v>
      </c>
      <c r="N563" t="n">
        <v>0</v>
      </c>
      <c r="O563" t="n">
        <v>0</v>
      </c>
      <c r="P563" t="n">
        <v>0</v>
      </c>
      <c r="Q563" t="n">
        <v>0</v>
      </c>
      <c r="R563" s="2" t="inlineStr"/>
    </row>
    <row r="564" ht="15" customHeight="1">
      <c r="A564" t="inlineStr">
        <is>
          <t>A 23181-2026</t>
        </is>
      </c>
      <c r="B564" s="1" t="n">
        <v>46161.68100694445</v>
      </c>
      <c r="C564" s="1" t="n">
        <v>46187</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23184-2026</t>
        </is>
      </c>
      <c r="B565" s="1" t="n">
        <v>46161.68303240741</v>
      </c>
      <c r="C565" s="1" t="n">
        <v>46187</v>
      </c>
      <c r="D565" t="inlineStr">
        <is>
          <t>ÖREBRO LÄN</t>
        </is>
      </c>
      <c r="E565" t="inlineStr">
        <is>
          <t>LINDESBERG</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23190-2026</t>
        </is>
      </c>
      <c r="B566" s="1" t="n">
        <v>46161.6995949074</v>
      </c>
      <c r="C566" s="1" t="n">
        <v>46187</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23191-2026</t>
        </is>
      </c>
      <c r="B567" s="1" t="n">
        <v>46161.70207175926</v>
      </c>
      <c r="C567" s="1" t="n">
        <v>46187</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23338-2026</t>
        </is>
      </c>
      <c r="B568" s="1" t="n">
        <v>46162.56407407407</v>
      </c>
      <c r="C568" s="1" t="n">
        <v>46187</v>
      </c>
      <c r="D568" t="inlineStr">
        <is>
          <t>ÖREBRO LÄN</t>
        </is>
      </c>
      <c r="E568" t="inlineStr">
        <is>
          <t>LINDESBERG</t>
        </is>
      </c>
      <c r="F568" t="inlineStr">
        <is>
          <t>Naturvårdsverket</t>
        </is>
      </c>
      <c r="G568" t="n">
        <v>2.2</v>
      </c>
      <c r="H568" t="n">
        <v>0</v>
      </c>
      <c r="I568" t="n">
        <v>0</v>
      </c>
      <c r="J568" t="n">
        <v>0</v>
      </c>
      <c r="K568" t="n">
        <v>0</v>
      </c>
      <c r="L568" t="n">
        <v>0</v>
      </c>
      <c r="M568" t="n">
        <v>0</v>
      </c>
      <c r="N568" t="n">
        <v>0</v>
      </c>
      <c r="O568" t="n">
        <v>0</v>
      </c>
      <c r="P568" t="n">
        <v>0</v>
      </c>
      <c r="Q568" t="n">
        <v>0</v>
      </c>
      <c r="R568" s="2" t="inlineStr"/>
    </row>
    <row r="569" ht="15" customHeight="1">
      <c r="A569" t="inlineStr">
        <is>
          <t>A 23173-2026</t>
        </is>
      </c>
      <c r="B569" s="1" t="n">
        <v>46161.67074074074</v>
      </c>
      <c r="C569" s="1" t="n">
        <v>46187</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1354-2024</t>
        </is>
      </c>
      <c r="B570" s="1" t="n">
        <v>45303</v>
      </c>
      <c r="C570" s="1" t="n">
        <v>46187</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27001-2024</t>
        </is>
      </c>
      <c r="B571" s="1" t="n">
        <v>45471.38995370371</v>
      </c>
      <c r="C571" s="1" t="n">
        <v>46187</v>
      </c>
      <c r="D571" t="inlineStr">
        <is>
          <t>ÖREBRO LÄN</t>
        </is>
      </c>
      <c r="E571" t="inlineStr">
        <is>
          <t>LINDESBERG</t>
        </is>
      </c>
      <c r="G571" t="n">
        <v>2.8</v>
      </c>
      <c r="H571" t="n">
        <v>0</v>
      </c>
      <c r="I571" t="n">
        <v>0</v>
      </c>
      <c r="J571" t="n">
        <v>0</v>
      </c>
      <c r="K571" t="n">
        <v>0</v>
      </c>
      <c r="L571" t="n">
        <v>0</v>
      </c>
      <c r="M571" t="n">
        <v>0</v>
      </c>
      <c r="N571" t="n">
        <v>0</v>
      </c>
      <c r="O571" t="n">
        <v>0</v>
      </c>
      <c r="P571" t="n">
        <v>0</v>
      </c>
      <c r="Q571" t="n">
        <v>0</v>
      </c>
      <c r="R571" s="2" t="inlineStr"/>
    </row>
    <row r="572" ht="15" customHeight="1">
      <c r="A572" t="inlineStr">
        <is>
          <t>A 23180-2026</t>
        </is>
      </c>
      <c r="B572" s="1" t="n">
        <v>46161.67895833333</v>
      </c>
      <c r="C572" s="1" t="n">
        <v>46187</v>
      </c>
      <c r="D572" t="inlineStr">
        <is>
          <t>ÖREBRO LÄN</t>
        </is>
      </c>
      <c r="E572" t="inlineStr">
        <is>
          <t>LINDESBERG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23175-2026</t>
        </is>
      </c>
      <c r="B573" s="1" t="n">
        <v>46161.6755787037</v>
      </c>
      <c r="C573" s="1" t="n">
        <v>46187</v>
      </c>
      <c r="D573" t="inlineStr">
        <is>
          <t>ÖREBRO LÄN</t>
        </is>
      </c>
      <c r="E573" t="inlineStr">
        <is>
          <t>LINDESBERG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23177-2026</t>
        </is>
      </c>
      <c r="B574" s="1" t="n">
        <v>46161.67731481481</v>
      </c>
      <c r="C574" s="1" t="n">
        <v>46187</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23188-2026</t>
        </is>
      </c>
      <c r="B575" s="1" t="n">
        <v>46161.69788194444</v>
      </c>
      <c r="C575" s="1" t="n">
        <v>46187</v>
      </c>
      <c r="D575" t="inlineStr">
        <is>
          <t>ÖREBRO LÄN</t>
        </is>
      </c>
      <c r="E575" t="inlineStr">
        <is>
          <t>LINDESBERG</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26067-2022</t>
        </is>
      </c>
      <c r="B576" s="1" t="n">
        <v>44734.64337962963</v>
      </c>
      <c r="C576" s="1" t="n">
        <v>46187</v>
      </c>
      <c r="D576" t="inlineStr">
        <is>
          <t>ÖREBRO LÄN</t>
        </is>
      </c>
      <c r="E576" t="inlineStr">
        <is>
          <t>LINDESBERG</t>
        </is>
      </c>
      <c r="G576" t="n">
        <v>3.1</v>
      </c>
      <c r="H576" t="n">
        <v>0</v>
      </c>
      <c r="I576" t="n">
        <v>0</v>
      </c>
      <c r="J576" t="n">
        <v>0</v>
      </c>
      <c r="K576" t="n">
        <v>0</v>
      </c>
      <c r="L576" t="n">
        <v>0</v>
      </c>
      <c r="M576" t="n">
        <v>0</v>
      </c>
      <c r="N576" t="n">
        <v>0</v>
      </c>
      <c r="O576" t="n">
        <v>0</v>
      </c>
      <c r="P576" t="n">
        <v>0</v>
      </c>
      <c r="Q576" t="n">
        <v>0</v>
      </c>
      <c r="R576" s="2" t="inlineStr"/>
    </row>
    <row r="577" ht="15" customHeight="1">
      <c r="A577" t="inlineStr">
        <is>
          <t>A 59395-2022</t>
        </is>
      </c>
      <c r="B577" s="1" t="n">
        <v>44906.73321759259</v>
      </c>
      <c r="C577" s="1" t="n">
        <v>46187</v>
      </c>
      <c r="D577" t="inlineStr">
        <is>
          <t>ÖREBRO LÄN</t>
        </is>
      </c>
      <c r="E577" t="inlineStr">
        <is>
          <t>LINDESBERG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19043-2023</t>
        </is>
      </c>
      <c r="B578" s="1" t="n">
        <v>45047.7181712963</v>
      </c>
      <c r="C578" s="1" t="n">
        <v>46187</v>
      </c>
      <c r="D578" t="inlineStr">
        <is>
          <t>ÖREBRO LÄN</t>
        </is>
      </c>
      <c r="E578" t="inlineStr">
        <is>
          <t>LINDESBERG</t>
        </is>
      </c>
      <c r="G578" t="n">
        <v>2.6</v>
      </c>
      <c r="H578" t="n">
        <v>0</v>
      </c>
      <c r="I578" t="n">
        <v>0</v>
      </c>
      <c r="J578" t="n">
        <v>0</v>
      </c>
      <c r="K578" t="n">
        <v>0</v>
      </c>
      <c r="L578" t="n">
        <v>0</v>
      </c>
      <c r="M578" t="n">
        <v>0</v>
      </c>
      <c r="N578" t="n">
        <v>0</v>
      </c>
      <c r="O578" t="n">
        <v>0</v>
      </c>
      <c r="P578" t="n">
        <v>0</v>
      </c>
      <c r="Q578" t="n">
        <v>0</v>
      </c>
      <c r="R578" s="2" t="inlineStr"/>
    </row>
    <row r="579" ht="15" customHeight="1">
      <c r="A579" t="inlineStr">
        <is>
          <t>A 41343-2021</t>
        </is>
      </c>
      <c r="B579" s="1" t="n">
        <v>44424.61709490741</v>
      </c>
      <c r="C579" s="1" t="n">
        <v>46187</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43416-2024</t>
        </is>
      </c>
      <c r="B580" s="1" t="n">
        <v>45568.62625</v>
      </c>
      <c r="C580" s="1" t="n">
        <v>46187</v>
      </c>
      <c r="D580" t="inlineStr">
        <is>
          <t>ÖREBRO LÄN</t>
        </is>
      </c>
      <c r="E580" t="inlineStr">
        <is>
          <t>LINDESBERG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10654-2023</t>
        </is>
      </c>
      <c r="B581" s="1" t="n">
        <v>44984</v>
      </c>
      <c r="C581" s="1" t="n">
        <v>46187</v>
      </c>
      <c r="D581" t="inlineStr">
        <is>
          <t>ÖREBRO LÄN</t>
        </is>
      </c>
      <c r="E581" t="inlineStr">
        <is>
          <t>LINDESBERG</t>
        </is>
      </c>
      <c r="G581" t="n">
        <v>1.2</v>
      </c>
      <c r="H581" t="n">
        <v>0</v>
      </c>
      <c r="I581" t="n">
        <v>0</v>
      </c>
      <c r="J581" t="n">
        <v>0</v>
      </c>
      <c r="K581" t="n">
        <v>0</v>
      </c>
      <c r="L581" t="n">
        <v>0</v>
      </c>
      <c r="M581" t="n">
        <v>0</v>
      </c>
      <c r="N581" t="n">
        <v>0</v>
      </c>
      <c r="O581" t="n">
        <v>0</v>
      </c>
      <c r="P581" t="n">
        <v>0</v>
      </c>
      <c r="Q581" t="n">
        <v>0</v>
      </c>
      <c r="R581" s="2" t="inlineStr"/>
    </row>
    <row r="582" ht="15" customHeight="1">
      <c r="A582" t="inlineStr">
        <is>
          <t>A 63125-2023</t>
        </is>
      </c>
      <c r="B582" s="1" t="n">
        <v>45273</v>
      </c>
      <c r="C582" s="1" t="n">
        <v>46187</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36859-2025</t>
        </is>
      </c>
      <c r="B583" s="1" t="n">
        <v>45874.40503472222</v>
      </c>
      <c r="C583" s="1" t="n">
        <v>46187</v>
      </c>
      <c r="D583" t="inlineStr">
        <is>
          <t>ÖREBRO LÄN</t>
        </is>
      </c>
      <c r="E583" t="inlineStr">
        <is>
          <t>LINDESBERG</t>
        </is>
      </c>
      <c r="F583" t="inlineStr">
        <is>
          <t>Övriga Aktiebolag</t>
        </is>
      </c>
      <c r="G583" t="n">
        <v>1.4</v>
      </c>
      <c r="H583" t="n">
        <v>0</v>
      </c>
      <c r="I583" t="n">
        <v>0</v>
      </c>
      <c r="J583" t="n">
        <v>0</v>
      </c>
      <c r="K583" t="n">
        <v>0</v>
      </c>
      <c r="L583" t="n">
        <v>0</v>
      </c>
      <c r="M583" t="n">
        <v>0</v>
      </c>
      <c r="N583" t="n">
        <v>0</v>
      </c>
      <c r="O583" t="n">
        <v>0</v>
      </c>
      <c r="P583" t="n">
        <v>0</v>
      </c>
      <c r="Q583" t="n">
        <v>0</v>
      </c>
      <c r="R583" s="2" t="inlineStr"/>
    </row>
    <row r="584" ht="15" customHeight="1">
      <c r="A584" t="inlineStr">
        <is>
          <t>A 37497-2025</t>
        </is>
      </c>
      <c r="B584" s="1" t="n">
        <v>45877.64431712963</v>
      </c>
      <c r="C584" s="1" t="n">
        <v>46187</v>
      </c>
      <c r="D584" t="inlineStr">
        <is>
          <t>ÖREBRO LÄN</t>
        </is>
      </c>
      <c r="E584" t="inlineStr">
        <is>
          <t>LINDESBERG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17663-2026</t>
        </is>
      </c>
      <c r="B585" s="1" t="n">
        <v>46121.57420138889</v>
      </c>
      <c r="C585" s="1" t="n">
        <v>46187</v>
      </c>
      <c r="D585" t="inlineStr">
        <is>
          <t>ÖREBRO LÄN</t>
        </is>
      </c>
      <c r="E585" t="inlineStr">
        <is>
          <t>LINDESBERG</t>
        </is>
      </c>
      <c r="G585" t="n">
        <v>3.2</v>
      </c>
      <c r="H585" t="n">
        <v>0</v>
      </c>
      <c r="I585" t="n">
        <v>0</v>
      </c>
      <c r="J585" t="n">
        <v>0</v>
      </c>
      <c r="K585" t="n">
        <v>0</v>
      </c>
      <c r="L585" t="n">
        <v>0</v>
      </c>
      <c r="M585" t="n">
        <v>0</v>
      </c>
      <c r="N585" t="n">
        <v>0</v>
      </c>
      <c r="O585" t="n">
        <v>0</v>
      </c>
      <c r="P585" t="n">
        <v>0</v>
      </c>
      <c r="Q585" t="n">
        <v>0</v>
      </c>
      <c r="R585" s="2" t="inlineStr"/>
    </row>
    <row r="586" ht="15" customHeight="1">
      <c r="A586" t="inlineStr">
        <is>
          <t>A 14454-2024</t>
        </is>
      </c>
      <c r="B586" s="1" t="n">
        <v>45394.51289351852</v>
      </c>
      <c r="C586" s="1" t="n">
        <v>46187</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37301-2025</t>
        </is>
      </c>
      <c r="B587" s="1" t="n">
        <v>45876.59166666667</v>
      </c>
      <c r="C587" s="1" t="n">
        <v>46187</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23910-2026</t>
        </is>
      </c>
      <c r="B588" s="1" t="n">
        <v>46167.49278935185</v>
      </c>
      <c r="C588" s="1" t="n">
        <v>46187</v>
      </c>
      <c r="D588" t="inlineStr">
        <is>
          <t>ÖREBRO LÄN</t>
        </is>
      </c>
      <c r="E588" t="inlineStr">
        <is>
          <t>LINDESBERG</t>
        </is>
      </c>
      <c r="F588" t="inlineStr">
        <is>
          <t>Naturvårdsverket</t>
        </is>
      </c>
      <c r="G588" t="n">
        <v>2.7</v>
      </c>
      <c r="H588" t="n">
        <v>0</v>
      </c>
      <c r="I588" t="n">
        <v>0</v>
      </c>
      <c r="J588" t="n">
        <v>0</v>
      </c>
      <c r="K588" t="n">
        <v>0</v>
      </c>
      <c r="L588" t="n">
        <v>0</v>
      </c>
      <c r="M588" t="n">
        <v>0</v>
      </c>
      <c r="N588" t="n">
        <v>0</v>
      </c>
      <c r="O588" t="n">
        <v>0</v>
      </c>
      <c r="P588" t="n">
        <v>0</v>
      </c>
      <c r="Q588" t="n">
        <v>0</v>
      </c>
      <c r="R588" s="2" t="inlineStr"/>
    </row>
    <row r="589" ht="15" customHeight="1">
      <c r="A589" t="inlineStr">
        <is>
          <t>A 54860-2024</t>
        </is>
      </c>
      <c r="B589" s="1" t="n">
        <v>45618.59219907408</v>
      </c>
      <c r="C589" s="1" t="n">
        <v>46187</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37837-2025</t>
        </is>
      </c>
      <c r="B590" s="1" t="n">
        <v>45881.42791666667</v>
      </c>
      <c r="C590" s="1" t="n">
        <v>46187</v>
      </c>
      <c r="D590" t="inlineStr">
        <is>
          <t>ÖREBRO LÄN</t>
        </is>
      </c>
      <c r="E590" t="inlineStr">
        <is>
          <t>LINDESBERG</t>
        </is>
      </c>
      <c r="G590" t="n">
        <v>1.3</v>
      </c>
      <c r="H590" t="n">
        <v>0</v>
      </c>
      <c r="I590" t="n">
        <v>0</v>
      </c>
      <c r="J590" t="n">
        <v>0</v>
      </c>
      <c r="K590" t="n">
        <v>0</v>
      </c>
      <c r="L590" t="n">
        <v>0</v>
      </c>
      <c r="M590" t="n">
        <v>0</v>
      </c>
      <c r="N590" t="n">
        <v>0</v>
      </c>
      <c r="O590" t="n">
        <v>0</v>
      </c>
      <c r="P590" t="n">
        <v>0</v>
      </c>
      <c r="Q590" t="n">
        <v>0</v>
      </c>
      <c r="R590" s="2" t="inlineStr"/>
    </row>
    <row r="591" ht="15" customHeight="1">
      <c r="A591" t="inlineStr">
        <is>
          <t>A 18220-2026</t>
        </is>
      </c>
      <c r="B591" s="1" t="n">
        <v>46126.30818287037</v>
      </c>
      <c r="C591" s="1" t="n">
        <v>46187</v>
      </c>
      <c r="D591" t="inlineStr">
        <is>
          <t>ÖREBRO LÄN</t>
        </is>
      </c>
      <c r="E591" t="inlineStr">
        <is>
          <t>LINDESBERG</t>
        </is>
      </c>
      <c r="G591" t="n">
        <v>5.7</v>
      </c>
      <c r="H591" t="n">
        <v>0</v>
      </c>
      <c r="I591" t="n">
        <v>0</v>
      </c>
      <c r="J591" t="n">
        <v>0</v>
      </c>
      <c r="K591" t="n">
        <v>0</v>
      </c>
      <c r="L591" t="n">
        <v>0</v>
      </c>
      <c r="M591" t="n">
        <v>0</v>
      </c>
      <c r="N591" t="n">
        <v>0</v>
      </c>
      <c r="O591" t="n">
        <v>0</v>
      </c>
      <c r="P591" t="n">
        <v>0</v>
      </c>
      <c r="Q591" t="n">
        <v>0</v>
      </c>
      <c r="R591" s="2" t="inlineStr"/>
    </row>
    <row r="592" ht="15" customHeight="1">
      <c r="A592" t="inlineStr">
        <is>
          <t>A 37602-2025</t>
        </is>
      </c>
      <c r="B592" s="1" t="n">
        <v>45880</v>
      </c>
      <c r="C592" s="1" t="n">
        <v>46187</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37625-2025</t>
        </is>
      </c>
      <c r="B593" s="1" t="n">
        <v>45880.46056712963</v>
      </c>
      <c r="C593" s="1" t="n">
        <v>46187</v>
      </c>
      <c r="D593" t="inlineStr">
        <is>
          <t>ÖREBRO LÄN</t>
        </is>
      </c>
      <c r="E593" t="inlineStr">
        <is>
          <t>LINDESBERG</t>
        </is>
      </c>
      <c r="G593" t="n">
        <v>12.5</v>
      </c>
      <c r="H593" t="n">
        <v>0</v>
      </c>
      <c r="I593" t="n">
        <v>0</v>
      </c>
      <c r="J593" t="n">
        <v>0</v>
      </c>
      <c r="K593" t="n">
        <v>0</v>
      </c>
      <c r="L593" t="n">
        <v>0</v>
      </c>
      <c r="M593" t="n">
        <v>0</v>
      </c>
      <c r="N593" t="n">
        <v>0</v>
      </c>
      <c r="O593" t="n">
        <v>0</v>
      </c>
      <c r="P593" t="n">
        <v>0</v>
      </c>
      <c r="Q593" t="n">
        <v>0</v>
      </c>
      <c r="R593" s="2" t="inlineStr"/>
    </row>
    <row r="594" ht="15" customHeight="1">
      <c r="A594" t="inlineStr">
        <is>
          <t>A 37553-2025</t>
        </is>
      </c>
      <c r="B594" s="1" t="n">
        <v>45880.3172337963</v>
      </c>
      <c r="C594" s="1" t="n">
        <v>46187</v>
      </c>
      <c r="D594" t="inlineStr">
        <is>
          <t>ÖREBRO LÄN</t>
        </is>
      </c>
      <c r="E594" t="inlineStr">
        <is>
          <t>LINDESBERG</t>
        </is>
      </c>
      <c r="G594" t="n">
        <v>0.6</v>
      </c>
      <c r="H594" t="n">
        <v>0</v>
      </c>
      <c r="I594" t="n">
        <v>0</v>
      </c>
      <c r="J594" t="n">
        <v>0</v>
      </c>
      <c r="K594" t="n">
        <v>0</v>
      </c>
      <c r="L594" t="n">
        <v>0</v>
      </c>
      <c r="M594" t="n">
        <v>0</v>
      </c>
      <c r="N594" t="n">
        <v>0</v>
      </c>
      <c r="O594" t="n">
        <v>0</v>
      </c>
      <c r="P594" t="n">
        <v>0</v>
      </c>
      <c r="Q594" t="n">
        <v>0</v>
      </c>
      <c r="R594" s="2" t="inlineStr"/>
    </row>
    <row r="595" ht="15" customHeight="1">
      <c r="A595" t="inlineStr">
        <is>
          <t>A 8612-2024</t>
        </is>
      </c>
      <c r="B595" s="1" t="n">
        <v>45355.70009259259</v>
      </c>
      <c r="C595" s="1" t="n">
        <v>46187</v>
      </c>
      <c r="D595" t="inlineStr">
        <is>
          <t>ÖREBRO LÄN</t>
        </is>
      </c>
      <c r="E595" t="inlineStr">
        <is>
          <t>LINDESBERG</t>
        </is>
      </c>
      <c r="G595" t="n">
        <v>4.5</v>
      </c>
      <c r="H595" t="n">
        <v>0</v>
      </c>
      <c r="I595" t="n">
        <v>0</v>
      </c>
      <c r="J595" t="n">
        <v>0</v>
      </c>
      <c r="K595" t="n">
        <v>0</v>
      </c>
      <c r="L595" t="n">
        <v>0</v>
      </c>
      <c r="M595" t="n">
        <v>0</v>
      </c>
      <c r="N595" t="n">
        <v>0</v>
      </c>
      <c r="O595" t="n">
        <v>0</v>
      </c>
      <c r="P595" t="n">
        <v>0</v>
      </c>
      <c r="Q595" t="n">
        <v>0</v>
      </c>
      <c r="R595" s="2" t="inlineStr"/>
    </row>
    <row r="596" ht="15" customHeight="1">
      <c r="A596" t="inlineStr">
        <is>
          <t>A 7126-2025</t>
        </is>
      </c>
      <c r="B596" s="1" t="n">
        <v>45702</v>
      </c>
      <c r="C596" s="1" t="n">
        <v>46187</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23912-2026</t>
        </is>
      </c>
      <c r="B597" s="1" t="n">
        <v>46167.49552083333</v>
      </c>
      <c r="C597" s="1" t="n">
        <v>46187</v>
      </c>
      <c r="D597" t="inlineStr">
        <is>
          <t>ÖREBRO LÄN</t>
        </is>
      </c>
      <c r="E597" t="inlineStr">
        <is>
          <t>LINDESBERG</t>
        </is>
      </c>
      <c r="F597" t="inlineStr">
        <is>
          <t>Naturvårdsverket</t>
        </is>
      </c>
      <c r="G597" t="n">
        <v>5.5</v>
      </c>
      <c r="H597" t="n">
        <v>0</v>
      </c>
      <c r="I597" t="n">
        <v>0</v>
      </c>
      <c r="J597" t="n">
        <v>0</v>
      </c>
      <c r="K597" t="n">
        <v>0</v>
      </c>
      <c r="L597" t="n">
        <v>0</v>
      </c>
      <c r="M597" t="n">
        <v>0</v>
      </c>
      <c r="N597" t="n">
        <v>0</v>
      </c>
      <c r="O597" t="n">
        <v>0</v>
      </c>
      <c r="P597" t="n">
        <v>0</v>
      </c>
      <c r="Q597" t="n">
        <v>0</v>
      </c>
      <c r="R597" s="2" t="inlineStr"/>
    </row>
    <row r="598" ht="15" customHeight="1">
      <c r="A598" t="inlineStr">
        <is>
          <t>A 23914-2026</t>
        </is>
      </c>
      <c r="B598" s="1" t="n">
        <v>46167.50077546296</v>
      </c>
      <c r="C598" s="1" t="n">
        <v>46187</v>
      </c>
      <c r="D598" t="inlineStr">
        <is>
          <t>ÖREBRO LÄN</t>
        </is>
      </c>
      <c r="E598" t="inlineStr">
        <is>
          <t>LINDESBERG</t>
        </is>
      </c>
      <c r="F598" t="inlineStr">
        <is>
          <t>Naturvårdsverket</t>
        </is>
      </c>
      <c r="G598" t="n">
        <v>3</v>
      </c>
      <c r="H598" t="n">
        <v>0</v>
      </c>
      <c r="I598" t="n">
        <v>0</v>
      </c>
      <c r="J598" t="n">
        <v>0</v>
      </c>
      <c r="K598" t="n">
        <v>0</v>
      </c>
      <c r="L598" t="n">
        <v>0</v>
      </c>
      <c r="M598" t="n">
        <v>0</v>
      </c>
      <c r="N598" t="n">
        <v>0</v>
      </c>
      <c r="O598" t="n">
        <v>0</v>
      </c>
      <c r="P598" t="n">
        <v>0</v>
      </c>
      <c r="Q598" t="n">
        <v>0</v>
      </c>
      <c r="R598" s="2" t="inlineStr"/>
    </row>
    <row r="599" ht="15" customHeight="1">
      <c r="A599" t="inlineStr">
        <is>
          <t>A 9961-2023</t>
        </is>
      </c>
      <c r="B599" s="1" t="n">
        <v>44979</v>
      </c>
      <c r="C599" s="1" t="n">
        <v>46187</v>
      </c>
      <c r="D599" t="inlineStr">
        <is>
          <t>ÖREBRO LÄN</t>
        </is>
      </c>
      <c r="E599" t="inlineStr">
        <is>
          <t>LINDESBERG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18061-2026</t>
        </is>
      </c>
      <c r="B600" s="1" t="n">
        <v>46125.46030092592</v>
      </c>
      <c r="C600" s="1" t="n">
        <v>46187</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18636-2026</t>
        </is>
      </c>
      <c r="B601" s="1" t="n">
        <v>46128.31521990741</v>
      </c>
      <c r="C601" s="1" t="n">
        <v>46187</v>
      </c>
      <c r="D601" t="inlineStr">
        <is>
          <t>ÖREBRO LÄN</t>
        </is>
      </c>
      <c r="E601" t="inlineStr">
        <is>
          <t>LINDESBERG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5047-2023</t>
        </is>
      </c>
      <c r="B602" s="1" t="n">
        <v>44958.58982638889</v>
      </c>
      <c r="C602" s="1" t="n">
        <v>46187</v>
      </c>
      <c r="D602" t="inlineStr">
        <is>
          <t>ÖREBRO LÄN</t>
        </is>
      </c>
      <c r="E602" t="inlineStr">
        <is>
          <t>LINDESBERG</t>
        </is>
      </c>
      <c r="G602" t="n">
        <v>2</v>
      </c>
      <c r="H602" t="n">
        <v>0</v>
      </c>
      <c r="I602" t="n">
        <v>0</v>
      </c>
      <c r="J602" t="n">
        <v>0</v>
      </c>
      <c r="K602" t="n">
        <v>0</v>
      </c>
      <c r="L602" t="n">
        <v>0</v>
      </c>
      <c r="M602" t="n">
        <v>0</v>
      </c>
      <c r="N602" t="n">
        <v>0</v>
      </c>
      <c r="O602" t="n">
        <v>0</v>
      </c>
      <c r="P602" t="n">
        <v>0</v>
      </c>
      <c r="Q602" t="n">
        <v>0</v>
      </c>
      <c r="R602" s="2" t="inlineStr"/>
    </row>
    <row r="603" ht="15" customHeight="1">
      <c r="A603" t="inlineStr">
        <is>
          <t>A 18590-2023</t>
        </is>
      </c>
      <c r="B603" s="1" t="n">
        <v>45043.40300925926</v>
      </c>
      <c r="C603" s="1" t="n">
        <v>46187</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18640-2026</t>
        </is>
      </c>
      <c r="B604" s="1" t="n">
        <v>46128.32461805556</v>
      </c>
      <c r="C604" s="1" t="n">
        <v>46187</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5784-2025</t>
        </is>
      </c>
      <c r="B605" s="1" t="n">
        <v>45694</v>
      </c>
      <c r="C605" s="1" t="n">
        <v>46187</v>
      </c>
      <c r="D605" t="inlineStr">
        <is>
          <t>ÖREBRO LÄN</t>
        </is>
      </c>
      <c r="E605" t="inlineStr">
        <is>
          <t>LINDESBERG</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18634-2026</t>
        </is>
      </c>
      <c r="B606" s="1" t="n">
        <v>46128.31271990741</v>
      </c>
      <c r="C606" s="1" t="n">
        <v>46187</v>
      </c>
      <c r="D606" t="inlineStr">
        <is>
          <t>ÖREBRO LÄN</t>
        </is>
      </c>
      <c r="E606" t="inlineStr">
        <is>
          <t>LINDESBERG</t>
        </is>
      </c>
      <c r="F606" t="inlineStr">
        <is>
          <t>Sveaskog</t>
        </is>
      </c>
      <c r="G606" t="n">
        <v>11.7</v>
      </c>
      <c r="H606" t="n">
        <v>0</v>
      </c>
      <c r="I606" t="n">
        <v>0</v>
      </c>
      <c r="J606" t="n">
        <v>0</v>
      </c>
      <c r="K606" t="n">
        <v>0</v>
      </c>
      <c r="L606" t="n">
        <v>0</v>
      </c>
      <c r="M606" t="n">
        <v>0</v>
      </c>
      <c r="N606" t="n">
        <v>0</v>
      </c>
      <c r="O606" t="n">
        <v>0</v>
      </c>
      <c r="P606" t="n">
        <v>0</v>
      </c>
      <c r="Q606" t="n">
        <v>0</v>
      </c>
      <c r="R606" s="2" t="inlineStr"/>
    </row>
    <row r="607" ht="15" customHeight="1">
      <c r="A607" t="inlineStr">
        <is>
          <t>A 16448-2025</t>
        </is>
      </c>
      <c r="B607" s="1" t="n">
        <v>45751.5056712963</v>
      </c>
      <c r="C607" s="1" t="n">
        <v>46187</v>
      </c>
      <c r="D607" t="inlineStr">
        <is>
          <t>ÖREBRO LÄN</t>
        </is>
      </c>
      <c r="E607" t="inlineStr">
        <is>
          <t>LINDESBERG</t>
        </is>
      </c>
      <c r="G607" t="n">
        <v>20.1</v>
      </c>
      <c r="H607" t="n">
        <v>0</v>
      </c>
      <c r="I607" t="n">
        <v>0</v>
      </c>
      <c r="J607" t="n">
        <v>0</v>
      </c>
      <c r="K607" t="n">
        <v>0</v>
      </c>
      <c r="L607" t="n">
        <v>0</v>
      </c>
      <c r="M607" t="n">
        <v>0</v>
      </c>
      <c r="N607" t="n">
        <v>0</v>
      </c>
      <c r="O607" t="n">
        <v>0</v>
      </c>
      <c r="P607" t="n">
        <v>0</v>
      </c>
      <c r="Q607" t="n">
        <v>0</v>
      </c>
      <c r="R607" s="2" t="inlineStr"/>
    </row>
    <row r="608" ht="15" customHeight="1">
      <c r="A608" t="inlineStr">
        <is>
          <t>A 54432-2023</t>
        </is>
      </c>
      <c r="B608" s="1" t="n">
        <v>45233.42121527778</v>
      </c>
      <c r="C608" s="1" t="n">
        <v>46187</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9436-2023</t>
        </is>
      </c>
      <c r="B609" s="1" t="n">
        <v>44981</v>
      </c>
      <c r="C609" s="1" t="n">
        <v>46187</v>
      </c>
      <c r="D609" t="inlineStr">
        <is>
          <t>ÖREBRO LÄN</t>
        </is>
      </c>
      <c r="E609" t="inlineStr">
        <is>
          <t>LINDESBERG</t>
        </is>
      </c>
      <c r="G609" t="n">
        <v>2.8</v>
      </c>
      <c r="H609" t="n">
        <v>0</v>
      </c>
      <c r="I609" t="n">
        <v>0</v>
      </c>
      <c r="J609" t="n">
        <v>0</v>
      </c>
      <c r="K609" t="n">
        <v>0</v>
      </c>
      <c r="L609" t="n">
        <v>0</v>
      </c>
      <c r="M609" t="n">
        <v>0</v>
      </c>
      <c r="N609" t="n">
        <v>0</v>
      </c>
      <c r="O609" t="n">
        <v>0</v>
      </c>
      <c r="P609" t="n">
        <v>0</v>
      </c>
      <c r="Q609" t="n">
        <v>0</v>
      </c>
      <c r="R609" s="2" t="inlineStr"/>
    </row>
    <row r="610" ht="15" customHeight="1">
      <c r="A610" t="inlineStr">
        <is>
          <t>A 24565-2026</t>
        </is>
      </c>
      <c r="B610" s="1" t="n">
        <v>46170.61527777778</v>
      </c>
      <c r="C610" s="1" t="n">
        <v>46187</v>
      </c>
      <c r="D610" t="inlineStr">
        <is>
          <t>ÖREBRO LÄN</t>
        </is>
      </c>
      <c r="E610" t="inlineStr">
        <is>
          <t>LINDESBERG</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18637-2026</t>
        </is>
      </c>
      <c r="B611" s="1" t="n">
        <v>46128.31604166667</v>
      </c>
      <c r="C611" s="1" t="n">
        <v>46187</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24601-2026</t>
        </is>
      </c>
      <c r="B612" s="1" t="n">
        <v>46170.86826388889</v>
      </c>
      <c r="C612" s="1" t="n">
        <v>46187</v>
      </c>
      <c r="D612" t="inlineStr">
        <is>
          <t>ÖREBRO LÄN</t>
        </is>
      </c>
      <c r="E612" t="inlineStr">
        <is>
          <t>LINDESBERG</t>
        </is>
      </c>
      <c r="G612" t="n">
        <v>2.7</v>
      </c>
      <c r="H612" t="n">
        <v>0</v>
      </c>
      <c r="I612" t="n">
        <v>0</v>
      </c>
      <c r="J612" t="n">
        <v>0</v>
      </c>
      <c r="K612" t="n">
        <v>0</v>
      </c>
      <c r="L612" t="n">
        <v>0</v>
      </c>
      <c r="M612" t="n">
        <v>0</v>
      </c>
      <c r="N612" t="n">
        <v>0</v>
      </c>
      <c r="O612" t="n">
        <v>0</v>
      </c>
      <c r="P612" t="n">
        <v>0</v>
      </c>
      <c r="Q612" t="n">
        <v>0</v>
      </c>
      <c r="R612" s="2" t="inlineStr"/>
    </row>
    <row r="613" ht="15" customHeight="1">
      <c r="A613" t="inlineStr">
        <is>
          <t>A 38534-2025</t>
        </is>
      </c>
      <c r="B613" s="1" t="n">
        <v>45884</v>
      </c>
      <c r="C613" s="1" t="n">
        <v>46187</v>
      </c>
      <c r="D613" t="inlineStr">
        <is>
          <t>ÖREBRO LÄN</t>
        </is>
      </c>
      <c r="E613" t="inlineStr">
        <is>
          <t>LINDESBERG</t>
        </is>
      </c>
      <c r="G613" t="n">
        <v>4.9</v>
      </c>
      <c r="H613" t="n">
        <v>0</v>
      </c>
      <c r="I613" t="n">
        <v>0</v>
      </c>
      <c r="J613" t="n">
        <v>0</v>
      </c>
      <c r="K613" t="n">
        <v>0</v>
      </c>
      <c r="L613" t="n">
        <v>0</v>
      </c>
      <c r="M613" t="n">
        <v>0</v>
      </c>
      <c r="N613" t="n">
        <v>0</v>
      </c>
      <c r="O613" t="n">
        <v>0</v>
      </c>
      <c r="P613" t="n">
        <v>0</v>
      </c>
      <c r="Q613" t="n">
        <v>0</v>
      </c>
      <c r="R613" s="2" t="inlineStr"/>
    </row>
    <row r="614" ht="15" customHeight="1">
      <c r="A614" t="inlineStr">
        <is>
          <t>A 36747-2024</t>
        </is>
      </c>
      <c r="B614" s="1" t="n">
        <v>45538.34193287037</v>
      </c>
      <c r="C614" s="1" t="n">
        <v>46187</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13305-2023</t>
        </is>
      </c>
      <c r="B615" s="1" t="n">
        <v>45005.35967592592</v>
      </c>
      <c r="C615" s="1" t="n">
        <v>46187</v>
      </c>
      <c r="D615" t="inlineStr">
        <is>
          <t>ÖREBRO LÄN</t>
        </is>
      </c>
      <c r="E615" t="inlineStr">
        <is>
          <t>LINDESBERG</t>
        </is>
      </c>
      <c r="G615" t="n">
        <v>5.5</v>
      </c>
      <c r="H615" t="n">
        <v>0</v>
      </c>
      <c r="I615" t="n">
        <v>0</v>
      </c>
      <c r="J615" t="n">
        <v>0</v>
      </c>
      <c r="K615" t="n">
        <v>0</v>
      </c>
      <c r="L615" t="n">
        <v>0</v>
      </c>
      <c r="M615" t="n">
        <v>0</v>
      </c>
      <c r="N615" t="n">
        <v>0</v>
      </c>
      <c r="O615" t="n">
        <v>0</v>
      </c>
      <c r="P615" t="n">
        <v>0</v>
      </c>
      <c r="Q615" t="n">
        <v>0</v>
      </c>
      <c r="R615" s="2" t="inlineStr"/>
    </row>
    <row r="616" ht="15" customHeight="1">
      <c r="A616" t="inlineStr">
        <is>
          <t>A 13368-2023</t>
        </is>
      </c>
      <c r="B616" s="1" t="n">
        <v>45005.47820601852</v>
      </c>
      <c r="C616" s="1" t="n">
        <v>46187</v>
      </c>
      <c r="D616" t="inlineStr">
        <is>
          <t>ÖREBRO LÄN</t>
        </is>
      </c>
      <c r="E616" t="inlineStr">
        <is>
          <t>LINDESBERG</t>
        </is>
      </c>
      <c r="F616" t="inlineStr">
        <is>
          <t>Kommuner</t>
        </is>
      </c>
      <c r="G616" t="n">
        <v>0.7</v>
      </c>
      <c r="H616" t="n">
        <v>0</v>
      </c>
      <c r="I616" t="n">
        <v>0</v>
      </c>
      <c r="J616" t="n">
        <v>0</v>
      </c>
      <c r="K616" t="n">
        <v>0</v>
      </c>
      <c r="L616" t="n">
        <v>0</v>
      </c>
      <c r="M616" t="n">
        <v>0</v>
      </c>
      <c r="N616" t="n">
        <v>0</v>
      </c>
      <c r="O616" t="n">
        <v>0</v>
      </c>
      <c r="P616" t="n">
        <v>0</v>
      </c>
      <c r="Q616" t="n">
        <v>0</v>
      </c>
      <c r="R616" s="2" t="inlineStr"/>
    </row>
    <row r="617" ht="15" customHeight="1">
      <c r="A617" t="inlineStr">
        <is>
          <t>A 56912-2024</t>
        </is>
      </c>
      <c r="B617" s="1" t="n">
        <v>45628.59233796296</v>
      </c>
      <c r="C617" s="1" t="n">
        <v>46187</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24600-2026</t>
        </is>
      </c>
      <c r="B618" s="1" t="n">
        <v>46170.85934027778</v>
      </c>
      <c r="C618" s="1" t="n">
        <v>46187</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24638-2026</t>
        </is>
      </c>
      <c r="B619" s="1" t="n">
        <v>46171.40025462963</v>
      </c>
      <c r="C619" s="1" t="n">
        <v>46187</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15750-2024</t>
        </is>
      </c>
      <c r="B620" s="1" t="n">
        <v>45404.55601851852</v>
      </c>
      <c r="C620" s="1" t="n">
        <v>46187</v>
      </c>
      <c r="D620" t="inlineStr">
        <is>
          <t>ÖREBRO LÄN</t>
        </is>
      </c>
      <c r="E620" t="inlineStr">
        <is>
          <t>LINDESBERG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72698-2021</t>
        </is>
      </c>
      <c r="B621" s="1" t="n">
        <v>44546.6679050926</v>
      </c>
      <c r="C621" s="1" t="n">
        <v>46187</v>
      </c>
      <c r="D621" t="inlineStr">
        <is>
          <t>ÖREBRO LÄN</t>
        </is>
      </c>
      <c r="E621" t="inlineStr">
        <is>
          <t>LINDESBERG</t>
        </is>
      </c>
      <c r="G621" t="n">
        <v>1.6</v>
      </c>
      <c r="H621" t="n">
        <v>0</v>
      </c>
      <c r="I621" t="n">
        <v>0</v>
      </c>
      <c r="J621" t="n">
        <v>0</v>
      </c>
      <c r="K621" t="n">
        <v>0</v>
      </c>
      <c r="L621" t="n">
        <v>0</v>
      </c>
      <c r="M621" t="n">
        <v>0</v>
      </c>
      <c r="N621" t="n">
        <v>0</v>
      </c>
      <c r="O621" t="n">
        <v>0</v>
      </c>
      <c r="P621" t="n">
        <v>0</v>
      </c>
      <c r="Q621" t="n">
        <v>0</v>
      </c>
      <c r="R621" s="2" t="inlineStr"/>
    </row>
    <row r="622" ht="15" customHeight="1">
      <c r="A622" t="inlineStr">
        <is>
          <t>A 19110-2025</t>
        </is>
      </c>
      <c r="B622" s="1" t="n">
        <v>45768.49947916667</v>
      </c>
      <c r="C622" s="1" t="n">
        <v>46187</v>
      </c>
      <c r="D622" t="inlineStr">
        <is>
          <t>ÖREBRO LÄN</t>
        </is>
      </c>
      <c r="E622" t="inlineStr">
        <is>
          <t>LINDESBERG</t>
        </is>
      </c>
      <c r="G622" t="n">
        <v>2.6</v>
      </c>
      <c r="H622" t="n">
        <v>0</v>
      </c>
      <c r="I622" t="n">
        <v>0</v>
      </c>
      <c r="J622" t="n">
        <v>0</v>
      </c>
      <c r="K622" t="n">
        <v>0</v>
      </c>
      <c r="L622" t="n">
        <v>0</v>
      </c>
      <c r="M622" t="n">
        <v>0</v>
      </c>
      <c r="N622" t="n">
        <v>0</v>
      </c>
      <c r="O622" t="n">
        <v>0</v>
      </c>
      <c r="P622" t="n">
        <v>0</v>
      </c>
      <c r="Q622" t="n">
        <v>0</v>
      </c>
      <c r="R622" s="2" t="inlineStr"/>
    </row>
    <row r="623" ht="15" customHeight="1">
      <c r="A623" t="inlineStr">
        <is>
          <t>A 46678-2023</t>
        </is>
      </c>
      <c r="B623" s="1" t="n">
        <v>45194</v>
      </c>
      <c r="C623" s="1" t="n">
        <v>46187</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23579-2022</t>
        </is>
      </c>
      <c r="B624" s="1" t="n">
        <v>44721.52627314815</v>
      </c>
      <c r="C624" s="1" t="n">
        <v>46187</v>
      </c>
      <c r="D624" t="inlineStr">
        <is>
          <t>ÖREBRO LÄN</t>
        </is>
      </c>
      <c r="E624" t="inlineStr">
        <is>
          <t>LINDESBERG</t>
        </is>
      </c>
      <c r="G624" t="n">
        <v>0.7</v>
      </c>
      <c r="H624" t="n">
        <v>0</v>
      </c>
      <c r="I624" t="n">
        <v>0</v>
      </c>
      <c r="J624" t="n">
        <v>0</v>
      </c>
      <c r="K624" t="n">
        <v>0</v>
      </c>
      <c r="L624" t="n">
        <v>0</v>
      </c>
      <c r="M624" t="n">
        <v>0</v>
      </c>
      <c r="N624" t="n">
        <v>0</v>
      </c>
      <c r="O624" t="n">
        <v>0</v>
      </c>
      <c r="P624" t="n">
        <v>0</v>
      </c>
      <c r="Q624" t="n">
        <v>0</v>
      </c>
      <c r="R624" s="2" t="inlineStr"/>
    </row>
    <row r="625" ht="15" customHeight="1">
      <c r="A625" t="inlineStr">
        <is>
          <t>A 53054-2022</t>
        </is>
      </c>
      <c r="B625" s="1" t="n">
        <v>44876.35706018518</v>
      </c>
      <c r="C625" s="1" t="n">
        <v>46187</v>
      </c>
      <c r="D625" t="inlineStr">
        <is>
          <t>ÖREBRO LÄN</t>
        </is>
      </c>
      <c r="E625" t="inlineStr">
        <is>
          <t>LINDESBERG</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20467-2023</t>
        </is>
      </c>
      <c r="B626" s="1" t="n">
        <v>45057</v>
      </c>
      <c r="C626" s="1" t="n">
        <v>46187</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35140-2023</t>
        </is>
      </c>
      <c r="B627" s="1" t="n">
        <v>45145</v>
      </c>
      <c r="C627" s="1" t="n">
        <v>46187</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38762-2021</t>
        </is>
      </c>
      <c r="B628" s="1" t="n">
        <v>44410.61837962963</v>
      </c>
      <c r="C628" s="1" t="n">
        <v>46187</v>
      </c>
      <c r="D628" t="inlineStr">
        <is>
          <t>ÖREBRO LÄN</t>
        </is>
      </c>
      <c r="E628" t="inlineStr">
        <is>
          <t>LINDESBERG</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25117-2026</t>
        </is>
      </c>
      <c r="B629" s="1" t="n">
        <v>46175.369375</v>
      </c>
      <c r="C629" s="1" t="n">
        <v>46187</v>
      </c>
      <c r="D629" t="inlineStr">
        <is>
          <t>ÖREBRO LÄN</t>
        </is>
      </c>
      <c r="E629" t="inlineStr">
        <is>
          <t>LINDESBERG</t>
        </is>
      </c>
      <c r="F629" t="inlineStr">
        <is>
          <t>Sveaskog</t>
        </is>
      </c>
      <c r="G629" t="n">
        <v>3.9</v>
      </c>
      <c r="H629" t="n">
        <v>0</v>
      </c>
      <c r="I629" t="n">
        <v>0</v>
      </c>
      <c r="J629" t="n">
        <v>0</v>
      </c>
      <c r="K629" t="n">
        <v>0</v>
      </c>
      <c r="L629" t="n">
        <v>0</v>
      </c>
      <c r="M629" t="n">
        <v>0</v>
      </c>
      <c r="N629" t="n">
        <v>0</v>
      </c>
      <c r="O629" t="n">
        <v>0</v>
      </c>
      <c r="P629" t="n">
        <v>0</v>
      </c>
      <c r="Q629" t="n">
        <v>0</v>
      </c>
      <c r="R629" s="2" t="inlineStr"/>
    </row>
    <row r="630" ht="15" customHeight="1">
      <c r="A630" t="inlineStr">
        <is>
          <t>A 24975-2026</t>
        </is>
      </c>
      <c r="B630" s="1" t="n">
        <v>46174.58402777778</v>
      </c>
      <c r="C630" s="1" t="n">
        <v>46187</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39419-2023</t>
        </is>
      </c>
      <c r="B631" s="1" t="n">
        <v>45166.68493055556</v>
      </c>
      <c r="C631" s="1" t="n">
        <v>46187</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19260-2026</t>
        </is>
      </c>
      <c r="B632" s="1" t="n">
        <v>46132.70711805556</v>
      </c>
      <c r="C632" s="1" t="n">
        <v>46187</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19292-2026</t>
        </is>
      </c>
      <c r="B633" s="1" t="n">
        <v>46133.32493055556</v>
      </c>
      <c r="C633" s="1" t="n">
        <v>46187</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6470-2024</t>
        </is>
      </c>
      <c r="B634" s="1" t="n">
        <v>45338</v>
      </c>
      <c r="C634" s="1" t="n">
        <v>46187</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25116-2026</t>
        </is>
      </c>
      <c r="B635" s="1" t="n">
        <v>46175.36806712963</v>
      </c>
      <c r="C635" s="1" t="n">
        <v>46187</v>
      </c>
      <c r="D635" t="inlineStr">
        <is>
          <t>ÖREBRO LÄN</t>
        </is>
      </c>
      <c r="E635" t="inlineStr">
        <is>
          <t>LINDESBERG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45978-2021</t>
        </is>
      </c>
      <c r="B636" s="1" t="n">
        <v>44441.70047453704</v>
      </c>
      <c r="C636" s="1" t="n">
        <v>46187</v>
      </c>
      <c r="D636" t="inlineStr">
        <is>
          <t>ÖREBRO LÄN</t>
        </is>
      </c>
      <c r="E636" t="inlineStr">
        <is>
          <t>LINDESBERG</t>
        </is>
      </c>
      <c r="G636" t="n">
        <v>4.4</v>
      </c>
      <c r="H636" t="n">
        <v>0</v>
      </c>
      <c r="I636" t="n">
        <v>0</v>
      </c>
      <c r="J636" t="n">
        <v>0</v>
      </c>
      <c r="K636" t="n">
        <v>0</v>
      </c>
      <c r="L636" t="n">
        <v>0</v>
      </c>
      <c r="M636" t="n">
        <v>0</v>
      </c>
      <c r="N636" t="n">
        <v>0</v>
      </c>
      <c r="O636" t="n">
        <v>0</v>
      </c>
      <c r="P636" t="n">
        <v>0</v>
      </c>
      <c r="Q636" t="n">
        <v>0</v>
      </c>
      <c r="R636" s="2" t="inlineStr"/>
    </row>
    <row r="637" ht="15" customHeight="1">
      <c r="A637" t="inlineStr">
        <is>
          <t>A 25023-2026</t>
        </is>
      </c>
      <c r="B637" s="1" t="n">
        <v>46174.63037037037</v>
      </c>
      <c r="C637" s="1" t="n">
        <v>46187</v>
      </c>
      <c r="D637" t="inlineStr">
        <is>
          <t>ÖREBRO LÄN</t>
        </is>
      </c>
      <c r="E637" t="inlineStr">
        <is>
          <t>LINDESBERG</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11218-2025</t>
        </is>
      </c>
      <c r="B638" s="1" t="n">
        <v>45726.33763888889</v>
      </c>
      <c r="C638" s="1" t="n">
        <v>46187</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11220-2025</t>
        </is>
      </c>
      <c r="B639" s="1" t="n">
        <v>45726.34090277777</v>
      </c>
      <c r="C639" s="1" t="n">
        <v>46187</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24958-2026</t>
        </is>
      </c>
      <c r="B640" s="1" t="n">
        <v>46174.57133101852</v>
      </c>
      <c r="C640" s="1" t="n">
        <v>46187</v>
      </c>
      <c r="D640" t="inlineStr">
        <is>
          <t>ÖREBRO LÄN</t>
        </is>
      </c>
      <c r="E640" t="inlineStr">
        <is>
          <t>LINDESBERG</t>
        </is>
      </c>
      <c r="G640" t="n">
        <v>4.1</v>
      </c>
      <c r="H640" t="n">
        <v>0</v>
      </c>
      <c r="I640" t="n">
        <v>0</v>
      </c>
      <c r="J640" t="n">
        <v>0</v>
      </c>
      <c r="K640" t="n">
        <v>0</v>
      </c>
      <c r="L640" t="n">
        <v>0</v>
      </c>
      <c r="M640" t="n">
        <v>0</v>
      </c>
      <c r="N640" t="n">
        <v>0</v>
      </c>
      <c r="O640" t="n">
        <v>0</v>
      </c>
      <c r="P640" t="n">
        <v>0</v>
      </c>
      <c r="Q640" t="n">
        <v>0</v>
      </c>
      <c r="R640" s="2" t="inlineStr"/>
    </row>
    <row r="641" ht="15" customHeight="1">
      <c r="A641" t="inlineStr">
        <is>
          <t>A 37616-2023</t>
        </is>
      </c>
      <c r="B641" s="1" t="n">
        <v>45159.44525462963</v>
      </c>
      <c r="C641" s="1" t="n">
        <v>46187</v>
      </c>
      <c r="D641" t="inlineStr">
        <is>
          <t>ÖREBRO LÄN</t>
        </is>
      </c>
      <c r="E641" t="inlineStr">
        <is>
          <t>LINDESBERG</t>
        </is>
      </c>
      <c r="G641" t="n">
        <v>5.3</v>
      </c>
      <c r="H641" t="n">
        <v>0</v>
      </c>
      <c r="I641" t="n">
        <v>0</v>
      </c>
      <c r="J641" t="n">
        <v>0</v>
      </c>
      <c r="K641" t="n">
        <v>0</v>
      </c>
      <c r="L641" t="n">
        <v>0</v>
      </c>
      <c r="M641" t="n">
        <v>0</v>
      </c>
      <c r="N641" t="n">
        <v>0</v>
      </c>
      <c r="O641" t="n">
        <v>0</v>
      </c>
      <c r="P641" t="n">
        <v>0</v>
      </c>
      <c r="Q641" t="n">
        <v>0</v>
      </c>
      <c r="R641" s="2" t="inlineStr"/>
    </row>
    <row r="642" ht="15" customHeight="1">
      <c r="A642" t="inlineStr">
        <is>
          <t>A 24970-2026</t>
        </is>
      </c>
      <c r="B642" s="1" t="n">
        <v>46174.5781712963</v>
      </c>
      <c r="C642" s="1" t="n">
        <v>46187</v>
      </c>
      <c r="D642" t="inlineStr">
        <is>
          <t>ÖREBRO LÄN</t>
        </is>
      </c>
      <c r="E642" t="inlineStr">
        <is>
          <t>LINDESBERG</t>
        </is>
      </c>
      <c r="G642" t="n">
        <v>3.3</v>
      </c>
      <c r="H642" t="n">
        <v>0</v>
      </c>
      <c r="I642" t="n">
        <v>0</v>
      </c>
      <c r="J642" t="n">
        <v>0</v>
      </c>
      <c r="K642" t="n">
        <v>0</v>
      </c>
      <c r="L642" t="n">
        <v>0</v>
      </c>
      <c r="M642" t="n">
        <v>0</v>
      </c>
      <c r="N642" t="n">
        <v>0</v>
      </c>
      <c r="O642" t="n">
        <v>0</v>
      </c>
      <c r="P642" t="n">
        <v>0</v>
      </c>
      <c r="Q642" t="n">
        <v>0</v>
      </c>
      <c r="R642" s="2" t="inlineStr"/>
    </row>
    <row r="643" ht="15" customHeight="1">
      <c r="A643" t="inlineStr">
        <is>
          <t>A 24977-2026</t>
        </is>
      </c>
      <c r="B643" s="1" t="n">
        <v>46174.59148148148</v>
      </c>
      <c r="C643" s="1" t="n">
        <v>46187</v>
      </c>
      <c r="D643" t="inlineStr">
        <is>
          <t>ÖREBRO LÄN</t>
        </is>
      </c>
      <c r="E643" t="inlineStr">
        <is>
          <t>LINDESBERG</t>
        </is>
      </c>
      <c r="G643" t="n">
        <v>11.3</v>
      </c>
      <c r="H643" t="n">
        <v>0</v>
      </c>
      <c r="I643" t="n">
        <v>0</v>
      </c>
      <c r="J643" t="n">
        <v>0</v>
      </c>
      <c r="K643" t="n">
        <v>0</v>
      </c>
      <c r="L643" t="n">
        <v>0</v>
      </c>
      <c r="M643" t="n">
        <v>0</v>
      </c>
      <c r="N643" t="n">
        <v>0</v>
      </c>
      <c r="O643" t="n">
        <v>0</v>
      </c>
      <c r="P643" t="n">
        <v>0</v>
      </c>
      <c r="Q643" t="n">
        <v>0</v>
      </c>
      <c r="R643" s="2" t="inlineStr"/>
    </row>
    <row r="644" ht="15" customHeight="1">
      <c r="A644" t="inlineStr">
        <is>
          <t>A 28562-2023</t>
        </is>
      </c>
      <c r="B644" s="1" t="n">
        <v>45103.53614583334</v>
      </c>
      <c r="C644" s="1" t="n">
        <v>46187</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21016-2023</t>
        </is>
      </c>
      <c r="B645" s="1" t="n">
        <v>45061.53414351852</v>
      </c>
      <c r="C645" s="1" t="n">
        <v>46187</v>
      </c>
      <c r="D645" t="inlineStr">
        <is>
          <t>ÖREBRO LÄN</t>
        </is>
      </c>
      <c r="E645" t="inlineStr">
        <is>
          <t>LINDESBERG</t>
        </is>
      </c>
      <c r="G645" t="n">
        <v>8.1</v>
      </c>
      <c r="H645" t="n">
        <v>0</v>
      </c>
      <c r="I645" t="n">
        <v>0</v>
      </c>
      <c r="J645" t="n">
        <v>0</v>
      </c>
      <c r="K645" t="n">
        <v>0</v>
      </c>
      <c r="L645" t="n">
        <v>0</v>
      </c>
      <c r="M645" t="n">
        <v>0</v>
      </c>
      <c r="N645" t="n">
        <v>0</v>
      </c>
      <c r="O645" t="n">
        <v>0</v>
      </c>
      <c r="P645" t="n">
        <v>0</v>
      </c>
      <c r="Q645" t="n">
        <v>0</v>
      </c>
      <c r="R645" s="2" t="inlineStr"/>
    </row>
    <row r="646" ht="15" customHeight="1">
      <c r="A646" t="inlineStr">
        <is>
          <t>A 64084-2023</t>
        </is>
      </c>
      <c r="B646" s="1" t="n">
        <v>45279</v>
      </c>
      <c r="C646" s="1" t="n">
        <v>46187</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33886-2024</t>
        </is>
      </c>
      <c r="B647" s="1" t="n">
        <v>45523.31621527778</v>
      </c>
      <c r="C647" s="1" t="n">
        <v>46187</v>
      </c>
      <c r="D647" t="inlineStr">
        <is>
          <t>ÖREBRO LÄN</t>
        </is>
      </c>
      <c r="E647" t="inlineStr">
        <is>
          <t>LINDESBERG</t>
        </is>
      </c>
      <c r="G647" t="n">
        <v>1.3</v>
      </c>
      <c r="H647" t="n">
        <v>0</v>
      </c>
      <c r="I647" t="n">
        <v>0</v>
      </c>
      <c r="J647" t="n">
        <v>0</v>
      </c>
      <c r="K647" t="n">
        <v>0</v>
      </c>
      <c r="L647" t="n">
        <v>0</v>
      </c>
      <c r="M647" t="n">
        <v>0</v>
      </c>
      <c r="N647" t="n">
        <v>0</v>
      </c>
      <c r="O647" t="n">
        <v>0</v>
      </c>
      <c r="P647" t="n">
        <v>0</v>
      </c>
      <c r="Q647" t="n">
        <v>0</v>
      </c>
      <c r="R647" s="2" t="inlineStr"/>
    </row>
    <row r="648" ht="15" customHeight="1">
      <c r="A648" t="inlineStr">
        <is>
          <t>A 43046-2022</t>
        </is>
      </c>
      <c r="B648" s="1" t="n">
        <v>44833</v>
      </c>
      <c r="C648" s="1" t="n">
        <v>46187</v>
      </c>
      <c r="D648" t="inlineStr">
        <is>
          <t>ÖREBRO LÄN</t>
        </is>
      </c>
      <c r="E648" t="inlineStr">
        <is>
          <t>LINDESBERG</t>
        </is>
      </c>
      <c r="G648" t="n">
        <v>0.9</v>
      </c>
      <c r="H648" t="n">
        <v>0</v>
      </c>
      <c r="I648" t="n">
        <v>0</v>
      </c>
      <c r="J648" t="n">
        <v>0</v>
      </c>
      <c r="K648" t="n">
        <v>0</v>
      </c>
      <c r="L648" t="n">
        <v>0</v>
      </c>
      <c r="M648" t="n">
        <v>0</v>
      </c>
      <c r="N648" t="n">
        <v>0</v>
      </c>
      <c r="O648" t="n">
        <v>0</v>
      </c>
      <c r="P648" t="n">
        <v>0</v>
      </c>
      <c r="Q648" t="n">
        <v>0</v>
      </c>
      <c r="R648" s="2" t="inlineStr"/>
    </row>
    <row r="649" ht="15" customHeight="1">
      <c r="A649" t="inlineStr">
        <is>
          <t>A 62866-2023</t>
        </is>
      </c>
      <c r="B649" s="1" t="n">
        <v>45272.36168981482</v>
      </c>
      <c r="C649" s="1" t="n">
        <v>46187</v>
      </c>
      <c r="D649" t="inlineStr">
        <is>
          <t>ÖREBRO LÄN</t>
        </is>
      </c>
      <c r="E649" t="inlineStr">
        <is>
          <t>LINDESBERG</t>
        </is>
      </c>
      <c r="G649" t="n">
        <v>14.5</v>
      </c>
      <c r="H649" t="n">
        <v>0</v>
      </c>
      <c r="I649" t="n">
        <v>0</v>
      </c>
      <c r="J649" t="n">
        <v>0</v>
      </c>
      <c r="K649" t="n">
        <v>0</v>
      </c>
      <c r="L649" t="n">
        <v>0</v>
      </c>
      <c r="M649" t="n">
        <v>0</v>
      </c>
      <c r="N649" t="n">
        <v>0</v>
      </c>
      <c r="O649" t="n">
        <v>0</v>
      </c>
      <c r="P649" t="n">
        <v>0</v>
      </c>
      <c r="Q649" t="n">
        <v>0</v>
      </c>
      <c r="R649" s="2" t="inlineStr"/>
    </row>
    <row r="650" ht="15" customHeight="1">
      <c r="A650" t="inlineStr">
        <is>
          <t>A 6-2023</t>
        </is>
      </c>
      <c r="B650" s="1" t="n">
        <v>44927.72487268518</v>
      </c>
      <c r="C650" s="1" t="n">
        <v>46187</v>
      </c>
      <c r="D650" t="inlineStr">
        <is>
          <t>ÖREBRO LÄN</t>
        </is>
      </c>
      <c r="E650" t="inlineStr">
        <is>
          <t>LINDESBERG</t>
        </is>
      </c>
      <c r="G650" t="n">
        <v>2.8</v>
      </c>
      <c r="H650" t="n">
        <v>0</v>
      </c>
      <c r="I650" t="n">
        <v>0</v>
      </c>
      <c r="J650" t="n">
        <v>0</v>
      </c>
      <c r="K650" t="n">
        <v>0</v>
      </c>
      <c r="L650" t="n">
        <v>0</v>
      </c>
      <c r="M650" t="n">
        <v>0</v>
      </c>
      <c r="N650" t="n">
        <v>0</v>
      </c>
      <c r="O650" t="n">
        <v>0</v>
      </c>
      <c r="P650" t="n">
        <v>0</v>
      </c>
      <c r="Q650" t="n">
        <v>0</v>
      </c>
      <c r="R650" s="2" t="inlineStr"/>
    </row>
    <row r="651" ht="15" customHeight="1">
      <c r="A651" t="inlineStr">
        <is>
          <t>A 63508-2023</t>
        </is>
      </c>
      <c r="B651" s="1" t="n">
        <v>45274</v>
      </c>
      <c r="C651" s="1" t="n">
        <v>46187</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36136-2023</t>
        </is>
      </c>
      <c r="B652" s="1" t="n">
        <v>45149</v>
      </c>
      <c r="C652" s="1" t="n">
        <v>46187</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34025-2024</t>
        </is>
      </c>
      <c r="B653" s="1" t="n">
        <v>45523.58565972222</v>
      </c>
      <c r="C653" s="1" t="n">
        <v>46187</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19077-2025</t>
        </is>
      </c>
      <c r="B654" s="1" t="n">
        <v>45766.33309027777</v>
      </c>
      <c r="C654" s="1" t="n">
        <v>46187</v>
      </c>
      <c r="D654" t="inlineStr">
        <is>
          <t>ÖREBRO LÄN</t>
        </is>
      </c>
      <c r="E654" t="inlineStr">
        <is>
          <t>LINDESBERG</t>
        </is>
      </c>
      <c r="G654" t="n">
        <v>0</v>
      </c>
      <c r="H654" t="n">
        <v>0</v>
      </c>
      <c r="I654" t="n">
        <v>0</v>
      </c>
      <c r="J654" t="n">
        <v>0</v>
      </c>
      <c r="K654" t="n">
        <v>0</v>
      </c>
      <c r="L654" t="n">
        <v>0</v>
      </c>
      <c r="M654" t="n">
        <v>0</v>
      </c>
      <c r="N654" t="n">
        <v>0</v>
      </c>
      <c r="O654" t="n">
        <v>0</v>
      </c>
      <c r="P654" t="n">
        <v>0</v>
      </c>
      <c r="Q654" t="n">
        <v>0</v>
      </c>
      <c r="R654" s="2" t="inlineStr"/>
    </row>
    <row r="655" ht="15" customHeight="1">
      <c r="A655" t="inlineStr">
        <is>
          <t>A 13884-2023</t>
        </is>
      </c>
      <c r="B655" s="1" t="n">
        <v>45007</v>
      </c>
      <c r="C655" s="1" t="n">
        <v>46187</v>
      </c>
      <c r="D655" t="inlineStr">
        <is>
          <t>ÖREBRO LÄN</t>
        </is>
      </c>
      <c r="E655" t="inlineStr">
        <is>
          <t>LINDESBERG</t>
        </is>
      </c>
      <c r="F655" t="inlineStr">
        <is>
          <t>Kommuner</t>
        </is>
      </c>
      <c r="G655" t="n">
        <v>7.7</v>
      </c>
      <c r="H655" t="n">
        <v>0</v>
      </c>
      <c r="I655" t="n">
        <v>0</v>
      </c>
      <c r="J655" t="n">
        <v>0</v>
      </c>
      <c r="K655" t="n">
        <v>0</v>
      </c>
      <c r="L655" t="n">
        <v>0</v>
      </c>
      <c r="M655" t="n">
        <v>0</v>
      </c>
      <c r="N655" t="n">
        <v>0</v>
      </c>
      <c r="O655" t="n">
        <v>0</v>
      </c>
      <c r="P655" t="n">
        <v>0</v>
      </c>
      <c r="Q655" t="n">
        <v>0</v>
      </c>
      <c r="R655" s="2" t="inlineStr"/>
    </row>
    <row r="656" ht="15" customHeight="1">
      <c r="A656" t="inlineStr">
        <is>
          <t>A 50275-2024</t>
        </is>
      </c>
      <c r="B656" s="1" t="n">
        <v>45600.60071759259</v>
      </c>
      <c r="C656" s="1" t="n">
        <v>46187</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17463-2023</t>
        </is>
      </c>
      <c r="B657" s="1" t="n">
        <v>45036</v>
      </c>
      <c r="C657" s="1" t="n">
        <v>46187</v>
      </c>
      <c r="D657" t="inlineStr">
        <is>
          <t>ÖREBRO LÄN</t>
        </is>
      </c>
      <c r="E657" t="inlineStr">
        <is>
          <t>LINDESBERG</t>
        </is>
      </c>
      <c r="G657" t="n">
        <v>0.6</v>
      </c>
      <c r="H657" t="n">
        <v>0</v>
      </c>
      <c r="I657" t="n">
        <v>0</v>
      </c>
      <c r="J657" t="n">
        <v>0</v>
      </c>
      <c r="K657" t="n">
        <v>0</v>
      </c>
      <c r="L657" t="n">
        <v>0</v>
      </c>
      <c r="M657" t="n">
        <v>0</v>
      </c>
      <c r="N657" t="n">
        <v>0</v>
      </c>
      <c r="O657" t="n">
        <v>0</v>
      </c>
      <c r="P657" t="n">
        <v>0</v>
      </c>
      <c r="Q657" t="n">
        <v>0</v>
      </c>
      <c r="R657" s="2" t="inlineStr"/>
    </row>
    <row r="658" ht="15" customHeight="1">
      <c r="A658" t="inlineStr">
        <is>
          <t>A 36001-2021</t>
        </is>
      </c>
      <c r="B658" s="1" t="n">
        <v>44389</v>
      </c>
      <c r="C658" s="1" t="n">
        <v>46187</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33280-2024</t>
        </is>
      </c>
      <c r="B659" s="1" t="n">
        <v>45518.71048611111</v>
      </c>
      <c r="C659" s="1" t="n">
        <v>46187</v>
      </c>
      <c r="D659" t="inlineStr">
        <is>
          <t>ÖREBRO LÄN</t>
        </is>
      </c>
      <c r="E659" t="inlineStr">
        <is>
          <t>LINDESBERG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33281-2024</t>
        </is>
      </c>
      <c r="B660" s="1" t="n">
        <v>45518.71202546296</v>
      </c>
      <c r="C660" s="1" t="n">
        <v>46187</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33283-2024</t>
        </is>
      </c>
      <c r="B661" s="1" t="n">
        <v>45518.71591435185</v>
      </c>
      <c r="C661" s="1" t="n">
        <v>46187</v>
      </c>
      <c r="D661" t="inlineStr">
        <is>
          <t>ÖREBRO LÄN</t>
        </is>
      </c>
      <c r="E661" t="inlineStr">
        <is>
          <t>LINDESBERG</t>
        </is>
      </c>
      <c r="G661" t="n">
        <v>3.9</v>
      </c>
      <c r="H661" t="n">
        <v>0</v>
      </c>
      <c r="I661" t="n">
        <v>0</v>
      </c>
      <c r="J661" t="n">
        <v>0</v>
      </c>
      <c r="K661" t="n">
        <v>0</v>
      </c>
      <c r="L661" t="n">
        <v>0</v>
      </c>
      <c r="M661" t="n">
        <v>0</v>
      </c>
      <c r="N661" t="n">
        <v>0</v>
      </c>
      <c r="O661" t="n">
        <v>0</v>
      </c>
      <c r="P661" t="n">
        <v>0</v>
      </c>
      <c r="Q661" t="n">
        <v>0</v>
      </c>
      <c r="R661" s="2" t="inlineStr"/>
    </row>
    <row r="662" ht="15" customHeight="1">
      <c r="A662" t="inlineStr">
        <is>
          <t>A 39140-2024</t>
        </is>
      </c>
      <c r="B662" s="1" t="n">
        <v>45548</v>
      </c>
      <c r="C662" s="1" t="n">
        <v>46187</v>
      </c>
      <c r="D662" t="inlineStr">
        <is>
          <t>ÖREBRO LÄN</t>
        </is>
      </c>
      <c r="E662" t="inlineStr">
        <is>
          <t>LINDESBERG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23245-2025</t>
        </is>
      </c>
      <c r="B663" s="1" t="n">
        <v>45791.50862268519</v>
      </c>
      <c r="C663" s="1" t="n">
        <v>46187</v>
      </c>
      <c r="D663" t="inlineStr">
        <is>
          <t>ÖREBRO LÄN</t>
        </is>
      </c>
      <c r="E663" t="inlineStr">
        <is>
          <t>LINDESBERG</t>
        </is>
      </c>
      <c r="G663" t="n">
        <v>6.8</v>
      </c>
      <c r="H663" t="n">
        <v>0</v>
      </c>
      <c r="I663" t="n">
        <v>0</v>
      </c>
      <c r="J663" t="n">
        <v>0</v>
      </c>
      <c r="K663" t="n">
        <v>0</v>
      </c>
      <c r="L663" t="n">
        <v>0</v>
      </c>
      <c r="M663" t="n">
        <v>0</v>
      </c>
      <c r="N663" t="n">
        <v>0</v>
      </c>
      <c r="O663" t="n">
        <v>0</v>
      </c>
      <c r="P663" t="n">
        <v>0</v>
      </c>
      <c r="Q663" t="n">
        <v>0</v>
      </c>
      <c r="R663" s="2" t="inlineStr"/>
    </row>
    <row r="664" ht="15" customHeight="1">
      <c r="A664" t="inlineStr">
        <is>
          <t>A 32504-2025</t>
        </is>
      </c>
      <c r="B664" s="1" t="n">
        <v>45838.46456018519</v>
      </c>
      <c r="C664" s="1" t="n">
        <v>46187</v>
      </c>
      <c r="D664" t="inlineStr">
        <is>
          <t>ÖREBRO LÄN</t>
        </is>
      </c>
      <c r="E664" t="inlineStr">
        <is>
          <t>LINDESBERG</t>
        </is>
      </c>
      <c r="F664" t="inlineStr">
        <is>
          <t>Sveaskog</t>
        </is>
      </c>
      <c r="G664" t="n">
        <v>16.9</v>
      </c>
      <c r="H664" t="n">
        <v>0</v>
      </c>
      <c r="I664" t="n">
        <v>0</v>
      </c>
      <c r="J664" t="n">
        <v>0</v>
      </c>
      <c r="K664" t="n">
        <v>0</v>
      </c>
      <c r="L664" t="n">
        <v>0</v>
      </c>
      <c r="M664" t="n">
        <v>0</v>
      </c>
      <c r="N664" t="n">
        <v>0</v>
      </c>
      <c r="O664" t="n">
        <v>0</v>
      </c>
      <c r="P664" t="n">
        <v>0</v>
      </c>
      <c r="Q664" t="n">
        <v>0</v>
      </c>
      <c r="R664" s="2" t="inlineStr"/>
    </row>
    <row r="665" ht="15" customHeight="1">
      <c r="A665" t="inlineStr">
        <is>
          <t>A 32928-2023</t>
        </is>
      </c>
      <c r="B665" s="1" t="n">
        <v>45125.41458333333</v>
      </c>
      <c r="C665" s="1" t="n">
        <v>46187</v>
      </c>
      <c r="D665" t="inlineStr">
        <is>
          <t>ÖREBRO LÄN</t>
        </is>
      </c>
      <c r="E665" t="inlineStr">
        <is>
          <t>LINDESBERG</t>
        </is>
      </c>
      <c r="G665" t="n">
        <v>4.8</v>
      </c>
      <c r="H665" t="n">
        <v>0</v>
      </c>
      <c r="I665" t="n">
        <v>0</v>
      </c>
      <c r="J665" t="n">
        <v>0</v>
      </c>
      <c r="K665" t="n">
        <v>0</v>
      </c>
      <c r="L665" t="n">
        <v>0</v>
      </c>
      <c r="M665" t="n">
        <v>0</v>
      </c>
      <c r="N665" t="n">
        <v>0</v>
      </c>
      <c r="O665" t="n">
        <v>0</v>
      </c>
      <c r="P665" t="n">
        <v>0</v>
      </c>
      <c r="Q665" t="n">
        <v>0</v>
      </c>
      <c r="R665" s="2" t="inlineStr"/>
    </row>
    <row r="666" ht="15" customHeight="1">
      <c r="A666" t="inlineStr">
        <is>
          <t>A 32994-2023</t>
        </is>
      </c>
      <c r="B666" s="1" t="n">
        <v>45113</v>
      </c>
      <c r="C666" s="1" t="n">
        <v>46187</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48061-2025</t>
        </is>
      </c>
      <c r="B667" s="1" t="n">
        <v>45932.68006944445</v>
      </c>
      <c r="C667" s="1" t="n">
        <v>46187</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45062-2022</t>
        </is>
      </c>
      <c r="B668" s="1" t="n">
        <v>44841</v>
      </c>
      <c r="C668" s="1" t="n">
        <v>46187</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21012-2023</t>
        </is>
      </c>
      <c r="B669" s="1" t="n">
        <v>45061.52474537037</v>
      </c>
      <c r="C669" s="1" t="n">
        <v>46187</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40755-2022</t>
        </is>
      </c>
      <c r="B670" s="1" t="n">
        <v>44820</v>
      </c>
      <c r="C670" s="1" t="n">
        <v>46187</v>
      </c>
      <c r="D670" t="inlineStr">
        <is>
          <t>ÖREBRO LÄN</t>
        </is>
      </c>
      <c r="E670" t="inlineStr">
        <is>
          <t>LINDESBERG</t>
        </is>
      </c>
      <c r="G670" t="n">
        <v>3.8</v>
      </c>
      <c r="H670" t="n">
        <v>0</v>
      </c>
      <c r="I670" t="n">
        <v>0</v>
      </c>
      <c r="J670" t="n">
        <v>0</v>
      </c>
      <c r="K670" t="n">
        <v>0</v>
      </c>
      <c r="L670" t="n">
        <v>0</v>
      </c>
      <c r="M670" t="n">
        <v>0</v>
      </c>
      <c r="N670" t="n">
        <v>0</v>
      </c>
      <c r="O670" t="n">
        <v>0</v>
      </c>
      <c r="P670" t="n">
        <v>0</v>
      </c>
      <c r="Q670" t="n">
        <v>0</v>
      </c>
      <c r="R670" s="2" t="inlineStr"/>
    </row>
    <row r="671" ht="15" customHeight="1">
      <c r="A671" t="inlineStr">
        <is>
          <t>A 40456-2023</t>
        </is>
      </c>
      <c r="B671" s="1" t="n">
        <v>45170</v>
      </c>
      <c r="C671" s="1" t="n">
        <v>46187</v>
      </c>
      <c r="D671" t="inlineStr">
        <is>
          <t>ÖREBRO LÄN</t>
        </is>
      </c>
      <c r="E671" t="inlineStr">
        <is>
          <t>LINDESBERG</t>
        </is>
      </c>
      <c r="F671" t="inlineStr">
        <is>
          <t>Kyrkan</t>
        </is>
      </c>
      <c r="G671" t="n">
        <v>0.6</v>
      </c>
      <c r="H671" t="n">
        <v>0</v>
      </c>
      <c r="I671" t="n">
        <v>0</v>
      </c>
      <c r="J671" t="n">
        <v>0</v>
      </c>
      <c r="K671" t="n">
        <v>0</v>
      </c>
      <c r="L671" t="n">
        <v>0</v>
      </c>
      <c r="M671" t="n">
        <v>0</v>
      </c>
      <c r="N671" t="n">
        <v>0</v>
      </c>
      <c r="O671" t="n">
        <v>0</v>
      </c>
      <c r="P671" t="n">
        <v>0</v>
      </c>
      <c r="Q671" t="n">
        <v>0</v>
      </c>
      <c r="R671" s="2" t="inlineStr"/>
    </row>
    <row r="672" ht="15" customHeight="1">
      <c r="A672" t="inlineStr">
        <is>
          <t>A 34434-2023</t>
        </is>
      </c>
      <c r="B672" s="1" t="n">
        <v>45139.63480324074</v>
      </c>
      <c r="C672" s="1" t="n">
        <v>46187</v>
      </c>
      <c r="D672" t="inlineStr">
        <is>
          <t>ÖREBRO LÄN</t>
        </is>
      </c>
      <c r="E672" t="inlineStr">
        <is>
          <t>LINDESBERG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42282-2024</t>
        </is>
      </c>
      <c r="B673" s="1" t="n">
        <v>45562.61158564815</v>
      </c>
      <c r="C673" s="1" t="n">
        <v>46187</v>
      </c>
      <c r="D673" t="inlineStr">
        <is>
          <t>ÖREBRO LÄN</t>
        </is>
      </c>
      <c r="E673" t="inlineStr">
        <is>
          <t>LINDESBERG</t>
        </is>
      </c>
      <c r="G673" t="n">
        <v>0.8</v>
      </c>
      <c r="H673" t="n">
        <v>0</v>
      </c>
      <c r="I673" t="n">
        <v>0</v>
      </c>
      <c r="J673" t="n">
        <v>0</v>
      </c>
      <c r="K673" t="n">
        <v>0</v>
      </c>
      <c r="L673" t="n">
        <v>0</v>
      </c>
      <c r="M673" t="n">
        <v>0</v>
      </c>
      <c r="N673" t="n">
        <v>0</v>
      </c>
      <c r="O673" t="n">
        <v>0</v>
      </c>
      <c r="P673" t="n">
        <v>0</v>
      </c>
      <c r="Q673" t="n">
        <v>0</v>
      </c>
      <c r="R673" s="2" t="inlineStr"/>
    </row>
    <row r="674" ht="15" customHeight="1">
      <c r="A674" t="inlineStr">
        <is>
          <t>A 36754-2024</t>
        </is>
      </c>
      <c r="B674" s="1" t="n">
        <v>45538.34796296297</v>
      </c>
      <c r="C674" s="1" t="n">
        <v>46187</v>
      </c>
      <c r="D674" t="inlineStr">
        <is>
          <t>ÖREBRO LÄN</t>
        </is>
      </c>
      <c r="E674" t="inlineStr">
        <is>
          <t>LINDESBERG</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32262-2021</t>
        </is>
      </c>
      <c r="B675" s="1" t="n">
        <v>44371.47609953704</v>
      </c>
      <c r="C675" s="1" t="n">
        <v>46187</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31221-2025</t>
        </is>
      </c>
      <c r="B676" s="1" t="n">
        <v>45832.76491898148</v>
      </c>
      <c r="C676" s="1" t="n">
        <v>46187</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27576-2024</t>
        </is>
      </c>
      <c r="B677" s="1" t="n">
        <v>45474.65005787037</v>
      </c>
      <c r="C677" s="1" t="n">
        <v>46187</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32099-2024</t>
        </is>
      </c>
      <c r="B678" s="1" t="n">
        <v>45511.40297453704</v>
      </c>
      <c r="C678" s="1" t="n">
        <v>46187</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53510-2024</t>
        </is>
      </c>
      <c r="B679" s="1" t="n">
        <v>45614.5968287037</v>
      </c>
      <c r="C679" s="1" t="n">
        <v>46187</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8836-2023</t>
        </is>
      </c>
      <c r="B680" s="1" t="n">
        <v>44978</v>
      </c>
      <c r="C680" s="1" t="n">
        <v>46187</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5772-2023</t>
        </is>
      </c>
      <c r="B681" s="1" t="n">
        <v>44963.37709490741</v>
      </c>
      <c r="C681" s="1" t="n">
        <v>46187</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36024-2021</t>
        </is>
      </c>
      <c r="B682" s="1" t="n">
        <v>44389</v>
      </c>
      <c r="C682" s="1" t="n">
        <v>46187</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13472-2023</t>
        </is>
      </c>
      <c r="B683" s="1" t="n">
        <v>45005</v>
      </c>
      <c r="C683" s="1" t="n">
        <v>46187</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17087-2023</t>
        </is>
      </c>
      <c r="B684" s="1" t="n">
        <v>45034.5174537037</v>
      </c>
      <c r="C684" s="1" t="n">
        <v>46187</v>
      </c>
      <c r="D684" t="inlineStr">
        <is>
          <t>ÖREBRO LÄN</t>
        </is>
      </c>
      <c r="E684" t="inlineStr">
        <is>
          <t>LINDESBERG</t>
        </is>
      </c>
      <c r="G684" t="n">
        <v>2.7</v>
      </c>
      <c r="H684" t="n">
        <v>0</v>
      </c>
      <c r="I684" t="n">
        <v>0</v>
      </c>
      <c r="J684" t="n">
        <v>0</v>
      </c>
      <c r="K684" t="n">
        <v>0</v>
      </c>
      <c r="L684" t="n">
        <v>0</v>
      </c>
      <c r="M684" t="n">
        <v>0</v>
      </c>
      <c r="N684" t="n">
        <v>0</v>
      </c>
      <c r="O684" t="n">
        <v>0</v>
      </c>
      <c r="P684" t="n">
        <v>0</v>
      </c>
      <c r="Q684" t="n">
        <v>0</v>
      </c>
      <c r="R684" s="2" t="inlineStr"/>
    </row>
    <row r="685" ht="15" customHeight="1">
      <c r="A685" t="inlineStr">
        <is>
          <t>A 46484-2024</t>
        </is>
      </c>
      <c r="B685" s="1" t="n">
        <v>45582.57542824074</v>
      </c>
      <c r="C685" s="1" t="n">
        <v>46187</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41576-2021</t>
        </is>
      </c>
      <c r="B686" s="1" t="n">
        <v>44425</v>
      </c>
      <c r="C686" s="1" t="n">
        <v>46187</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58741-2024</t>
        </is>
      </c>
      <c r="B687" s="1" t="n">
        <v>45635.69581018519</v>
      </c>
      <c r="C687" s="1" t="n">
        <v>46187</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52098-2025</t>
        </is>
      </c>
      <c r="B688" s="1" t="n">
        <v>45952.68001157408</v>
      </c>
      <c r="C688" s="1" t="n">
        <v>46187</v>
      </c>
      <c r="D688" t="inlineStr">
        <is>
          <t>ÖREBRO LÄN</t>
        </is>
      </c>
      <c r="E688" t="inlineStr">
        <is>
          <t>LINDESBERG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26967-2022</t>
        </is>
      </c>
      <c r="B689" s="1" t="n">
        <v>44740.66997685185</v>
      </c>
      <c r="C689" s="1" t="n">
        <v>46187</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60492-2024</t>
        </is>
      </c>
      <c r="B690" s="1" t="n">
        <v>45642</v>
      </c>
      <c r="C690" s="1" t="n">
        <v>46187</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43066-2021</t>
        </is>
      </c>
      <c r="B691" s="1" t="n">
        <v>44431</v>
      </c>
      <c r="C691" s="1" t="n">
        <v>46187</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45428-2023</t>
        </is>
      </c>
      <c r="B692" s="1" t="n">
        <v>45194</v>
      </c>
      <c r="C692" s="1" t="n">
        <v>46187</v>
      </c>
      <c r="D692" t="inlineStr">
        <is>
          <t>ÖREBRO LÄN</t>
        </is>
      </c>
      <c r="E692" t="inlineStr">
        <is>
          <t>LINDESBERG</t>
        </is>
      </c>
      <c r="G692" t="n">
        <v>7.7</v>
      </c>
      <c r="H692" t="n">
        <v>0</v>
      </c>
      <c r="I692" t="n">
        <v>0</v>
      </c>
      <c r="J692" t="n">
        <v>0</v>
      </c>
      <c r="K692" t="n">
        <v>0</v>
      </c>
      <c r="L692" t="n">
        <v>0</v>
      </c>
      <c r="M692" t="n">
        <v>0</v>
      </c>
      <c r="N692" t="n">
        <v>0</v>
      </c>
      <c r="O692" t="n">
        <v>0</v>
      </c>
      <c r="P692" t="n">
        <v>0</v>
      </c>
      <c r="Q692" t="n">
        <v>0</v>
      </c>
      <c r="R692" s="2" t="inlineStr"/>
    </row>
    <row r="693" ht="15" customHeight="1">
      <c r="A693" t="inlineStr">
        <is>
          <t>A 53897-2024</t>
        </is>
      </c>
      <c r="B693" s="1" t="n">
        <v>45615.69570601852</v>
      </c>
      <c r="C693" s="1" t="n">
        <v>46187</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56907-2024</t>
        </is>
      </c>
      <c r="B694" s="1" t="n">
        <v>45628.58975694444</v>
      </c>
      <c r="C694" s="1" t="n">
        <v>46187</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31215-2025</t>
        </is>
      </c>
      <c r="B695" s="1" t="n">
        <v>45832.74418981482</v>
      </c>
      <c r="C695" s="1" t="n">
        <v>46187</v>
      </c>
      <c r="D695" t="inlineStr">
        <is>
          <t>ÖREBRO LÄN</t>
        </is>
      </c>
      <c r="E695" t="inlineStr">
        <is>
          <t>LINDESBERG</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17242-2025</t>
        </is>
      </c>
      <c r="B696" s="1" t="n">
        <v>45756.49009259259</v>
      </c>
      <c r="C696" s="1" t="n">
        <v>46187</v>
      </c>
      <c r="D696" t="inlineStr">
        <is>
          <t>ÖREBRO LÄN</t>
        </is>
      </c>
      <c r="E696" t="inlineStr">
        <is>
          <t>LINDESBERG</t>
        </is>
      </c>
      <c r="G696" t="n">
        <v>7.3</v>
      </c>
      <c r="H696" t="n">
        <v>0</v>
      </c>
      <c r="I696" t="n">
        <v>0</v>
      </c>
      <c r="J696" t="n">
        <v>0</v>
      </c>
      <c r="K696" t="n">
        <v>0</v>
      </c>
      <c r="L696" t="n">
        <v>0</v>
      </c>
      <c r="M696" t="n">
        <v>0</v>
      </c>
      <c r="N696" t="n">
        <v>0</v>
      </c>
      <c r="O696" t="n">
        <v>0</v>
      </c>
      <c r="P696" t="n">
        <v>0</v>
      </c>
      <c r="Q696" t="n">
        <v>0</v>
      </c>
      <c r="R696" s="2" t="inlineStr"/>
    </row>
    <row r="697" ht="15" customHeight="1">
      <c r="A697" t="inlineStr">
        <is>
          <t>A 7119-2025</t>
        </is>
      </c>
      <c r="B697" s="1" t="n">
        <v>45702</v>
      </c>
      <c r="C697" s="1" t="n">
        <v>46187</v>
      </c>
      <c r="D697" t="inlineStr">
        <is>
          <t>ÖREBRO LÄN</t>
        </is>
      </c>
      <c r="E697" t="inlineStr">
        <is>
          <t>LINDESBERG</t>
        </is>
      </c>
      <c r="G697" t="n">
        <v>0.9</v>
      </c>
      <c r="H697" t="n">
        <v>0</v>
      </c>
      <c r="I697" t="n">
        <v>0</v>
      </c>
      <c r="J697" t="n">
        <v>0</v>
      </c>
      <c r="K697" t="n">
        <v>0</v>
      </c>
      <c r="L697" t="n">
        <v>0</v>
      </c>
      <c r="M697" t="n">
        <v>0</v>
      </c>
      <c r="N697" t="n">
        <v>0</v>
      </c>
      <c r="O697" t="n">
        <v>0</v>
      </c>
      <c r="P697" t="n">
        <v>0</v>
      </c>
      <c r="Q697" t="n">
        <v>0</v>
      </c>
      <c r="R697" s="2" t="inlineStr"/>
    </row>
    <row r="698" ht="15" customHeight="1">
      <c r="A698" t="inlineStr">
        <is>
          <t>A 45060-2024</t>
        </is>
      </c>
      <c r="B698" s="1" t="n">
        <v>45575.55570601852</v>
      </c>
      <c r="C698" s="1" t="n">
        <v>46187</v>
      </c>
      <c r="D698" t="inlineStr">
        <is>
          <t>ÖREBRO LÄN</t>
        </is>
      </c>
      <c r="E698" t="inlineStr">
        <is>
          <t>LINDESBERG</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26778-2023</t>
        </is>
      </c>
      <c r="B699" s="1" t="n">
        <v>45093.48221064815</v>
      </c>
      <c r="C699" s="1" t="n">
        <v>46187</v>
      </c>
      <c r="D699" t="inlineStr">
        <is>
          <t>ÖREBRO LÄN</t>
        </is>
      </c>
      <c r="E699" t="inlineStr">
        <is>
          <t>LINDESBERG</t>
        </is>
      </c>
      <c r="G699" t="n">
        <v>7.5</v>
      </c>
      <c r="H699" t="n">
        <v>0</v>
      </c>
      <c r="I699" t="n">
        <v>0</v>
      </c>
      <c r="J699" t="n">
        <v>0</v>
      </c>
      <c r="K699" t="n">
        <v>0</v>
      </c>
      <c r="L699" t="n">
        <v>0</v>
      </c>
      <c r="M699" t="n">
        <v>0</v>
      </c>
      <c r="N699" t="n">
        <v>0</v>
      </c>
      <c r="O699" t="n">
        <v>0</v>
      </c>
      <c r="P699" t="n">
        <v>0</v>
      </c>
      <c r="Q699" t="n">
        <v>0</v>
      </c>
      <c r="R699" s="2" t="inlineStr"/>
    </row>
    <row r="700" ht="15" customHeight="1">
      <c r="A700" t="inlineStr">
        <is>
          <t>A 50972-2023</t>
        </is>
      </c>
      <c r="B700" s="1" t="n">
        <v>45218</v>
      </c>
      <c r="C700" s="1" t="n">
        <v>46187</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29500-2023</t>
        </is>
      </c>
      <c r="B701" s="1" t="n">
        <v>45106</v>
      </c>
      <c r="C701" s="1" t="n">
        <v>46187</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50225-2021</t>
        </is>
      </c>
      <c r="B702" s="1" t="n">
        <v>44457</v>
      </c>
      <c r="C702" s="1" t="n">
        <v>46187</v>
      </c>
      <c r="D702" t="inlineStr">
        <is>
          <t>ÖREBRO LÄN</t>
        </is>
      </c>
      <c r="E702" t="inlineStr">
        <is>
          <t>LINDESBERG</t>
        </is>
      </c>
      <c r="G702" t="n">
        <v>2.5</v>
      </c>
      <c r="H702" t="n">
        <v>0</v>
      </c>
      <c r="I702" t="n">
        <v>0</v>
      </c>
      <c r="J702" t="n">
        <v>0</v>
      </c>
      <c r="K702" t="n">
        <v>0</v>
      </c>
      <c r="L702" t="n">
        <v>0</v>
      </c>
      <c r="M702" t="n">
        <v>0</v>
      </c>
      <c r="N702" t="n">
        <v>0</v>
      </c>
      <c r="O702" t="n">
        <v>0</v>
      </c>
      <c r="P702" t="n">
        <v>0</v>
      </c>
      <c r="Q702" t="n">
        <v>0</v>
      </c>
      <c r="R702" s="2" t="inlineStr"/>
    </row>
    <row r="703" ht="15" customHeight="1">
      <c r="A703" t="inlineStr">
        <is>
          <t>A 48244-2024</t>
        </is>
      </c>
      <c r="B703" s="1" t="n">
        <v>45590.39471064815</v>
      </c>
      <c r="C703" s="1" t="n">
        <v>46187</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34093-2022</t>
        </is>
      </c>
      <c r="B704" s="1" t="n">
        <v>44791</v>
      </c>
      <c r="C704" s="1" t="n">
        <v>46187</v>
      </c>
      <c r="D704" t="inlineStr">
        <is>
          <t>ÖREBRO LÄN</t>
        </is>
      </c>
      <c r="E704" t="inlineStr">
        <is>
          <t>LINDESBERG</t>
        </is>
      </c>
      <c r="G704" t="n">
        <v>3.3</v>
      </c>
      <c r="H704" t="n">
        <v>0</v>
      </c>
      <c r="I704" t="n">
        <v>0</v>
      </c>
      <c r="J704" t="n">
        <v>0</v>
      </c>
      <c r="K704" t="n">
        <v>0</v>
      </c>
      <c r="L704" t="n">
        <v>0</v>
      </c>
      <c r="M704" t="n">
        <v>0</v>
      </c>
      <c r="N704" t="n">
        <v>0</v>
      </c>
      <c r="O704" t="n">
        <v>0</v>
      </c>
      <c r="P704" t="n">
        <v>0</v>
      </c>
      <c r="Q704" t="n">
        <v>0</v>
      </c>
      <c r="R704" s="2" t="inlineStr"/>
    </row>
    <row r="705" ht="15" customHeight="1">
      <c r="A705" t="inlineStr">
        <is>
          <t>A 44067-2025</t>
        </is>
      </c>
      <c r="B705" s="1" t="n">
        <v>45915.54439814815</v>
      </c>
      <c r="C705" s="1" t="n">
        <v>46187</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41353-2024</t>
        </is>
      </c>
      <c r="B706" s="1" t="n">
        <v>45559</v>
      </c>
      <c r="C706" s="1" t="n">
        <v>46187</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20210-2024</t>
        </is>
      </c>
      <c r="B707" s="1" t="n">
        <v>45434.65854166666</v>
      </c>
      <c r="C707" s="1" t="n">
        <v>46187</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24352-2023</t>
        </is>
      </c>
      <c r="B708" s="1" t="n">
        <v>45082.31421296296</v>
      </c>
      <c r="C708" s="1" t="n">
        <v>46187</v>
      </c>
      <c r="D708" t="inlineStr">
        <is>
          <t>ÖREBRO LÄN</t>
        </is>
      </c>
      <c r="E708" t="inlineStr">
        <is>
          <t>LINDESBERG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22824-2023</t>
        </is>
      </c>
      <c r="B709" s="1" t="n">
        <v>45072</v>
      </c>
      <c r="C709" s="1" t="n">
        <v>46187</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36509-2024</t>
        </is>
      </c>
      <c r="B710" s="1" t="n">
        <v>45537.42240740741</v>
      </c>
      <c r="C710" s="1" t="n">
        <v>46187</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33428-2024</t>
        </is>
      </c>
      <c r="B711" s="1" t="n">
        <v>45519.52319444445</v>
      </c>
      <c r="C711" s="1" t="n">
        <v>46187</v>
      </c>
      <c r="D711" t="inlineStr">
        <is>
          <t>ÖREBRO LÄN</t>
        </is>
      </c>
      <c r="E711" t="inlineStr">
        <is>
          <t>LINDESBERG</t>
        </is>
      </c>
      <c r="F711" t="inlineStr">
        <is>
          <t>Sveaskog</t>
        </is>
      </c>
      <c r="G711" t="n">
        <v>0.2</v>
      </c>
      <c r="H711" t="n">
        <v>0</v>
      </c>
      <c r="I711" t="n">
        <v>0</v>
      </c>
      <c r="J711" t="n">
        <v>0</v>
      </c>
      <c r="K711" t="n">
        <v>0</v>
      </c>
      <c r="L711" t="n">
        <v>0</v>
      </c>
      <c r="M711" t="n">
        <v>0</v>
      </c>
      <c r="N711" t="n">
        <v>0</v>
      </c>
      <c r="O711" t="n">
        <v>0</v>
      </c>
      <c r="P711" t="n">
        <v>0</v>
      </c>
      <c r="Q711" t="n">
        <v>0</v>
      </c>
      <c r="R711" s="2" t="inlineStr"/>
    </row>
    <row r="712" ht="15" customHeight="1">
      <c r="A712" t="inlineStr">
        <is>
          <t>A 17104-2024</t>
        </is>
      </c>
      <c r="B712" s="1" t="n">
        <v>45412.54541666667</v>
      </c>
      <c r="C712" s="1" t="n">
        <v>46187</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13350-2024</t>
        </is>
      </c>
      <c r="B713" s="1" t="n">
        <v>45387.24732638889</v>
      </c>
      <c r="C713" s="1" t="n">
        <v>46187</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13351-2024</t>
        </is>
      </c>
      <c r="B714" s="1" t="n">
        <v>45387.2521875</v>
      </c>
      <c r="C714" s="1" t="n">
        <v>46187</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4603-2024</t>
        </is>
      </c>
      <c r="B715" s="1" t="n">
        <v>45328</v>
      </c>
      <c r="C715" s="1" t="n">
        <v>46187</v>
      </c>
      <c r="D715" t="inlineStr">
        <is>
          <t>ÖREBRO LÄN</t>
        </is>
      </c>
      <c r="E715" t="inlineStr">
        <is>
          <t>LINDESBERG</t>
        </is>
      </c>
      <c r="F715" t="inlineStr">
        <is>
          <t>BillerudKorsnäs AB</t>
        </is>
      </c>
      <c r="G715" t="n">
        <v>4.3</v>
      </c>
      <c r="H715" t="n">
        <v>0</v>
      </c>
      <c r="I715" t="n">
        <v>0</v>
      </c>
      <c r="J715" t="n">
        <v>0</v>
      </c>
      <c r="K715" t="n">
        <v>0</v>
      </c>
      <c r="L715" t="n">
        <v>0</v>
      </c>
      <c r="M715" t="n">
        <v>0</v>
      </c>
      <c r="N715" t="n">
        <v>0</v>
      </c>
      <c r="O715" t="n">
        <v>0</v>
      </c>
      <c r="P715" t="n">
        <v>0</v>
      </c>
      <c r="Q715" t="n">
        <v>0</v>
      </c>
      <c r="R715" s="2" t="inlineStr"/>
    </row>
    <row r="716" ht="15" customHeight="1">
      <c r="A716" t="inlineStr">
        <is>
          <t>A 59052-2023</t>
        </is>
      </c>
      <c r="B716" s="1" t="n">
        <v>45252.78021990741</v>
      </c>
      <c r="C716" s="1" t="n">
        <v>46187</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34838-2023</t>
        </is>
      </c>
      <c r="B717" s="1" t="n">
        <v>45141.76530092592</v>
      </c>
      <c r="C717" s="1" t="n">
        <v>46187</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15324-2024</t>
        </is>
      </c>
      <c r="B718" s="1" t="n">
        <v>45400.66995370371</v>
      </c>
      <c r="C718" s="1" t="n">
        <v>46187</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36170-2021</t>
        </is>
      </c>
      <c r="B719" s="1" t="n">
        <v>44389</v>
      </c>
      <c r="C719" s="1" t="n">
        <v>46187</v>
      </c>
      <c r="D719" t="inlineStr">
        <is>
          <t>ÖREBRO LÄN</t>
        </is>
      </c>
      <c r="E719" t="inlineStr">
        <is>
          <t>LINDESBERG</t>
        </is>
      </c>
      <c r="G719" t="n">
        <v>0.4</v>
      </c>
      <c r="H719" t="n">
        <v>0</v>
      </c>
      <c r="I719" t="n">
        <v>0</v>
      </c>
      <c r="J719" t="n">
        <v>0</v>
      </c>
      <c r="K719" t="n">
        <v>0</v>
      </c>
      <c r="L719" t="n">
        <v>0</v>
      </c>
      <c r="M719" t="n">
        <v>0</v>
      </c>
      <c r="N719" t="n">
        <v>0</v>
      </c>
      <c r="O719" t="n">
        <v>0</v>
      </c>
      <c r="P719" t="n">
        <v>0</v>
      </c>
      <c r="Q719" t="n">
        <v>0</v>
      </c>
      <c r="R719" s="2" t="inlineStr"/>
    </row>
    <row r="720" ht="15" customHeight="1">
      <c r="A720" t="inlineStr">
        <is>
          <t>A 7180-2023</t>
        </is>
      </c>
      <c r="B720" s="1" t="n">
        <v>44970.51849537037</v>
      </c>
      <c r="C720" s="1" t="n">
        <v>46187</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46675-2023</t>
        </is>
      </c>
      <c r="B721" s="1" t="n">
        <v>45194</v>
      </c>
      <c r="C721" s="1" t="n">
        <v>46187</v>
      </c>
      <c r="D721" t="inlineStr">
        <is>
          <t>ÖREBRO LÄN</t>
        </is>
      </c>
      <c r="E721" t="inlineStr">
        <is>
          <t>LINDESBERG</t>
        </is>
      </c>
      <c r="G721" t="n">
        <v>3.8</v>
      </c>
      <c r="H721" t="n">
        <v>0</v>
      </c>
      <c r="I721" t="n">
        <v>0</v>
      </c>
      <c r="J721" t="n">
        <v>0</v>
      </c>
      <c r="K721" t="n">
        <v>0</v>
      </c>
      <c r="L721" t="n">
        <v>0</v>
      </c>
      <c r="M721" t="n">
        <v>0</v>
      </c>
      <c r="N721" t="n">
        <v>0</v>
      </c>
      <c r="O721" t="n">
        <v>0</v>
      </c>
      <c r="P721" t="n">
        <v>0</v>
      </c>
      <c r="Q721" t="n">
        <v>0</v>
      </c>
      <c r="R721" s="2" t="inlineStr"/>
    </row>
    <row r="722" ht="15" customHeight="1">
      <c r="A722" t="inlineStr">
        <is>
          <t>A 50964-2023</t>
        </is>
      </c>
      <c r="B722" s="1" t="n">
        <v>45218.488125</v>
      </c>
      <c r="C722" s="1" t="n">
        <v>46187</v>
      </c>
      <c r="D722" t="inlineStr">
        <is>
          <t>ÖREBRO LÄN</t>
        </is>
      </c>
      <c r="E722" t="inlineStr">
        <is>
          <t>LINDESBERG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50619-2022</t>
        </is>
      </c>
      <c r="B723" s="1" t="n">
        <v>44866.79668981482</v>
      </c>
      <c r="C723" s="1" t="n">
        <v>46187</v>
      </c>
      <c r="D723" t="inlineStr">
        <is>
          <t>ÖREBRO LÄN</t>
        </is>
      </c>
      <c r="E723" t="inlineStr">
        <is>
          <t>LINDESBERG</t>
        </is>
      </c>
      <c r="G723" t="n">
        <v>1.4</v>
      </c>
      <c r="H723" t="n">
        <v>0</v>
      </c>
      <c r="I723" t="n">
        <v>0</v>
      </c>
      <c r="J723" t="n">
        <v>0</v>
      </c>
      <c r="K723" t="n">
        <v>0</v>
      </c>
      <c r="L723" t="n">
        <v>0</v>
      </c>
      <c r="M723" t="n">
        <v>0</v>
      </c>
      <c r="N723" t="n">
        <v>0</v>
      </c>
      <c r="O723" t="n">
        <v>0</v>
      </c>
      <c r="P723" t="n">
        <v>0</v>
      </c>
      <c r="Q723" t="n">
        <v>0</v>
      </c>
      <c r="R723" s="2" t="inlineStr"/>
    </row>
    <row r="724" ht="15" customHeight="1">
      <c r="A724" t="inlineStr">
        <is>
          <t>A 36893-2024</t>
        </is>
      </c>
      <c r="B724" s="1" t="n">
        <v>45538</v>
      </c>
      <c r="C724" s="1" t="n">
        <v>46187</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20970-2026</t>
        </is>
      </c>
      <c r="B725" s="1" t="n">
        <v>46142.56342592592</v>
      </c>
      <c r="C725" s="1" t="n">
        <v>46187</v>
      </c>
      <c r="D725" t="inlineStr">
        <is>
          <t>ÖREBRO LÄN</t>
        </is>
      </c>
      <c r="E725" t="inlineStr">
        <is>
          <t>LINDESBERG</t>
        </is>
      </c>
      <c r="F725" t="inlineStr">
        <is>
          <t>Naturvårdsverket</t>
        </is>
      </c>
      <c r="G725" t="n">
        <v>5</v>
      </c>
      <c r="H725" t="n">
        <v>0</v>
      </c>
      <c r="I725" t="n">
        <v>0</v>
      </c>
      <c r="J725" t="n">
        <v>0</v>
      </c>
      <c r="K725" t="n">
        <v>0</v>
      </c>
      <c r="L725" t="n">
        <v>0</v>
      </c>
      <c r="M725" t="n">
        <v>0</v>
      </c>
      <c r="N725" t="n">
        <v>0</v>
      </c>
      <c r="O725" t="n">
        <v>0</v>
      </c>
      <c r="P725" t="n">
        <v>0</v>
      </c>
      <c r="Q725" t="n">
        <v>0</v>
      </c>
      <c r="R725" s="2" t="inlineStr"/>
    </row>
    <row r="726" ht="15" customHeight="1">
      <c r="A726" t="inlineStr">
        <is>
          <t>A 20971-2026</t>
        </is>
      </c>
      <c r="B726" s="1" t="n">
        <v>46142.56399305556</v>
      </c>
      <c r="C726" s="1" t="n">
        <v>46187</v>
      </c>
      <c r="D726" t="inlineStr">
        <is>
          <t>ÖREBRO LÄN</t>
        </is>
      </c>
      <c r="E726" t="inlineStr">
        <is>
          <t>LINDESBERG</t>
        </is>
      </c>
      <c r="F726" t="inlineStr">
        <is>
          <t>Naturvårdsverket</t>
        </is>
      </c>
      <c r="G726" t="n">
        <v>4.5</v>
      </c>
      <c r="H726" t="n">
        <v>0</v>
      </c>
      <c r="I726" t="n">
        <v>0</v>
      </c>
      <c r="J726" t="n">
        <v>0</v>
      </c>
      <c r="K726" t="n">
        <v>0</v>
      </c>
      <c r="L726" t="n">
        <v>0</v>
      </c>
      <c r="M726" t="n">
        <v>0</v>
      </c>
      <c r="N726" t="n">
        <v>0</v>
      </c>
      <c r="O726" t="n">
        <v>0</v>
      </c>
      <c r="P726" t="n">
        <v>0</v>
      </c>
      <c r="Q726" t="n">
        <v>0</v>
      </c>
      <c r="R726" s="2" t="inlineStr"/>
    </row>
    <row r="727" ht="15" customHeight="1">
      <c r="A727" t="inlineStr">
        <is>
          <t>A 10111-2022</t>
        </is>
      </c>
      <c r="B727" s="1" t="n">
        <v>44621.85737268518</v>
      </c>
      <c r="C727" s="1" t="n">
        <v>46187</v>
      </c>
      <c r="D727" t="inlineStr">
        <is>
          <t>ÖREBRO LÄN</t>
        </is>
      </c>
      <c r="E727" t="inlineStr">
        <is>
          <t>LINDESBERG</t>
        </is>
      </c>
      <c r="G727" t="n">
        <v>2.4</v>
      </c>
      <c r="H727" t="n">
        <v>0</v>
      </c>
      <c r="I727" t="n">
        <v>0</v>
      </c>
      <c r="J727" t="n">
        <v>0</v>
      </c>
      <c r="K727" t="n">
        <v>0</v>
      </c>
      <c r="L727" t="n">
        <v>0</v>
      </c>
      <c r="M727" t="n">
        <v>0</v>
      </c>
      <c r="N727" t="n">
        <v>0</v>
      </c>
      <c r="O727" t="n">
        <v>0</v>
      </c>
      <c r="P727" t="n">
        <v>0</v>
      </c>
      <c r="Q727" t="n">
        <v>0</v>
      </c>
      <c r="R727" s="2" t="inlineStr"/>
    </row>
    <row r="728" ht="15" customHeight="1">
      <c r="A728" t="inlineStr">
        <is>
          <t>A 14231-2023</t>
        </is>
      </c>
      <c r="B728" s="1" t="n">
        <v>45009.64217592592</v>
      </c>
      <c r="C728" s="1" t="n">
        <v>46187</v>
      </c>
      <c r="D728" t="inlineStr">
        <is>
          <t>ÖREBRO LÄN</t>
        </is>
      </c>
      <c r="E728" t="inlineStr">
        <is>
          <t>LINDESBERG</t>
        </is>
      </c>
      <c r="G728" t="n">
        <v>4.3</v>
      </c>
      <c r="H728" t="n">
        <v>0</v>
      </c>
      <c r="I728" t="n">
        <v>0</v>
      </c>
      <c r="J728" t="n">
        <v>0</v>
      </c>
      <c r="K728" t="n">
        <v>0</v>
      </c>
      <c r="L728" t="n">
        <v>0</v>
      </c>
      <c r="M728" t="n">
        <v>0</v>
      </c>
      <c r="N728" t="n">
        <v>0</v>
      </c>
      <c r="O728" t="n">
        <v>0</v>
      </c>
      <c r="P728" t="n">
        <v>0</v>
      </c>
      <c r="Q728" t="n">
        <v>0</v>
      </c>
      <c r="R728" s="2" t="inlineStr"/>
    </row>
    <row r="729" ht="15" customHeight="1">
      <c r="A729" t="inlineStr">
        <is>
          <t>A 484-2022</t>
        </is>
      </c>
      <c r="B729" s="1" t="n">
        <v>44566</v>
      </c>
      <c r="C729" s="1" t="n">
        <v>46187</v>
      </c>
      <c r="D729" t="inlineStr">
        <is>
          <t>ÖREBRO LÄN</t>
        </is>
      </c>
      <c r="E729" t="inlineStr">
        <is>
          <t>LINDESBERG</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26707-2026</t>
        </is>
      </c>
      <c r="B730" s="1" t="n">
        <v>46184.47827546296</v>
      </c>
      <c r="C730" s="1" t="n">
        <v>46187</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1395-2025</t>
        </is>
      </c>
      <c r="B731" s="1" t="n">
        <v>45667</v>
      </c>
      <c r="C731" s="1" t="n">
        <v>46187</v>
      </c>
      <c r="D731" t="inlineStr">
        <is>
          <t>ÖREBRO LÄN</t>
        </is>
      </c>
      <c r="E731" t="inlineStr">
        <is>
          <t>LINDESBERG</t>
        </is>
      </c>
      <c r="G731" t="n">
        <v>4.6</v>
      </c>
      <c r="H731" t="n">
        <v>0</v>
      </c>
      <c r="I731" t="n">
        <v>0</v>
      </c>
      <c r="J731" t="n">
        <v>0</v>
      </c>
      <c r="K731" t="n">
        <v>0</v>
      </c>
      <c r="L731" t="n">
        <v>0</v>
      </c>
      <c r="M731" t="n">
        <v>0</v>
      </c>
      <c r="N731" t="n">
        <v>0</v>
      </c>
      <c r="O731" t="n">
        <v>0</v>
      </c>
      <c r="P731" t="n">
        <v>0</v>
      </c>
      <c r="Q731" t="n">
        <v>0</v>
      </c>
      <c r="R731" s="2" t="inlineStr"/>
    </row>
    <row r="732" ht="15" customHeight="1">
      <c r="A732" t="inlineStr">
        <is>
          <t>A 1405-2025</t>
        </is>
      </c>
      <c r="B732" s="1" t="n">
        <v>45667</v>
      </c>
      <c r="C732" s="1" t="n">
        <v>46187</v>
      </c>
      <c r="D732" t="inlineStr">
        <is>
          <t>ÖREBRO LÄN</t>
        </is>
      </c>
      <c r="E732" t="inlineStr">
        <is>
          <t>LINDESBERG</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45078-2024</t>
        </is>
      </c>
      <c r="B733" s="1" t="n">
        <v>45575.57104166667</v>
      </c>
      <c r="C733" s="1" t="n">
        <v>46187</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6723-2022</t>
        </is>
      </c>
      <c r="B734" s="1" t="n">
        <v>44602.45162037037</v>
      </c>
      <c r="C734" s="1" t="n">
        <v>46187</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28470-2023</t>
        </is>
      </c>
      <c r="B735" s="1" t="n">
        <v>45103</v>
      </c>
      <c r="C735" s="1" t="n">
        <v>46187</v>
      </c>
      <c r="D735" t="inlineStr">
        <is>
          <t>ÖREBRO LÄN</t>
        </is>
      </c>
      <c r="E735" t="inlineStr">
        <is>
          <t>LINDESBERG</t>
        </is>
      </c>
      <c r="G735" t="n">
        <v>6.7</v>
      </c>
      <c r="H735" t="n">
        <v>0</v>
      </c>
      <c r="I735" t="n">
        <v>0</v>
      </c>
      <c r="J735" t="n">
        <v>0</v>
      </c>
      <c r="K735" t="n">
        <v>0</v>
      </c>
      <c r="L735" t="n">
        <v>0</v>
      </c>
      <c r="M735" t="n">
        <v>0</v>
      </c>
      <c r="N735" t="n">
        <v>0</v>
      </c>
      <c r="O735" t="n">
        <v>0</v>
      </c>
      <c r="P735" t="n">
        <v>0</v>
      </c>
      <c r="Q735" t="n">
        <v>0</v>
      </c>
      <c r="R735" s="2" t="inlineStr"/>
    </row>
    <row r="736" ht="15" customHeight="1">
      <c r="A736" t="inlineStr">
        <is>
          <t>A 32097-2024</t>
        </is>
      </c>
      <c r="B736" s="1" t="n">
        <v>45511.39445601852</v>
      </c>
      <c r="C736" s="1" t="n">
        <v>46187</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26340-2022</t>
        </is>
      </c>
      <c r="B737" s="1" t="n">
        <v>44735.62539351852</v>
      </c>
      <c r="C737" s="1" t="n">
        <v>46187</v>
      </c>
      <c r="D737" t="inlineStr">
        <is>
          <t>ÖREBRO LÄN</t>
        </is>
      </c>
      <c r="E737" t="inlineStr">
        <is>
          <t>LINDESBERG</t>
        </is>
      </c>
      <c r="F737" t="inlineStr">
        <is>
          <t>Sveaskog</t>
        </is>
      </c>
      <c r="G737" t="n">
        <v>2.6</v>
      </c>
      <c r="H737" t="n">
        <v>0</v>
      </c>
      <c r="I737" t="n">
        <v>0</v>
      </c>
      <c r="J737" t="n">
        <v>0</v>
      </c>
      <c r="K737" t="n">
        <v>0</v>
      </c>
      <c r="L737" t="n">
        <v>0</v>
      </c>
      <c r="M737" t="n">
        <v>0</v>
      </c>
      <c r="N737" t="n">
        <v>0</v>
      </c>
      <c r="O737" t="n">
        <v>0</v>
      </c>
      <c r="P737" t="n">
        <v>0</v>
      </c>
      <c r="Q737" t="n">
        <v>0</v>
      </c>
      <c r="R737" s="2" t="inlineStr"/>
    </row>
    <row r="738" ht="15" customHeight="1">
      <c r="A738" t="inlineStr">
        <is>
          <t>A 30534-2023</t>
        </is>
      </c>
      <c r="B738" s="1" t="n">
        <v>45111</v>
      </c>
      <c r="C738" s="1" t="n">
        <v>46187</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54705-2022</t>
        </is>
      </c>
      <c r="B739" s="1" t="n">
        <v>44883</v>
      </c>
      <c r="C739" s="1" t="n">
        <v>46187</v>
      </c>
      <c r="D739" t="inlineStr">
        <is>
          <t>ÖREBRO LÄN</t>
        </is>
      </c>
      <c r="E739" t="inlineStr">
        <is>
          <t>LINDESBERG</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59631-2023</t>
        </is>
      </c>
      <c r="B740" s="1" t="n">
        <v>45254.68105324074</v>
      </c>
      <c r="C740" s="1" t="n">
        <v>46187</v>
      </c>
      <c r="D740" t="inlineStr">
        <is>
          <t>ÖREBRO LÄN</t>
        </is>
      </c>
      <c r="E740" t="inlineStr">
        <is>
          <t>LINDESBERG</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34539-2024</t>
        </is>
      </c>
      <c r="B741" s="1" t="n">
        <v>45525.7374537037</v>
      </c>
      <c r="C741" s="1" t="n">
        <v>46187</v>
      </c>
      <c r="D741" t="inlineStr">
        <is>
          <t>ÖREBRO LÄN</t>
        </is>
      </c>
      <c r="E741" t="inlineStr">
        <is>
          <t>LINDESBERG</t>
        </is>
      </c>
      <c r="G741" t="n">
        <v>5.4</v>
      </c>
      <c r="H741" t="n">
        <v>0</v>
      </c>
      <c r="I741" t="n">
        <v>0</v>
      </c>
      <c r="J741" t="n">
        <v>0</v>
      </c>
      <c r="K741" t="n">
        <v>0</v>
      </c>
      <c r="L741" t="n">
        <v>0</v>
      </c>
      <c r="M741" t="n">
        <v>0</v>
      </c>
      <c r="N741" t="n">
        <v>0</v>
      </c>
      <c r="O741" t="n">
        <v>0</v>
      </c>
      <c r="P741" t="n">
        <v>0</v>
      </c>
      <c r="Q741" t="n">
        <v>0</v>
      </c>
      <c r="R741" s="2" t="inlineStr"/>
    </row>
    <row r="742" ht="15" customHeight="1">
      <c r="A742" t="inlineStr">
        <is>
          <t>A 41951-2023</t>
        </is>
      </c>
      <c r="B742" s="1" t="n">
        <v>45177.33991898148</v>
      </c>
      <c r="C742" s="1" t="n">
        <v>46187</v>
      </c>
      <c r="D742" t="inlineStr">
        <is>
          <t>ÖREBRO LÄN</t>
        </is>
      </c>
      <c r="E742" t="inlineStr">
        <is>
          <t>LINDESBERG</t>
        </is>
      </c>
      <c r="F742" t="inlineStr">
        <is>
          <t>Kyrkan</t>
        </is>
      </c>
      <c r="G742" t="n">
        <v>3.3</v>
      </c>
      <c r="H742" t="n">
        <v>0</v>
      </c>
      <c r="I742" t="n">
        <v>0</v>
      </c>
      <c r="J742" t="n">
        <v>0</v>
      </c>
      <c r="K742" t="n">
        <v>0</v>
      </c>
      <c r="L742" t="n">
        <v>0</v>
      </c>
      <c r="M742" t="n">
        <v>0</v>
      </c>
      <c r="N742" t="n">
        <v>0</v>
      </c>
      <c r="O742" t="n">
        <v>0</v>
      </c>
      <c r="P742" t="n">
        <v>0</v>
      </c>
      <c r="Q742" t="n">
        <v>0</v>
      </c>
      <c r="R742" s="2" t="inlineStr"/>
    </row>
    <row r="743" ht="15" customHeight="1">
      <c r="A743" t="inlineStr">
        <is>
          <t>A 58603-2023</t>
        </is>
      </c>
      <c r="B743" s="1" t="n">
        <v>45251</v>
      </c>
      <c r="C743" s="1" t="n">
        <v>46187</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14187-2024</t>
        </is>
      </c>
      <c r="B744" s="1" t="n">
        <v>45393.35787037037</v>
      </c>
      <c r="C744" s="1" t="n">
        <v>46187</v>
      </c>
      <c r="D744" t="inlineStr">
        <is>
          <t>ÖREBRO LÄN</t>
        </is>
      </c>
      <c r="E744" t="inlineStr">
        <is>
          <t>LINDESBERG</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18418-2025</t>
        </is>
      </c>
      <c r="B745" s="1" t="n">
        <v>45762.61817129629</v>
      </c>
      <c r="C745" s="1" t="n">
        <v>46187</v>
      </c>
      <c r="D745" t="inlineStr">
        <is>
          <t>ÖREBRO LÄN</t>
        </is>
      </c>
      <c r="E745" t="inlineStr">
        <is>
          <t>LINDESBERG</t>
        </is>
      </c>
      <c r="G745" t="n">
        <v>2.3</v>
      </c>
      <c r="H745" t="n">
        <v>0</v>
      </c>
      <c r="I745" t="n">
        <v>0</v>
      </c>
      <c r="J745" t="n">
        <v>0</v>
      </c>
      <c r="K745" t="n">
        <v>0</v>
      </c>
      <c r="L745" t="n">
        <v>0</v>
      </c>
      <c r="M745" t="n">
        <v>0</v>
      </c>
      <c r="N745" t="n">
        <v>0</v>
      </c>
      <c r="O745" t="n">
        <v>0</v>
      </c>
      <c r="P745" t="n">
        <v>0</v>
      </c>
      <c r="Q745" t="n">
        <v>0</v>
      </c>
      <c r="R745" s="2" t="inlineStr"/>
    </row>
    <row r="746" ht="15" customHeight="1">
      <c r="A746" t="inlineStr">
        <is>
          <t>A 29849-2023</t>
        </is>
      </c>
      <c r="B746" s="1" t="n">
        <v>45107</v>
      </c>
      <c r="C746" s="1" t="n">
        <v>46187</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60105-2022</t>
        </is>
      </c>
      <c r="B747" s="1" t="n">
        <v>44902</v>
      </c>
      <c r="C747" s="1" t="n">
        <v>46187</v>
      </c>
      <c r="D747" t="inlineStr">
        <is>
          <t>ÖREBRO LÄN</t>
        </is>
      </c>
      <c r="E747" t="inlineStr">
        <is>
          <t>LINDESBERG</t>
        </is>
      </c>
      <c r="G747" t="n">
        <v>0.5</v>
      </c>
      <c r="H747" t="n">
        <v>0</v>
      </c>
      <c r="I747" t="n">
        <v>0</v>
      </c>
      <c r="J747" t="n">
        <v>0</v>
      </c>
      <c r="K747" t="n">
        <v>0</v>
      </c>
      <c r="L747" t="n">
        <v>0</v>
      </c>
      <c r="M747" t="n">
        <v>0</v>
      </c>
      <c r="N747" t="n">
        <v>0</v>
      </c>
      <c r="O747" t="n">
        <v>0</v>
      </c>
      <c r="P747" t="n">
        <v>0</v>
      </c>
      <c r="Q747" t="n">
        <v>0</v>
      </c>
      <c r="R747" s="2" t="inlineStr"/>
    </row>
    <row r="748" ht="15" customHeight="1">
      <c r="A748" t="inlineStr">
        <is>
          <t>A 33427-2024</t>
        </is>
      </c>
      <c r="B748" s="1" t="n">
        <v>45519.52232638889</v>
      </c>
      <c r="C748" s="1" t="n">
        <v>46187</v>
      </c>
      <c r="D748" t="inlineStr">
        <is>
          <t>ÖREBRO LÄN</t>
        </is>
      </c>
      <c r="E748" t="inlineStr">
        <is>
          <t>LINDESBERG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29894-2023</t>
        </is>
      </c>
      <c r="B749" s="1" t="n">
        <v>45107</v>
      </c>
      <c r="C749" s="1" t="n">
        <v>46187</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40306-2022</t>
        </is>
      </c>
      <c r="B750" s="1" t="n">
        <v>44822</v>
      </c>
      <c r="C750" s="1" t="n">
        <v>46187</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63668-2023</t>
        </is>
      </c>
      <c r="B751" s="1" t="n">
        <v>45274</v>
      </c>
      <c r="C751" s="1" t="n">
        <v>46187</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44675-2021</t>
        </is>
      </c>
      <c r="B752" s="1" t="n">
        <v>44438</v>
      </c>
      <c r="C752" s="1" t="n">
        <v>46187</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59633-2023</t>
        </is>
      </c>
      <c r="B753" s="1" t="n">
        <v>45254</v>
      </c>
      <c r="C753" s="1" t="n">
        <v>46187</v>
      </c>
      <c r="D753" t="inlineStr">
        <is>
          <t>ÖREBRO LÄN</t>
        </is>
      </c>
      <c r="E753" t="inlineStr">
        <is>
          <t>LINDESBERG</t>
        </is>
      </c>
      <c r="F753" t="inlineStr">
        <is>
          <t>Sveaskog</t>
        </is>
      </c>
      <c r="G753" t="n">
        <v>1.9</v>
      </c>
      <c r="H753" t="n">
        <v>0</v>
      </c>
      <c r="I753" t="n">
        <v>0</v>
      </c>
      <c r="J753" t="n">
        <v>0</v>
      </c>
      <c r="K753" t="n">
        <v>0</v>
      </c>
      <c r="L753" t="n">
        <v>0</v>
      </c>
      <c r="M753" t="n">
        <v>0</v>
      </c>
      <c r="N753" t="n">
        <v>0</v>
      </c>
      <c r="O753" t="n">
        <v>0</v>
      </c>
      <c r="P753" t="n">
        <v>0</v>
      </c>
      <c r="Q753" t="n">
        <v>0</v>
      </c>
      <c r="R753" s="2" t="inlineStr"/>
    </row>
    <row r="754" ht="15" customHeight="1">
      <c r="A754" t="inlineStr">
        <is>
          <t>A 13416-2025</t>
        </is>
      </c>
      <c r="B754" s="1" t="n">
        <v>45736.308125</v>
      </c>
      <c r="C754" s="1" t="n">
        <v>46187</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27051-2023</t>
        </is>
      </c>
      <c r="B755" s="1" t="n">
        <v>45095</v>
      </c>
      <c r="C755" s="1" t="n">
        <v>46187</v>
      </c>
      <c r="D755" t="inlineStr">
        <is>
          <t>ÖREBRO LÄN</t>
        </is>
      </c>
      <c r="E755" t="inlineStr">
        <is>
          <t>LINDESBERG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43801-2024</t>
        </is>
      </c>
      <c r="B756" s="1" t="n">
        <v>45571.71736111111</v>
      </c>
      <c r="C756" s="1" t="n">
        <v>46187</v>
      </c>
      <c r="D756" t="inlineStr">
        <is>
          <t>ÖREBRO LÄN</t>
        </is>
      </c>
      <c r="E756" t="inlineStr">
        <is>
          <t>LINDESBERG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45072-2024</t>
        </is>
      </c>
      <c r="B757" s="1" t="n">
        <v>45575.56686342593</v>
      </c>
      <c r="C757" s="1" t="n">
        <v>46187</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45075-2024</t>
        </is>
      </c>
      <c r="B758" s="1" t="n">
        <v>45575.56820601852</v>
      </c>
      <c r="C758" s="1" t="n">
        <v>46187</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61405-2022</t>
        </is>
      </c>
      <c r="B759" s="1" t="n">
        <v>44916</v>
      </c>
      <c r="C759" s="1" t="n">
        <v>46187</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40563-2023</t>
        </is>
      </c>
      <c r="B760" s="1" t="n">
        <v>45170.45921296296</v>
      </c>
      <c r="C760" s="1" t="n">
        <v>46187</v>
      </c>
      <c r="D760" t="inlineStr">
        <is>
          <t>ÖREBRO LÄN</t>
        </is>
      </c>
      <c r="E760" t="inlineStr">
        <is>
          <t>LINDESBERG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38613-2024</t>
        </is>
      </c>
      <c r="B761" s="1" t="n">
        <v>45546.68743055555</v>
      </c>
      <c r="C761" s="1" t="n">
        <v>46187</v>
      </c>
      <c r="D761" t="inlineStr">
        <is>
          <t>ÖREBRO LÄN</t>
        </is>
      </c>
      <c r="E761" t="inlineStr">
        <is>
          <t>LINDESBERG</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46187</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72331-2021</t>
        </is>
      </c>
      <c r="B763" s="1" t="n">
        <v>44544</v>
      </c>
      <c r="C763" s="1" t="n">
        <v>46187</v>
      </c>
      <c r="D763" t="inlineStr">
        <is>
          <t>ÖREBRO LÄN</t>
        </is>
      </c>
      <c r="E763" t="inlineStr">
        <is>
          <t>LINDESBERG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54663-2021</t>
        </is>
      </c>
      <c r="B764" s="1" t="n">
        <v>44473.6343287037</v>
      </c>
      <c r="C764" s="1" t="n">
        <v>46187</v>
      </c>
      <c r="D764" t="inlineStr">
        <is>
          <t>ÖREBRO LÄN</t>
        </is>
      </c>
      <c r="E764" t="inlineStr">
        <is>
          <t>LINDESBERG</t>
        </is>
      </c>
      <c r="G764" t="n">
        <v>1.2</v>
      </c>
      <c r="H764" t="n">
        <v>0</v>
      </c>
      <c r="I764" t="n">
        <v>0</v>
      </c>
      <c r="J764" t="n">
        <v>0</v>
      </c>
      <c r="K764" t="n">
        <v>0</v>
      </c>
      <c r="L764" t="n">
        <v>0</v>
      </c>
      <c r="M764" t="n">
        <v>0</v>
      </c>
      <c r="N764" t="n">
        <v>0</v>
      </c>
      <c r="O764" t="n">
        <v>0</v>
      </c>
      <c r="P764" t="n">
        <v>0</v>
      </c>
      <c r="Q764" t="n">
        <v>0</v>
      </c>
      <c r="R764" s="2" t="inlineStr"/>
    </row>
    <row r="765" ht="15" customHeight="1">
      <c r="A765" t="inlineStr">
        <is>
          <t>A 57795-2021</t>
        </is>
      </c>
      <c r="B765" s="1" t="n">
        <v>44484</v>
      </c>
      <c r="C765" s="1" t="n">
        <v>46187</v>
      </c>
      <c r="D765" t="inlineStr">
        <is>
          <t>ÖREBRO LÄN</t>
        </is>
      </c>
      <c r="E765" t="inlineStr">
        <is>
          <t>LINDESBERG</t>
        </is>
      </c>
      <c r="G765" t="n">
        <v>39.4</v>
      </c>
      <c r="H765" t="n">
        <v>0</v>
      </c>
      <c r="I765" t="n">
        <v>0</v>
      </c>
      <c r="J765" t="n">
        <v>0</v>
      </c>
      <c r="K765" t="n">
        <v>0</v>
      </c>
      <c r="L765" t="n">
        <v>0</v>
      </c>
      <c r="M765" t="n">
        <v>0</v>
      </c>
      <c r="N765" t="n">
        <v>0</v>
      </c>
      <c r="O765" t="n">
        <v>0</v>
      </c>
      <c r="P765" t="n">
        <v>0</v>
      </c>
      <c r="Q765" t="n">
        <v>0</v>
      </c>
      <c r="R765" s="2" t="inlineStr"/>
    </row>
    <row r="766" ht="15" customHeight="1">
      <c r="A766" t="inlineStr">
        <is>
          <t>A 27031-2024</t>
        </is>
      </c>
      <c r="B766" s="1" t="n">
        <v>45471.42659722222</v>
      </c>
      <c r="C766" s="1" t="n">
        <v>46187</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27130-2024</t>
        </is>
      </c>
      <c r="B767" s="1" t="n">
        <v>45471.52072916667</v>
      </c>
      <c r="C767" s="1" t="n">
        <v>46187</v>
      </c>
      <c r="D767" t="inlineStr">
        <is>
          <t>ÖREBRO LÄN</t>
        </is>
      </c>
      <c r="E767" t="inlineStr">
        <is>
          <t>LINDESBERG</t>
        </is>
      </c>
      <c r="G767" t="n">
        <v>2</v>
      </c>
      <c r="H767" t="n">
        <v>0</v>
      </c>
      <c r="I767" t="n">
        <v>0</v>
      </c>
      <c r="J767" t="n">
        <v>0</v>
      </c>
      <c r="K767" t="n">
        <v>0</v>
      </c>
      <c r="L767" t="n">
        <v>0</v>
      </c>
      <c r="M767" t="n">
        <v>0</v>
      </c>
      <c r="N767" t="n">
        <v>0</v>
      </c>
      <c r="O767" t="n">
        <v>0</v>
      </c>
      <c r="P767" t="n">
        <v>0</v>
      </c>
      <c r="Q767" t="n">
        <v>0</v>
      </c>
      <c r="R767" s="2" t="inlineStr"/>
    </row>
    <row r="768" ht="15" customHeight="1">
      <c r="A768" t="inlineStr">
        <is>
          <t>A 6161-2025</t>
        </is>
      </c>
      <c r="B768" s="1" t="n">
        <v>45698</v>
      </c>
      <c r="C768" s="1" t="n">
        <v>46187</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6165-2025</t>
        </is>
      </c>
      <c r="B769" s="1" t="n">
        <v>45698</v>
      </c>
      <c r="C769" s="1" t="n">
        <v>46187</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44664-2023</t>
        </is>
      </c>
      <c r="B770" s="1" t="n">
        <v>45189</v>
      </c>
      <c r="C770" s="1" t="n">
        <v>46187</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11366-2024</t>
        </is>
      </c>
      <c r="B771" s="1" t="n">
        <v>45372.40246527778</v>
      </c>
      <c r="C771" s="1" t="n">
        <v>46187</v>
      </c>
      <c r="D771" t="inlineStr">
        <is>
          <t>ÖREBRO LÄN</t>
        </is>
      </c>
      <c r="E771" t="inlineStr">
        <is>
          <t>LINDESBERG</t>
        </is>
      </c>
      <c r="G771" t="n">
        <v>4.4</v>
      </c>
      <c r="H771" t="n">
        <v>0</v>
      </c>
      <c r="I771" t="n">
        <v>0</v>
      </c>
      <c r="J771" t="n">
        <v>0</v>
      </c>
      <c r="K771" t="n">
        <v>0</v>
      </c>
      <c r="L771" t="n">
        <v>0</v>
      </c>
      <c r="M771" t="n">
        <v>0</v>
      </c>
      <c r="N771" t="n">
        <v>0</v>
      </c>
      <c r="O771" t="n">
        <v>0</v>
      </c>
      <c r="P771" t="n">
        <v>0</v>
      </c>
      <c r="Q771" t="n">
        <v>0</v>
      </c>
      <c r="R771" s="2" t="inlineStr"/>
    </row>
    <row r="772" ht="15" customHeight="1">
      <c r="A772" t="inlineStr">
        <is>
          <t>A 24270-2023</t>
        </is>
      </c>
      <c r="B772" s="1" t="n">
        <v>45079</v>
      </c>
      <c r="C772" s="1" t="n">
        <v>46187</v>
      </c>
      <c r="D772" t="inlineStr">
        <is>
          <t>ÖREBRO LÄN</t>
        </is>
      </c>
      <c r="E772" t="inlineStr">
        <is>
          <t>LINDESBERG</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24271-2023</t>
        </is>
      </c>
      <c r="B773" s="1" t="n">
        <v>45079</v>
      </c>
      <c r="C773" s="1" t="n">
        <v>46187</v>
      </c>
      <c r="D773" t="inlineStr">
        <is>
          <t>ÖREBRO LÄN</t>
        </is>
      </c>
      <c r="E773" t="inlineStr">
        <is>
          <t>LINDESBERG</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25046-2024</t>
        </is>
      </c>
      <c r="B774" s="1" t="n">
        <v>45462</v>
      </c>
      <c r="C774" s="1" t="n">
        <v>46187</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45038-2024</t>
        </is>
      </c>
      <c r="B775" s="1" t="n">
        <v>45575.53331018519</v>
      </c>
      <c r="C775" s="1" t="n">
        <v>46187</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21468-2024</t>
        </is>
      </c>
      <c r="B776" s="1" t="n">
        <v>45441.48670138889</v>
      </c>
      <c r="C776" s="1" t="n">
        <v>46187</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40038-2024</t>
        </is>
      </c>
      <c r="B777" s="1" t="n">
        <v>45553</v>
      </c>
      <c r="C777" s="1" t="n">
        <v>46187</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12276-2025</t>
        </is>
      </c>
      <c r="B778" s="1" t="n">
        <v>45729.65061342593</v>
      </c>
      <c r="C778" s="1" t="n">
        <v>46187</v>
      </c>
      <c r="D778" t="inlineStr">
        <is>
          <t>ÖREBRO LÄN</t>
        </is>
      </c>
      <c r="E778" t="inlineStr">
        <is>
          <t>LINDESBERG</t>
        </is>
      </c>
      <c r="G778" t="n">
        <v>7.6</v>
      </c>
      <c r="H778" t="n">
        <v>0</v>
      </c>
      <c r="I778" t="n">
        <v>0</v>
      </c>
      <c r="J778" t="n">
        <v>0</v>
      </c>
      <c r="K778" t="n">
        <v>0</v>
      </c>
      <c r="L778" t="n">
        <v>0</v>
      </c>
      <c r="M778" t="n">
        <v>0</v>
      </c>
      <c r="N778" t="n">
        <v>0</v>
      </c>
      <c r="O778" t="n">
        <v>0</v>
      </c>
      <c r="P778" t="n">
        <v>0</v>
      </c>
      <c r="Q778" t="n">
        <v>0</v>
      </c>
      <c r="R778" s="2" t="inlineStr"/>
    </row>
    <row r="779" ht="15" customHeight="1">
      <c r="A779" t="inlineStr">
        <is>
          <t>A 14028-2023</t>
        </is>
      </c>
      <c r="B779" s="1" t="n">
        <v>45008</v>
      </c>
      <c r="C779" s="1" t="n">
        <v>46187</v>
      </c>
      <c r="D779" t="inlineStr">
        <is>
          <t>ÖREBRO LÄN</t>
        </is>
      </c>
      <c r="E779" t="inlineStr">
        <is>
          <t>LINDESBERG</t>
        </is>
      </c>
      <c r="F779" t="inlineStr">
        <is>
          <t>Kyrkan</t>
        </is>
      </c>
      <c r="G779" t="n">
        <v>1.1</v>
      </c>
      <c r="H779" t="n">
        <v>0</v>
      </c>
      <c r="I779" t="n">
        <v>0</v>
      </c>
      <c r="J779" t="n">
        <v>0</v>
      </c>
      <c r="K779" t="n">
        <v>0</v>
      </c>
      <c r="L779" t="n">
        <v>0</v>
      </c>
      <c r="M779" t="n">
        <v>0</v>
      </c>
      <c r="N779" t="n">
        <v>0</v>
      </c>
      <c r="O779" t="n">
        <v>0</v>
      </c>
      <c r="P779" t="n">
        <v>0</v>
      </c>
      <c r="Q779" t="n">
        <v>0</v>
      </c>
      <c r="R779" s="2" t="inlineStr"/>
    </row>
    <row r="780" ht="15" customHeight="1">
      <c r="A780" t="inlineStr">
        <is>
          <t>A 31024-2023</t>
        </is>
      </c>
      <c r="B780" s="1" t="n">
        <v>45113</v>
      </c>
      <c r="C780" s="1" t="n">
        <v>46187</v>
      </c>
      <c r="D780" t="inlineStr">
        <is>
          <t>ÖREBRO LÄN</t>
        </is>
      </c>
      <c r="E780" t="inlineStr">
        <is>
          <t>LINDESBERG</t>
        </is>
      </c>
      <c r="G780" t="n">
        <v>5.1</v>
      </c>
      <c r="H780" t="n">
        <v>0</v>
      </c>
      <c r="I780" t="n">
        <v>0</v>
      </c>
      <c r="J780" t="n">
        <v>0</v>
      </c>
      <c r="K780" t="n">
        <v>0</v>
      </c>
      <c r="L780" t="n">
        <v>0</v>
      </c>
      <c r="M780" t="n">
        <v>0</v>
      </c>
      <c r="N780" t="n">
        <v>0</v>
      </c>
      <c r="O780" t="n">
        <v>0</v>
      </c>
      <c r="P780" t="n">
        <v>0</v>
      </c>
      <c r="Q780" t="n">
        <v>0</v>
      </c>
      <c r="R780" s="2" t="inlineStr"/>
    </row>
    <row r="781" ht="15" customHeight="1">
      <c r="A781" t="inlineStr">
        <is>
          <t>A 27052-2023</t>
        </is>
      </c>
      <c r="B781" s="1" t="n">
        <v>45095</v>
      </c>
      <c r="C781" s="1" t="n">
        <v>46187</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12053-2024</t>
        </is>
      </c>
      <c r="B782" s="1" t="n">
        <v>45377.48265046296</v>
      </c>
      <c r="C782" s="1" t="n">
        <v>46187</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626-2025</t>
        </is>
      </c>
      <c r="B783" s="1" t="n">
        <v>45664</v>
      </c>
      <c r="C783" s="1" t="n">
        <v>46187</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63686-2023</t>
        </is>
      </c>
      <c r="B784" s="1" t="n">
        <v>45274</v>
      </c>
      <c r="C784" s="1" t="n">
        <v>46187</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64365-2023</t>
        </is>
      </c>
      <c r="B785" s="1" t="n">
        <v>45280</v>
      </c>
      <c r="C785" s="1" t="n">
        <v>46187</v>
      </c>
      <c r="D785" t="inlineStr">
        <is>
          <t>ÖREBRO LÄN</t>
        </is>
      </c>
      <c r="E785" t="inlineStr">
        <is>
          <t>LINDESBERG</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56217-2022</t>
        </is>
      </c>
      <c r="B786" s="1" t="n">
        <v>44890.46174768519</v>
      </c>
      <c r="C786" s="1" t="n">
        <v>46187</v>
      </c>
      <c r="D786" t="inlineStr">
        <is>
          <t>ÖREBRO LÄN</t>
        </is>
      </c>
      <c r="E786" t="inlineStr">
        <is>
          <t>LINDESBERG</t>
        </is>
      </c>
      <c r="G786" t="n">
        <v>6.9</v>
      </c>
      <c r="H786" t="n">
        <v>0</v>
      </c>
      <c r="I786" t="n">
        <v>0</v>
      </c>
      <c r="J786" t="n">
        <v>0</v>
      </c>
      <c r="K786" t="n">
        <v>0</v>
      </c>
      <c r="L786" t="n">
        <v>0</v>
      </c>
      <c r="M786" t="n">
        <v>0</v>
      </c>
      <c r="N786" t="n">
        <v>0</v>
      </c>
      <c r="O786" t="n">
        <v>0</v>
      </c>
      <c r="P786" t="n">
        <v>0</v>
      </c>
      <c r="Q786" t="n">
        <v>0</v>
      </c>
      <c r="R786" s="2" t="inlineStr"/>
    </row>
    <row r="787" ht="15" customHeight="1">
      <c r="A787" t="inlineStr">
        <is>
          <t>A 5550-2024</t>
        </is>
      </c>
      <c r="B787" s="1" t="n">
        <v>45334</v>
      </c>
      <c r="C787" s="1" t="n">
        <v>46187</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32829-2024</t>
        </is>
      </c>
      <c r="B788" s="1" t="n">
        <v>45516.59447916667</v>
      </c>
      <c r="C788" s="1" t="n">
        <v>46187</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29350-2022</t>
        </is>
      </c>
      <c r="B789" s="1" t="n">
        <v>44753</v>
      </c>
      <c r="C789" s="1" t="n">
        <v>46187</v>
      </c>
      <c r="D789" t="inlineStr">
        <is>
          <t>ÖREBRO LÄN</t>
        </is>
      </c>
      <c r="E789" t="inlineStr">
        <is>
          <t>LINDESBERG</t>
        </is>
      </c>
      <c r="G789" t="n">
        <v>7.7</v>
      </c>
      <c r="H789" t="n">
        <v>0</v>
      </c>
      <c r="I789" t="n">
        <v>0</v>
      </c>
      <c r="J789" t="n">
        <v>0</v>
      </c>
      <c r="K789" t="n">
        <v>0</v>
      </c>
      <c r="L789" t="n">
        <v>0</v>
      </c>
      <c r="M789" t="n">
        <v>0</v>
      </c>
      <c r="N789" t="n">
        <v>0</v>
      </c>
      <c r="O789" t="n">
        <v>0</v>
      </c>
      <c r="P789" t="n">
        <v>0</v>
      </c>
      <c r="Q789" t="n">
        <v>0</v>
      </c>
      <c r="R789" s="2" t="inlineStr"/>
    </row>
    <row r="790" ht="15" customHeight="1">
      <c r="A790" t="inlineStr">
        <is>
          <t>A 58710-2023</t>
        </is>
      </c>
      <c r="B790" s="1" t="n">
        <v>45251.696875</v>
      </c>
      <c r="C790" s="1" t="n">
        <v>46187</v>
      </c>
      <c r="D790" t="inlineStr">
        <is>
          <t>ÖREBRO LÄN</t>
        </is>
      </c>
      <c r="E790" t="inlineStr">
        <is>
          <t>LINDESBERG</t>
        </is>
      </c>
      <c r="G790" t="n">
        <v>6.3</v>
      </c>
      <c r="H790" t="n">
        <v>0</v>
      </c>
      <c r="I790" t="n">
        <v>0</v>
      </c>
      <c r="J790" t="n">
        <v>0</v>
      </c>
      <c r="K790" t="n">
        <v>0</v>
      </c>
      <c r="L790" t="n">
        <v>0</v>
      </c>
      <c r="M790" t="n">
        <v>0</v>
      </c>
      <c r="N790" t="n">
        <v>0</v>
      </c>
      <c r="O790" t="n">
        <v>0</v>
      </c>
      <c r="P790" t="n">
        <v>0</v>
      </c>
      <c r="Q790" t="n">
        <v>0</v>
      </c>
      <c r="R790" s="2" t="inlineStr"/>
    </row>
    <row r="791" ht="15" customHeight="1">
      <c r="A791" t="inlineStr">
        <is>
          <t>A 60449-2024</t>
        </is>
      </c>
      <c r="B791" s="1" t="n">
        <v>45643</v>
      </c>
      <c r="C791" s="1" t="n">
        <v>46187</v>
      </c>
      <c r="D791" t="inlineStr">
        <is>
          <t>ÖREBRO LÄN</t>
        </is>
      </c>
      <c r="E791" t="inlineStr">
        <is>
          <t>LINDESBERG</t>
        </is>
      </c>
      <c r="G791" t="n">
        <v>1.2</v>
      </c>
      <c r="H791" t="n">
        <v>0</v>
      </c>
      <c r="I791" t="n">
        <v>0</v>
      </c>
      <c r="J791" t="n">
        <v>0</v>
      </c>
      <c r="K791" t="n">
        <v>0</v>
      </c>
      <c r="L791" t="n">
        <v>0</v>
      </c>
      <c r="M791" t="n">
        <v>0</v>
      </c>
      <c r="N791" t="n">
        <v>0</v>
      </c>
      <c r="O791" t="n">
        <v>0</v>
      </c>
      <c r="P791" t="n">
        <v>0</v>
      </c>
      <c r="Q791" t="n">
        <v>0</v>
      </c>
      <c r="R791" s="2" t="inlineStr"/>
    </row>
    <row r="792" ht="15" customHeight="1">
      <c r="A792" t="inlineStr">
        <is>
          <t>A 43529-2024</t>
        </is>
      </c>
      <c r="B792" s="1" t="n">
        <v>45569.35209490741</v>
      </c>
      <c r="C792" s="1" t="n">
        <v>46187</v>
      </c>
      <c r="D792" t="inlineStr">
        <is>
          <t>ÖREBRO LÄN</t>
        </is>
      </c>
      <c r="E792" t="inlineStr">
        <is>
          <t>LINDESBERG</t>
        </is>
      </c>
      <c r="G792" t="n">
        <v>2.8</v>
      </c>
      <c r="H792" t="n">
        <v>0</v>
      </c>
      <c r="I792" t="n">
        <v>0</v>
      </c>
      <c r="J792" t="n">
        <v>0</v>
      </c>
      <c r="K792" t="n">
        <v>0</v>
      </c>
      <c r="L792" t="n">
        <v>0</v>
      </c>
      <c r="M792" t="n">
        <v>0</v>
      </c>
      <c r="N792" t="n">
        <v>0</v>
      </c>
      <c r="O792" t="n">
        <v>0</v>
      </c>
      <c r="P792" t="n">
        <v>0</v>
      </c>
      <c r="Q792" t="n">
        <v>0</v>
      </c>
      <c r="R792" s="2" t="inlineStr"/>
    </row>
    <row r="793" ht="15" customHeight="1">
      <c r="A793" t="inlineStr">
        <is>
          <t>A 54864-2024</t>
        </is>
      </c>
      <c r="B793" s="1" t="n">
        <v>45618.59456018519</v>
      </c>
      <c r="C793" s="1" t="n">
        <v>46187</v>
      </c>
      <c r="D793" t="inlineStr">
        <is>
          <t>ÖREBRO LÄN</t>
        </is>
      </c>
      <c r="E793" t="inlineStr">
        <is>
          <t>LINDESBERG</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32009-2023</t>
        </is>
      </c>
      <c r="B794" s="1" t="n">
        <v>45119</v>
      </c>
      <c r="C794" s="1" t="n">
        <v>46187</v>
      </c>
      <c r="D794" t="inlineStr">
        <is>
          <t>ÖREBRO LÄN</t>
        </is>
      </c>
      <c r="E794" t="inlineStr">
        <is>
          <t>LINDESBERG</t>
        </is>
      </c>
      <c r="F794" t="inlineStr">
        <is>
          <t>Kyrkan</t>
        </is>
      </c>
      <c r="G794" t="n">
        <v>0.8</v>
      </c>
      <c r="H794" t="n">
        <v>0</v>
      </c>
      <c r="I794" t="n">
        <v>0</v>
      </c>
      <c r="J794" t="n">
        <v>0</v>
      </c>
      <c r="K794" t="n">
        <v>0</v>
      </c>
      <c r="L794" t="n">
        <v>0</v>
      </c>
      <c r="M794" t="n">
        <v>0</v>
      </c>
      <c r="N794" t="n">
        <v>0</v>
      </c>
      <c r="O794" t="n">
        <v>0</v>
      </c>
      <c r="P794" t="n">
        <v>0</v>
      </c>
      <c r="Q794" t="n">
        <v>0</v>
      </c>
      <c r="R794" s="2" t="inlineStr"/>
    </row>
    <row r="795" ht="15" customHeight="1">
      <c r="A795" t="inlineStr">
        <is>
          <t>A 3148-2023</t>
        </is>
      </c>
      <c r="B795" s="1" t="n">
        <v>44946.54424768518</v>
      </c>
      <c r="C795" s="1" t="n">
        <v>46187</v>
      </c>
      <c r="D795" t="inlineStr">
        <is>
          <t>ÖREBRO LÄN</t>
        </is>
      </c>
      <c r="E795" t="inlineStr">
        <is>
          <t>LINDESBERG</t>
        </is>
      </c>
      <c r="G795" t="n">
        <v>5.5</v>
      </c>
      <c r="H795" t="n">
        <v>0</v>
      </c>
      <c r="I795" t="n">
        <v>0</v>
      </c>
      <c r="J795" t="n">
        <v>0</v>
      </c>
      <c r="K795" t="n">
        <v>0</v>
      </c>
      <c r="L795" t="n">
        <v>0</v>
      </c>
      <c r="M795" t="n">
        <v>0</v>
      </c>
      <c r="N795" t="n">
        <v>0</v>
      </c>
      <c r="O795" t="n">
        <v>0</v>
      </c>
      <c r="P795" t="n">
        <v>0</v>
      </c>
      <c r="Q795" t="n">
        <v>0</v>
      </c>
      <c r="R795" s="2" t="inlineStr"/>
    </row>
    <row r="796" ht="15" customHeight="1">
      <c r="A796" t="inlineStr">
        <is>
          <t>A 37432-2022</t>
        </is>
      </c>
      <c r="B796" s="1" t="n">
        <v>44809</v>
      </c>
      <c r="C796" s="1" t="n">
        <v>46187</v>
      </c>
      <c r="D796" t="inlineStr">
        <is>
          <t>ÖREBRO LÄN</t>
        </is>
      </c>
      <c r="E796" t="inlineStr">
        <is>
          <t>LINDESBERG</t>
        </is>
      </c>
      <c r="G796" t="n">
        <v>3.6</v>
      </c>
      <c r="H796" t="n">
        <v>0</v>
      </c>
      <c r="I796" t="n">
        <v>0</v>
      </c>
      <c r="J796" t="n">
        <v>0</v>
      </c>
      <c r="K796" t="n">
        <v>0</v>
      </c>
      <c r="L796" t="n">
        <v>0</v>
      </c>
      <c r="M796" t="n">
        <v>0</v>
      </c>
      <c r="N796" t="n">
        <v>0</v>
      </c>
      <c r="O796" t="n">
        <v>0</v>
      </c>
      <c r="P796" t="n">
        <v>0</v>
      </c>
      <c r="Q796" t="n">
        <v>0</v>
      </c>
      <c r="R796" s="2" t="inlineStr"/>
    </row>
    <row r="797">
      <c r="A797" t="inlineStr">
        <is>
          <t>A 61202-2023</t>
        </is>
      </c>
      <c r="B797" s="1" t="n">
        <v>45264.38084490741</v>
      </c>
      <c r="C797" s="1" t="n">
        <v>46187</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2026-06-14T09:26:48Z</dcterms:created>
  <dcterms:modified xmlns:dcterms="http://purl.org/dc/terms/" xmlns:xsi="http://www.w3.org/2001/XMLSchema-instance" xsi:type="dcterms:W3CDTF">2026-06-14T09:26:49Z</dcterms:modified>
</cp:coreProperties>
</file>