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46019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46019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46019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46019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46019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46019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46019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46019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46019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46019</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46019</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46019</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46019</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46019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46019</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46019</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46019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46019</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46019</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46019</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46019</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50989-2023</t>
        </is>
      </c>
      <c r="B23" s="1" t="n">
        <v>45218</v>
      </c>
      <c r="C23" s="1" t="n">
        <v>46019</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34266-2025</t>
        </is>
      </c>
      <c r="B24" s="1" t="n">
        <v>45845.75751157408</v>
      </c>
      <c r="C24" s="1" t="n">
        <v>46019</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46019</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54020-2024</t>
        </is>
      </c>
      <c r="B26" s="1" t="n">
        <v>45616.38605324074</v>
      </c>
      <c r="C26" s="1" t="n">
        <v>46019</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46019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46019</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46019</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46019</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46019</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57319-2025</t>
        </is>
      </c>
      <c r="B32" s="1" t="n">
        <v>45980.01497685185</v>
      </c>
      <c r="C32" s="1" t="n">
        <v>46019</v>
      </c>
      <c r="D32" t="inlineStr">
        <is>
          <t>ÖREBRO LÄN</t>
        </is>
      </c>
      <c r="E32" t="inlineStr">
        <is>
          <t>LINDESBERG</t>
        </is>
      </c>
      <c r="F32" t="inlineStr">
        <is>
          <t>Sveaskog</t>
        </is>
      </c>
      <c r="G32" t="n">
        <v>15.3</v>
      </c>
      <c r="H32" t="n">
        <v>1</v>
      </c>
      <c r="I32" t="n">
        <v>2</v>
      </c>
      <c r="J32" t="n">
        <v>0</v>
      </c>
      <c r="K32" t="n">
        <v>0</v>
      </c>
      <c r="L32" t="n">
        <v>0</v>
      </c>
      <c r="M32" t="n">
        <v>0</v>
      </c>
      <c r="N32" t="n">
        <v>0</v>
      </c>
      <c r="O32" t="n">
        <v>0</v>
      </c>
      <c r="P32" t="n">
        <v>0</v>
      </c>
      <c r="Q32" t="n">
        <v>2</v>
      </c>
      <c r="R32" s="2" t="inlineStr">
        <is>
          <t>Dropptaggsvamp
Plattlummer</t>
        </is>
      </c>
      <c r="S32">
        <f>HYPERLINK("https://klasma.github.io/Logging_1885/artfynd/A 57319-2025 artfynd.xlsx", "A 57319-2025")</f>
        <v/>
      </c>
      <c r="T32">
        <f>HYPERLINK("https://klasma.github.io/Logging_1885/kartor/A 57319-2025 karta.png", "A 57319-2025")</f>
        <v/>
      </c>
      <c r="V32">
        <f>HYPERLINK("https://klasma.github.io/Logging_1885/klagomål/A 57319-2025 FSC-klagomål.docx", "A 57319-2025")</f>
        <v/>
      </c>
      <c r="W32">
        <f>HYPERLINK("https://klasma.github.io/Logging_1885/klagomålsmail/A 57319-2025 FSC-klagomål mail.docx", "A 57319-2025")</f>
        <v/>
      </c>
      <c r="X32">
        <f>HYPERLINK("https://klasma.github.io/Logging_1885/tillsyn/A 57319-2025 tillsynsbegäran.docx", "A 57319-2025")</f>
        <v/>
      </c>
      <c r="Y32">
        <f>HYPERLINK("https://klasma.github.io/Logging_1885/tillsynsmail/A 57319-2025 tillsynsbegäran mail.docx", "A 57319-2025")</f>
        <v/>
      </c>
    </row>
    <row r="33" ht="15" customHeight="1">
      <c r="A33" t="inlineStr">
        <is>
          <t>A 51851-2025</t>
        </is>
      </c>
      <c r="B33" s="1" t="n">
        <v>45952.35611111111</v>
      </c>
      <c r="C33" s="1" t="n">
        <v>46019</v>
      </c>
      <c r="D33" t="inlineStr">
        <is>
          <t>ÖREBRO LÄN</t>
        </is>
      </c>
      <c r="E33" t="inlineStr">
        <is>
          <t>LINDESBERG</t>
        </is>
      </c>
      <c r="G33" t="n">
        <v>6.9</v>
      </c>
      <c r="H33" t="n">
        <v>0</v>
      </c>
      <c r="I33" t="n">
        <v>0</v>
      </c>
      <c r="J33" t="n">
        <v>2</v>
      </c>
      <c r="K33" t="n">
        <v>0</v>
      </c>
      <c r="L33" t="n">
        <v>0</v>
      </c>
      <c r="M33" t="n">
        <v>0</v>
      </c>
      <c r="N33" t="n">
        <v>0</v>
      </c>
      <c r="O33" t="n">
        <v>2</v>
      </c>
      <c r="P33" t="n">
        <v>0</v>
      </c>
      <c r="Q33" t="n">
        <v>2</v>
      </c>
      <c r="R33" s="2" t="inlineStr">
        <is>
          <t>Garnlav
Motaggsvamp</t>
        </is>
      </c>
      <c r="S33">
        <f>HYPERLINK("https://klasma.github.io/Logging_1885/artfynd/A 51851-2025 artfynd.xlsx", "A 51851-2025")</f>
        <v/>
      </c>
      <c r="T33">
        <f>HYPERLINK("https://klasma.github.io/Logging_1885/kartor/A 51851-2025 karta.png", "A 51851-2025")</f>
        <v/>
      </c>
      <c r="V33">
        <f>HYPERLINK("https://klasma.github.io/Logging_1885/klagomål/A 51851-2025 FSC-klagomål.docx", "A 51851-2025")</f>
        <v/>
      </c>
      <c r="W33">
        <f>HYPERLINK("https://klasma.github.io/Logging_1885/klagomålsmail/A 51851-2025 FSC-klagomål mail.docx", "A 51851-2025")</f>
        <v/>
      </c>
      <c r="X33">
        <f>HYPERLINK("https://klasma.github.io/Logging_1885/tillsyn/A 51851-2025 tillsynsbegäran.docx", "A 51851-2025")</f>
        <v/>
      </c>
      <c r="Y33">
        <f>HYPERLINK("https://klasma.github.io/Logging_1885/tillsynsmail/A 51851-2025 tillsynsbegäran mail.docx", "A 51851-2025")</f>
        <v/>
      </c>
    </row>
    <row r="34" ht="15" customHeight="1">
      <c r="A34" t="inlineStr">
        <is>
          <t>A 54239-2025</t>
        </is>
      </c>
      <c r="B34" s="1" t="n">
        <v>45964.62771990741</v>
      </c>
      <c r="C34" s="1" t="n">
        <v>46019</v>
      </c>
      <c r="D34" t="inlineStr">
        <is>
          <t>ÖREBRO LÄN</t>
        </is>
      </c>
      <c r="E34" t="inlineStr">
        <is>
          <t>LINDESBERG</t>
        </is>
      </c>
      <c r="G34" t="n">
        <v>4.9</v>
      </c>
      <c r="H34" t="n">
        <v>1</v>
      </c>
      <c r="I34" t="n">
        <v>0</v>
      </c>
      <c r="J34" t="n">
        <v>1</v>
      </c>
      <c r="K34" t="n">
        <v>1</v>
      </c>
      <c r="L34" t="n">
        <v>0</v>
      </c>
      <c r="M34" t="n">
        <v>0</v>
      </c>
      <c r="N34" t="n">
        <v>0</v>
      </c>
      <c r="O34" t="n">
        <v>2</v>
      </c>
      <c r="P34" t="n">
        <v>1</v>
      </c>
      <c r="Q34" t="n">
        <v>2</v>
      </c>
      <c r="R34" s="2" t="inlineStr">
        <is>
          <t>Rynkskinn
Spillkråka</t>
        </is>
      </c>
      <c r="S34">
        <f>HYPERLINK("https://klasma.github.io/Logging_1885/artfynd/A 54239-2025 artfynd.xlsx", "A 54239-2025")</f>
        <v/>
      </c>
      <c r="T34">
        <f>HYPERLINK("https://klasma.github.io/Logging_1885/kartor/A 54239-2025 karta.png", "A 54239-2025")</f>
        <v/>
      </c>
      <c r="V34">
        <f>HYPERLINK("https://klasma.github.io/Logging_1885/klagomål/A 54239-2025 FSC-klagomål.docx", "A 54239-2025")</f>
        <v/>
      </c>
      <c r="W34">
        <f>HYPERLINK("https://klasma.github.io/Logging_1885/klagomålsmail/A 54239-2025 FSC-klagomål mail.docx", "A 54239-2025")</f>
        <v/>
      </c>
      <c r="X34">
        <f>HYPERLINK("https://klasma.github.io/Logging_1885/tillsyn/A 54239-2025 tillsynsbegäran.docx", "A 54239-2025")</f>
        <v/>
      </c>
      <c r="Y34">
        <f>HYPERLINK("https://klasma.github.io/Logging_1885/tillsynsmail/A 54239-2025 tillsynsbegäran mail.docx", "A 54239-2025")</f>
        <v/>
      </c>
      <c r="Z34">
        <f>HYPERLINK("https://klasma.github.io/Logging_1885/fåglar/A 54239-2025 prioriterade fågelarter.docx", "A 54239-2025")</f>
        <v/>
      </c>
    </row>
    <row r="35" ht="15" customHeight="1">
      <c r="A35" t="inlineStr">
        <is>
          <t>A 54093-2025</t>
        </is>
      </c>
      <c r="B35" s="1" t="n">
        <v>45964.40112268519</v>
      </c>
      <c r="C35" s="1" t="n">
        <v>46019</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14807-2021</t>
        </is>
      </c>
      <c r="B36" s="1" t="n">
        <v>44280</v>
      </c>
      <c r="C36" s="1" t="n">
        <v>46019</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46019</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46019</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46019</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46019</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46019</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46019</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46019</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46019</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46019</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45051-2024</t>
        </is>
      </c>
      <c r="B46" s="1" t="n">
        <v>45575.54934027778</v>
      </c>
      <c r="C46" s="1" t="n">
        <v>46019</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61129-2024</t>
        </is>
      </c>
      <c r="B47" s="1" t="n">
        <v>45645</v>
      </c>
      <c r="C47" s="1" t="n">
        <v>46019</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46019</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3729-2023</t>
        </is>
      </c>
      <c r="B49" s="1" t="n">
        <v>44949</v>
      </c>
      <c r="C49" s="1" t="n">
        <v>46019</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31052-2025</t>
        </is>
      </c>
      <c r="B50" s="1" t="n">
        <v>45832.56153935185</v>
      </c>
      <c r="C50" s="1" t="n">
        <v>46019</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45467-2025</t>
        </is>
      </c>
      <c r="B51" s="1" t="n">
        <v>45922.49990740741</v>
      </c>
      <c r="C51" s="1" t="n">
        <v>46019</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Svartvit taggsvamp</t>
        </is>
      </c>
      <c r="S51">
        <f>HYPERLINK("https://klasma.github.io/Logging_1885/artfynd/A 45467-2025 artfynd.xlsx", "A 45467-2025")</f>
        <v/>
      </c>
      <c r="T51">
        <f>HYPERLINK("https://klasma.github.io/Logging_1885/kartor/A 45467-2025 karta.png", "A 45467-2025")</f>
        <v/>
      </c>
      <c r="V51">
        <f>HYPERLINK("https://klasma.github.io/Logging_1885/klagomål/A 45467-2025 FSC-klagomål.docx", "A 45467-2025")</f>
        <v/>
      </c>
      <c r="W51">
        <f>HYPERLINK("https://klasma.github.io/Logging_1885/klagomålsmail/A 45467-2025 FSC-klagomål mail.docx", "A 45467-2025")</f>
        <v/>
      </c>
      <c r="X51">
        <f>HYPERLINK("https://klasma.github.io/Logging_1885/tillsyn/A 45467-2025 tillsynsbegäran.docx", "A 45467-2025")</f>
        <v/>
      </c>
      <c r="Y51">
        <f>HYPERLINK("https://klasma.github.io/Logging_1885/tillsynsmail/A 45467-2025 tillsynsbegäran mail.docx", "A 45467-2025")</f>
        <v/>
      </c>
    </row>
    <row r="52" ht="15" customHeight="1">
      <c r="A52" t="inlineStr">
        <is>
          <t>A 36669-2024</t>
        </is>
      </c>
      <c r="B52" s="1" t="n">
        <v>45537.64484953704</v>
      </c>
      <c r="C52" s="1" t="n">
        <v>46019</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57362-2025</t>
        </is>
      </c>
      <c r="B53" s="1" t="n">
        <v>45980.37108796297</v>
      </c>
      <c r="C53" s="1" t="n">
        <v>46019</v>
      </c>
      <c r="D53" t="inlineStr">
        <is>
          <t>ÖREBRO LÄN</t>
        </is>
      </c>
      <c r="E53" t="inlineStr">
        <is>
          <t>LINDESBERG</t>
        </is>
      </c>
      <c r="F53" t="inlineStr">
        <is>
          <t>Sveaskog</t>
        </is>
      </c>
      <c r="G53" t="n">
        <v>1.2</v>
      </c>
      <c r="H53" t="n">
        <v>0</v>
      </c>
      <c r="I53" t="n">
        <v>1</v>
      </c>
      <c r="J53" t="n">
        <v>0</v>
      </c>
      <c r="K53" t="n">
        <v>0</v>
      </c>
      <c r="L53" t="n">
        <v>0</v>
      </c>
      <c r="M53" t="n">
        <v>0</v>
      </c>
      <c r="N53" t="n">
        <v>0</v>
      </c>
      <c r="O53" t="n">
        <v>0</v>
      </c>
      <c r="P53" t="n">
        <v>0</v>
      </c>
      <c r="Q53" t="n">
        <v>1</v>
      </c>
      <c r="R53" s="2" t="inlineStr">
        <is>
          <t>Svart trolldruva</t>
        </is>
      </c>
      <c r="S53">
        <f>HYPERLINK("https://klasma.github.io/Logging_1885/artfynd/A 57362-2025 artfynd.xlsx", "A 57362-2025")</f>
        <v/>
      </c>
      <c r="T53">
        <f>HYPERLINK("https://klasma.github.io/Logging_1885/kartor/A 57362-2025 karta.png", "A 57362-2025")</f>
        <v/>
      </c>
      <c r="V53">
        <f>HYPERLINK("https://klasma.github.io/Logging_1885/klagomål/A 57362-2025 FSC-klagomål.docx", "A 57362-2025")</f>
        <v/>
      </c>
      <c r="W53">
        <f>HYPERLINK("https://klasma.github.io/Logging_1885/klagomålsmail/A 57362-2025 FSC-klagomål mail.docx", "A 57362-2025")</f>
        <v/>
      </c>
      <c r="X53">
        <f>HYPERLINK("https://klasma.github.io/Logging_1885/tillsyn/A 57362-2025 tillsynsbegäran.docx", "A 57362-2025")</f>
        <v/>
      </c>
      <c r="Y53">
        <f>HYPERLINK("https://klasma.github.io/Logging_1885/tillsynsmail/A 57362-2025 tillsynsbegäran mail.docx", "A 57362-2025")</f>
        <v/>
      </c>
    </row>
    <row r="54" ht="15" customHeight="1">
      <c r="A54" t="inlineStr">
        <is>
          <t>A 57355-2025</t>
        </is>
      </c>
      <c r="B54" s="1" t="n">
        <v>45980.3659375</v>
      </c>
      <c r="C54" s="1" t="n">
        <v>46019</v>
      </c>
      <c r="D54" t="inlineStr">
        <is>
          <t>ÖREBRO LÄN</t>
        </is>
      </c>
      <c r="E54" t="inlineStr">
        <is>
          <t>LINDESBERG</t>
        </is>
      </c>
      <c r="F54" t="inlineStr">
        <is>
          <t>Sveaskog</t>
        </is>
      </c>
      <c r="G54" t="n">
        <v>2.7</v>
      </c>
      <c r="H54" t="n">
        <v>0</v>
      </c>
      <c r="I54" t="n">
        <v>0</v>
      </c>
      <c r="J54" t="n">
        <v>1</v>
      </c>
      <c r="K54" t="n">
        <v>0</v>
      </c>
      <c r="L54" t="n">
        <v>0</v>
      </c>
      <c r="M54" t="n">
        <v>0</v>
      </c>
      <c r="N54" t="n">
        <v>0</v>
      </c>
      <c r="O54" t="n">
        <v>1</v>
      </c>
      <c r="P54" t="n">
        <v>0</v>
      </c>
      <c r="Q54" t="n">
        <v>1</v>
      </c>
      <c r="R54" s="2" t="inlineStr">
        <is>
          <t>Orange taggsvamp</t>
        </is>
      </c>
      <c r="S54">
        <f>HYPERLINK("https://klasma.github.io/Logging_1885/artfynd/A 57355-2025 artfynd.xlsx", "A 57355-2025")</f>
        <v/>
      </c>
      <c r="T54">
        <f>HYPERLINK("https://klasma.github.io/Logging_1885/kartor/A 57355-2025 karta.png", "A 57355-2025")</f>
        <v/>
      </c>
      <c r="V54">
        <f>HYPERLINK("https://klasma.github.io/Logging_1885/klagomål/A 57355-2025 FSC-klagomål.docx", "A 57355-2025")</f>
        <v/>
      </c>
      <c r="W54">
        <f>HYPERLINK("https://klasma.github.io/Logging_1885/klagomålsmail/A 57355-2025 FSC-klagomål mail.docx", "A 57355-2025")</f>
        <v/>
      </c>
      <c r="X54">
        <f>HYPERLINK("https://klasma.github.io/Logging_1885/tillsyn/A 57355-2025 tillsynsbegäran.docx", "A 57355-2025")</f>
        <v/>
      </c>
      <c r="Y54">
        <f>HYPERLINK("https://klasma.github.io/Logging_1885/tillsynsmail/A 57355-2025 tillsynsbegäran mail.docx", "A 57355-2025")</f>
        <v/>
      </c>
    </row>
    <row r="55" ht="15" customHeight="1">
      <c r="A55" t="inlineStr">
        <is>
          <t>A 64513-2023</t>
        </is>
      </c>
      <c r="B55" s="1" t="n">
        <v>45281</v>
      </c>
      <c r="C55" s="1" t="n">
        <v>46019</v>
      </c>
      <c r="D55" t="inlineStr">
        <is>
          <t>ÖREBRO LÄN</t>
        </is>
      </c>
      <c r="E55" t="inlineStr">
        <is>
          <t>LINDESBERG</t>
        </is>
      </c>
      <c r="G55" t="n">
        <v>4.7</v>
      </c>
      <c r="H55" t="n">
        <v>0</v>
      </c>
      <c r="I55" t="n">
        <v>1</v>
      </c>
      <c r="J55" t="n">
        <v>0</v>
      </c>
      <c r="K55" t="n">
        <v>0</v>
      </c>
      <c r="L55" t="n">
        <v>0</v>
      </c>
      <c r="M55" t="n">
        <v>0</v>
      </c>
      <c r="N55" t="n">
        <v>0</v>
      </c>
      <c r="O55" t="n">
        <v>0</v>
      </c>
      <c r="P55" t="n">
        <v>0</v>
      </c>
      <c r="Q55" t="n">
        <v>1</v>
      </c>
      <c r="R55" s="2" t="inlineStr">
        <is>
          <t>Västlig hakmossa</t>
        </is>
      </c>
      <c r="S55">
        <f>HYPERLINK("https://klasma.github.io/Logging_1885/artfynd/A 64513-2023 artfynd.xlsx", "A 64513-2023")</f>
        <v/>
      </c>
      <c r="T55">
        <f>HYPERLINK("https://klasma.github.io/Logging_1885/kartor/A 64513-2023 karta.png", "A 64513-2023")</f>
        <v/>
      </c>
      <c r="V55">
        <f>HYPERLINK("https://klasma.github.io/Logging_1885/klagomål/A 64513-2023 FSC-klagomål.docx", "A 64513-2023")</f>
        <v/>
      </c>
      <c r="W55">
        <f>HYPERLINK("https://klasma.github.io/Logging_1885/klagomålsmail/A 64513-2023 FSC-klagomål mail.docx", "A 64513-2023")</f>
        <v/>
      </c>
      <c r="X55">
        <f>HYPERLINK("https://klasma.github.io/Logging_1885/tillsyn/A 64513-2023 tillsynsbegäran.docx", "A 64513-2023")</f>
        <v/>
      </c>
      <c r="Y55">
        <f>HYPERLINK("https://klasma.github.io/Logging_1885/tillsynsmail/A 64513-2023 tillsynsbegäran mail.docx", "A 64513-2023")</f>
        <v/>
      </c>
    </row>
    <row r="56" ht="15" customHeight="1">
      <c r="A56" t="inlineStr">
        <is>
          <t>A 61132-2024</t>
        </is>
      </c>
      <c r="B56" s="1" t="n">
        <v>45645</v>
      </c>
      <c r="C56" s="1" t="n">
        <v>46019</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48956-2025</t>
        </is>
      </c>
      <c r="B57" s="1" t="n">
        <v>45937.54982638889</v>
      </c>
      <c r="C57" s="1" t="n">
        <v>46019</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50777-2025</t>
        </is>
      </c>
      <c r="B58" s="1" t="n">
        <v>45946.45171296296</v>
      </c>
      <c r="C58" s="1" t="n">
        <v>46019</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50766-2025</t>
        </is>
      </c>
      <c r="B59" s="1" t="n">
        <v>45946.44423611111</v>
      </c>
      <c r="C59" s="1" t="n">
        <v>46019</v>
      </c>
      <c r="D59" t="inlineStr">
        <is>
          <t>ÖREBRO LÄN</t>
        </is>
      </c>
      <c r="E59" t="inlineStr">
        <is>
          <t>LINDESBERG</t>
        </is>
      </c>
      <c r="F59" t="inlineStr">
        <is>
          <t>Sveaskog</t>
        </is>
      </c>
      <c r="G59" t="n">
        <v>2.4</v>
      </c>
      <c r="H59" t="n">
        <v>0</v>
      </c>
      <c r="I59" t="n">
        <v>0</v>
      </c>
      <c r="J59" t="n">
        <v>0</v>
      </c>
      <c r="K59" t="n">
        <v>1</v>
      </c>
      <c r="L59" t="n">
        <v>0</v>
      </c>
      <c r="M59" t="n">
        <v>0</v>
      </c>
      <c r="N59" t="n">
        <v>0</v>
      </c>
      <c r="O59" t="n">
        <v>1</v>
      </c>
      <c r="P59" t="n">
        <v>1</v>
      </c>
      <c r="Q59" t="n">
        <v>1</v>
      </c>
      <c r="R59" s="2" t="inlineStr">
        <is>
          <t>Rotfingersvamp</t>
        </is>
      </c>
      <c r="S59">
        <f>HYPERLINK("https://klasma.github.io/Logging_1885/artfynd/A 50766-2025 artfynd.xlsx", "A 50766-2025")</f>
        <v/>
      </c>
      <c r="T59">
        <f>HYPERLINK("https://klasma.github.io/Logging_1885/kartor/A 50766-2025 karta.png", "A 50766-2025")</f>
        <v/>
      </c>
      <c r="V59">
        <f>HYPERLINK("https://klasma.github.io/Logging_1885/klagomål/A 50766-2025 FSC-klagomål.docx", "A 50766-2025")</f>
        <v/>
      </c>
      <c r="W59">
        <f>HYPERLINK("https://klasma.github.io/Logging_1885/klagomålsmail/A 50766-2025 FSC-klagomål mail.docx", "A 50766-2025")</f>
        <v/>
      </c>
      <c r="X59">
        <f>HYPERLINK("https://klasma.github.io/Logging_1885/tillsyn/A 50766-2025 tillsynsbegäran.docx", "A 50766-2025")</f>
        <v/>
      </c>
      <c r="Y59">
        <f>HYPERLINK("https://klasma.github.io/Logging_1885/tillsynsmail/A 50766-2025 tillsynsbegäran mail.docx", "A 50766-2025")</f>
        <v/>
      </c>
    </row>
    <row r="60" ht="15" customHeight="1">
      <c r="A60" t="inlineStr">
        <is>
          <t>A 37834-2025</t>
        </is>
      </c>
      <c r="B60" s="1" t="n">
        <v>45881.42446759259</v>
      </c>
      <c r="C60" s="1" t="n">
        <v>46019</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50768-2025</t>
        </is>
      </c>
      <c r="B61" s="1" t="n">
        <v>45946.44790509259</v>
      </c>
      <c r="C61" s="1" t="n">
        <v>46019</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46019</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46019</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67013-2021</t>
        </is>
      </c>
      <c r="B64" s="1" t="n">
        <v>44522</v>
      </c>
      <c r="C64" s="1" t="n">
        <v>46019</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54092-2025</t>
        </is>
      </c>
      <c r="B65" s="1" t="n">
        <v>45964.3965625</v>
      </c>
      <c r="C65" s="1" t="n">
        <v>46019</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54857-2024</t>
        </is>
      </c>
      <c r="B66" s="1" t="n">
        <v>45618.58876157407</v>
      </c>
      <c r="C66" s="1" t="n">
        <v>46019</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46019</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28569-2024</t>
        </is>
      </c>
      <c r="B68" s="1" t="n">
        <v>45478.39592592593</v>
      </c>
      <c r="C68" s="1" t="n">
        <v>46019</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46019</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46019</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46019</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46019</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46019</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46019</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46019</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46019</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46019</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46019</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46019</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46019</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46019</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46019</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46019</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46019</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46019</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46019</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46019</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46019</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46019</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46019</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46019</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46019</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46019</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46019</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46019</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46019</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46019</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46019</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46019</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46019</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46019</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46019</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46019</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46019</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46019</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46019</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46019</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46019</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46019</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46019</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46019</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46019</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46019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46019</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46019</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46019</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46019</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46019</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46019</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46019</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46019</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46019</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46019</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46019</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46019</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46019</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46019</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46019</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46019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46019</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46019</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46019</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46019</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46019</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46019</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13545-2021</t>
        </is>
      </c>
      <c r="B136" s="1" t="n">
        <v>44273</v>
      </c>
      <c r="C136" s="1" t="n">
        <v>46019</v>
      </c>
      <c r="D136" t="inlineStr">
        <is>
          <t>ÖREBRO LÄN</t>
        </is>
      </c>
      <c r="E136" t="inlineStr">
        <is>
          <t>LINDESBERG</t>
        </is>
      </c>
      <c r="G136" t="n">
        <v>5.9</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46019</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46019</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46019</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46019</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46019</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46019</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46019</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46019</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46019</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46019</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46019</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46019</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46019</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46019</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46019</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46019</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46019</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46019</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46019</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46019</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46019</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46019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46019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5338-2022</t>
        </is>
      </c>
      <c r="B160" s="1" t="n">
        <v>44594</v>
      </c>
      <c r="C160" s="1" t="n">
        <v>46019</v>
      </c>
      <c r="D160" t="inlineStr">
        <is>
          <t>ÖREBRO LÄN</t>
        </is>
      </c>
      <c r="E160" t="inlineStr">
        <is>
          <t>LINDESBERG</t>
        </is>
      </c>
      <c r="G160" t="n">
        <v>1.3</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46019</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46019</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46019</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46019</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46019</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46019</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46019</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46019</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46019</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46019</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46019</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46019</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46019</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46019</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46019</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46019</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46019</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46019</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46019</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46019</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46019</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46019</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46019</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46019</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46019</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46019</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46019</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46019</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46019</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46019</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46019</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46019</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46019</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46019</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46019</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46019</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46019</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46019</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46019</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46019</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46019</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46019</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46019</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46019</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46019</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46019</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46019</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46019</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46019</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46019</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46019</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46019</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46019</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46019</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46019</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46019</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46019</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64372-2021</t>
        </is>
      </c>
      <c r="B218" s="1" t="n">
        <v>44511.39611111111</v>
      </c>
      <c r="C218" s="1" t="n">
        <v>46019</v>
      </c>
      <c r="D218" t="inlineStr">
        <is>
          <t>ÖREBRO LÄN</t>
        </is>
      </c>
      <c r="E218" t="inlineStr">
        <is>
          <t>LINDESBERG</t>
        </is>
      </c>
      <c r="G218" t="n">
        <v>3.6</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46019</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46019</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46019</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46019</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46019</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33282-2024</t>
        </is>
      </c>
      <c r="B224" s="1" t="n">
        <v>45518.71482638889</v>
      </c>
      <c r="C224" s="1" t="n">
        <v>46019</v>
      </c>
      <c r="D224" t="inlineStr">
        <is>
          <t>ÖREBRO LÄN</t>
        </is>
      </c>
      <c r="E224" t="inlineStr">
        <is>
          <t>LINDESBERG</t>
        </is>
      </c>
      <c r="G224" t="n">
        <v>7.5</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46019</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46019</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35739-2024</t>
        </is>
      </c>
      <c r="B227" s="1" t="n">
        <v>45532</v>
      </c>
      <c r="C227" s="1" t="n">
        <v>46019</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46019</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46019</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8213-2023</t>
        </is>
      </c>
      <c r="B230" s="1" t="n">
        <v>44974.55693287037</v>
      </c>
      <c r="C230" s="1" t="n">
        <v>46019</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30767-2023</t>
        </is>
      </c>
      <c r="B231" s="1" t="n">
        <v>45112.67952546296</v>
      </c>
      <c r="C231" s="1" t="n">
        <v>46019</v>
      </c>
      <c r="D231" t="inlineStr">
        <is>
          <t>ÖREBRO LÄN</t>
        </is>
      </c>
      <c r="E231" t="inlineStr">
        <is>
          <t>LINDESBERG</t>
        </is>
      </c>
      <c r="G231" t="n">
        <v>3.9</v>
      </c>
      <c r="H231" t="n">
        <v>0</v>
      </c>
      <c r="I231" t="n">
        <v>0</v>
      </c>
      <c r="J231" t="n">
        <v>0</v>
      </c>
      <c r="K231" t="n">
        <v>0</v>
      </c>
      <c r="L231" t="n">
        <v>0</v>
      </c>
      <c r="M231" t="n">
        <v>0</v>
      </c>
      <c r="N231" t="n">
        <v>0</v>
      </c>
      <c r="O231" t="n">
        <v>0</v>
      </c>
      <c r="P231" t="n">
        <v>0</v>
      </c>
      <c r="Q231" t="n">
        <v>0</v>
      </c>
      <c r="R231" s="2" t="inlineStr"/>
    </row>
    <row r="232" ht="15" customHeight="1">
      <c r="A232" t="inlineStr">
        <is>
          <t>A 16618-2023</t>
        </is>
      </c>
      <c r="B232" s="1" t="n">
        <v>45030</v>
      </c>
      <c r="C232" s="1" t="n">
        <v>46019</v>
      </c>
      <c r="D232" t="inlineStr">
        <is>
          <t>ÖREBRO LÄN</t>
        </is>
      </c>
      <c r="E232" t="inlineStr">
        <is>
          <t>LINDESBERG</t>
        </is>
      </c>
      <c r="F232" t="inlineStr">
        <is>
          <t>Kommuner</t>
        </is>
      </c>
      <c r="G232" t="n">
        <v>4.6</v>
      </c>
      <c r="H232" t="n">
        <v>0</v>
      </c>
      <c r="I232" t="n">
        <v>0</v>
      </c>
      <c r="J232" t="n">
        <v>0</v>
      </c>
      <c r="K232" t="n">
        <v>0</v>
      </c>
      <c r="L232" t="n">
        <v>0</v>
      </c>
      <c r="M232" t="n">
        <v>0</v>
      </c>
      <c r="N232" t="n">
        <v>0</v>
      </c>
      <c r="O232" t="n">
        <v>0</v>
      </c>
      <c r="P232" t="n">
        <v>0</v>
      </c>
      <c r="Q232" t="n">
        <v>0</v>
      </c>
      <c r="R232" s="2" t="inlineStr"/>
    </row>
    <row r="233" ht="15" customHeight="1">
      <c r="A233" t="inlineStr">
        <is>
          <t>A 17895-2022</t>
        </is>
      </c>
      <c r="B233" s="1" t="n">
        <v>44683</v>
      </c>
      <c r="C233" s="1" t="n">
        <v>46019</v>
      </c>
      <c r="D233" t="inlineStr">
        <is>
          <t>ÖREBRO LÄN</t>
        </is>
      </c>
      <c r="E233" t="inlineStr">
        <is>
          <t>LINDESBERG</t>
        </is>
      </c>
      <c r="G233" t="n">
        <v>1.3</v>
      </c>
      <c r="H233" t="n">
        <v>0</v>
      </c>
      <c r="I233" t="n">
        <v>0</v>
      </c>
      <c r="J233" t="n">
        <v>0</v>
      </c>
      <c r="K233" t="n">
        <v>0</v>
      </c>
      <c r="L233" t="n">
        <v>0</v>
      </c>
      <c r="M233" t="n">
        <v>0</v>
      </c>
      <c r="N233" t="n">
        <v>0</v>
      </c>
      <c r="O233" t="n">
        <v>0</v>
      </c>
      <c r="P233" t="n">
        <v>0</v>
      </c>
      <c r="Q233" t="n">
        <v>0</v>
      </c>
      <c r="R233" s="2" t="inlineStr"/>
    </row>
    <row r="234" ht="15" customHeight="1">
      <c r="A234" t="inlineStr">
        <is>
          <t>A 15752-2024</t>
        </is>
      </c>
      <c r="B234" s="1" t="n">
        <v>45404.55681712963</v>
      </c>
      <c r="C234" s="1" t="n">
        <v>46019</v>
      </c>
      <c r="D234" t="inlineStr">
        <is>
          <t>ÖREBRO LÄN</t>
        </is>
      </c>
      <c r="E234" t="inlineStr">
        <is>
          <t>LINDESBERG</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51539-2024</t>
        </is>
      </c>
      <c r="B235" s="1" t="n">
        <v>45604.58837962963</v>
      </c>
      <c r="C235" s="1" t="n">
        <v>46019</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46019</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2569-2023</t>
        </is>
      </c>
      <c r="B237" s="1" t="n">
        <v>44943.73792824074</v>
      </c>
      <c r="C237" s="1" t="n">
        <v>46019</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12692-2024</t>
        </is>
      </c>
      <c r="B238" s="1" t="n">
        <v>45384.43418981481</v>
      </c>
      <c r="C238" s="1" t="n">
        <v>46019</v>
      </c>
      <c r="D238" t="inlineStr">
        <is>
          <t>ÖREBRO LÄN</t>
        </is>
      </c>
      <c r="E238" t="inlineStr">
        <is>
          <t>LINDESBERG</t>
        </is>
      </c>
      <c r="G238" t="n">
        <v>5.2</v>
      </c>
      <c r="H238" t="n">
        <v>0</v>
      </c>
      <c r="I238" t="n">
        <v>0</v>
      </c>
      <c r="J238" t="n">
        <v>0</v>
      </c>
      <c r="K238" t="n">
        <v>0</v>
      </c>
      <c r="L238" t="n">
        <v>0</v>
      </c>
      <c r="M238" t="n">
        <v>0</v>
      </c>
      <c r="N238" t="n">
        <v>0</v>
      </c>
      <c r="O238" t="n">
        <v>0</v>
      </c>
      <c r="P238" t="n">
        <v>0</v>
      </c>
      <c r="Q238" t="n">
        <v>0</v>
      </c>
      <c r="R238" s="2" t="inlineStr"/>
    </row>
    <row r="239" ht="15" customHeight="1">
      <c r="A239" t="inlineStr">
        <is>
          <t>A 37507-2023</t>
        </is>
      </c>
      <c r="B239" s="1" t="n">
        <v>45158.41768518519</v>
      </c>
      <c r="C239" s="1" t="n">
        <v>46019</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19960-2023</t>
        </is>
      </c>
      <c r="B240" s="1" t="n">
        <v>45054</v>
      </c>
      <c r="C240" s="1" t="n">
        <v>46019</v>
      </c>
      <c r="D240" t="inlineStr">
        <is>
          <t>ÖREBRO LÄN</t>
        </is>
      </c>
      <c r="E240" t="inlineStr">
        <is>
          <t>LINDESBERG</t>
        </is>
      </c>
      <c r="G240" t="n">
        <v>6.2</v>
      </c>
      <c r="H240" t="n">
        <v>0</v>
      </c>
      <c r="I240" t="n">
        <v>0</v>
      </c>
      <c r="J240" t="n">
        <v>0</v>
      </c>
      <c r="K240" t="n">
        <v>0</v>
      </c>
      <c r="L240" t="n">
        <v>0</v>
      </c>
      <c r="M240" t="n">
        <v>0</v>
      </c>
      <c r="N240" t="n">
        <v>0</v>
      </c>
      <c r="O240" t="n">
        <v>0</v>
      </c>
      <c r="P240" t="n">
        <v>0</v>
      </c>
      <c r="Q240" t="n">
        <v>0</v>
      </c>
      <c r="R240" s="2" t="inlineStr"/>
    </row>
    <row r="241" ht="15" customHeight="1">
      <c r="A241" t="inlineStr">
        <is>
          <t>A 61594-2024</t>
        </is>
      </c>
      <c r="B241" s="1" t="n">
        <v>45646.63482638889</v>
      </c>
      <c r="C241" s="1" t="n">
        <v>46019</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17115-2025</t>
        </is>
      </c>
      <c r="B242" s="1" t="n">
        <v>45755.68247685185</v>
      </c>
      <c r="C242" s="1" t="n">
        <v>46019</v>
      </c>
      <c r="D242" t="inlineStr">
        <is>
          <t>ÖREBRO LÄN</t>
        </is>
      </c>
      <c r="E242" t="inlineStr">
        <is>
          <t>LINDESBERG</t>
        </is>
      </c>
      <c r="G242" t="n">
        <v>0.6</v>
      </c>
      <c r="H242" t="n">
        <v>0</v>
      </c>
      <c r="I242" t="n">
        <v>0</v>
      </c>
      <c r="J242" t="n">
        <v>0</v>
      </c>
      <c r="K242" t="n">
        <v>0</v>
      </c>
      <c r="L242" t="n">
        <v>0</v>
      </c>
      <c r="M242" t="n">
        <v>0</v>
      </c>
      <c r="N242" t="n">
        <v>0</v>
      </c>
      <c r="O242" t="n">
        <v>0</v>
      </c>
      <c r="P242" t="n">
        <v>0</v>
      </c>
      <c r="Q242" t="n">
        <v>0</v>
      </c>
      <c r="R242" s="2" t="inlineStr"/>
    </row>
    <row r="243" ht="15" customHeight="1">
      <c r="A243" t="inlineStr">
        <is>
          <t>A 46039-2024</t>
        </is>
      </c>
      <c r="B243" s="1" t="n">
        <v>45580.73525462963</v>
      </c>
      <c r="C243" s="1" t="n">
        <v>46019</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46647-2024</t>
        </is>
      </c>
      <c r="B244" s="1" t="n">
        <v>45583</v>
      </c>
      <c r="C244" s="1" t="n">
        <v>46019</v>
      </c>
      <c r="D244" t="inlineStr">
        <is>
          <t>ÖREBRO LÄN</t>
        </is>
      </c>
      <c r="E244" t="inlineStr">
        <is>
          <t>LINDESBERG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34676-2023</t>
        </is>
      </c>
      <c r="B245" s="1" t="n">
        <v>45140</v>
      </c>
      <c r="C245" s="1" t="n">
        <v>46019</v>
      </c>
      <c r="D245" t="inlineStr">
        <is>
          <t>ÖREBRO LÄN</t>
        </is>
      </c>
      <c r="E245" t="inlineStr">
        <is>
          <t>LINDESBERG</t>
        </is>
      </c>
      <c r="G245" t="n">
        <v>2.4</v>
      </c>
      <c r="H245" t="n">
        <v>0</v>
      </c>
      <c r="I245" t="n">
        <v>0</v>
      </c>
      <c r="J245" t="n">
        <v>0</v>
      </c>
      <c r="K245" t="n">
        <v>0</v>
      </c>
      <c r="L245" t="n">
        <v>0</v>
      </c>
      <c r="M245" t="n">
        <v>0</v>
      </c>
      <c r="N245" t="n">
        <v>0</v>
      </c>
      <c r="O245" t="n">
        <v>0</v>
      </c>
      <c r="P245" t="n">
        <v>0</v>
      </c>
      <c r="Q245" t="n">
        <v>0</v>
      </c>
      <c r="R245" s="2" t="inlineStr"/>
    </row>
    <row r="246" ht="15" customHeight="1">
      <c r="A246" t="inlineStr">
        <is>
          <t>A 6962-2023</t>
        </is>
      </c>
      <c r="B246" s="1" t="n">
        <v>44967.60165509259</v>
      </c>
      <c r="C246" s="1" t="n">
        <v>46019</v>
      </c>
      <c r="D246" t="inlineStr">
        <is>
          <t>ÖREBRO LÄN</t>
        </is>
      </c>
      <c r="E246" t="inlineStr">
        <is>
          <t>LINDESBERG</t>
        </is>
      </c>
      <c r="G246" t="n">
        <v>11.4</v>
      </c>
      <c r="H246" t="n">
        <v>0</v>
      </c>
      <c r="I246" t="n">
        <v>0</v>
      </c>
      <c r="J246" t="n">
        <v>0</v>
      </c>
      <c r="K246" t="n">
        <v>0</v>
      </c>
      <c r="L246" t="n">
        <v>0</v>
      </c>
      <c r="M246" t="n">
        <v>0</v>
      </c>
      <c r="N246" t="n">
        <v>0</v>
      </c>
      <c r="O246" t="n">
        <v>0</v>
      </c>
      <c r="P246" t="n">
        <v>0</v>
      </c>
      <c r="Q246" t="n">
        <v>0</v>
      </c>
      <c r="R246" s="2" t="inlineStr"/>
    </row>
    <row r="247" ht="15" customHeight="1">
      <c r="A247" t="inlineStr">
        <is>
          <t>A 36015-2021</t>
        </is>
      </c>
      <c r="B247" s="1" t="n">
        <v>44389</v>
      </c>
      <c r="C247" s="1" t="n">
        <v>46019</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46019</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46019</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53189-2023</t>
        </is>
      </c>
      <c r="B250" s="1" t="n">
        <v>45194</v>
      </c>
      <c r="C250" s="1" t="n">
        <v>46019</v>
      </c>
      <c r="D250" t="inlineStr">
        <is>
          <t>ÖREBRO LÄN</t>
        </is>
      </c>
      <c r="E250" t="inlineStr">
        <is>
          <t>LINDESBERG</t>
        </is>
      </c>
      <c r="G250" t="n">
        <v>2</v>
      </c>
      <c r="H250" t="n">
        <v>0</v>
      </c>
      <c r="I250" t="n">
        <v>0</v>
      </c>
      <c r="J250" t="n">
        <v>0</v>
      </c>
      <c r="K250" t="n">
        <v>0</v>
      </c>
      <c r="L250" t="n">
        <v>0</v>
      </c>
      <c r="M250" t="n">
        <v>0</v>
      </c>
      <c r="N250" t="n">
        <v>0</v>
      </c>
      <c r="O250" t="n">
        <v>0</v>
      </c>
      <c r="P250" t="n">
        <v>0</v>
      </c>
      <c r="Q250" t="n">
        <v>0</v>
      </c>
      <c r="R250" s="2" t="inlineStr"/>
    </row>
    <row r="251" ht="15" customHeight="1">
      <c r="A251" t="inlineStr">
        <is>
          <t>A 47535-2022</t>
        </is>
      </c>
      <c r="B251" s="1" t="n">
        <v>44853.79818287037</v>
      </c>
      <c r="C251" s="1" t="n">
        <v>46019</v>
      </c>
      <c r="D251" t="inlineStr">
        <is>
          <t>ÖREBRO LÄN</t>
        </is>
      </c>
      <c r="E251" t="inlineStr">
        <is>
          <t>LINDESBERG</t>
        </is>
      </c>
      <c r="G251" t="n">
        <v>3</v>
      </c>
      <c r="H251" t="n">
        <v>0</v>
      </c>
      <c r="I251" t="n">
        <v>0</v>
      </c>
      <c r="J251" t="n">
        <v>0</v>
      </c>
      <c r="K251" t="n">
        <v>0</v>
      </c>
      <c r="L251" t="n">
        <v>0</v>
      </c>
      <c r="M251" t="n">
        <v>0</v>
      </c>
      <c r="N251" t="n">
        <v>0</v>
      </c>
      <c r="O251" t="n">
        <v>0</v>
      </c>
      <c r="P251" t="n">
        <v>0</v>
      </c>
      <c r="Q251" t="n">
        <v>0</v>
      </c>
      <c r="R251" s="2" t="inlineStr"/>
    </row>
    <row r="252" ht="15" customHeight="1">
      <c r="A252" t="inlineStr">
        <is>
          <t>A 43433-2024</t>
        </is>
      </c>
      <c r="B252" s="1" t="n">
        <v>45568.64523148148</v>
      </c>
      <c r="C252" s="1" t="n">
        <v>46019</v>
      </c>
      <c r="D252" t="inlineStr">
        <is>
          <t>ÖREBRO LÄN</t>
        </is>
      </c>
      <c r="E252" t="inlineStr">
        <is>
          <t>LINDESBERG</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46019</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45041-2024</t>
        </is>
      </c>
      <c r="B254" s="1" t="n">
        <v>45575.53690972222</v>
      </c>
      <c r="C254" s="1" t="n">
        <v>46019</v>
      </c>
      <c r="D254" t="inlineStr">
        <is>
          <t>ÖREBRO LÄN</t>
        </is>
      </c>
      <c r="E254" t="inlineStr">
        <is>
          <t>LINDESBERG</t>
        </is>
      </c>
      <c r="F254" t="inlineStr">
        <is>
          <t>Sveaskog</t>
        </is>
      </c>
      <c r="G254" t="n">
        <v>0.3</v>
      </c>
      <c r="H254" t="n">
        <v>0</v>
      </c>
      <c r="I254" t="n">
        <v>0</v>
      </c>
      <c r="J254" t="n">
        <v>0</v>
      </c>
      <c r="K254" t="n">
        <v>0</v>
      </c>
      <c r="L254" t="n">
        <v>0</v>
      </c>
      <c r="M254" t="n">
        <v>0</v>
      </c>
      <c r="N254" t="n">
        <v>0</v>
      </c>
      <c r="O254" t="n">
        <v>0</v>
      </c>
      <c r="P254" t="n">
        <v>0</v>
      </c>
      <c r="Q254" t="n">
        <v>0</v>
      </c>
      <c r="R254" s="2" t="inlineStr"/>
    </row>
    <row r="255" ht="15" customHeight="1">
      <c r="A255" t="inlineStr">
        <is>
          <t>A 45068-2024</t>
        </is>
      </c>
      <c r="B255" s="1" t="n">
        <v>45575.56256944445</v>
      </c>
      <c r="C255" s="1" t="n">
        <v>46019</v>
      </c>
      <c r="D255" t="inlineStr">
        <is>
          <t>ÖREBRO LÄN</t>
        </is>
      </c>
      <c r="E255" t="inlineStr">
        <is>
          <t>LINDESBERG</t>
        </is>
      </c>
      <c r="F255" t="inlineStr">
        <is>
          <t>Sveaskog</t>
        </is>
      </c>
      <c r="G255" t="n">
        <v>16.5</v>
      </c>
      <c r="H255" t="n">
        <v>0</v>
      </c>
      <c r="I255" t="n">
        <v>0</v>
      </c>
      <c r="J255" t="n">
        <v>0</v>
      </c>
      <c r="K255" t="n">
        <v>0</v>
      </c>
      <c r="L255" t="n">
        <v>0</v>
      </c>
      <c r="M255" t="n">
        <v>0</v>
      </c>
      <c r="N255" t="n">
        <v>0</v>
      </c>
      <c r="O255" t="n">
        <v>0</v>
      </c>
      <c r="P255" t="n">
        <v>0</v>
      </c>
      <c r="Q255" t="n">
        <v>0</v>
      </c>
      <c r="R255" s="2" t="inlineStr"/>
    </row>
    <row r="256" ht="15" customHeight="1">
      <c r="A256" t="inlineStr">
        <is>
          <t>A 29938-2024</t>
        </is>
      </c>
      <c r="B256" s="1" t="n">
        <v>45488.41480324074</v>
      </c>
      <c r="C256" s="1" t="n">
        <v>46019</v>
      </c>
      <c r="D256" t="inlineStr">
        <is>
          <t>ÖREBRO LÄN</t>
        </is>
      </c>
      <c r="E256" t="inlineStr">
        <is>
          <t>LINDESBERG</t>
        </is>
      </c>
      <c r="G256" t="n">
        <v>4</v>
      </c>
      <c r="H256" t="n">
        <v>0</v>
      </c>
      <c r="I256" t="n">
        <v>0</v>
      </c>
      <c r="J256" t="n">
        <v>0</v>
      </c>
      <c r="K256" t="n">
        <v>0</v>
      </c>
      <c r="L256" t="n">
        <v>0</v>
      </c>
      <c r="M256" t="n">
        <v>0</v>
      </c>
      <c r="N256" t="n">
        <v>0</v>
      </c>
      <c r="O256" t="n">
        <v>0</v>
      </c>
      <c r="P256" t="n">
        <v>0</v>
      </c>
      <c r="Q256" t="n">
        <v>0</v>
      </c>
      <c r="R256" s="2" t="inlineStr"/>
    </row>
    <row r="257" ht="15" customHeight="1">
      <c r="A257" t="inlineStr">
        <is>
          <t>A 7201-2024</t>
        </is>
      </c>
      <c r="B257" s="1" t="n">
        <v>45344.6027662037</v>
      </c>
      <c r="C257" s="1" t="n">
        <v>46019</v>
      </c>
      <c r="D257" t="inlineStr">
        <is>
          <t>ÖREBRO LÄN</t>
        </is>
      </c>
      <c r="E257" t="inlineStr">
        <is>
          <t>LINDESBERG</t>
        </is>
      </c>
      <c r="G257" t="n">
        <v>4.7</v>
      </c>
      <c r="H257" t="n">
        <v>0</v>
      </c>
      <c r="I257" t="n">
        <v>0</v>
      </c>
      <c r="J257" t="n">
        <v>0</v>
      </c>
      <c r="K257" t="n">
        <v>0</v>
      </c>
      <c r="L257" t="n">
        <v>0</v>
      </c>
      <c r="M257" t="n">
        <v>0</v>
      </c>
      <c r="N257" t="n">
        <v>0</v>
      </c>
      <c r="O257" t="n">
        <v>0</v>
      </c>
      <c r="P257" t="n">
        <v>0</v>
      </c>
      <c r="Q257" t="n">
        <v>0</v>
      </c>
      <c r="R257" s="2" t="inlineStr"/>
    </row>
    <row r="258" ht="15" customHeight="1">
      <c r="A258" t="inlineStr">
        <is>
          <t>A 5080-2024</t>
        </is>
      </c>
      <c r="B258" s="1" t="n">
        <v>45330</v>
      </c>
      <c r="C258" s="1" t="n">
        <v>46019</v>
      </c>
      <c r="D258" t="inlineStr">
        <is>
          <t>ÖREBRO LÄN</t>
        </is>
      </c>
      <c r="E258" t="inlineStr">
        <is>
          <t>LINDESBERG</t>
        </is>
      </c>
      <c r="G258" t="n">
        <v>1.5</v>
      </c>
      <c r="H258" t="n">
        <v>0</v>
      </c>
      <c r="I258" t="n">
        <v>0</v>
      </c>
      <c r="J258" t="n">
        <v>0</v>
      </c>
      <c r="K258" t="n">
        <v>0</v>
      </c>
      <c r="L258" t="n">
        <v>0</v>
      </c>
      <c r="M258" t="n">
        <v>0</v>
      </c>
      <c r="N258" t="n">
        <v>0</v>
      </c>
      <c r="O258" t="n">
        <v>0</v>
      </c>
      <c r="P258" t="n">
        <v>0</v>
      </c>
      <c r="Q258" t="n">
        <v>0</v>
      </c>
      <c r="R258" s="2" t="inlineStr"/>
    </row>
    <row r="259" ht="15" customHeight="1">
      <c r="A259" t="inlineStr">
        <is>
          <t>A 1490-2024</t>
        </is>
      </c>
      <c r="B259" s="1" t="n">
        <v>45305</v>
      </c>
      <c r="C259" s="1" t="n">
        <v>46019</v>
      </c>
      <c r="D259" t="inlineStr">
        <is>
          <t>ÖREBRO LÄN</t>
        </is>
      </c>
      <c r="E259" t="inlineStr">
        <is>
          <t>LINDESBERG</t>
        </is>
      </c>
      <c r="G259" t="n">
        <v>17.6</v>
      </c>
      <c r="H259" t="n">
        <v>0</v>
      </c>
      <c r="I259" t="n">
        <v>0</v>
      </c>
      <c r="J259" t="n">
        <v>0</v>
      </c>
      <c r="K259" t="n">
        <v>0</v>
      </c>
      <c r="L259" t="n">
        <v>0</v>
      </c>
      <c r="M259" t="n">
        <v>0</v>
      </c>
      <c r="N259" t="n">
        <v>0</v>
      </c>
      <c r="O259" t="n">
        <v>0</v>
      </c>
      <c r="P259" t="n">
        <v>0</v>
      </c>
      <c r="Q259" t="n">
        <v>0</v>
      </c>
      <c r="R259" s="2" t="inlineStr"/>
    </row>
    <row r="260" ht="15" customHeight="1">
      <c r="A260" t="inlineStr">
        <is>
          <t>A 23102-2023</t>
        </is>
      </c>
      <c r="B260" s="1" t="n">
        <v>45075.44152777778</v>
      </c>
      <c r="C260" s="1" t="n">
        <v>46019</v>
      </c>
      <c r="D260" t="inlineStr">
        <is>
          <t>ÖREBRO LÄN</t>
        </is>
      </c>
      <c r="E260" t="inlineStr">
        <is>
          <t>LINDESBERG</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2414-2024</t>
        </is>
      </c>
      <c r="B261" s="1" t="n">
        <v>45310.87931712963</v>
      </c>
      <c r="C261" s="1" t="n">
        <v>46019</v>
      </c>
      <c r="D261" t="inlineStr">
        <is>
          <t>ÖREBRO LÄN</t>
        </is>
      </c>
      <c r="E261" t="inlineStr">
        <is>
          <t>LINDESBERG</t>
        </is>
      </c>
      <c r="G261" t="n">
        <v>7.2</v>
      </c>
      <c r="H261" t="n">
        <v>0</v>
      </c>
      <c r="I261" t="n">
        <v>0</v>
      </c>
      <c r="J261" t="n">
        <v>0</v>
      </c>
      <c r="K261" t="n">
        <v>0</v>
      </c>
      <c r="L261" t="n">
        <v>0</v>
      </c>
      <c r="M261" t="n">
        <v>0</v>
      </c>
      <c r="N261" t="n">
        <v>0</v>
      </c>
      <c r="O261" t="n">
        <v>0</v>
      </c>
      <c r="P261" t="n">
        <v>0</v>
      </c>
      <c r="Q261" t="n">
        <v>0</v>
      </c>
      <c r="R261" s="2" t="inlineStr"/>
    </row>
    <row r="262" ht="15" customHeight="1">
      <c r="A262" t="inlineStr">
        <is>
          <t>A 4440-2024</t>
        </is>
      </c>
      <c r="B262" s="1" t="n">
        <v>45327</v>
      </c>
      <c r="C262" s="1" t="n">
        <v>46019</v>
      </c>
      <c r="D262" t="inlineStr">
        <is>
          <t>ÖREBRO LÄN</t>
        </is>
      </c>
      <c r="E262" t="inlineStr">
        <is>
          <t>LINDESBERG</t>
        </is>
      </c>
      <c r="F262" t="inlineStr">
        <is>
          <t>BillerudKorsnäs AB</t>
        </is>
      </c>
      <c r="G262" t="n">
        <v>2</v>
      </c>
      <c r="H262" t="n">
        <v>0</v>
      </c>
      <c r="I262" t="n">
        <v>0</v>
      </c>
      <c r="J262" t="n">
        <v>0</v>
      </c>
      <c r="K262" t="n">
        <v>0</v>
      </c>
      <c r="L262" t="n">
        <v>0</v>
      </c>
      <c r="M262" t="n">
        <v>0</v>
      </c>
      <c r="N262" t="n">
        <v>0</v>
      </c>
      <c r="O262" t="n">
        <v>0</v>
      </c>
      <c r="P262" t="n">
        <v>0</v>
      </c>
      <c r="Q262" t="n">
        <v>0</v>
      </c>
      <c r="R262" s="2" t="inlineStr"/>
    </row>
    <row r="263" ht="15" customHeight="1">
      <c r="A263" t="inlineStr">
        <is>
          <t>A 27434-2023</t>
        </is>
      </c>
      <c r="B263" s="1" t="n">
        <v>45097.38688657407</v>
      </c>
      <c r="C263" s="1" t="n">
        <v>46019</v>
      </c>
      <c r="D263" t="inlineStr">
        <is>
          <t>ÖREBRO LÄN</t>
        </is>
      </c>
      <c r="E263" t="inlineStr">
        <is>
          <t>LINDESBERG</t>
        </is>
      </c>
      <c r="G263" t="n">
        <v>10.7</v>
      </c>
      <c r="H263" t="n">
        <v>0</v>
      </c>
      <c r="I263" t="n">
        <v>0</v>
      </c>
      <c r="J263" t="n">
        <v>0</v>
      </c>
      <c r="K263" t="n">
        <v>0</v>
      </c>
      <c r="L263" t="n">
        <v>0</v>
      </c>
      <c r="M263" t="n">
        <v>0</v>
      </c>
      <c r="N263" t="n">
        <v>0</v>
      </c>
      <c r="O263" t="n">
        <v>0</v>
      </c>
      <c r="P263" t="n">
        <v>0</v>
      </c>
      <c r="Q263" t="n">
        <v>0</v>
      </c>
      <c r="R263" s="2" t="inlineStr"/>
    </row>
    <row r="264" ht="15" customHeight="1">
      <c r="A264" t="inlineStr">
        <is>
          <t>A 15899-2025</t>
        </is>
      </c>
      <c r="B264" s="1" t="n">
        <v>45749.42258101852</v>
      </c>
      <c r="C264" s="1" t="n">
        <v>46019</v>
      </c>
      <c r="D264" t="inlineStr">
        <is>
          <t>ÖREBRO LÄN</t>
        </is>
      </c>
      <c r="E264" t="inlineStr">
        <is>
          <t>LINDESBERG</t>
        </is>
      </c>
      <c r="G264" t="n">
        <v>6.6</v>
      </c>
      <c r="H264" t="n">
        <v>0</v>
      </c>
      <c r="I264" t="n">
        <v>0</v>
      </c>
      <c r="J264" t="n">
        <v>0</v>
      </c>
      <c r="K264" t="n">
        <v>0</v>
      </c>
      <c r="L264" t="n">
        <v>0</v>
      </c>
      <c r="M264" t="n">
        <v>0</v>
      </c>
      <c r="N264" t="n">
        <v>0</v>
      </c>
      <c r="O264" t="n">
        <v>0</v>
      </c>
      <c r="P264" t="n">
        <v>0</v>
      </c>
      <c r="Q264" t="n">
        <v>0</v>
      </c>
      <c r="R264" s="2" t="inlineStr"/>
    </row>
    <row r="265" ht="15" customHeight="1">
      <c r="A265" t="inlineStr">
        <is>
          <t>A 59641-2024</t>
        </is>
      </c>
      <c r="B265" s="1" t="n">
        <v>45639.30934027778</v>
      </c>
      <c r="C265" s="1" t="n">
        <v>46019</v>
      </c>
      <c r="D265" t="inlineStr">
        <is>
          <t>ÖREBRO LÄN</t>
        </is>
      </c>
      <c r="E265" t="inlineStr">
        <is>
          <t>LINDESBERG</t>
        </is>
      </c>
      <c r="G265" t="n">
        <v>2.1</v>
      </c>
      <c r="H265" t="n">
        <v>0</v>
      </c>
      <c r="I265" t="n">
        <v>0</v>
      </c>
      <c r="J265" t="n">
        <v>0</v>
      </c>
      <c r="K265" t="n">
        <v>0</v>
      </c>
      <c r="L265" t="n">
        <v>0</v>
      </c>
      <c r="M265" t="n">
        <v>0</v>
      </c>
      <c r="N265" t="n">
        <v>0</v>
      </c>
      <c r="O265" t="n">
        <v>0</v>
      </c>
      <c r="P265" t="n">
        <v>0</v>
      </c>
      <c r="Q265" t="n">
        <v>0</v>
      </c>
      <c r="R265" s="2" t="inlineStr"/>
    </row>
    <row r="266" ht="15" customHeight="1">
      <c r="A266" t="inlineStr">
        <is>
          <t>A 23245-2025</t>
        </is>
      </c>
      <c r="B266" s="1" t="n">
        <v>45791.50862268519</v>
      </c>
      <c r="C266" s="1" t="n">
        <v>46019</v>
      </c>
      <c r="D266" t="inlineStr">
        <is>
          <t>ÖREBRO LÄN</t>
        </is>
      </c>
      <c r="E266" t="inlineStr">
        <is>
          <t>LINDESBERG</t>
        </is>
      </c>
      <c r="G266" t="n">
        <v>6.8</v>
      </c>
      <c r="H266" t="n">
        <v>0</v>
      </c>
      <c r="I266" t="n">
        <v>0</v>
      </c>
      <c r="J266" t="n">
        <v>0</v>
      </c>
      <c r="K266" t="n">
        <v>0</v>
      </c>
      <c r="L266" t="n">
        <v>0</v>
      </c>
      <c r="M266" t="n">
        <v>0</v>
      </c>
      <c r="N266" t="n">
        <v>0</v>
      </c>
      <c r="O266" t="n">
        <v>0</v>
      </c>
      <c r="P266" t="n">
        <v>0</v>
      </c>
      <c r="Q266" t="n">
        <v>0</v>
      </c>
      <c r="R266" s="2" t="inlineStr"/>
    </row>
    <row r="267" ht="15" customHeight="1">
      <c r="A267" t="inlineStr">
        <is>
          <t>A 42707-2023</t>
        </is>
      </c>
      <c r="B267" s="1" t="n">
        <v>45181</v>
      </c>
      <c r="C267" s="1" t="n">
        <v>46019</v>
      </c>
      <c r="D267" t="inlineStr">
        <is>
          <t>ÖREBRO LÄN</t>
        </is>
      </c>
      <c r="E267" t="inlineStr">
        <is>
          <t>LINDESBERG</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38509-2025</t>
        </is>
      </c>
      <c r="B268" s="1" t="n">
        <v>45884.38858796296</v>
      </c>
      <c r="C268" s="1" t="n">
        <v>46019</v>
      </c>
      <c r="D268" t="inlineStr">
        <is>
          <t>ÖREBRO LÄN</t>
        </is>
      </c>
      <c r="E268" t="inlineStr">
        <is>
          <t>LINDESBERG</t>
        </is>
      </c>
      <c r="G268" t="n">
        <v>14.9</v>
      </c>
      <c r="H268" t="n">
        <v>0</v>
      </c>
      <c r="I268" t="n">
        <v>0</v>
      </c>
      <c r="J268" t="n">
        <v>0</v>
      </c>
      <c r="K268" t="n">
        <v>0</v>
      </c>
      <c r="L268" t="n">
        <v>0</v>
      </c>
      <c r="M268" t="n">
        <v>0</v>
      </c>
      <c r="N268" t="n">
        <v>0</v>
      </c>
      <c r="O268" t="n">
        <v>0</v>
      </c>
      <c r="P268" t="n">
        <v>0</v>
      </c>
      <c r="Q268" t="n">
        <v>0</v>
      </c>
      <c r="R268" s="2" t="inlineStr"/>
    </row>
    <row r="269" ht="15" customHeight="1">
      <c r="A269" t="inlineStr">
        <is>
          <t>A 52284-2024</t>
        </is>
      </c>
      <c r="B269" s="1" t="n">
        <v>45608</v>
      </c>
      <c r="C269" s="1" t="n">
        <v>46019</v>
      </c>
      <c r="D269" t="inlineStr">
        <is>
          <t>ÖREBRO LÄN</t>
        </is>
      </c>
      <c r="E269" t="inlineStr">
        <is>
          <t>LINDESBERG</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15895-2025</t>
        </is>
      </c>
      <c r="B270" s="1" t="n">
        <v>45749</v>
      </c>
      <c r="C270" s="1" t="n">
        <v>46019</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17779-2024</t>
        </is>
      </c>
      <c r="B271" s="1" t="n">
        <v>45418.66800925926</v>
      </c>
      <c r="C271" s="1" t="n">
        <v>46019</v>
      </c>
      <c r="D271" t="inlineStr">
        <is>
          <t>ÖREBRO LÄN</t>
        </is>
      </c>
      <c r="E271" t="inlineStr">
        <is>
          <t>LINDESBERG</t>
        </is>
      </c>
      <c r="G271" t="n">
        <v>3.7</v>
      </c>
      <c r="H271" t="n">
        <v>0</v>
      </c>
      <c r="I271" t="n">
        <v>0</v>
      </c>
      <c r="J271" t="n">
        <v>0</v>
      </c>
      <c r="K271" t="n">
        <v>0</v>
      </c>
      <c r="L271" t="n">
        <v>0</v>
      </c>
      <c r="M271" t="n">
        <v>0</v>
      </c>
      <c r="N271" t="n">
        <v>0</v>
      </c>
      <c r="O271" t="n">
        <v>0</v>
      </c>
      <c r="P271" t="n">
        <v>0</v>
      </c>
      <c r="Q271" t="n">
        <v>0</v>
      </c>
      <c r="R271" s="2" t="inlineStr"/>
    </row>
    <row r="272" ht="15" customHeight="1">
      <c r="A272" t="inlineStr">
        <is>
          <t>A 54793-2024</t>
        </is>
      </c>
      <c r="B272" s="1" t="n">
        <v>45618</v>
      </c>
      <c r="C272" s="1" t="n">
        <v>46019</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10825-2021</t>
        </is>
      </c>
      <c r="B273" s="1" t="n">
        <v>44259</v>
      </c>
      <c r="C273" s="1" t="n">
        <v>46019</v>
      </c>
      <c r="D273" t="inlineStr">
        <is>
          <t>ÖREBRO LÄN</t>
        </is>
      </c>
      <c r="E273" t="inlineStr">
        <is>
          <t>LINDESBERG</t>
        </is>
      </c>
      <c r="G273" t="n">
        <v>7.4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46019</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1400-2025</t>
        </is>
      </c>
      <c r="B275" s="1" t="n">
        <v>45667</v>
      </c>
      <c r="C275" s="1" t="n">
        <v>46019</v>
      </c>
      <c r="D275" t="inlineStr">
        <is>
          <t>ÖREBRO LÄN</t>
        </is>
      </c>
      <c r="E275" t="inlineStr">
        <is>
          <t>LINDESBERG</t>
        </is>
      </c>
      <c r="F275" t="inlineStr">
        <is>
          <t>Allmännings- och besparingsskogar</t>
        </is>
      </c>
      <c r="G275" t="n">
        <v>11.3</v>
      </c>
      <c r="H275" t="n">
        <v>0</v>
      </c>
      <c r="I275" t="n">
        <v>0</v>
      </c>
      <c r="J275" t="n">
        <v>0</v>
      </c>
      <c r="K275" t="n">
        <v>0</v>
      </c>
      <c r="L275" t="n">
        <v>0</v>
      </c>
      <c r="M275" t="n">
        <v>0</v>
      </c>
      <c r="N275" t="n">
        <v>0</v>
      </c>
      <c r="O275" t="n">
        <v>0</v>
      </c>
      <c r="P275" t="n">
        <v>0</v>
      </c>
      <c r="Q275" t="n">
        <v>0</v>
      </c>
      <c r="R275" s="2" t="inlineStr"/>
    </row>
    <row r="276" ht="15" customHeight="1">
      <c r="A276" t="inlineStr">
        <is>
          <t>A 52930-2024</t>
        </is>
      </c>
      <c r="B276" s="1" t="n">
        <v>45610.7466087963</v>
      </c>
      <c r="C276" s="1" t="n">
        <v>46019</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56579-2023</t>
        </is>
      </c>
      <c r="B277" s="1" t="n">
        <v>45243.62420138889</v>
      </c>
      <c r="C277" s="1" t="n">
        <v>46019</v>
      </c>
      <c r="D277" t="inlineStr">
        <is>
          <t>ÖREBRO LÄN</t>
        </is>
      </c>
      <c r="E277" t="inlineStr">
        <is>
          <t>LINDESBERG</t>
        </is>
      </c>
      <c r="F277" t="inlineStr">
        <is>
          <t>Naturvårdsverket</t>
        </is>
      </c>
      <c r="G277" t="n">
        <v>1.6</v>
      </c>
      <c r="H277" t="n">
        <v>0</v>
      </c>
      <c r="I277" t="n">
        <v>0</v>
      </c>
      <c r="J277" t="n">
        <v>0</v>
      </c>
      <c r="K277" t="n">
        <v>0</v>
      </c>
      <c r="L277" t="n">
        <v>0</v>
      </c>
      <c r="M277" t="n">
        <v>0</v>
      </c>
      <c r="N277" t="n">
        <v>0</v>
      </c>
      <c r="O277" t="n">
        <v>0</v>
      </c>
      <c r="P277" t="n">
        <v>0</v>
      </c>
      <c r="Q277" t="n">
        <v>0</v>
      </c>
      <c r="R277" s="2" t="inlineStr"/>
    </row>
    <row r="278" ht="15" customHeight="1">
      <c r="A278" t="inlineStr">
        <is>
          <t>A 56582-2023</t>
        </is>
      </c>
      <c r="B278" s="1" t="n">
        <v>45243</v>
      </c>
      <c r="C278" s="1" t="n">
        <v>46019</v>
      </c>
      <c r="D278" t="inlineStr">
        <is>
          <t>ÖREBRO LÄN</t>
        </is>
      </c>
      <c r="E278" t="inlineStr">
        <is>
          <t>LINDESBERG</t>
        </is>
      </c>
      <c r="F278" t="inlineStr">
        <is>
          <t>Naturvårdsverket</t>
        </is>
      </c>
      <c r="G278" t="n">
        <v>2.3</v>
      </c>
      <c r="H278" t="n">
        <v>0</v>
      </c>
      <c r="I278" t="n">
        <v>0</v>
      </c>
      <c r="J278" t="n">
        <v>0</v>
      </c>
      <c r="K278" t="n">
        <v>0</v>
      </c>
      <c r="L278" t="n">
        <v>0</v>
      </c>
      <c r="M278" t="n">
        <v>0</v>
      </c>
      <c r="N278" t="n">
        <v>0</v>
      </c>
      <c r="O278" t="n">
        <v>0</v>
      </c>
      <c r="P278" t="n">
        <v>0</v>
      </c>
      <c r="Q278" t="n">
        <v>0</v>
      </c>
      <c r="R278" s="2" t="inlineStr"/>
    </row>
    <row r="279" ht="15" customHeight="1">
      <c r="A279" t="inlineStr">
        <is>
          <t>A 41947-2023</t>
        </is>
      </c>
      <c r="B279" s="1" t="n">
        <v>45177.31795138889</v>
      </c>
      <c r="C279" s="1" t="n">
        <v>46019</v>
      </c>
      <c r="D279" t="inlineStr">
        <is>
          <t>ÖREBRO LÄN</t>
        </is>
      </c>
      <c r="E279" t="inlineStr">
        <is>
          <t>LINDESBERG</t>
        </is>
      </c>
      <c r="F279" t="inlineStr">
        <is>
          <t>Kyrkan</t>
        </is>
      </c>
      <c r="G279" t="n">
        <v>0.7</v>
      </c>
      <c r="H279" t="n">
        <v>0</v>
      </c>
      <c r="I279" t="n">
        <v>0</v>
      </c>
      <c r="J279" t="n">
        <v>0</v>
      </c>
      <c r="K279" t="n">
        <v>0</v>
      </c>
      <c r="L279" t="n">
        <v>0</v>
      </c>
      <c r="M279" t="n">
        <v>0</v>
      </c>
      <c r="N279" t="n">
        <v>0</v>
      </c>
      <c r="O279" t="n">
        <v>0</v>
      </c>
      <c r="P279" t="n">
        <v>0</v>
      </c>
      <c r="Q279" t="n">
        <v>0</v>
      </c>
      <c r="R279" s="2" t="inlineStr"/>
    </row>
    <row r="280" ht="15" customHeight="1">
      <c r="A280" t="inlineStr">
        <is>
          <t>A 21202-2024</t>
        </is>
      </c>
      <c r="B280" s="1" t="n">
        <v>45440.5433912037</v>
      </c>
      <c r="C280" s="1" t="n">
        <v>46019</v>
      </c>
      <c r="D280" t="inlineStr">
        <is>
          <t>ÖREBRO LÄN</t>
        </is>
      </c>
      <c r="E280" t="inlineStr">
        <is>
          <t>LINDESBERG</t>
        </is>
      </c>
      <c r="G280" t="n">
        <v>4</v>
      </c>
      <c r="H280" t="n">
        <v>0</v>
      </c>
      <c r="I280" t="n">
        <v>0</v>
      </c>
      <c r="J280" t="n">
        <v>0</v>
      </c>
      <c r="K280" t="n">
        <v>0</v>
      </c>
      <c r="L280" t="n">
        <v>0</v>
      </c>
      <c r="M280" t="n">
        <v>0</v>
      </c>
      <c r="N280" t="n">
        <v>0</v>
      </c>
      <c r="O280" t="n">
        <v>0</v>
      </c>
      <c r="P280" t="n">
        <v>0</v>
      </c>
      <c r="Q280" t="n">
        <v>0</v>
      </c>
      <c r="R280" s="2" t="inlineStr"/>
    </row>
    <row r="281" ht="15" customHeight="1">
      <c r="A281" t="inlineStr">
        <is>
          <t>A 37738-2024</t>
        </is>
      </c>
      <c r="B281" s="1" t="n">
        <v>45541.66916666667</v>
      </c>
      <c r="C281" s="1" t="n">
        <v>46019</v>
      </c>
      <c r="D281" t="inlineStr">
        <is>
          <t>ÖREBRO LÄN</t>
        </is>
      </c>
      <c r="E281" t="inlineStr">
        <is>
          <t>LINDESBERG</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23835-2025</t>
        </is>
      </c>
      <c r="B282" s="1" t="n">
        <v>45793.61047453704</v>
      </c>
      <c r="C282" s="1" t="n">
        <v>46019</v>
      </c>
      <c r="D282" t="inlineStr">
        <is>
          <t>ÖREBRO LÄN</t>
        </is>
      </c>
      <c r="E282" t="inlineStr">
        <is>
          <t>LINDESBERG</t>
        </is>
      </c>
      <c r="F282" t="inlineStr">
        <is>
          <t>Sveaskog</t>
        </is>
      </c>
      <c r="G282" t="n">
        <v>2.1</v>
      </c>
      <c r="H282" t="n">
        <v>0</v>
      </c>
      <c r="I282" t="n">
        <v>0</v>
      </c>
      <c r="J282" t="n">
        <v>0</v>
      </c>
      <c r="K282" t="n">
        <v>0</v>
      </c>
      <c r="L282" t="n">
        <v>0</v>
      </c>
      <c r="M282" t="n">
        <v>0</v>
      </c>
      <c r="N282" t="n">
        <v>0</v>
      </c>
      <c r="O282" t="n">
        <v>0</v>
      </c>
      <c r="P282" t="n">
        <v>0</v>
      </c>
      <c r="Q282" t="n">
        <v>0</v>
      </c>
      <c r="R282" s="2" t="inlineStr"/>
    </row>
    <row r="283" ht="15" customHeight="1">
      <c r="A283" t="inlineStr">
        <is>
          <t>A 15933-2025</t>
        </is>
      </c>
      <c r="B283" s="1" t="n">
        <v>45749.47251157407</v>
      </c>
      <c r="C283" s="1" t="n">
        <v>46019</v>
      </c>
      <c r="D283" t="inlineStr">
        <is>
          <t>ÖREBRO LÄN</t>
        </is>
      </c>
      <c r="E283" t="inlineStr">
        <is>
          <t>LINDESBERG</t>
        </is>
      </c>
      <c r="G283" t="n">
        <v>6.1</v>
      </c>
      <c r="H283" t="n">
        <v>0</v>
      </c>
      <c r="I283" t="n">
        <v>0</v>
      </c>
      <c r="J283" t="n">
        <v>0</v>
      </c>
      <c r="K283" t="n">
        <v>0</v>
      </c>
      <c r="L283" t="n">
        <v>0</v>
      </c>
      <c r="M283" t="n">
        <v>0</v>
      </c>
      <c r="N283" t="n">
        <v>0</v>
      </c>
      <c r="O283" t="n">
        <v>0</v>
      </c>
      <c r="P283" t="n">
        <v>0</v>
      </c>
      <c r="Q283" t="n">
        <v>0</v>
      </c>
      <c r="R283" s="2" t="inlineStr"/>
    </row>
    <row r="284" ht="15" customHeight="1">
      <c r="A284" t="inlineStr">
        <is>
          <t>A 62968-2023</t>
        </is>
      </c>
      <c r="B284" s="1" t="n">
        <v>45272.57385416667</v>
      </c>
      <c r="C284" s="1" t="n">
        <v>46019</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23844-2025</t>
        </is>
      </c>
      <c r="B285" s="1" t="n">
        <v>45793.62422453704</v>
      </c>
      <c r="C285" s="1" t="n">
        <v>46019</v>
      </c>
      <c r="D285" t="inlineStr">
        <is>
          <t>ÖREBRO LÄN</t>
        </is>
      </c>
      <c r="E285" t="inlineStr">
        <is>
          <t>LINDESBERG</t>
        </is>
      </c>
      <c r="F285" t="inlineStr">
        <is>
          <t>Sveaskog</t>
        </is>
      </c>
      <c r="G285" t="n">
        <v>0.4</v>
      </c>
      <c r="H285" t="n">
        <v>0</v>
      </c>
      <c r="I285" t="n">
        <v>0</v>
      </c>
      <c r="J285" t="n">
        <v>0</v>
      </c>
      <c r="K285" t="n">
        <v>0</v>
      </c>
      <c r="L285" t="n">
        <v>0</v>
      </c>
      <c r="M285" t="n">
        <v>0</v>
      </c>
      <c r="N285" t="n">
        <v>0</v>
      </c>
      <c r="O285" t="n">
        <v>0</v>
      </c>
      <c r="P285" t="n">
        <v>0</v>
      </c>
      <c r="Q285" t="n">
        <v>0</v>
      </c>
      <c r="R285" s="2" t="inlineStr"/>
    </row>
    <row r="286" ht="15" customHeight="1">
      <c r="A286" t="inlineStr">
        <is>
          <t>A 24186-2024</t>
        </is>
      </c>
      <c r="B286" s="1" t="n">
        <v>45456.90869212963</v>
      </c>
      <c r="C286" s="1" t="n">
        <v>46019</v>
      </c>
      <c r="D286" t="inlineStr">
        <is>
          <t>ÖREBRO LÄN</t>
        </is>
      </c>
      <c r="E286" t="inlineStr">
        <is>
          <t>LINDESBERG</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23933-2025</t>
        </is>
      </c>
      <c r="B287" s="1" t="n">
        <v>45795.71300925926</v>
      </c>
      <c r="C287" s="1" t="n">
        <v>46019</v>
      </c>
      <c r="D287" t="inlineStr">
        <is>
          <t>ÖREBRO LÄN</t>
        </is>
      </c>
      <c r="E287" t="inlineStr">
        <is>
          <t>LINDESBERG</t>
        </is>
      </c>
      <c r="G287" t="n">
        <v>2.2</v>
      </c>
      <c r="H287" t="n">
        <v>0</v>
      </c>
      <c r="I287" t="n">
        <v>0</v>
      </c>
      <c r="J287" t="n">
        <v>0</v>
      </c>
      <c r="K287" t="n">
        <v>0</v>
      </c>
      <c r="L287" t="n">
        <v>0</v>
      </c>
      <c r="M287" t="n">
        <v>0</v>
      </c>
      <c r="N287" t="n">
        <v>0</v>
      </c>
      <c r="O287" t="n">
        <v>0</v>
      </c>
      <c r="P287" t="n">
        <v>0</v>
      </c>
      <c r="Q287" t="n">
        <v>0</v>
      </c>
      <c r="R287" s="2" t="inlineStr"/>
    </row>
    <row r="288" ht="15" customHeight="1">
      <c r="A288" t="inlineStr">
        <is>
          <t>A 23932-2025</t>
        </is>
      </c>
      <c r="B288" s="1" t="n">
        <v>45795.70912037037</v>
      </c>
      <c r="C288" s="1" t="n">
        <v>46019</v>
      </c>
      <c r="D288" t="inlineStr">
        <is>
          <t>ÖREBRO LÄN</t>
        </is>
      </c>
      <c r="E288" t="inlineStr">
        <is>
          <t>LINDESBERG</t>
        </is>
      </c>
      <c r="G288" t="n">
        <v>2</v>
      </c>
      <c r="H288" t="n">
        <v>0</v>
      </c>
      <c r="I288" t="n">
        <v>0</v>
      </c>
      <c r="J288" t="n">
        <v>0</v>
      </c>
      <c r="K288" t="n">
        <v>0</v>
      </c>
      <c r="L288" t="n">
        <v>0</v>
      </c>
      <c r="M288" t="n">
        <v>0</v>
      </c>
      <c r="N288" t="n">
        <v>0</v>
      </c>
      <c r="O288" t="n">
        <v>0</v>
      </c>
      <c r="P288" t="n">
        <v>0</v>
      </c>
      <c r="Q288" t="n">
        <v>0</v>
      </c>
      <c r="R288" s="2" t="inlineStr"/>
    </row>
    <row r="289" ht="15" customHeight="1">
      <c r="A289" t="inlineStr">
        <is>
          <t>A 37125-2023</t>
        </is>
      </c>
      <c r="B289" s="1" t="n">
        <v>45155.5653125</v>
      </c>
      <c r="C289" s="1" t="n">
        <v>46019</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57944-2023</t>
        </is>
      </c>
      <c r="B290" s="1" t="n">
        <v>45244</v>
      </c>
      <c r="C290" s="1" t="n">
        <v>46019</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15936-2025</t>
        </is>
      </c>
      <c r="B291" s="1" t="n">
        <v>45749.4737962963</v>
      </c>
      <c r="C291" s="1" t="n">
        <v>46019</v>
      </c>
      <c r="D291" t="inlineStr">
        <is>
          <t>ÖREBRO LÄN</t>
        </is>
      </c>
      <c r="E291" t="inlineStr">
        <is>
          <t>LINDESBERG</t>
        </is>
      </c>
      <c r="G291" t="n">
        <v>22.3</v>
      </c>
      <c r="H291" t="n">
        <v>0</v>
      </c>
      <c r="I291" t="n">
        <v>0</v>
      </c>
      <c r="J291" t="n">
        <v>0</v>
      </c>
      <c r="K291" t="n">
        <v>0</v>
      </c>
      <c r="L291" t="n">
        <v>0</v>
      </c>
      <c r="M291" t="n">
        <v>0</v>
      </c>
      <c r="N291" t="n">
        <v>0</v>
      </c>
      <c r="O291" t="n">
        <v>0</v>
      </c>
      <c r="P291" t="n">
        <v>0</v>
      </c>
      <c r="Q291" t="n">
        <v>0</v>
      </c>
      <c r="R291" s="2" t="inlineStr"/>
    </row>
    <row r="292" ht="15" customHeight="1">
      <c r="A292" t="inlineStr">
        <is>
          <t>A 24017-2025</t>
        </is>
      </c>
      <c r="B292" s="1" t="n">
        <v>45796.44885416667</v>
      </c>
      <c r="C292" s="1" t="n">
        <v>46019</v>
      </c>
      <c r="D292" t="inlineStr">
        <is>
          <t>ÖREBRO LÄN</t>
        </is>
      </c>
      <c r="E292" t="inlineStr">
        <is>
          <t>LINDESBERG</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23897-2025</t>
        </is>
      </c>
      <c r="B293" s="1" t="n">
        <v>45794.33498842592</v>
      </c>
      <c r="C293" s="1" t="n">
        <v>46019</v>
      </c>
      <c r="D293" t="inlineStr">
        <is>
          <t>ÖREBRO LÄN</t>
        </is>
      </c>
      <c r="E293" t="inlineStr">
        <is>
          <t>LINDESBERG</t>
        </is>
      </c>
      <c r="G293" t="n">
        <v>5.6</v>
      </c>
      <c r="H293" t="n">
        <v>0</v>
      </c>
      <c r="I293" t="n">
        <v>0</v>
      </c>
      <c r="J293" t="n">
        <v>0</v>
      </c>
      <c r="K293" t="n">
        <v>0</v>
      </c>
      <c r="L293" t="n">
        <v>0</v>
      </c>
      <c r="M293" t="n">
        <v>0</v>
      </c>
      <c r="N293" t="n">
        <v>0</v>
      </c>
      <c r="O293" t="n">
        <v>0</v>
      </c>
      <c r="P293" t="n">
        <v>0</v>
      </c>
      <c r="Q293" t="n">
        <v>0</v>
      </c>
      <c r="R293" s="2" t="inlineStr"/>
    </row>
    <row r="294" ht="15" customHeight="1">
      <c r="A294" t="inlineStr">
        <is>
          <t>A 24107-2025</t>
        </is>
      </c>
      <c r="B294" s="1" t="n">
        <v>45796</v>
      </c>
      <c r="C294" s="1" t="n">
        <v>46019</v>
      </c>
      <c r="D294" t="inlineStr">
        <is>
          <t>ÖREBRO LÄN</t>
        </is>
      </c>
      <c r="E294" t="inlineStr">
        <is>
          <t>LINDESBERG</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23898-2025</t>
        </is>
      </c>
      <c r="B295" s="1" t="n">
        <v>45794.3419212963</v>
      </c>
      <c r="C295" s="1" t="n">
        <v>46019</v>
      </c>
      <c r="D295" t="inlineStr">
        <is>
          <t>ÖREBRO LÄN</t>
        </is>
      </c>
      <c r="E295" t="inlineStr">
        <is>
          <t>LINDESBERG</t>
        </is>
      </c>
      <c r="G295" t="n">
        <v>1</v>
      </c>
      <c r="H295" t="n">
        <v>0</v>
      </c>
      <c r="I295" t="n">
        <v>0</v>
      </c>
      <c r="J295" t="n">
        <v>0</v>
      </c>
      <c r="K295" t="n">
        <v>0</v>
      </c>
      <c r="L295" t="n">
        <v>0</v>
      </c>
      <c r="M295" t="n">
        <v>0</v>
      </c>
      <c r="N295" t="n">
        <v>0</v>
      </c>
      <c r="O295" t="n">
        <v>0</v>
      </c>
      <c r="P295" t="n">
        <v>0</v>
      </c>
      <c r="Q295" t="n">
        <v>0</v>
      </c>
      <c r="R295" s="2" t="inlineStr"/>
    </row>
    <row r="296" ht="15" customHeight="1">
      <c r="A296" t="inlineStr">
        <is>
          <t>A 38861-2025</t>
        </is>
      </c>
      <c r="B296" s="1" t="n">
        <v>45887.56101851852</v>
      </c>
      <c r="C296" s="1" t="n">
        <v>46019</v>
      </c>
      <c r="D296" t="inlineStr">
        <is>
          <t>ÖREBRO LÄN</t>
        </is>
      </c>
      <c r="E296" t="inlineStr">
        <is>
          <t>LINDESBERG</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10564-2023</t>
        </is>
      </c>
      <c r="B297" s="1" t="n">
        <v>44988</v>
      </c>
      <c r="C297" s="1" t="n">
        <v>46019</v>
      </c>
      <c r="D297" t="inlineStr">
        <is>
          <t>ÖREBRO LÄN</t>
        </is>
      </c>
      <c r="E297" t="inlineStr">
        <is>
          <t>LINDESBERG</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24011-2025</t>
        </is>
      </c>
      <c r="B298" s="1" t="n">
        <v>45796</v>
      </c>
      <c r="C298" s="1" t="n">
        <v>46019</v>
      </c>
      <c r="D298" t="inlineStr">
        <is>
          <t>ÖREBRO LÄN</t>
        </is>
      </c>
      <c r="E298" t="inlineStr">
        <is>
          <t>LINDESBERG</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24020-2025</t>
        </is>
      </c>
      <c r="B299" s="1" t="n">
        <v>45796.45054398148</v>
      </c>
      <c r="C299" s="1" t="n">
        <v>46019</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30830-2024</t>
        </is>
      </c>
      <c r="B300" s="1" t="n">
        <v>45497</v>
      </c>
      <c r="C300" s="1" t="n">
        <v>46019</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23934-2025</t>
        </is>
      </c>
      <c r="B301" s="1" t="n">
        <v>45795.71547453704</v>
      </c>
      <c r="C301" s="1" t="n">
        <v>46019</v>
      </c>
      <c r="D301" t="inlineStr">
        <is>
          <t>ÖREBRO LÄN</t>
        </is>
      </c>
      <c r="E301" t="inlineStr">
        <is>
          <t>LINDESBERG</t>
        </is>
      </c>
      <c r="G301" t="n">
        <v>1.9</v>
      </c>
      <c r="H301" t="n">
        <v>0</v>
      </c>
      <c r="I301" t="n">
        <v>0</v>
      </c>
      <c r="J301" t="n">
        <v>0</v>
      </c>
      <c r="K301" t="n">
        <v>0</v>
      </c>
      <c r="L301" t="n">
        <v>0</v>
      </c>
      <c r="M301" t="n">
        <v>0</v>
      </c>
      <c r="N301" t="n">
        <v>0</v>
      </c>
      <c r="O301" t="n">
        <v>0</v>
      </c>
      <c r="P301" t="n">
        <v>0</v>
      </c>
      <c r="Q301" t="n">
        <v>0</v>
      </c>
      <c r="R301" s="2" t="inlineStr"/>
    </row>
    <row r="302" ht="15" customHeight="1">
      <c r="A302" t="inlineStr">
        <is>
          <t>A 24043-2024</t>
        </is>
      </c>
      <c r="B302" s="1" t="n">
        <v>45456.48927083334</v>
      </c>
      <c r="C302" s="1" t="n">
        <v>46019</v>
      </c>
      <c r="D302" t="inlineStr">
        <is>
          <t>ÖREBRO LÄN</t>
        </is>
      </c>
      <c r="E302" t="inlineStr">
        <is>
          <t>LINDESBERG</t>
        </is>
      </c>
      <c r="G302" t="n">
        <v>6.2</v>
      </c>
      <c r="H302" t="n">
        <v>0</v>
      </c>
      <c r="I302" t="n">
        <v>0</v>
      </c>
      <c r="J302" t="n">
        <v>0</v>
      </c>
      <c r="K302" t="n">
        <v>0</v>
      </c>
      <c r="L302" t="n">
        <v>0</v>
      </c>
      <c r="M302" t="n">
        <v>0</v>
      </c>
      <c r="N302" t="n">
        <v>0</v>
      </c>
      <c r="O302" t="n">
        <v>0</v>
      </c>
      <c r="P302" t="n">
        <v>0</v>
      </c>
      <c r="Q302" t="n">
        <v>0</v>
      </c>
      <c r="R302" s="2" t="inlineStr"/>
    </row>
    <row r="303" ht="15" customHeight="1">
      <c r="A303" t="inlineStr">
        <is>
          <t>A 36291-2022</t>
        </is>
      </c>
      <c r="B303" s="1" t="n">
        <v>44803.64361111111</v>
      </c>
      <c r="C303" s="1" t="n">
        <v>46019</v>
      </c>
      <c r="D303" t="inlineStr">
        <is>
          <t>ÖREBRO LÄN</t>
        </is>
      </c>
      <c r="E303" t="inlineStr">
        <is>
          <t>LINDESBERG</t>
        </is>
      </c>
      <c r="G303" t="n">
        <v>3.8</v>
      </c>
      <c r="H303" t="n">
        <v>0</v>
      </c>
      <c r="I303" t="n">
        <v>0</v>
      </c>
      <c r="J303" t="n">
        <v>0</v>
      </c>
      <c r="K303" t="n">
        <v>0</v>
      </c>
      <c r="L303" t="n">
        <v>0</v>
      </c>
      <c r="M303" t="n">
        <v>0</v>
      </c>
      <c r="N303" t="n">
        <v>0</v>
      </c>
      <c r="O303" t="n">
        <v>0</v>
      </c>
      <c r="P303" t="n">
        <v>0</v>
      </c>
      <c r="Q303" t="n">
        <v>0</v>
      </c>
      <c r="R303" s="2" t="inlineStr"/>
    </row>
    <row r="304" ht="15" customHeight="1">
      <c r="A304" t="inlineStr">
        <is>
          <t>A 39429-2025</t>
        </is>
      </c>
      <c r="B304" s="1" t="n">
        <v>45889.67577546297</v>
      </c>
      <c r="C304" s="1" t="n">
        <v>46019</v>
      </c>
      <c r="D304" t="inlineStr">
        <is>
          <t>ÖREBRO LÄN</t>
        </is>
      </c>
      <c r="E304" t="inlineStr">
        <is>
          <t>LINDESBERG</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39421-2025</t>
        </is>
      </c>
      <c r="B305" s="1" t="n">
        <v>45889.66935185185</v>
      </c>
      <c r="C305" s="1" t="n">
        <v>46019</v>
      </c>
      <c r="D305" t="inlineStr">
        <is>
          <t>ÖREBRO LÄN</t>
        </is>
      </c>
      <c r="E305" t="inlineStr">
        <is>
          <t>LINDESBERG</t>
        </is>
      </c>
      <c r="F305" t="inlineStr">
        <is>
          <t>Sveaskog</t>
        </is>
      </c>
      <c r="G305" t="n">
        <v>2</v>
      </c>
      <c r="H305" t="n">
        <v>0</v>
      </c>
      <c r="I305" t="n">
        <v>0</v>
      </c>
      <c r="J305" t="n">
        <v>0</v>
      </c>
      <c r="K305" t="n">
        <v>0</v>
      </c>
      <c r="L305" t="n">
        <v>0</v>
      </c>
      <c r="M305" t="n">
        <v>0</v>
      </c>
      <c r="N305" t="n">
        <v>0</v>
      </c>
      <c r="O305" t="n">
        <v>0</v>
      </c>
      <c r="P305" t="n">
        <v>0</v>
      </c>
      <c r="Q305" t="n">
        <v>0</v>
      </c>
      <c r="R305" s="2" t="inlineStr"/>
    </row>
    <row r="306" ht="15" customHeight="1">
      <c r="A306" t="inlineStr">
        <is>
          <t>A 39424-2025</t>
        </is>
      </c>
      <c r="B306" s="1" t="n">
        <v>45889.67290509259</v>
      </c>
      <c r="C306" s="1" t="n">
        <v>46019</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12250-2025</t>
        </is>
      </c>
      <c r="B307" s="1" t="n">
        <v>45729.60775462963</v>
      </c>
      <c r="C307" s="1" t="n">
        <v>46019</v>
      </c>
      <c r="D307" t="inlineStr">
        <is>
          <t>ÖREBRO LÄN</t>
        </is>
      </c>
      <c r="E307" t="inlineStr">
        <is>
          <t>LINDESBERG</t>
        </is>
      </c>
      <c r="G307" t="n">
        <v>3.4</v>
      </c>
      <c r="H307" t="n">
        <v>0</v>
      </c>
      <c r="I307" t="n">
        <v>0</v>
      </c>
      <c r="J307" t="n">
        <v>0</v>
      </c>
      <c r="K307" t="n">
        <v>0</v>
      </c>
      <c r="L307" t="n">
        <v>0</v>
      </c>
      <c r="M307" t="n">
        <v>0</v>
      </c>
      <c r="N307" t="n">
        <v>0</v>
      </c>
      <c r="O307" t="n">
        <v>0</v>
      </c>
      <c r="P307" t="n">
        <v>0</v>
      </c>
      <c r="Q307" t="n">
        <v>0</v>
      </c>
      <c r="R307" s="2" t="inlineStr"/>
    </row>
    <row r="308" ht="15" customHeight="1">
      <c r="A308" t="inlineStr">
        <is>
          <t>A 48231-2024</t>
        </is>
      </c>
      <c r="B308" s="1" t="n">
        <v>45590.37590277778</v>
      </c>
      <c r="C308" s="1" t="n">
        <v>46019</v>
      </c>
      <c r="D308" t="inlineStr">
        <is>
          <t>ÖREBRO LÄN</t>
        </is>
      </c>
      <c r="E308" t="inlineStr">
        <is>
          <t>LINDESBERG</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10836-2024</t>
        </is>
      </c>
      <c r="B309" s="1" t="n">
        <v>45369</v>
      </c>
      <c r="C309" s="1" t="n">
        <v>46019</v>
      </c>
      <c r="D309" t="inlineStr">
        <is>
          <t>ÖREBRO LÄN</t>
        </is>
      </c>
      <c r="E309" t="inlineStr">
        <is>
          <t>LINDESBERG</t>
        </is>
      </c>
      <c r="G309" t="n">
        <v>2.8</v>
      </c>
      <c r="H309" t="n">
        <v>0</v>
      </c>
      <c r="I309" t="n">
        <v>0</v>
      </c>
      <c r="J309" t="n">
        <v>0</v>
      </c>
      <c r="K309" t="n">
        <v>0</v>
      </c>
      <c r="L309" t="n">
        <v>0</v>
      </c>
      <c r="M309" t="n">
        <v>0</v>
      </c>
      <c r="N309" t="n">
        <v>0</v>
      </c>
      <c r="O309" t="n">
        <v>0</v>
      </c>
      <c r="P309" t="n">
        <v>0</v>
      </c>
      <c r="Q309" t="n">
        <v>0</v>
      </c>
      <c r="R309" s="2" t="inlineStr"/>
    </row>
    <row r="310" ht="15" customHeight="1">
      <c r="A310" t="inlineStr">
        <is>
          <t>A 25643-2025</t>
        </is>
      </c>
      <c r="B310" s="1" t="n">
        <v>45803</v>
      </c>
      <c r="C310" s="1" t="n">
        <v>46019</v>
      </c>
      <c r="D310" t="inlineStr">
        <is>
          <t>ÖREBRO LÄN</t>
        </is>
      </c>
      <c r="E310" t="inlineStr">
        <is>
          <t>LINDESBERG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24944-2024</t>
        </is>
      </c>
      <c r="B311" s="1" t="n">
        <v>45461.62924768519</v>
      </c>
      <c r="C311" s="1" t="n">
        <v>46019</v>
      </c>
      <c r="D311" t="inlineStr">
        <is>
          <t>ÖREBRO LÄN</t>
        </is>
      </c>
      <c r="E311" t="inlineStr">
        <is>
          <t>LINDESBERG</t>
        </is>
      </c>
      <c r="F311" t="inlineStr">
        <is>
          <t>Kyrkan</t>
        </is>
      </c>
      <c r="G311" t="n">
        <v>13.7</v>
      </c>
      <c r="H311" t="n">
        <v>0</v>
      </c>
      <c r="I311" t="n">
        <v>0</v>
      </c>
      <c r="J311" t="n">
        <v>0</v>
      </c>
      <c r="K311" t="n">
        <v>0</v>
      </c>
      <c r="L311" t="n">
        <v>0</v>
      </c>
      <c r="M311" t="n">
        <v>0</v>
      </c>
      <c r="N311" t="n">
        <v>0</v>
      </c>
      <c r="O311" t="n">
        <v>0</v>
      </c>
      <c r="P311" t="n">
        <v>0</v>
      </c>
      <c r="Q311" t="n">
        <v>0</v>
      </c>
      <c r="R311" s="2" t="inlineStr"/>
    </row>
    <row r="312" ht="15" customHeight="1">
      <c r="A312" t="inlineStr">
        <is>
          <t>A 33716-2021</t>
        </is>
      </c>
      <c r="B312" s="1" t="n">
        <v>44378.46857638889</v>
      </c>
      <c r="C312" s="1" t="n">
        <v>46019</v>
      </c>
      <c r="D312" t="inlineStr">
        <is>
          <t>ÖREBRO LÄN</t>
        </is>
      </c>
      <c r="E312" t="inlineStr">
        <is>
          <t>LINDESBERG</t>
        </is>
      </c>
      <c r="G312" t="n">
        <v>4.6</v>
      </c>
      <c r="H312" t="n">
        <v>0</v>
      </c>
      <c r="I312" t="n">
        <v>0</v>
      </c>
      <c r="J312" t="n">
        <v>0</v>
      </c>
      <c r="K312" t="n">
        <v>0</v>
      </c>
      <c r="L312" t="n">
        <v>0</v>
      </c>
      <c r="M312" t="n">
        <v>0</v>
      </c>
      <c r="N312" t="n">
        <v>0</v>
      </c>
      <c r="O312" t="n">
        <v>0</v>
      </c>
      <c r="P312" t="n">
        <v>0</v>
      </c>
      <c r="Q312" t="n">
        <v>0</v>
      </c>
      <c r="R312" s="2" t="inlineStr"/>
    </row>
    <row r="313" ht="15" customHeight="1">
      <c r="A313" t="inlineStr">
        <is>
          <t>A 23536-2023</t>
        </is>
      </c>
      <c r="B313" s="1" t="n">
        <v>45077</v>
      </c>
      <c r="C313" s="1" t="n">
        <v>46019</v>
      </c>
      <c r="D313" t="inlineStr">
        <is>
          <t>ÖREBRO LÄN</t>
        </is>
      </c>
      <c r="E313" t="inlineStr">
        <is>
          <t>LINDESBERG</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38552-2023</t>
        </is>
      </c>
      <c r="B314" s="1" t="n">
        <v>45162.5978125</v>
      </c>
      <c r="C314" s="1" t="n">
        <v>46019</v>
      </c>
      <c r="D314" t="inlineStr">
        <is>
          <t>ÖREBRO LÄN</t>
        </is>
      </c>
      <c r="E314" t="inlineStr">
        <is>
          <t>LINDESBERG</t>
        </is>
      </c>
      <c r="G314" t="n">
        <v>10.4</v>
      </c>
      <c r="H314" t="n">
        <v>0</v>
      </c>
      <c r="I314" t="n">
        <v>0</v>
      </c>
      <c r="J314" t="n">
        <v>0</v>
      </c>
      <c r="K314" t="n">
        <v>0</v>
      </c>
      <c r="L314" t="n">
        <v>0</v>
      </c>
      <c r="M314" t="n">
        <v>0</v>
      </c>
      <c r="N314" t="n">
        <v>0</v>
      </c>
      <c r="O314" t="n">
        <v>0</v>
      </c>
      <c r="P314" t="n">
        <v>0</v>
      </c>
      <c r="Q314" t="n">
        <v>0</v>
      </c>
      <c r="R314" s="2" t="inlineStr"/>
    </row>
    <row r="315" ht="15" customHeight="1">
      <c r="A315" t="inlineStr">
        <is>
          <t>A 15213-2025</t>
        </is>
      </c>
      <c r="B315" s="1" t="n">
        <v>45744.57851851852</v>
      </c>
      <c r="C315" s="1" t="n">
        <v>46019</v>
      </c>
      <c r="D315" t="inlineStr">
        <is>
          <t>ÖREBRO LÄN</t>
        </is>
      </c>
      <c r="E315" t="inlineStr">
        <is>
          <t>LINDESBERG</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40347-2025</t>
        </is>
      </c>
      <c r="B316" s="1" t="n">
        <v>45895.4790625</v>
      </c>
      <c r="C316" s="1" t="n">
        <v>46019</v>
      </c>
      <c r="D316" t="inlineStr">
        <is>
          <t>ÖREBRO LÄN</t>
        </is>
      </c>
      <c r="E316" t="inlineStr">
        <is>
          <t>LINDESBERG</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40346-2025</t>
        </is>
      </c>
      <c r="B317" s="1" t="n">
        <v>45895.47704861111</v>
      </c>
      <c r="C317" s="1" t="n">
        <v>46019</v>
      </c>
      <c r="D317" t="inlineStr">
        <is>
          <t>ÖREBRO LÄN</t>
        </is>
      </c>
      <c r="E317" t="inlineStr">
        <is>
          <t>LINDESBERG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40351-2025</t>
        </is>
      </c>
      <c r="B318" s="1" t="n">
        <v>45895.48394675926</v>
      </c>
      <c r="C318" s="1" t="n">
        <v>46019</v>
      </c>
      <c r="D318" t="inlineStr">
        <is>
          <t>ÖREBRO LÄN</t>
        </is>
      </c>
      <c r="E318" t="inlineStr">
        <is>
          <t>LINDESBERG</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25842-2025</t>
        </is>
      </c>
      <c r="B319" s="1" t="n">
        <v>45804.45474537037</v>
      </c>
      <c r="C319" s="1" t="n">
        <v>46019</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26016-2025</t>
        </is>
      </c>
      <c r="B320" s="1" t="n">
        <v>45804.67795138889</v>
      </c>
      <c r="C320" s="1" t="n">
        <v>46019</v>
      </c>
      <c r="D320" t="inlineStr">
        <is>
          <t>ÖREBRO LÄN</t>
        </is>
      </c>
      <c r="E320" t="inlineStr">
        <is>
          <t>LINDESBERG</t>
        </is>
      </c>
      <c r="G320" t="n">
        <v>10</v>
      </c>
      <c r="H320" t="n">
        <v>0</v>
      </c>
      <c r="I320" t="n">
        <v>0</v>
      </c>
      <c r="J320" t="n">
        <v>0</v>
      </c>
      <c r="K320" t="n">
        <v>0</v>
      </c>
      <c r="L320" t="n">
        <v>0</v>
      </c>
      <c r="M320" t="n">
        <v>0</v>
      </c>
      <c r="N320" t="n">
        <v>0</v>
      </c>
      <c r="O320" t="n">
        <v>0</v>
      </c>
      <c r="P320" t="n">
        <v>0</v>
      </c>
      <c r="Q320" t="n">
        <v>0</v>
      </c>
      <c r="R320" s="2" t="inlineStr"/>
    </row>
    <row r="321" ht="15" customHeight="1">
      <c r="A321" t="inlineStr">
        <is>
          <t>A 40366-2025</t>
        </is>
      </c>
      <c r="B321" s="1" t="n">
        <v>45895.49994212963</v>
      </c>
      <c r="C321" s="1" t="n">
        <v>46019</v>
      </c>
      <c r="D321" t="inlineStr">
        <is>
          <t>ÖREBRO LÄN</t>
        </is>
      </c>
      <c r="E321" t="inlineStr">
        <is>
          <t>LINDESBERG</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19914-2024</t>
        </is>
      </c>
      <c r="B322" s="1" t="n">
        <v>45433.58099537037</v>
      </c>
      <c r="C322" s="1" t="n">
        <v>46019</v>
      </c>
      <c r="D322" t="inlineStr">
        <is>
          <t>ÖREBRO LÄN</t>
        </is>
      </c>
      <c r="E322" t="inlineStr">
        <is>
          <t>LINDESBERG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4999-2025</t>
        </is>
      </c>
      <c r="B323" s="1" t="n">
        <v>45691.36253472222</v>
      </c>
      <c r="C323" s="1" t="n">
        <v>46019</v>
      </c>
      <c r="D323" t="inlineStr">
        <is>
          <t>ÖREBRO LÄN</t>
        </is>
      </c>
      <c r="E323" t="inlineStr">
        <is>
          <t>LINDESBERG</t>
        </is>
      </c>
      <c r="G323" t="n">
        <v>4.7</v>
      </c>
      <c r="H323" t="n">
        <v>0</v>
      </c>
      <c r="I323" t="n">
        <v>0</v>
      </c>
      <c r="J323" t="n">
        <v>0</v>
      </c>
      <c r="K323" t="n">
        <v>0</v>
      </c>
      <c r="L323" t="n">
        <v>0</v>
      </c>
      <c r="M323" t="n">
        <v>0</v>
      </c>
      <c r="N323" t="n">
        <v>0</v>
      </c>
      <c r="O323" t="n">
        <v>0</v>
      </c>
      <c r="P323" t="n">
        <v>0</v>
      </c>
      <c r="Q323" t="n">
        <v>0</v>
      </c>
      <c r="R323" s="2" t="inlineStr"/>
    </row>
    <row r="324" ht="15" customHeight="1">
      <c r="A324" t="inlineStr">
        <is>
          <t>A 37604-2025</t>
        </is>
      </c>
      <c r="B324" s="1" t="n">
        <v>45880</v>
      </c>
      <c r="C324" s="1" t="n">
        <v>46019</v>
      </c>
      <c r="D324" t="inlineStr">
        <is>
          <t>ÖREBRO LÄN</t>
        </is>
      </c>
      <c r="E324" t="inlineStr">
        <is>
          <t>LINDESBERG</t>
        </is>
      </c>
      <c r="G324" t="n">
        <v>6.3</v>
      </c>
      <c r="H324" t="n">
        <v>0</v>
      </c>
      <c r="I324" t="n">
        <v>0</v>
      </c>
      <c r="J324" t="n">
        <v>0</v>
      </c>
      <c r="K324" t="n">
        <v>0</v>
      </c>
      <c r="L324" t="n">
        <v>0</v>
      </c>
      <c r="M324" t="n">
        <v>0</v>
      </c>
      <c r="N324" t="n">
        <v>0</v>
      </c>
      <c r="O324" t="n">
        <v>0</v>
      </c>
      <c r="P324" t="n">
        <v>0</v>
      </c>
      <c r="Q324" t="n">
        <v>0</v>
      </c>
      <c r="R324" s="2" t="inlineStr"/>
    </row>
    <row r="325" ht="15" customHeight="1">
      <c r="A325" t="inlineStr">
        <is>
          <t>A 15941-2025</t>
        </is>
      </c>
      <c r="B325" s="1" t="n">
        <v>45749</v>
      </c>
      <c r="C325" s="1" t="n">
        <v>46019</v>
      </c>
      <c r="D325" t="inlineStr">
        <is>
          <t>ÖREBRO LÄN</t>
        </is>
      </c>
      <c r="E325" t="inlineStr">
        <is>
          <t>LINDESBERG</t>
        </is>
      </c>
      <c r="G325" t="n">
        <v>2.4</v>
      </c>
      <c r="H325" t="n">
        <v>0</v>
      </c>
      <c r="I325" t="n">
        <v>0</v>
      </c>
      <c r="J325" t="n">
        <v>0</v>
      </c>
      <c r="K325" t="n">
        <v>0</v>
      </c>
      <c r="L325" t="n">
        <v>0</v>
      </c>
      <c r="M325" t="n">
        <v>0</v>
      </c>
      <c r="N325" t="n">
        <v>0</v>
      </c>
      <c r="O325" t="n">
        <v>0</v>
      </c>
      <c r="P325" t="n">
        <v>0</v>
      </c>
      <c r="Q325" t="n">
        <v>0</v>
      </c>
      <c r="R325" s="2" t="inlineStr"/>
    </row>
    <row r="326" ht="15" customHeight="1">
      <c r="A326" t="inlineStr">
        <is>
          <t>A 40357-2025</t>
        </is>
      </c>
      <c r="B326" s="1" t="n">
        <v>45895.48927083334</v>
      </c>
      <c r="C326" s="1" t="n">
        <v>46019</v>
      </c>
      <c r="D326" t="inlineStr">
        <is>
          <t>ÖREBRO LÄN</t>
        </is>
      </c>
      <c r="E326" t="inlineStr">
        <is>
          <t>LINDESBERG</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55631-2022</t>
        </is>
      </c>
      <c r="B327" s="1" t="n">
        <v>44888.4577662037</v>
      </c>
      <c r="C327" s="1" t="n">
        <v>46019</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265-2023</t>
        </is>
      </c>
      <c r="B328" s="1" t="n">
        <v>44928</v>
      </c>
      <c r="C328" s="1" t="n">
        <v>46019</v>
      </c>
      <c r="D328" t="inlineStr">
        <is>
          <t>ÖREBRO LÄN</t>
        </is>
      </c>
      <c r="E328" t="inlineStr">
        <is>
          <t>LINDESBERG</t>
        </is>
      </c>
      <c r="G328" t="n">
        <v>2.4</v>
      </c>
      <c r="H328" t="n">
        <v>0</v>
      </c>
      <c r="I328" t="n">
        <v>0</v>
      </c>
      <c r="J328" t="n">
        <v>0</v>
      </c>
      <c r="K328" t="n">
        <v>0</v>
      </c>
      <c r="L328" t="n">
        <v>0</v>
      </c>
      <c r="M328" t="n">
        <v>0</v>
      </c>
      <c r="N328" t="n">
        <v>0</v>
      </c>
      <c r="O328" t="n">
        <v>0</v>
      </c>
      <c r="P328" t="n">
        <v>0</v>
      </c>
      <c r="Q328" t="n">
        <v>0</v>
      </c>
      <c r="R328" s="2" t="inlineStr"/>
    </row>
    <row r="329" ht="15" customHeight="1">
      <c r="A329" t="inlineStr">
        <is>
          <t>A 25843-2025</t>
        </is>
      </c>
      <c r="B329" s="1" t="n">
        <v>45804.45584490741</v>
      </c>
      <c r="C329" s="1" t="n">
        <v>46019</v>
      </c>
      <c r="D329" t="inlineStr">
        <is>
          <t>ÖREBRO LÄN</t>
        </is>
      </c>
      <c r="E329" t="inlineStr">
        <is>
          <t>LINDESBERG</t>
        </is>
      </c>
      <c r="G329" t="n">
        <v>4.6</v>
      </c>
      <c r="H329" t="n">
        <v>0</v>
      </c>
      <c r="I329" t="n">
        <v>0</v>
      </c>
      <c r="J329" t="n">
        <v>0</v>
      </c>
      <c r="K329" t="n">
        <v>0</v>
      </c>
      <c r="L329" t="n">
        <v>0</v>
      </c>
      <c r="M329" t="n">
        <v>0</v>
      </c>
      <c r="N329" t="n">
        <v>0</v>
      </c>
      <c r="O329" t="n">
        <v>0</v>
      </c>
      <c r="P329" t="n">
        <v>0</v>
      </c>
      <c r="Q329" t="n">
        <v>0</v>
      </c>
      <c r="R329" s="2" t="inlineStr"/>
    </row>
    <row r="330" ht="15" customHeight="1">
      <c r="A330" t="inlineStr">
        <is>
          <t>A 60115-2022</t>
        </is>
      </c>
      <c r="B330" s="1" t="n">
        <v>44902</v>
      </c>
      <c r="C330" s="1" t="n">
        <v>46019</v>
      </c>
      <c r="D330" t="inlineStr">
        <is>
          <t>ÖREBRO LÄN</t>
        </is>
      </c>
      <c r="E330" t="inlineStr">
        <is>
          <t>LINDESBERG</t>
        </is>
      </c>
      <c r="G330" t="n">
        <v>0.5</v>
      </c>
      <c r="H330" t="n">
        <v>0</v>
      </c>
      <c r="I330" t="n">
        <v>0</v>
      </c>
      <c r="J330" t="n">
        <v>0</v>
      </c>
      <c r="K330" t="n">
        <v>0</v>
      </c>
      <c r="L330" t="n">
        <v>0</v>
      </c>
      <c r="M330" t="n">
        <v>0</v>
      </c>
      <c r="N330" t="n">
        <v>0</v>
      </c>
      <c r="O330" t="n">
        <v>0</v>
      </c>
      <c r="P330" t="n">
        <v>0</v>
      </c>
      <c r="Q330" t="n">
        <v>0</v>
      </c>
      <c r="R330" s="2" t="inlineStr"/>
    </row>
    <row r="331" ht="15" customHeight="1">
      <c r="A331" t="inlineStr">
        <is>
          <t>A 29975-2023</t>
        </is>
      </c>
      <c r="B331" s="1" t="n">
        <v>45108.7553587963</v>
      </c>
      <c r="C331" s="1" t="n">
        <v>46019</v>
      </c>
      <c r="D331" t="inlineStr">
        <is>
          <t>ÖREBRO LÄN</t>
        </is>
      </c>
      <c r="E331" t="inlineStr">
        <is>
          <t>LINDESBERG</t>
        </is>
      </c>
      <c r="G331" t="n">
        <v>6.4</v>
      </c>
      <c r="H331" t="n">
        <v>0</v>
      </c>
      <c r="I331" t="n">
        <v>0</v>
      </c>
      <c r="J331" t="n">
        <v>0</v>
      </c>
      <c r="K331" t="n">
        <v>0</v>
      </c>
      <c r="L331" t="n">
        <v>0</v>
      </c>
      <c r="M331" t="n">
        <v>0</v>
      </c>
      <c r="N331" t="n">
        <v>0</v>
      </c>
      <c r="O331" t="n">
        <v>0</v>
      </c>
      <c r="P331" t="n">
        <v>0</v>
      </c>
      <c r="Q331" t="n">
        <v>0</v>
      </c>
      <c r="R331" s="2" t="inlineStr"/>
    </row>
    <row r="332" ht="15" customHeight="1">
      <c r="A332" t="inlineStr">
        <is>
          <t>A 15212-2025</t>
        </is>
      </c>
      <c r="B332" s="1" t="n">
        <v>45744.57673611111</v>
      </c>
      <c r="C332" s="1" t="n">
        <v>46019</v>
      </c>
      <c r="D332" t="inlineStr">
        <is>
          <t>ÖREBRO LÄN</t>
        </is>
      </c>
      <c r="E332" t="inlineStr">
        <is>
          <t>LINDESBERG</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41340-2025</t>
        </is>
      </c>
      <c r="B333" s="1" t="n">
        <v>45899.38057870371</v>
      </c>
      <c r="C333" s="1" t="n">
        <v>46019</v>
      </c>
      <c r="D333" t="inlineStr">
        <is>
          <t>ÖREBRO LÄN</t>
        </is>
      </c>
      <c r="E333" t="inlineStr">
        <is>
          <t>LINDESBERG</t>
        </is>
      </c>
      <c r="G333" t="n">
        <v>16.5</v>
      </c>
      <c r="H333" t="n">
        <v>0</v>
      </c>
      <c r="I333" t="n">
        <v>0</v>
      </c>
      <c r="J333" t="n">
        <v>0</v>
      </c>
      <c r="K333" t="n">
        <v>0</v>
      </c>
      <c r="L333" t="n">
        <v>0</v>
      </c>
      <c r="M333" t="n">
        <v>0</v>
      </c>
      <c r="N333" t="n">
        <v>0</v>
      </c>
      <c r="O333" t="n">
        <v>0</v>
      </c>
      <c r="P333" t="n">
        <v>0</v>
      </c>
      <c r="Q333" t="n">
        <v>0</v>
      </c>
      <c r="R333" s="2" t="inlineStr"/>
    </row>
    <row r="334" ht="15" customHeight="1">
      <c r="A334" t="inlineStr">
        <is>
          <t>A 41027-2025</t>
        </is>
      </c>
      <c r="B334" s="1" t="n">
        <v>45898.37138888889</v>
      </c>
      <c r="C334" s="1" t="n">
        <v>46019</v>
      </c>
      <c r="D334" t="inlineStr">
        <is>
          <t>ÖREBRO LÄN</t>
        </is>
      </c>
      <c r="E334" t="inlineStr">
        <is>
          <t>LINDESBERG</t>
        </is>
      </c>
      <c r="G334" t="n">
        <v>4.7</v>
      </c>
      <c r="H334" t="n">
        <v>0</v>
      </c>
      <c r="I334" t="n">
        <v>0</v>
      </c>
      <c r="J334" t="n">
        <v>0</v>
      </c>
      <c r="K334" t="n">
        <v>0</v>
      </c>
      <c r="L334" t="n">
        <v>0</v>
      </c>
      <c r="M334" t="n">
        <v>0</v>
      </c>
      <c r="N334" t="n">
        <v>0</v>
      </c>
      <c r="O334" t="n">
        <v>0</v>
      </c>
      <c r="P334" t="n">
        <v>0</v>
      </c>
      <c r="Q334" t="n">
        <v>0</v>
      </c>
      <c r="R334" s="2" t="inlineStr"/>
    </row>
    <row r="335" ht="15" customHeight="1">
      <c r="A335" t="inlineStr">
        <is>
          <t>A 40905-2023</t>
        </is>
      </c>
      <c r="B335" s="1" t="n">
        <v>45173.39315972223</v>
      </c>
      <c r="C335" s="1" t="n">
        <v>46019</v>
      </c>
      <c r="D335" t="inlineStr">
        <is>
          <t>ÖREBRO LÄN</t>
        </is>
      </c>
      <c r="E335" t="inlineStr">
        <is>
          <t>LINDESBERG</t>
        </is>
      </c>
      <c r="G335" t="n">
        <v>0.5</v>
      </c>
      <c r="H335" t="n">
        <v>0</v>
      </c>
      <c r="I335" t="n">
        <v>0</v>
      </c>
      <c r="J335" t="n">
        <v>0</v>
      </c>
      <c r="K335" t="n">
        <v>0</v>
      </c>
      <c r="L335" t="n">
        <v>0</v>
      </c>
      <c r="M335" t="n">
        <v>0</v>
      </c>
      <c r="N335" t="n">
        <v>0</v>
      </c>
      <c r="O335" t="n">
        <v>0</v>
      </c>
      <c r="P335" t="n">
        <v>0</v>
      </c>
      <c r="Q335" t="n">
        <v>0</v>
      </c>
      <c r="R335" s="2" t="inlineStr"/>
    </row>
    <row r="336" ht="15" customHeight="1">
      <c r="A336" t="inlineStr">
        <is>
          <t>A 27296-2025</t>
        </is>
      </c>
      <c r="B336" s="1" t="n">
        <v>45812.56952546296</v>
      </c>
      <c r="C336" s="1" t="n">
        <v>46019</v>
      </c>
      <c r="D336" t="inlineStr">
        <is>
          <t>ÖREBRO LÄN</t>
        </is>
      </c>
      <c r="E336" t="inlineStr">
        <is>
          <t>LINDESBERG</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40085-2023</t>
        </is>
      </c>
      <c r="B337" s="1" t="n">
        <v>45168.92155092592</v>
      </c>
      <c r="C337" s="1" t="n">
        <v>46019</v>
      </c>
      <c r="D337" t="inlineStr">
        <is>
          <t>ÖREBRO LÄN</t>
        </is>
      </c>
      <c r="E337" t="inlineStr">
        <is>
          <t>LINDESBERG</t>
        </is>
      </c>
      <c r="G337" t="n">
        <v>6.1</v>
      </c>
      <c r="H337" t="n">
        <v>0</v>
      </c>
      <c r="I337" t="n">
        <v>0</v>
      </c>
      <c r="J337" t="n">
        <v>0</v>
      </c>
      <c r="K337" t="n">
        <v>0</v>
      </c>
      <c r="L337" t="n">
        <v>0</v>
      </c>
      <c r="M337" t="n">
        <v>0</v>
      </c>
      <c r="N337" t="n">
        <v>0</v>
      </c>
      <c r="O337" t="n">
        <v>0</v>
      </c>
      <c r="P337" t="n">
        <v>0</v>
      </c>
      <c r="Q337" t="n">
        <v>0</v>
      </c>
      <c r="R337" s="2" t="inlineStr"/>
    </row>
    <row r="338" ht="15" customHeight="1">
      <c r="A338" t="inlineStr">
        <is>
          <t>A 40117-2023</t>
        </is>
      </c>
      <c r="B338" s="1" t="n">
        <v>45168.94197916667</v>
      </c>
      <c r="C338" s="1" t="n">
        <v>46019</v>
      </c>
      <c r="D338" t="inlineStr">
        <is>
          <t>ÖREBRO LÄN</t>
        </is>
      </c>
      <c r="E338" t="inlineStr">
        <is>
          <t>LINDESBERG</t>
        </is>
      </c>
      <c r="G338" t="n">
        <v>2.3</v>
      </c>
      <c r="H338" t="n">
        <v>0</v>
      </c>
      <c r="I338" t="n">
        <v>0</v>
      </c>
      <c r="J338" t="n">
        <v>0</v>
      </c>
      <c r="K338" t="n">
        <v>0</v>
      </c>
      <c r="L338" t="n">
        <v>0</v>
      </c>
      <c r="M338" t="n">
        <v>0</v>
      </c>
      <c r="N338" t="n">
        <v>0</v>
      </c>
      <c r="O338" t="n">
        <v>0</v>
      </c>
      <c r="P338" t="n">
        <v>0</v>
      </c>
      <c r="Q338" t="n">
        <v>0</v>
      </c>
      <c r="R338" s="2" t="inlineStr"/>
    </row>
    <row r="339" ht="15" customHeight="1">
      <c r="A339" t="inlineStr">
        <is>
          <t>A 41889-2025</t>
        </is>
      </c>
      <c r="B339" s="1" t="n">
        <v>45903.37475694445</v>
      </c>
      <c r="C339" s="1" t="n">
        <v>46019</v>
      </c>
      <c r="D339" t="inlineStr">
        <is>
          <t>ÖREBRO LÄN</t>
        </is>
      </c>
      <c r="E339" t="inlineStr">
        <is>
          <t>LINDESBERG</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21390-2024</t>
        </is>
      </c>
      <c r="B340" s="1" t="n">
        <v>45441.30899305556</v>
      </c>
      <c r="C340" s="1" t="n">
        <v>46019</v>
      </c>
      <c r="D340" t="inlineStr">
        <is>
          <t>ÖREBRO LÄN</t>
        </is>
      </c>
      <c r="E340" t="inlineStr">
        <is>
          <t>LINDESBERG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21392-2024</t>
        </is>
      </c>
      <c r="B341" s="1" t="n">
        <v>45441.30998842593</v>
      </c>
      <c r="C341" s="1" t="n">
        <v>46019</v>
      </c>
      <c r="D341" t="inlineStr">
        <is>
          <t>ÖREBRO LÄN</t>
        </is>
      </c>
      <c r="E341" t="inlineStr">
        <is>
          <t>LINDESBERG</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41653-2025</t>
        </is>
      </c>
      <c r="B342" s="1" t="n">
        <v>45902.3406712963</v>
      </c>
      <c r="C342" s="1" t="n">
        <v>46019</v>
      </c>
      <c r="D342" t="inlineStr">
        <is>
          <t>ÖREBRO LÄN</t>
        </is>
      </c>
      <c r="E342" t="inlineStr">
        <is>
          <t>LINDESBERG</t>
        </is>
      </c>
      <c r="G342" t="n">
        <v>1.5</v>
      </c>
      <c r="H342" t="n">
        <v>0</v>
      </c>
      <c r="I342" t="n">
        <v>0</v>
      </c>
      <c r="J342" t="n">
        <v>0</v>
      </c>
      <c r="K342" t="n">
        <v>0</v>
      </c>
      <c r="L342" t="n">
        <v>0</v>
      </c>
      <c r="M342" t="n">
        <v>0</v>
      </c>
      <c r="N342" t="n">
        <v>0</v>
      </c>
      <c r="O342" t="n">
        <v>0</v>
      </c>
      <c r="P342" t="n">
        <v>0</v>
      </c>
      <c r="Q342" t="n">
        <v>0</v>
      </c>
      <c r="R342" s="2" t="inlineStr"/>
    </row>
    <row r="343" ht="15" customHeight="1">
      <c r="A343" t="inlineStr">
        <is>
          <t>A 9966-2023</t>
        </is>
      </c>
      <c r="B343" s="1" t="n">
        <v>44979</v>
      </c>
      <c r="C343" s="1" t="n">
        <v>46019</v>
      </c>
      <c r="D343" t="inlineStr">
        <is>
          <t>ÖREBRO LÄN</t>
        </is>
      </c>
      <c r="E343" t="inlineStr">
        <is>
          <t>LINDESBERG</t>
        </is>
      </c>
      <c r="G343" t="n">
        <v>4.1</v>
      </c>
      <c r="H343" t="n">
        <v>0</v>
      </c>
      <c r="I343" t="n">
        <v>0</v>
      </c>
      <c r="J343" t="n">
        <v>0</v>
      </c>
      <c r="K343" t="n">
        <v>0</v>
      </c>
      <c r="L343" t="n">
        <v>0</v>
      </c>
      <c r="M343" t="n">
        <v>0</v>
      </c>
      <c r="N343" t="n">
        <v>0</v>
      </c>
      <c r="O343" t="n">
        <v>0</v>
      </c>
      <c r="P343" t="n">
        <v>0</v>
      </c>
      <c r="Q343" t="n">
        <v>0</v>
      </c>
      <c r="R343" s="2" t="inlineStr"/>
    </row>
    <row r="344" ht="15" customHeight="1">
      <c r="A344" t="inlineStr">
        <is>
          <t>A 27300-2025</t>
        </is>
      </c>
      <c r="B344" s="1" t="n">
        <v>45812.57143518519</v>
      </c>
      <c r="C344" s="1" t="n">
        <v>46019</v>
      </c>
      <c r="D344" t="inlineStr">
        <is>
          <t>ÖREBRO LÄN</t>
        </is>
      </c>
      <c r="E344" t="inlineStr">
        <is>
          <t>LINDESBERG</t>
        </is>
      </c>
      <c r="F344" t="inlineStr">
        <is>
          <t>Sveaskog</t>
        </is>
      </c>
      <c r="G344" t="n">
        <v>19.7</v>
      </c>
      <c r="H344" t="n">
        <v>0</v>
      </c>
      <c r="I344" t="n">
        <v>0</v>
      </c>
      <c r="J344" t="n">
        <v>0</v>
      </c>
      <c r="K344" t="n">
        <v>0</v>
      </c>
      <c r="L344" t="n">
        <v>0</v>
      </c>
      <c r="M344" t="n">
        <v>0</v>
      </c>
      <c r="N344" t="n">
        <v>0</v>
      </c>
      <c r="O344" t="n">
        <v>0</v>
      </c>
      <c r="P344" t="n">
        <v>0</v>
      </c>
      <c r="Q344" t="n">
        <v>0</v>
      </c>
      <c r="R344" s="2" t="inlineStr"/>
    </row>
    <row r="345" ht="15" customHeight="1">
      <c r="A345" t="inlineStr">
        <is>
          <t>A 27309-2025</t>
        </is>
      </c>
      <c r="B345" s="1" t="n">
        <v>45812.57452546297</v>
      </c>
      <c r="C345" s="1" t="n">
        <v>46019</v>
      </c>
      <c r="D345" t="inlineStr">
        <is>
          <t>ÖREBRO LÄN</t>
        </is>
      </c>
      <c r="E345" t="inlineStr">
        <is>
          <t>LINDESBERG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27311-2025</t>
        </is>
      </c>
      <c r="B346" s="1" t="n">
        <v>45812.57604166667</v>
      </c>
      <c r="C346" s="1" t="n">
        <v>46019</v>
      </c>
      <c r="D346" t="inlineStr">
        <is>
          <t>ÖREBRO LÄN</t>
        </is>
      </c>
      <c r="E346" t="inlineStr">
        <is>
          <t>LINDESBERG</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28040-2025</t>
        </is>
      </c>
      <c r="B347" s="1" t="n">
        <v>45817.6455324074</v>
      </c>
      <c r="C347" s="1" t="n">
        <v>46019</v>
      </c>
      <c r="D347" t="inlineStr">
        <is>
          <t>ÖREBRO LÄN</t>
        </is>
      </c>
      <c r="E347" t="inlineStr">
        <is>
          <t>LINDESBERG</t>
        </is>
      </c>
      <c r="G347" t="n">
        <v>1.4</v>
      </c>
      <c r="H347" t="n">
        <v>0</v>
      </c>
      <c r="I347" t="n">
        <v>0</v>
      </c>
      <c r="J347" t="n">
        <v>0</v>
      </c>
      <c r="K347" t="n">
        <v>0</v>
      </c>
      <c r="L347" t="n">
        <v>0</v>
      </c>
      <c r="M347" t="n">
        <v>0</v>
      </c>
      <c r="N347" t="n">
        <v>0</v>
      </c>
      <c r="O347" t="n">
        <v>0</v>
      </c>
      <c r="P347" t="n">
        <v>0</v>
      </c>
      <c r="Q347" t="n">
        <v>0</v>
      </c>
      <c r="R347" s="2" t="inlineStr"/>
    </row>
    <row r="348" ht="15" customHeight="1">
      <c r="A348" t="inlineStr">
        <is>
          <t>A 60941-2024</t>
        </is>
      </c>
      <c r="B348" s="1" t="n">
        <v>45645.3712037037</v>
      </c>
      <c r="C348" s="1" t="n">
        <v>46019</v>
      </c>
      <c r="D348" t="inlineStr">
        <is>
          <t>ÖREBRO LÄN</t>
        </is>
      </c>
      <c r="E348" t="inlineStr">
        <is>
          <t>LINDESBERG</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42630-2025</t>
        </is>
      </c>
      <c r="B349" s="1" t="n">
        <v>45905.89143518519</v>
      </c>
      <c r="C349" s="1" t="n">
        <v>46019</v>
      </c>
      <c r="D349" t="inlineStr">
        <is>
          <t>ÖREBRO LÄN</t>
        </is>
      </c>
      <c r="E349" t="inlineStr">
        <is>
          <t>LINDESBERG</t>
        </is>
      </c>
      <c r="F349" t="inlineStr">
        <is>
          <t>Sveaskog</t>
        </is>
      </c>
      <c r="G349" t="n">
        <v>9.9</v>
      </c>
      <c r="H349" t="n">
        <v>0</v>
      </c>
      <c r="I349" t="n">
        <v>0</v>
      </c>
      <c r="J349" t="n">
        <v>0</v>
      </c>
      <c r="K349" t="n">
        <v>0</v>
      </c>
      <c r="L349" t="n">
        <v>0</v>
      </c>
      <c r="M349" t="n">
        <v>0</v>
      </c>
      <c r="N349" t="n">
        <v>0</v>
      </c>
      <c r="O349" t="n">
        <v>0</v>
      </c>
      <c r="P349" t="n">
        <v>0</v>
      </c>
      <c r="Q349" t="n">
        <v>0</v>
      </c>
      <c r="R349" s="2" t="inlineStr"/>
    </row>
    <row r="350" ht="15" customHeight="1">
      <c r="A350" t="inlineStr">
        <is>
          <t>A 17823-2021</t>
        </is>
      </c>
      <c r="B350" s="1" t="n">
        <v>44300</v>
      </c>
      <c r="C350" s="1" t="n">
        <v>46019</v>
      </c>
      <c r="D350" t="inlineStr">
        <is>
          <t>ÖREBRO LÄN</t>
        </is>
      </c>
      <c r="E350" t="inlineStr">
        <is>
          <t>LINDESBERG</t>
        </is>
      </c>
      <c r="G350" t="n">
        <v>3.9</v>
      </c>
      <c r="H350" t="n">
        <v>0</v>
      </c>
      <c r="I350" t="n">
        <v>0</v>
      </c>
      <c r="J350" t="n">
        <v>0</v>
      </c>
      <c r="K350" t="n">
        <v>0</v>
      </c>
      <c r="L350" t="n">
        <v>0</v>
      </c>
      <c r="M350" t="n">
        <v>0</v>
      </c>
      <c r="N350" t="n">
        <v>0</v>
      </c>
      <c r="O350" t="n">
        <v>0</v>
      </c>
      <c r="P350" t="n">
        <v>0</v>
      </c>
      <c r="Q350" t="n">
        <v>0</v>
      </c>
      <c r="R350" s="2" t="inlineStr"/>
    </row>
    <row r="351" ht="15" customHeight="1">
      <c r="A351" t="inlineStr">
        <is>
          <t>A 42631-2025</t>
        </is>
      </c>
      <c r="B351" s="1" t="n">
        <v>45905.89236111111</v>
      </c>
      <c r="C351" s="1" t="n">
        <v>46019</v>
      </c>
      <c r="D351" t="inlineStr">
        <is>
          <t>ÖREBRO LÄN</t>
        </is>
      </c>
      <c r="E351" t="inlineStr">
        <is>
          <t>LINDESBERG</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56507-2021</t>
        </is>
      </c>
      <c r="B352" s="1" t="n">
        <v>44480.58034722223</v>
      </c>
      <c r="C352" s="1" t="n">
        <v>46019</v>
      </c>
      <c r="D352" t="inlineStr">
        <is>
          <t>ÖREBRO LÄN</t>
        </is>
      </c>
      <c r="E352" t="inlineStr">
        <is>
          <t>LINDESBERG</t>
        </is>
      </c>
      <c r="G352" t="n">
        <v>2.3</v>
      </c>
      <c r="H352" t="n">
        <v>0</v>
      </c>
      <c r="I352" t="n">
        <v>0</v>
      </c>
      <c r="J352" t="n">
        <v>0</v>
      </c>
      <c r="K352" t="n">
        <v>0</v>
      </c>
      <c r="L352" t="n">
        <v>0</v>
      </c>
      <c r="M352" t="n">
        <v>0</v>
      </c>
      <c r="N352" t="n">
        <v>0</v>
      </c>
      <c r="O352" t="n">
        <v>0</v>
      </c>
      <c r="P352" t="n">
        <v>0</v>
      </c>
      <c r="Q352" t="n">
        <v>0</v>
      </c>
      <c r="R352" s="2" t="inlineStr"/>
    </row>
    <row r="353" ht="15" customHeight="1">
      <c r="A353" t="inlineStr">
        <is>
          <t>A 42632-2025</t>
        </is>
      </c>
      <c r="B353" s="1" t="n">
        <v>45905.89329861111</v>
      </c>
      <c r="C353" s="1" t="n">
        <v>46019</v>
      </c>
      <c r="D353" t="inlineStr">
        <is>
          <t>ÖREBRO LÄN</t>
        </is>
      </c>
      <c r="E353" t="inlineStr">
        <is>
          <t>LINDESBERG</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37843-2025</t>
        </is>
      </c>
      <c r="B354" s="1" t="n">
        <v>45881.43759259259</v>
      </c>
      <c r="C354" s="1" t="n">
        <v>46019</v>
      </c>
      <c r="D354" t="inlineStr">
        <is>
          <t>ÖREBRO LÄN</t>
        </is>
      </c>
      <c r="E354" t="inlineStr">
        <is>
          <t>LINDESBERG</t>
        </is>
      </c>
      <c r="G354" t="n">
        <v>5.2</v>
      </c>
      <c r="H354" t="n">
        <v>0</v>
      </c>
      <c r="I354" t="n">
        <v>0</v>
      </c>
      <c r="J354" t="n">
        <v>0</v>
      </c>
      <c r="K354" t="n">
        <v>0</v>
      </c>
      <c r="L354" t="n">
        <v>0</v>
      </c>
      <c r="M354" t="n">
        <v>0</v>
      </c>
      <c r="N354" t="n">
        <v>0</v>
      </c>
      <c r="O354" t="n">
        <v>0</v>
      </c>
      <c r="P354" t="n">
        <v>0</v>
      </c>
      <c r="Q354" t="n">
        <v>0</v>
      </c>
      <c r="R354" s="2" t="inlineStr"/>
    </row>
    <row r="355" ht="15" customHeight="1">
      <c r="A355" t="inlineStr">
        <is>
          <t>A 28877-2025</t>
        </is>
      </c>
      <c r="B355" s="1" t="n">
        <v>45820.61684027778</v>
      </c>
      <c r="C355" s="1" t="n">
        <v>46019</v>
      </c>
      <c r="D355" t="inlineStr">
        <is>
          <t>ÖREBRO LÄN</t>
        </is>
      </c>
      <c r="E355" t="inlineStr">
        <is>
          <t>LINDESBERG</t>
        </is>
      </c>
      <c r="G355" t="n">
        <v>4.4</v>
      </c>
      <c r="H355" t="n">
        <v>0</v>
      </c>
      <c r="I355" t="n">
        <v>0</v>
      </c>
      <c r="J355" t="n">
        <v>0</v>
      </c>
      <c r="K355" t="n">
        <v>0</v>
      </c>
      <c r="L355" t="n">
        <v>0</v>
      </c>
      <c r="M355" t="n">
        <v>0</v>
      </c>
      <c r="N355" t="n">
        <v>0</v>
      </c>
      <c r="O355" t="n">
        <v>0</v>
      </c>
      <c r="P355" t="n">
        <v>0</v>
      </c>
      <c r="Q355" t="n">
        <v>0</v>
      </c>
      <c r="R355" s="2" t="inlineStr"/>
    </row>
    <row r="356" ht="15" customHeight="1">
      <c r="A356" t="inlineStr">
        <is>
          <t>A 28991-2025</t>
        </is>
      </c>
      <c r="B356" s="1" t="n">
        <v>45821.37199074074</v>
      </c>
      <c r="C356" s="1" t="n">
        <v>46019</v>
      </c>
      <c r="D356" t="inlineStr">
        <is>
          <t>ÖREBRO LÄN</t>
        </is>
      </c>
      <c r="E356" t="inlineStr">
        <is>
          <t>LINDESBERG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47069-2023</t>
        </is>
      </c>
      <c r="B357" s="1" t="n">
        <v>45201</v>
      </c>
      <c r="C357" s="1" t="n">
        <v>46019</v>
      </c>
      <c r="D357" t="inlineStr">
        <is>
          <t>ÖREBRO LÄN</t>
        </is>
      </c>
      <c r="E357" t="inlineStr">
        <is>
          <t>LINDESBERG</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47074-2023</t>
        </is>
      </c>
      <c r="B358" s="1" t="n">
        <v>45201.60283564815</v>
      </c>
      <c r="C358" s="1" t="n">
        <v>46019</v>
      </c>
      <c r="D358" t="inlineStr">
        <is>
          <t>ÖREBRO LÄN</t>
        </is>
      </c>
      <c r="E358" t="inlineStr">
        <is>
          <t>LINDESBERG</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4997-2024</t>
        </is>
      </c>
      <c r="B359" s="1" t="n">
        <v>45329</v>
      </c>
      <c r="C359" s="1" t="n">
        <v>46019</v>
      </c>
      <c r="D359" t="inlineStr">
        <is>
          <t>ÖREBRO LÄN</t>
        </is>
      </c>
      <c r="E359" t="inlineStr">
        <is>
          <t>LINDESBERG</t>
        </is>
      </c>
      <c r="F359" t="inlineStr">
        <is>
          <t>BillerudKorsnäs AB</t>
        </is>
      </c>
      <c r="G359" t="n">
        <v>3</v>
      </c>
      <c r="H359" t="n">
        <v>0</v>
      </c>
      <c r="I359" t="n">
        <v>0</v>
      </c>
      <c r="J359" t="n">
        <v>0</v>
      </c>
      <c r="K359" t="n">
        <v>0</v>
      </c>
      <c r="L359" t="n">
        <v>0</v>
      </c>
      <c r="M359" t="n">
        <v>0</v>
      </c>
      <c r="N359" t="n">
        <v>0</v>
      </c>
      <c r="O359" t="n">
        <v>0</v>
      </c>
      <c r="P359" t="n">
        <v>0</v>
      </c>
      <c r="Q359" t="n">
        <v>0</v>
      </c>
      <c r="R359" s="2" t="inlineStr"/>
    </row>
    <row r="360" ht="15" customHeight="1">
      <c r="A360" t="inlineStr">
        <is>
          <t>A 33284-2024</t>
        </is>
      </c>
      <c r="B360" s="1" t="n">
        <v>45518.71721064814</v>
      </c>
      <c r="C360" s="1" t="n">
        <v>46019</v>
      </c>
      <c r="D360" t="inlineStr">
        <is>
          <t>ÖREBRO LÄN</t>
        </is>
      </c>
      <c r="E360" t="inlineStr">
        <is>
          <t>LINDESBERG</t>
        </is>
      </c>
      <c r="G360" t="n">
        <v>1.7</v>
      </c>
      <c r="H360" t="n">
        <v>0</v>
      </c>
      <c r="I360" t="n">
        <v>0</v>
      </c>
      <c r="J360" t="n">
        <v>0</v>
      </c>
      <c r="K360" t="n">
        <v>0</v>
      </c>
      <c r="L360" t="n">
        <v>0</v>
      </c>
      <c r="M360" t="n">
        <v>0</v>
      </c>
      <c r="N360" t="n">
        <v>0</v>
      </c>
      <c r="O360" t="n">
        <v>0</v>
      </c>
      <c r="P360" t="n">
        <v>0</v>
      </c>
      <c r="Q360" t="n">
        <v>0</v>
      </c>
      <c r="R360" s="2" t="inlineStr"/>
    </row>
    <row r="361" ht="15" customHeight="1">
      <c r="A361" t="inlineStr">
        <is>
          <t>A 29049-2025</t>
        </is>
      </c>
      <c r="B361" s="1" t="n">
        <v>45821.46135416667</v>
      </c>
      <c r="C361" s="1" t="n">
        <v>46019</v>
      </c>
      <c r="D361" t="inlineStr">
        <is>
          <t>ÖREBRO LÄN</t>
        </is>
      </c>
      <c r="E361" t="inlineStr">
        <is>
          <t>LINDESBERG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29051-2025</t>
        </is>
      </c>
      <c r="B362" s="1" t="n">
        <v>45821.46486111111</v>
      </c>
      <c r="C362" s="1" t="n">
        <v>46019</v>
      </c>
      <c r="D362" t="inlineStr">
        <is>
          <t>ÖREBRO LÄN</t>
        </is>
      </c>
      <c r="E362" t="inlineStr">
        <is>
          <t>LINDESBERG</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29037-2025</t>
        </is>
      </c>
      <c r="B363" s="1" t="n">
        <v>45821.44521990741</v>
      </c>
      <c r="C363" s="1" t="n">
        <v>46019</v>
      </c>
      <c r="D363" t="inlineStr">
        <is>
          <t>ÖREBRO LÄN</t>
        </is>
      </c>
      <c r="E363" t="inlineStr">
        <is>
          <t>LINDESBERG</t>
        </is>
      </c>
      <c r="F363" t="inlineStr">
        <is>
          <t>Sveaskog</t>
        </is>
      </c>
      <c r="G363" t="n">
        <v>3.6</v>
      </c>
      <c r="H363" t="n">
        <v>0</v>
      </c>
      <c r="I363" t="n">
        <v>0</v>
      </c>
      <c r="J363" t="n">
        <v>0</v>
      </c>
      <c r="K363" t="n">
        <v>0</v>
      </c>
      <c r="L363" t="n">
        <v>0</v>
      </c>
      <c r="M363" t="n">
        <v>0</v>
      </c>
      <c r="N363" t="n">
        <v>0</v>
      </c>
      <c r="O363" t="n">
        <v>0</v>
      </c>
      <c r="P363" t="n">
        <v>0</v>
      </c>
      <c r="Q363" t="n">
        <v>0</v>
      </c>
      <c r="R363" s="2" t="inlineStr"/>
    </row>
    <row r="364" ht="15" customHeight="1">
      <c r="A364" t="inlineStr">
        <is>
          <t>A 38696-2024</t>
        </is>
      </c>
      <c r="B364" s="1" t="n">
        <v>45547.36590277778</v>
      </c>
      <c r="C364" s="1" t="n">
        <v>46019</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43847-2025</t>
        </is>
      </c>
      <c r="B365" s="1" t="n">
        <v>45912.63751157407</v>
      </c>
      <c r="C365" s="1" t="n">
        <v>46019</v>
      </c>
      <c r="D365" t="inlineStr">
        <is>
          <t>ÖREBRO LÄN</t>
        </is>
      </c>
      <c r="E365" t="inlineStr">
        <is>
          <t>LINDESBERG</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19219-2023</t>
        </is>
      </c>
      <c r="B366" s="1" t="n">
        <v>45048</v>
      </c>
      <c r="C366" s="1" t="n">
        <v>46019</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1742-2022</t>
        </is>
      </c>
      <c r="B367" s="1" t="n">
        <v>44574.50425925926</v>
      </c>
      <c r="C367" s="1" t="n">
        <v>46019</v>
      </c>
      <c r="D367" t="inlineStr">
        <is>
          <t>ÖREBRO LÄN</t>
        </is>
      </c>
      <c r="E367" t="inlineStr">
        <is>
          <t>LINDESBERG</t>
        </is>
      </c>
      <c r="G367" t="n">
        <v>0.9</v>
      </c>
      <c r="H367" t="n">
        <v>0</v>
      </c>
      <c r="I367" t="n">
        <v>0</v>
      </c>
      <c r="J367" t="n">
        <v>0</v>
      </c>
      <c r="K367" t="n">
        <v>0</v>
      </c>
      <c r="L367" t="n">
        <v>0</v>
      </c>
      <c r="M367" t="n">
        <v>0</v>
      </c>
      <c r="N367" t="n">
        <v>0</v>
      </c>
      <c r="O367" t="n">
        <v>0</v>
      </c>
      <c r="P367" t="n">
        <v>0</v>
      </c>
      <c r="Q367" t="n">
        <v>0</v>
      </c>
      <c r="R367" s="2" t="inlineStr"/>
    </row>
    <row r="368" ht="15" customHeight="1">
      <c r="A368" t="inlineStr">
        <is>
          <t>A 44077-2025</t>
        </is>
      </c>
      <c r="B368" s="1" t="n">
        <v>45915.54983796296</v>
      </c>
      <c r="C368" s="1" t="n">
        <v>46019</v>
      </c>
      <c r="D368" t="inlineStr">
        <is>
          <t>ÖREBRO LÄN</t>
        </is>
      </c>
      <c r="E368" t="inlineStr">
        <is>
          <t>LINDESBERG</t>
        </is>
      </c>
      <c r="G368" t="n">
        <v>4.2</v>
      </c>
      <c r="H368" t="n">
        <v>0</v>
      </c>
      <c r="I368" t="n">
        <v>0</v>
      </c>
      <c r="J368" t="n">
        <v>0</v>
      </c>
      <c r="K368" t="n">
        <v>0</v>
      </c>
      <c r="L368" t="n">
        <v>0</v>
      </c>
      <c r="M368" t="n">
        <v>0</v>
      </c>
      <c r="N368" t="n">
        <v>0</v>
      </c>
      <c r="O368" t="n">
        <v>0</v>
      </c>
      <c r="P368" t="n">
        <v>0</v>
      </c>
      <c r="Q368" t="n">
        <v>0</v>
      </c>
      <c r="R368" s="2" t="inlineStr"/>
    </row>
    <row r="369" ht="15" customHeight="1">
      <c r="A369" t="inlineStr">
        <is>
          <t>A 44041-2025</t>
        </is>
      </c>
      <c r="B369" s="1" t="n">
        <v>45915.49238425926</v>
      </c>
      <c r="C369" s="1" t="n">
        <v>46019</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43837-2025</t>
        </is>
      </c>
      <c r="B370" s="1" t="n">
        <v>45912.63451388889</v>
      </c>
      <c r="C370" s="1" t="n">
        <v>46019</v>
      </c>
      <c r="D370" t="inlineStr">
        <is>
          <t>ÖREBRO LÄN</t>
        </is>
      </c>
      <c r="E370" t="inlineStr">
        <is>
          <t>LINDESBERG</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52928-2024</t>
        </is>
      </c>
      <c r="B371" s="1" t="n">
        <v>45610</v>
      </c>
      <c r="C371" s="1" t="n">
        <v>46019</v>
      </c>
      <c r="D371" t="inlineStr">
        <is>
          <t>ÖREBRO LÄN</t>
        </is>
      </c>
      <c r="E371" t="inlineStr">
        <is>
          <t>LINDESBERG</t>
        </is>
      </c>
      <c r="G371" t="n">
        <v>8.6</v>
      </c>
      <c r="H371" t="n">
        <v>0</v>
      </c>
      <c r="I371" t="n">
        <v>0</v>
      </c>
      <c r="J371" t="n">
        <v>0</v>
      </c>
      <c r="K371" t="n">
        <v>0</v>
      </c>
      <c r="L371" t="n">
        <v>0</v>
      </c>
      <c r="M371" t="n">
        <v>0</v>
      </c>
      <c r="N371" t="n">
        <v>0</v>
      </c>
      <c r="O371" t="n">
        <v>0</v>
      </c>
      <c r="P371" t="n">
        <v>0</v>
      </c>
      <c r="Q371" t="n">
        <v>0</v>
      </c>
      <c r="R371" s="2" t="inlineStr"/>
    </row>
    <row r="372" ht="15" customHeight="1">
      <c r="A372" t="inlineStr">
        <is>
          <t>A 30341-2025</t>
        </is>
      </c>
      <c r="B372" s="1" t="n">
        <v>45827.51862268519</v>
      </c>
      <c r="C372" s="1" t="n">
        <v>46019</v>
      </c>
      <c r="D372" t="inlineStr">
        <is>
          <t>ÖREBRO LÄN</t>
        </is>
      </c>
      <c r="E372" t="inlineStr">
        <is>
          <t>LINDESBERG</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30000-2025</t>
        </is>
      </c>
      <c r="B373" s="1" t="n">
        <v>45826.52024305556</v>
      </c>
      <c r="C373" s="1" t="n">
        <v>46019</v>
      </c>
      <c r="D373" t="inlineStr">
        <is>
          <t>ÖREBRO LÄN</t>
        </is>
      </c>
      <c r="E373" t="inlineStr">
        <is>
          <t>LINDESBERG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43836-2025</t>
        </is>
      </c>
      <c r="B374" s="1" t="n">
        <v>45912.63359953704</v>
      </c>
      <c r="C374" s="1" t="n">
        <v>46019</v>
      </c>
      <c r="D374" t="inlineStr">
        <is>
          <t>ÖREBRO LÄN</t>
        </is>
      </c>
      <c r="E374" t="inlineStr">
        <is>
          <t>LINDESBERG</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73500-2021</t>
        </is>
      </c>
      <c r="B375" s="1" t="n">
        <v>44551</v>
      </c>
      <c r="C375" s="1" t="n">
        <v>46019</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44067-2025</t>
        </is>
      </c>
      <c r="B376" s="1" t="n">
        <v>45915.54439814815</v>
      </c>
      <c r="C376" s="1" t="n">
        <v>46019</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44545-2025</t>
        </is>
      </c>
      <c r="B377" s="1" t="n">
        <v>45917.31780092593</v>
      </c>
      <c r="C377" s="1" t="n">
        <v>46019</v>
      </c>
      <c r="D377" t="inlineStr">
        <is>
          <t>ÖREBRO LÄN</t>
        </is>
      </c>
      <c r="E377" t="inlineStr">
        <is>
          <t>LINDESBERG</t>
        </is>
      </c>
      <c r="F377" t="inlineStr">
        <is>
          <t>Kommuner</t>
        </is>
      </c>
      <c r="G377" t="n">
        <v>2.3</v>
      </c>
      <c r="H377" t="n">
        <v>0</v>
      </c>
      <c r="I377" t="n">
        <v>0</v>
      </c>
      <c r="J377" t="n">
        <v>0</v>
      </c>
      <c r="K377" t="n">
        <v>0</v>
      </c>
      <c r="L377" t="n">
        <v>0</v>
      </c>
      <c r="M377" t="n">
        <v>0</v>
      </c>
      <c r="N377" t="n">
        <v>0</v>
      </c>
      <c r="O377" t="n">
        <v>0</v>
      </c>
      <c r="P377" t="n">
        <v>0</v>
      </c>
      <c r="Q377" t="n">
        <v>0</v>
      </c>
      <c r="R377" s="2" t="inlineStr"/>
    </row>
    <row r="378" ht="15" customHeight="1">
      <c r="A378" t="inlineStr">
        <is>
          <t>A 30381-2025</t>
        </is>
      </c>
      <c r="B378" s="1" t="n">
        <v>45827.56939814815</v>
      </c>
      <c r="C378" s="1" t="n">
        <v>46019</v>
      </c>
      <c r="D378" t="inlineStr">
        <is>
          <t>ÖREBRO LÄN</t>
        </is>
      </c>
      <c r="E378" t="inlineStr">
        <is>
          <t>LINDESBERG</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16864-2022</t>
        </is>
      </c>
      <c r="B379" s="1" t="n">
        <v>44675</v>
      </c>
      <c r="C379" s="1" t="n">
        <v>46019</v>
      </c>
      <c r="D379" t="inlineStr">
        <is>
          <t>ÖREBRO LÄN</t>
        </is>
      </c>
      <c r="E379" t="inlineStr">
        <is>
          <t>LINDESBERG</t>
        </is>
      </c>
      <c r="F379" t="inlineStr">
        <is>
          <t>Kyrkan</t>
        </is>
      </c>
      <c r="G379" t="n">
        <v>1.7</v>
      </c>
      <c r="H379" t="n">
        <v>0</v>
      </c>
      <c r="I379" t="n">
        <v>0</v>
      </c>
      <c r="J379" t="n">
        <v>0</v>
      </c>
      <c r="K379" t="n">
        <v>0</v>
      </c>
      <c r="L379" t="n">
        <v>0</v>
      </c>
      <c r="M379" t="n">
        <v>0</v>
      </c>
      <c r="N379" t="n">
        <v>0</v>
      </c>
      <c r="O379" t="n">
        <v>0</v>
      </c>
      <c r="P379" t="n">
        <v>0</v>
      </c>
      <c r="Q379" t="n">
        <v>0</v>
      </c>
      <c r="R379" s="2" t="inlineStr"/>
    </row>
    <row r="380" ht="15" customHeight="1">
      <c r="A380" t="inlineStr">
        <is>
          <t>A 30340-2025</t>
        </is>
      </c>
      <c r="B380" s="1" t="n">
        <v>45827.51753472222</v>
      </c>
      <c r="C380" s="1" t="n">
        <v>46019</v>
      </c>
      <c r="D380" t="inlineStr">
        <is>
          <t>ÖREBRO LÄN</t>
        </is>
      </c>
      <c r="E380" t="inlineStr">
        <is>
          <t>LINDESBERG</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30342-2025</t>
        </is>
      </c>
      <c r="B381" s="1" t="n">
        <v>45827.51956018519</v>
      </c>
      <c r="C381" s="1" t="n">
        <v>46019</v>
      </c>
      <c r="D381" t="inlineStr">
        <is>
          <t>ÖREBRO LÄN</t>
        </is>
      </c>
      <c r="E381" t="inlineStr">
        <is>
          <t>LINDESBERG</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30339-2025</t>
        </is>
      </c>
      <c r="B382" s="1" t="n">
        <v>45827.51628472222</v>
      </c>
      <c r="C382" s="1" t="n">
        <v>46019</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34029-2024</t>
        </is>
      </c>
      <c r="B383" s="1" t="n">
        <v>45523</v>
      </c>
      <c r="C383" s="1" t="n">
        <v>46019</v>
      </c>
      <c r="D383" t="inlineStr">
        <is>
          <t>ÖREBRO LÄN</t>
        </is>
      </c>
      <c r="E383" t="inlineStr">
        <is>
          <t>LINDESBERG</t>
        </is>
      </c>
      <c r="G383" t="n">
        <v>1.9</v>
      </c>
      <c r="H383" t="n">
        <v>0</v>
      </c>
      <c r="I383" t="n">
        <v>0</v>
      </c>
      <c r="J383" t="n">
        <v>0</v>
      </c>
      <c r="K383" t="n">
        <v>0</v>
      </c>
      <c r="L383" t="n">
        <v>0</v>
      </c>
      <c r="M383" t="n">
        <v>0</v>
      </c>
      <c r="N383" t="n">
        <v>0</v>
      </c>
      <c r="O383" t="n">
        <v>0</v>
      </c>
      <c r="P383" t="n">
        <v>0</v>
      </c>
      <c r="Q383" t="n">
        <v>0</v>
      </c>
      <c r="R383" s="2" t="inlineStr"/>
    </row>
    <row r="384" ht="15" customHeight="1">
      <c r="A384" t="inlineStr">
        <is>
          <t>A 11953-2024</t>
        </is>
      </c>
      <c r="B384" s="1" t="n">
        <v>45376.70292824074</v>
      </c>
      <c r="C384" s="1" t="n">
        <v>46019</v>
      </c>
      <c r="D384" t="inlineStr">
        <is>
          <t>ÖREBRO LÄN</t>
        </is>
      </c>
      <c r="E384" t="inlineStr">
        <is>
          <t>LINDESBERG</t>
        </is>
      </c>
      <c r="G384" t="n">
        <v>5.7</v>
      </c>
      <c r="H384" t="n">
        <v>0</v>
      </c>
      <c r="I384" t="n">
        <v>0</v>
      </c>
      <c r="J384" t="n">
        <v>0</v>
      </c>
      <c r="K384" t="n">
        <v>0</v>
      </c>
      <c r="L384" t="n">
        <v>0</v>
      </c>
      <c r="M384" t="n">
        <v>0</v>
      </c>
      <c r="N384" t="n">
        <v>0</v>
      </c>
      <c r="O384" t="n">
        <v>0</v>
      </c>
      <c r="P384" t="n">
        <v>0</v>
      </c>
      <c r="Q384" t="n">
        <v>0</v>
      </c>
      <c r="R384" s="2" t="inlineStr"/>
    </row>
    <row r="385" ht="15" customHeight="1">
      <c r="A385" t="inlineStr">
        <is>
          <t>A 50170-2022</t>
        </is>
      </c>
      <c r="B385" s="1" t="n">
        <v>44865.600625</v>
      </c>
      <c r="C385" s="1" t="n">
        <v>46019</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31220-2025</t>
        </is>
      </c>
      <c r="B386" s="1" t="n">
        <v>45832.76100694444</v>
      </c>
      <c r="C386" s="1" t="n">
        <v>46019</v>
      </c>
      <c r="D386" t="inlineStr">
        <is>
          <t>ÖREBRO LÄN</t>
        </is>
      </c>
      <c r="E386" t="inlineStr">
        <is>
          <t>LINDESBERG</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31221-2025</t>
        </is>
      </c>
      <c r="B387" s="1" t="n">
        <v>45832.76491898148</v>
      </c>
      <c r="C387" s="1" t="n">
        <v>46019</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28469-2023</t>
        </is>
      </c>
      <c r="B388" s="1" t="n">
        <v>45103</v>
      </c>
      <c r="C388" s="1" t="n">
        <v>46019</v>
      </c>
      <c r="D388" t="inlineStr">
        <is>
          <t>ÖREBRO LÄN</t>
        </is>
      </c>
      <c r="E388" t="inlineStr">
        <is>
          <t>LINDESBERG</t>
        </is>
      </c>
      <c r="G388" t="n">
        <v>0.3</v>
      </c>
      <c r="H388" t="n">
        <v>0</v>
      </c>
      <c r="I388" t="n">
        <v>0</v>
      </c>
      <c r="J388" t="n">
        <v>0</v>
      </c>
      <c r="K388" t="n">
        <v>0</v>
      </c>
      <c r="L388" t="n">
        <v>0</v>
      </c>
      <c r="M388" t="n">
        <v>0</v>
      </c>
      <c r="N388" t="n">
        <v>0</v>
      </c>
      <c r="O388" t="n">
        <v>0</v>
      </c>
      <c r="P388" t="n">
        <v>0</v>
      </c>
      <c r="Q388" t="n">
        <v>0</v>
      </c>
      <c r="R388" s="2" t="inlineStr"/>
    </row>
    <row r="389" ht="15" customHeight="1">
      <c r="A389" t="inlineStr">
        <is>
          <t>A 72706-2021</t>
        </is>
      </c>
      <c r="B389" s="1" t="n">
        <v>44546.67222222222</v>
      </c>
      <c r="C389" s="1" t="n">
        <v>46019</v>
      </c>
      <c r="D389" t="inlineStr">
        <is>
          <t>ÖREBRO LÄN</t>
        </is>
      </c>
      <c r="E389" t="inlineStr">
        <is>
          <t>LINDESBERG</t>
        </is>
      </c>
      <c r="G389" t="n">
        <v>1.7</v>
      </c>
      <c r="H389" t="n">
        <v>0</v>
      </c>
      <c r="I389" t="n">
        <v>0</v>
      </c>
      <c r="J389" t="n">
        <v>0</v>
      </c>
      <c r="K389" t="n">
        <v>0</v>
      </c>
      <c r="L389" t="n">
        <v>0</v>
      </c>
      <c r="M389" t="n">
        <v>0</v>
      </c>
      <c r="N389" t="n">
        <v>0</v>
      </c>
      <c r="O389" t="n">
        <v>0</v>
      </c>
      <c r="P389" t="n">
        <v>0</v>
      </c>
      <c r="Q389" t="n">
        <v>0</v>
      </c>
      <c r="R389" s="2" t="inlineStr"/>
    </row>
    <row r="390" ht="15" customHeight="1">
      <c r="A390" t="inlineStr">
        <is>
          <t>A 31000-2025</t>
        </is>
      </c>
      <c r="B390" s="1" t="n">
        <v>45832.49325231482</v>
      </c>
      <c r="C390" s="1" t="n">
        <v>46019</v>
      </c>
      <c r="D390" t="inlineStr">
        <is>
          <t>ÖREBRO LÄN</t>
        </is>
      </c>
      <c r="E390" t="inlineStr">
        <is>
          <t>LINDESBERG</t>
        </is>
      </c>
      <c r="F390" t="inlineStr">
        <is>
          <t>Sveaskog</t>
        </is>
      </c>
      <c r="G390" t="n">
        <v>3.2</v>
      </c>
      <c r="H390" t="n">
        <v>0</v>
      </c>
      <c r="I390" t="n">
        <v>0</v>
      </c>
      <c r="J390" t="n">
        <v>0</v>
      </c>
      <c r="K390" t="n">
        <v>0</v>
      </c>
      <c r="L390" t="n">
        <v>0</v>
      </c>
      <c r="M390" t="n">
        <v>0</v>
      </c>
      <c r="N390" t="n">
        <v>0</v>
      </c>
      <c r="O390" t="n">
        <v>0</v>
      </c>
      <c r="P390" t="n">
        <v>0</v>
      </c>
      <c r="Q390" t="n">
        <v>0</v>
      </c>
      <c r="R390" s="2" t="inlineStr"/>
    </row>
    <row r="391" ht="15" customHeight="1">
      <c r="A391" t="inlineStr">
        <is>
          <t>A 31018-2025</t>
        </is>
      </c>
      <c r="B391" s="1" t="n">
        <v>45832.51255787037</v>
      </c>
      <c r="C391" s="1" t="n">
        <v>46019</v>
      </c>
      <c r="D391" t="inlineStr">
        <is>
          <t>ÖREBRO LÄN</t>
        </is>
      </c>
      <c r="E391" t="inlineStr">
        <is>
          <t>LINDESBERG</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31049-2025</t>
        </is>
      </c>
      <c r="B392" s="1" t="n">
        <v>45832.55810185185</v>
      </c>
      <c r="C392" s="1" t="n">
        <v>46019</v>
      </c>
      <c r="D392" t="inlineStr">
        <is>
          <t>ÖREBRO LÄN</t>
        </is>
      </c>
      <c r="E392" t="inlineStr">
        <is>
          <t>LINDESBERG</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46404-2025</t>
        </is>
      </c>
      <c r="B393" s="1" t="n">
        <v>45925.56173611111</v>
      </c>
      <c r="C393" s="1" t="n">
        <v>46019</v>
      </c>
      <c r="D393" t="inlineStr">
        <is>
          <t>ÖREBRO LÄN</t>
        </is>
      </c>
      <c r="E393" t="inlineStr">
        <is>
          <t>LINDESBERG</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31213-2025</t>
        </is>
      </c>
      <c r="B394" s="1" t="n">
        <v>45832.72778935185</v>
      </c>
      <c r="C394" s="1" t="n">
        <v>46019</v>
      </c>
      <c r="D394" t="inlineStr">
        <is>
          <t>ÖREBRO LÄN</t>
        </is>
      </c>
      <c r="E394" t="inlineStr">
        <is>
          <t>LINDESBERG</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31085-2025</t>
        </is>
      </c>
      <c r="B395" s="1" t="n">
        <v>45832.5902662037</v>
      </c>
      <c r="C395" s="1" t="n">
        <v>46019</v>
      </c>
      <c r="D395" t="inlineStr">
        <is>
          <t>ÖREBRO LÄN</t>
        </is>
      </c>
      <c r="E395" t="inlineStr">
        <is>
          <t>LINDESBERG</t>
        </is>
      </c>
      <c r="F395" t="inlineStr">
        <is>
          <t>Sveaskog</t>
        </is>
      </c>
      <c r="G395" t="n">
        <v>0.3</v>
      </c>
      <c r="H395" t="n">
        <v>0</v>
      </c>
      <c r="I395" t="n">
        <v>0</v>
      </c>
      <c r="J395" t="n">
        <v>0</v>
      </c>
      <c r="K395" t="n">
        <v>0</v>
      </c>
      <c r="L395" t="n">
        <v>0</v>
      </c>
      <c r="M395" t="n">
        <v>0</v>
      </c>
      <c r="N395" t="n">
        <v>0</v>
      </c>
      <c r="O395" t="n">
        <v>0</v>
      </c>
      <c r="P395" t="n">
        <v>0</v>
      </c>
      <c r="Q395" t="n">
        <v>0</v>
      </c>
      <c r="R395" s="2" t="inlineStr"/>
    </row>
    <row r="396" ht="15" customHeight="1">
      <c r="A396" t="inlineStr">
        <is>
          <t>A 31215-2025</t>
        </is>
      </c>
      <c r="B396" s="1" t="n">
        <v>45832.74418981482</v>
      </c>
      <c r="C396" s="1" t="n">
        <v>46019</v>
      </c>
      <c r="D396" t="inlineStr">
        <is>
          <t>ÖREBRO LÄN</t>
        </is>
      </c>
      <c r="E396" t="inlineStr">
        <is>
          <t>LINDESBERG</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45481-2023</t>
        </is>
      </c>
      <c r="B397" s="1" t="n">
        <v>45194</v>
      </c>
      <c r="C397" s="1" t="n">
        <v>46019</v>
      </c>
      <c r="D397" t="inlineStr">
        <is>
          <t>ÖREBRO LÄN</t>
        </is>
      </c>
      <c r="E397" t="inlineStr">
        <is>
          <t>LINDESBERG</t>
        </is>
      </c>
      <c r="G397" t="n">
        <v>2.1</v>
      </c>
      <c r="H397" t="n">
        <v>0</v>
      </c>
      <c r="I397" t="n">
        <v>0</v>
      </c>
      <c r="J397" t="n">
        <v>0</v>
      </c>
      <c r="K397" t="n">
        <v>0</v>
      </c>
      <c r="L397" t="n">
        <v>0</v>
      </c>
      <c r="M397" t="n">
        <v>0</v>
      </c>
      <c r="N397" t="n">
        <v>0</v>
      </c>
      <c r="O397" t="n">
        <v>0</v>
      </c>
      <c r="P397" t="n">
        <v>0</v>
      </c>
      <c r="Q397" t="n">
        <v>0</v>
      </c>
      <c r="R397" s="2" t="inlineStr"/>
    </row>
    <row r="398" ht="15" customHeight="1">
      <c r="A398" t="inlineStr">
        <is>
          <t>A 59766-2022</t>
        </is>
      </c>
      <c r="B398" s="1" t="n">
        <v>44908.49152777778</v>
      </c>
      <c r="C398" s="1" t="n">
        <v>46019</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27013-2024</t>
        </is>
      </c>
      <c r="B399" s="1" t="n">
        <v>45471.40384259259</v>
      </c>
      <c r="C399" s="1" t="n">
        <v>46019</v>
      </c>
      <c r="D399" t="inlineStr">
        <is>
          <t>ÖREBRO LÄN</t>
        </is>
      </c>
      <c r="E399" t="inlineStr">
        <is>
          <t>LINDESBERG</t>
        </is>
      </c>
      <c r="G399" t="n">
        <v>5.2</v>
      </c>
      <c r="H399" t="n">
        <v>0</v>
      </c>
      <c r="I399" t="n">
        <v>0</v>
      </c>
      <c r="J399" t="n">
        <v>0</v>
      </c>
      <c r="K399" t="n">
        <v>0</v>
      </c>
      <c r="L399" t="n">
        <v>0</v>
      </c>
      <c r="M399" t="n">
        <v>0</v>
      </c>
      <c r="N399" t="n">
        <v>0</v>
      </c>
      <c r="O399" t="n">
        <v>0</v>
      </c>
      <c r="P399" t="n">
        <v>0</v>
      </c>
      <c r="Q399" t="n">
        <v>0</v>
      </c>
      <c r="R399" s="2" t="inlineStr"/>
    </row>
    <row r="400" ht="15" customHeight="1">
      <c r="A400" t="inlineStr">
        <is>
          <t>A 31003-2025</t>
        </is>
      </c>
      <c r="B400" s="1" t="n">
        <v>45832.49579861111</v>
      </c>
      <c r="C400" s="1" t="n">
        <v>46019</v>
      </c>
      <c r="D400" t="inlineStr">
        <is>
          <t>ÖREBRO LÄN</t>
        </is>
      </c>
      <c r="E400" t="inlineStr">
        <is>
          <t>LINDESBERG</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31014-2025</t>
        </is>
      </c>
      <c r="B401" s="1" t="n">
        <v>45832.51028935185</v>
      </c>
      <c r="C401" s="1" t="n">
        <v>46019</v>
      </c>
      <c r="D401" t="inlineStr">
        <is>
          <t>ÖREBRO LÄN</t>
        </is>
      </c>
      <c r="E401" t="inlineStr">
        <is>
          <t>LINDESBERG</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46484-2025</t>
        </is>
      </c>
      <c r="B402" s="1" t="n">
        <v>45925.70290509259</v>
      </c>
      <c r="C402" s="1" t="n">
        <v>46019</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32284-2025</t>
        </is>
      </c>
      <c r="B403" s="1" t="n">
        <v>45835.68443287037</v>
      </c>
      <c r="C403" s="1" t="n">
        <v>46019</v>
      </c>
      <c r="D403" t="inlineStr">
        <is>
          <t>ÖREBRO LÄN</t>
        </is>
      </c>
      <c r="E403" t="inlineStr">
        <is>
          <t>LINDESBERG</t>
        </is>
      </c>
      <c r="G403" t="n">
        <v>1.1</v>
      </c>
      <c r="H403" t="n">
        <v>0</v>
      </c>
      <c r="I403" t="n">
        <v>0</v>
      </c>
      <c r="J403" t="n">
        <v>0</v>
      </c>
      <c r="K403" t="n">
        <v>0</v>
      </c>
      <c r="L403" t="n">
        <v>0</v>
      </c>
      <c r="M403" t="n">
        <v>0</v>
      </c>
      <c r="N403" t="n">
        <v>0</v>
      </c>
      <c r="O403" t="n">
        <v>0</v>
      </c>
      <c r="P403" t="n">
        <v>0</v>
      </c>
      <c r="Q403" t="n">
        <v>0</v>
      </c>
      <c r="R403" s="2" t="inlineStr"/>
    </row>
    <row r="404" ht="15" customHeight="1">
      <c r="A404" t="inlineStr">
        <is>
          <t>A 7990-2025</t>
        </is>
      </c>
      <c r="B404" s="1" t="n">
        <v>45707</v>
      </c>
      <c r="C404" s="1" t="n">
        <v>46019</v>
      </c>
      <c r="D404" t="inlineStr">
        <is>
          <t>ÖREBRO LÄN</t>
        </is>
      </c>
      <c r="E404" t="inlineStr">
        <is>
          <t>LINDESBERG</t>
        </is>
      </c>
      <c r="G404" t="n">
        <v>4.4</v>
      </c>
      <c r="H404" t="n">
        <v>0</v>
      </c>
      <c r="I404" t="n">
        <v>0</v>
      </c>
      <c r="J404" t="n">
        <v>0</v>
      </c>
      <c r="K404" t="n">
        <v>0</v>
      </c>
      <c r="L404" t="n">
        <v>0</v>
      </c>
      <c r="M404" t="n">
        <v>0</v>
      </c>
      <c r="N404" t="n">
        <v>0</v>
      </c>
      <c r="O404" t="n">
        <v>0</v>
      </c>
      <c r="P404" t="n">
        <v>0</v>
      </c>
      <c r="Q404" t="n">
        <v>0</v>
      </c>
      <c r="R404" s="2" t="inlineStr"/>
    </row>
    <row r="405" ht="15" customHeight="1">
      <c r="A405" t="inlineStr">
        <is>
          <t>A 27134-2024</t>
        </is>
      </c>
      <c r="B405" s="1" t="n">
        <v>45471.52878472222</v>
      </c>
      <c r="C405" s="1" t="n">
        <v>46019</v>
      </c>
      <c r="D405" t="inlineStr">
        <is>
          <t>ÖREBRO LÄN</t>
        </is>
      </c>
      <c r="E405" t="inlineStr">
        <is>
          <t>LINDESBERG</t>
        </is>
      </c>
      <c r="G405" t="n">
        <v>0.7</v>
      </c>
      <c r="H405" t="n">
        <v>0</v>
      </c>
      <c r="I405" t="n">
        <v>0</v>
      </c>
      <c r="J405" t="n">
        <v>0</v>
      </c>
      <c r="K405" t="n">
        <v>0</v>
      </c>
      <c r="L405" t="n">
        <v>0</v>
      </c>
      <c r="M405" t="n">
        <v>0</v>
      </c>
      <c r="N405" t="n">
        <v>0</v>
      </c>
      <c r="O405" t="n">
        <v>0</v>
      </c>
      <c r="P405" t="n">
        <v>0</v>
      </c>
      <c r="Q405" t="n">
        <v>0</v>
      </c>
      <c r="R405" s="2" t="inlineStr"/>
    </row>
    <row r="406" ht="15" customHeight="1">
      <c r="A406" t="inlineStr">
        <is>
          <t>A 36121-2023</t>
        </is>
      </c>
      <c r="B406" s="1" t="n">
        <v>45148</v>
      </c>
      <c r="C406" s="1" t="n">
        <v>46019</v>
      </c>
      <c r="D406" t="inlineStr">
        <is>
          <t>ÖREBRO LÄN</t>
        </is>
      </c>
      <c r="E406" t="inlineStr">
        <is>
          <t>LINDESBERG</t>
        </is>
      </c>
      <c r="G406" t="n">
        <v>7.1</v>
      </c>
      <c r="H406" t="n">
        <v>0</v>
      </c>
      <c r="I406" t="n">
        <v>0</v>
      </c>
      <c r="J406" t="n">
        <v>0</v>
      </c>
      <c r="K406" t="n">
        <v>0</v>
      </c>
      <c r="L406" t="n">
        <v>0</v>
      </c>
      <c r="M406" t="n">
        <v>0</v>
      </c>
      <c r="N406" t="n">
        <v>0</v>
      </c>
      <c r="O406" t="n">
        <v>0</v>
      </c>
      <c r="P406" t="n">
        <v>0</v>
      </c>
      <c r="Q406" t="n">
        <v>0</v>
      </c>
      <c r="R406" s="2" t="inlineStr"/>
    </row>
    <row r="407" ht="15" customHeight="1">
      <c r="A407" t="inlineStr">
        <is>
          <t>A 36280-2023</t>
        </is>
      </c>
      <c r="B407" s="1" t="n">
        <v>45152.34586805556</v>
      </c>
      <c r="C407" s="1" t="n">
        <v>46019</v>
      </c>
      <c r="D407" t="inlineStr">
        <is>
          <t>ÖREBRO LÄN</t>
        </is>
      </c>
      <c r="E407" t="inlineStr">
        <is>
          <t>LINDESBERG</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44449-2023</t>
        </is>
      </c>
      <c r="B408" s="1" t="n">
        <v>45189.38135416667</v>
      </c>
      <c r="C408" s="1" t="n">
        <v>46019</v>
      </c>
      <c r="D408" t="inlineStr">
        <is>
          <t>ÖREBRO LÄN</t>
        </is>
      </c>
      <c r="E408" t="inlineStr">
        <is>
          <t>LINDESBERG</t>
        </is>
      </c>
      <c r="G408" t="n">
        <v>13.7</v>
      </c>
      <c r="H408" t="n">
        <v>0</v>
      </c>
      <c r="I408" t="n">
        <v>0</v>
      </c>
      <c r="J408" t="n">
        <v>0</v>
      </c>
      <c r="K408" t="n">
        <v>0</v>
      </c>
      <c r="L408" t="n">
        <v>0</v>
      </c>
      <c r="M408" t="n">
        <v>0</v>
      </c>
      <c r="N408" t="n">
        <v>0</v>
      </c>
      <c r="O408" t="n">
        <v>0</v>
      </c>
      <c r="P408" t="n">
        <v>0</v>
      </c>
      <c r="Q408" t="n">
        <v>0</v>
      </c>
      <c r="R408" s="2" t="inlineStr"/>
    </row>
    <row r="409" ht="15" customHeight="1">
      <c r="A409" t="inlineStr">
        <is>
          <t>A 2103-2022</t>
        </is>
      </c>
      <c r="B409" s="1" t="n">
        <v>44577.81121527778</v>
      </c>
      <c r="C409" s="1" t="n">
        <v>46019</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46757-2025</t>
        </is>
      </c>
      <c r="B410" s="1" t="n">
        <v>45926.62039351852</v>
      </c>
      <c r="C410" s="1" t="n">
        <v>46019</v>
      </c>
      <c r="D410" t="inlineStr">
        <is>
          <t>ÖREBRO LÄN</t>
        </is>
      </c>
      <c r="E410" t="inlineStr">
        <is>
          <t>LINDESBERG</t>
        </is>
      </c>
      <c r="G410" t="n">
        <v>7.9</v>
      </c>
      <c r="H410" t="n">
        <v>0</v>
      </c>
      <c r="I410" t="n">
        <v>0</v>
      </c>
      <c r="J410" t="n">
        <v>0</v>
      </c>
      <c r="K410" t="n">
        <v>0</v>
      </c>
      <c r="L410" t="n">
        <v>0</v>
      </c>
      <c r="M410" t="n">
        <v>0</v>
      </c>
      <c r="N410" t="n">
        <v>0</v>
      </c>
      <c r="O410" t="n">
        <v>0</v>
      </c>
      <c r="P410" t="n">
        <v>0</v>
      </c>
      <c r="Q410" t="n">
        <v>0</v>
      </c>
      <c r="R410" s="2" t="inlineStr"/>
    </row>
    <row r="411" ht="15" customHeight="1">
      <c r="A411" t="inlineStr">
        <is>
          <t>A 13968-2025</t>
        </is>
      </c>
      <c r="B411" s="1" t="n">
        <v>45738.42981481482</v>
      </c>
      <c r="C411" s="1" t="n">
        <v>46019</v>
      </c>
      <c r="D411" t="inlineStr">
        <is>
          <t>ÖREBRO LÄN</t>
        </is>
      </c>
      <c r="E411" t="inlineStr">
        <is>
          <t>LINDESBERG</t>
        </is>
      </c>
      <c r="G411" t="n">
        <v>1.5</v>
      </c>
      <c r="H411" t="n">
        <v>0</v>
      </c>
      <c r="I411" t="n">
        <v>0</v>
      </c>
      <c r="J411" t="n">
        <v>0</v>
      </c>
      <c r="K411" t="n">
        <v>0</v>
      </c>
      <c r="L411" t="n">
        <v>0</v>
      </c>
      <c r="M411" t="n">
        <v>0</v>
      </c>
      <c r="N411" t="n">
        <v>0</v>
      </c>
      <c r="O411" t="n">
        <v>0</v>
      </c>
      <c r="P411" t="n">
        <v>0</v>
      </c>
      <c r="Q411" t="n">
        <v>0</v>
      </c>
      <c r="R411" s="2" t="inlineStr"/>
    </row>
    <row r="412" ht="15" customHeight="1">
      <c r="A412" t="inlineStr">
        <is>
          <t>A 33424-2024</t>
        </is>
      </c>
      <c r="B412" s="1" t="n">
        <v>45519.51627314815</v>
      </c>
      <c r="C412" s="1" t="n">
        <v>46019</v>
      </c>
      <c r="D412" t="inlineStr">
        <is>
          <t>ÖREBRO LÄN</t>
        </is>
      </c>
      <c r="E412" t="inlineStr">
        <is>
          <t>LINDESBERG</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47678-2025</t>
        </is>
      </c>
      <c r="B413" s="1" t="n">
        <v>45931.57967592592</v>
      </c>
      <c r="C413" s="1" t="n">
        <v>46019</v>
      </c>
      <c r="D413" t="inlineStr">
        <is>
          <t>ÖREBRO LÄN</t>
        </is>
      </c>
      <c r="E413" t="inlineStr">
        <is>
          <t>LINDESBERG</t>
        </is>
      </c>
      <c r="G413" t="n">
        <v>0.6</v>
      </c>
      <c r="H413" t="n">
        <v>0</v>
      </c>
      <c r="I413" t="n">
        <v>0</v>
      </c>
      <c r="J413" t="n">
        <v>0</v>
      </c>
      <c r="K413" t="n">
        <v>0</v>
      </c>
      <c r="L413" t="n">
        <v>0</v>
      </c>
      <c r="M413" t="n">
        <v>0</v>
      </c>
      <c r="N413" t="n">
        <v>0</v>
      </c>
      <c r="O413" t="n">
        <v>0</v>
      </c>
      <c r="P413" t="n">
        <v>0</v>
      </c>
      <c r="Q413" t="n">
        <v>0</v>
      </c>
      <c r="R413" s="2" t="inlineStr"/>
    </row>
    <row r="414" ht="15" customHeight="1">
      <c r="A414" t="inlineStr">
        <is>
          <t>A 57911-2022</t>
        </is>
      </c>
      <c r="B414" s="1" t="n">
        <v>44900.36149305556</v>
      </c>
      <c r="C414" s="1" t="n">
        <v>46019</v>
      </c>
      <c r="D414" t="inlineStr">
        <is>
          <t>ÖREBRO LÄN</t>
        </is>
      </c>
      <c r="E414" t="inlineStr">
        <is>
          <t>LINDESBERG</t>
        </is>
      </c>
      <c r="G414" t="n">
        <v>4.9</v>
      </c>
      <c r="H414" t="n">
        <v>0</v>
      </c>
      <c r="I414" t="n">
        <v>0</v>
      </c>
      <c r="J414" t="n">
        <v>0</v>
      </c>
      <c r="K414" t="n">
        <v>0</v>
      </c>
      <c r="L414" t="n">
        <v>0</v>
      </c>
      <c r="M414" t="n">
        <v>0</v>
      </c>
      <c r="N414" t="n">
        <v>0</v>
      </c>
      <c r="O414" t="n">
        <v>0</v>
      </c>
      <c r="P414" t="n">
        <v>0</v>
      </c>
      <c r="Q414" t="n">
        <v>0</v>
      </c>
      <c r="R414" s="2" t="inlineStr"/>
    </row>
    <row r="415" ht="15" customHeight="1">
      <c r="A415" t="inlineStr">
        <is>
          <t>A 32504-2025</t>
        </is>
      </c>
      <c r="B415" s="1" t="n">
        <v>45838.46456018519</v>
      </c>
      <c r="C415" s="1" t="n">
        <v>46019</v>
      </c>
      <c r="D415" t="inlineStr">
        <is>
          <t>ÖREBRO LÄN</t>
        </is>
      </c>
      <c r="E415" t="inlineStr">
        <is>
          <t>LINDESBERG</t>
        </is>
      </c>
      <c r="F415" t="inlineStr">
        <is>
          <t>Sveaskog</t>
        </is>
      </c>
      <c r="G415" t="n">
        <v>16.9</v>
      </c>
      <c r="H415" t="n">
        <v>0</v>
      </c>
      <c r="I415" t="n">
        <v>0</v>
      </c>
      <c r="J415" t="n">
        <v>0</v>
      </c>
      <c r="K415" t="n">
        <v>0</v>
      </c>
      <c r="L415" t="n">
        <v>0</v>
      </c>
      <c r="M415" t="n">
        <v>0</v>
      </c>
      <c r="N415" t="n">
        <v>0</v>
      </c>
      <c r="O415" t="n">
        <v>0</v>
      </c>
      <c r="P415" t="n">
        <v>0</v>
      </c>
      <c r="Q415" t="n">
        <v>0</v>
      </c>
      <c r="R415" s="2" t="inlineStr"/>
    </row>
    <row r="416" ht="15" customHeight="1">
      <c r="A416" t="inlineStr">
        <is>
          <t>A 32502-2025</t>
        </is>
      </c>
      <c r="B416" s="1" t="n">
        <v>45838.46408564815</v>
      </c>
      <c r="C416" s="1" t="n">
        <v>46019</v>
      </c>
      <c r="D416" t="inlineStr">
        <is>
          <t>ÖREBRO LÄN</t>
        </is>
      </c>
      <c r="E416" t="inlineStr">
        <is>
          <t>LINDESBERG</t>
        </is>
      </c>
      <c r="F416" t="inlineStr">
        <is>
          <t>Sveaskog</t>
        </is>
      </c>
      <c r="G416" t="n">
        <v>17.7</v>
      </c>
      <c r="H416" t="n">
        <v>0</v>
      </c>
      <c r="I416" t="n">
        <v>0</v>
      </c>
      <c r="J416" t="n">
        <v>0</v>
      </c>
      <c r="K416" t="n">
        <v>0</v>
      </c>
      <c r="L416" t="n">
        <v>0</v>
      </c>
      <c r="M416" t="n">
        <v>0</v>
      </c>
      <c r="N416" t="n">
        <v>0</v>
      </c>
      <c r="O416" t="n">
        <v>0</v>
      </c>
      <c r="P416" t="n">
        <v>0</v>
      </c>
      <c r="Q416" t="n">
        <v>0</v>
      </c>
      <c r="R416" s="2" t="inlineStr"/>
    </row>
    <row r="417" ht="15" customHeight="1">
      <c r="A417" t="inlineStr">
        <is>
          <t>A 47676-2025</t>
        </is>
      </c>
      <c r="B417" s="1" t="n">
        <v>45931.57756944445</v>
      </c>
      <c r="C417" s="1" t="n">
        <v>46019</v>
      </c>
      <c r="D417" t="inlineStr">
        <is>
          <t>ÖREBRO LÄN</t>
        </is>
      </c>
      <c r="E417" t="inlineStr">
        <is>
          <t>LINDESBERG</t>
        </is>
      </c>
      <c r="G417" t="n">
        <v>0.8</v>
      </c>
      <c r="H417" t="n">
        <v>0</v>
      </c>
      <c r="I417" t="n">
        <v>0</v>
      </c>
      <c r="J417" t="n">
        <v>0</v>
      </c>
      <c r="K417" t="n">
        <v>0</v>
      </c>
      <c r="L417" t="n">
        <v>0</v>
      </c>
      <c r="M417" t="n">
        <v>0</v>
      </c>
      <c r="N417" t="n">
        <v>0</v>
      </c>
      <c r="O417" t="n">
        <v>0</v>
      </c>
      <c r="P417" t="n">
        <v>0</v>
      </c>
      <c r="Q417" t="n">
        <v>0</v>
      </c>
      <c r="R417" s="2" t="inlineStr"/>
    </row>
    <row r="418" ht="15" customHeight="1">
      <c r="A418" t="inlineStr">
        <is>
          <t>A 28032-2023</t>
        </is>
      </c>
      <c r="B418" s="1" t="n">
        <v>45099</v>
      </c>
      <c r="C418" s="1" t="n">
        <v>46019</v>
      </c>
      <c r="D418" t="inlineStr">
        <is>
          <t>ÖREBRO LÄN</t>
        </is>
      </c>
      <c r="E418" t="inlineStr">
        <is>
          <t>LINDESBERG</t>
        </is>
      </c>
      <c r="F418" t="inlineStr">
        <is>
          <t>Kyrkan</t>
        </is>
      </c>
      <c r="G418" t="n">
        <v>0.7</v>
      </c>
      <c r="H418" t="n">
        <v>0</v>
      </c>
      <c r="I418" t="n">
        <v>0</v>
      </c>
      <c r="J418" t="n">
        <v>0</v>
      </c>
      <c r="K418" t="n">
        <v>0</v>
      </c>
      <c r="L418" t="n">
        <v>0</v>
      </c>
      <c r="M418" t="n">
        <v>0</v>
      </c>
      <c r="N418" t="n">
        <v>0</v>
      </c>
      <c r="O418" t="n">
        <v>0</v>
      </c>
      <c r="P418" t="n">
        <v>0</v>
      </c>
      <c r="Q418" t="n">
        <v>0</v>
      </c>
      <c r="R418" s="2" t="inlineStr"/>
    </row>
    <row r="419" ht="15" customHeight="1">
      <c r="A419" t="inlineStr">
        <is>
          <t>A 32727-2024</t>
        </is>
      </c>
      <c r="B419" s="1" t="n">
        <v>45516.4221412037</v>
      </c>
      <c r="C419" s="1" t="n">
        <v>46019</v>
      </c>
      <c r="D419" t="inlineStr">
        <is>
          <t>ÖREBRO LÄN</t>
        </is>
      </c>
      <c r="E419" t="inlineStr">
        <is>
          <t>LINDESBERG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62608-2021</t>
        </is>
      </c>
      <c r="B420" s="1" t="n">
        <v>44503</v>
      </c>
      <c r="C420" s="1" t="n">
        <v>46019</v>
      </c>
      <c r="D420" t="inlineStr">
        <is>
          <t>ÖREBRO LÄN</t>
        </is>
      </c>
      <c r="E420" t="inlineStr">
        <is>
          <t>LINDESBERG</t>
        </is>
      </c>
      <c r="G420" t="n">
        <v>1.4</v>
      </c>
      <c r="H420" t="n">
        <v>0</v>
      </c>
      <c r="I420" t="n">
        <v>0</v>
      </c>
      <c r="J420" t="n">
        <v>0</v>
      </c>
      <c r="K420" t="n">
        <v>0</v>
      </c>
      <c r="L420" t="n">
        <v>0</v>
      </c>
      <c r="M420" t="n">
        <v>0</v>
      </c>
      <c r="N420" t="n">
        <v>0</v>
      </c>
      <c r="O420" t="n">
        <v>0</v>
      </c>
      <c r="P420" t="n">
        <v>0</v>
      </c>
      <c r="Q420" t="n">
        <v>0</v>
      </c>
      <c r="R420" s="2" t="inlineStr"/>
    </row>
    <row r="421" ht="15" customHeight="1">
      <c r="A421" t="inlineStr">
        <is>
          <t>A 73860-2021</t>
        </is>
      </c>
      <c r="B421" s="1" t="n">
        <v>44553.35407407407</v>
      </c>
      <c r="C421" s="1" t="n">
        <v>46019</v>
      </c>
      <c r="D421" t="inlineStr">
        <is>
          <t>ÖREBRO LÄN</t>
        </is>
      </c>
      <c r="E421" t="inlineStr">
        <is>
          <t>LINDESBERG</t>
        </is>
      </c>
      <c r="G421" t="n">
        <v>12.7</v>
      </c>
      <c r="H421" t="n">
        <v>0</v>
      </c>
      <c r="I421" t="n">
        <v>0</v>
      </c>
      <c r="J421" t="n">
        <v>0</v>
      </c>
      <c r="K421" t="n">
        <v>0</v>
      </c>
      <c r="L421" t="n">
        <v>0</v>
      </c>
      <c r="M421" t="n">
        <v>0</v>
      </c>
      <c r="N421" t="n">
        <v>0</v>
      </c>
      <c r="O421" t="n">
        <v>0</v>
      </c>
      <c r="P421" t="n">
        <v>0</v>
      </c>
      <c r="Q421" t="n">
        <v>0</v>
      </c>
      <c r="R421" s="2" t="inlineStr"/>
    </row>
    <row r="422" ht="15" customHeight="1">
      <c r="A422" t="inlineStr">
        <is>
          <t>A 49094-2024</t>
        </is>
      </c>
      <c r="B422" s="1" t="n">
        <v>45594.63747685185</v>
      </c>
      <c r="C422" s="1" t="n">
        <v>46019</v>
      </c>
      <c r="D422" t="inlineStr">
        <is>
          <t>ÖREBRO LÄN</t>
        </is>
      </c>
      <c r="E422" t="inlineStr">
        <is>
          <t>LINDESBERG</t>
        </is>
      </c>
      <c r="G422" t="n">
        <v>3.8</v>
      </c>
      <c r="H422" t="n">
        <v>0</v>
      </c>
      <c r="I422" t="n">
        <v>0</v>
      </c>
      <c r="J422" t="n">
        <v>0</v>
      </c>
      <c r="K422" t="n">
        <v>0</v>
      </c>
      <c r="L422" t="n">
        <v>0</v>
      </c>
      <c r="M422" t="n">
        <v>0</v>
      </c>
      <c r="N422" t="n">
        <v>0</v>
      </c>
      <c r="O422" t="n">
        <v>0</v>
      </c>
      <c r="P422" t="n">
        <v>0</v>
      </c>
      <c r="Q422" t="n">
        <v>0</v>
      </c>
      <c r="R422" s="2" t="inlineStr"/>
    </row>
    <row r="423" ht="15" customHeight="1">
      <c r="A423" t="inlineStr">
        <is>
          <t>A 3803-2023</t>
        </is>
      </c>
      <c r="B423" s="1" t="n">
        <v>44951.5830324074</v>
      </c>
      <c r="C423" s="1" t="n">
        <v>46019</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33046-2025</t>
        </is>
      </c>
      <c r="B424" s="1" t="n">
        <v>45840</v>
      </c>
      <c r="C424" s="1" t="n">
        <v>46019</v>
      </c>
      <c r="D424" t="inlineStr">
        <is>
          <t>ÖREBRO LÄN</t>
        </is>
      </c>
      <c r="E424" t="inlineStr">
        <is>
          <t>LINDESBERG</t>
        </is>
      </c>
      <c r="G424" t="n">
        <v>6.1</v>
      </c>
      <c r="H424" t="n">
        <v>0</v>
      </c>
      <c r="I424" t="n">
        <v>0</v>
      </c>
      <c r="J424" t="n">
        <v>0</v>
      </c>
      <c r="K424" t="n">
        <v>0</v>
      </c>
      <c r="L424" t="n">
        <v>0</v>
      </c>
      <c r="M424" t="n">
        <v>0</v>
      </c>
      <c r="N424" t="n">
        <v>0</v>
      </c>
      <c r="O424" t="n">
        <v>0</v>
      </c>
      <c r="P424" t="n">
        <v>0</v>
      </c>
      <c r="Q424" t="n">
        <v>0</v>
      </c>
      <c r="R424" s="2" t="inlineStr"/>
    </row>
    <row r="425" ht="15" customHeight="1">
      <c r="A425" t="inlineStr">
        <is>
          <t>A 11581-2024</t>
        </is>
      </c>
      <c r="B425" s="1" t="n">
        <v>45373.34383101852</v>
      </c>
      <c r="C425" s="1" t="n">
        <v>46019</v>
      </c>
      <c r="D425" t="inlineStr">
        <is>
          <t>ÖREBRO LÄN</t>
        </is>
      </c>
      <c r="E425" t="inlineStr">
        <is>
          <t>LINDESBERG</t>
        </is>
      </c>
      <c r="F425" t="inlineStr">
        <is>
          <t>BillerudKorsnäs AB</t>
        </is>
      </c>
      <c r="G425" t="n">
        <v>3.9</v>
      </c>
      <c r="H425" t="n">
        <v>0</v>
      </c>
      <c r="I425" t="n">
        <v>0</v>
      </c>
      <c r="J425" t="n">
        <v>0</v>
      </c>
      <c r="K425" t="n">
        <v>0</v>
      </c>
      <c r="L425" t="n">
        <v>0</v>
      </c>
      <c r="M425" t="n">
        <v>0</v>
      </c>
      <c r="N425" t="n">
        <v>0</v>
      </c>
      <c r="O425" t="n">
        <v>0</v>
      </c>
      <c r="P425" t="n">
        <v>0</v>
      </c>
      <c r="Q425" t="n">
        <v>0</v>
      </c>
      <c r="R425" s="2" t="inlineStr"/>
    </row>
    <row r="426" ht="15" customHeight="1">
      <c r="A426" t="inlineStr">
        <is>
          <t>A 33507-2023</t>
        </is>
      </c>
      <c r="B426" s="1" t="n">
        <v>45131</v>
      </c>
      <c r="C426" s="1" t="n">
        <v>46019</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34004-2025</t>
        </is>
      </c>
      <c r="B427" s="1" t="n">
        <v>45844.5775</v>
      </c>
      <c r="C427" s="1" t="n">
        <v>46019</v>
      </c>
      <c r="D427" t="inlineStr">
        <is>
          <t>ÖREBRO LÄN</t>
        </is>
      </c>
      <c r="E427" t="inlineStr">
        <is>
          <t>LINDESBERG</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24030-2023</t>
        </is>
      </c>
      <c r="B428" s="1" t="n">
        <v>45078.82620370371</v>
      </c>
      <c r="C428" s="1" t="n">
        <v>46019</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34104-2025</t>
        </is>
      </c>
      <c r="B429" s="1" t="n">
        <v>45845.49216435185</v>
      </c>
      <c r="C429" s="1" t="n">
        <v>46019</v>
      </c>
      <c r="D429" t="inlineStr">
        <is>
          <t>ÖREBRO LÄN</t>
        </is>
      </c>
      <c r="E429" t="inlineStr">
        <is>
          <t>LINDESBERG</t>
        </is>
      </c>
      <c r="G429" t="n">
        <v>1</v>
      </c>
      <c r="H429" t="n">
        <v>0</v>
      </c>
      <c r="I429" t="n">
        <v>0</v>
      </c>
      <c r="J429" t="n">
        <v>0</v>
      </c>
      <c r="K429" t="n">
        <v>0</v>
      </c>
      <c r="L429" t="n">
        <v>0</v>
      </c>
      <c r="M429" t="n">
        <v>0</v>
      </c>
      <c r="N429" t="n">
        <v>0</v>
      </c>
      <c r="O429" t="n">
        <v>0</v>
      </c>
      <c r="P429" t="n">
        <v>0</v>
      </c>
      <c r="Q429" t="n">
        <v>0</v>
      </c>
      <c r="R429" s="2" t="inlineStr"/>
    </row>
    <row r="430" ht="15" customHeight="1">
      <c r="A430" t="inlineStr">
        <is>
          <t>A 21986-2023</t>
        </is>
      </c>
      <c r="B430" s="1" t="n">
        <v>45068</v>
      </c>
      <c r="C430" s="1" t="n">
        <v>46019</v>
      </c>
      <c r="D430" t="inlineStr">
        <is>
          <t>ÖREBRO LÄN</t>
        </is>
      </c>
      <c r="E430" t="inlineStr">
        <is>
          <t>LINDESBERG</t>
        </is>
      </c>
      <c r="G430" t="n">
        <v>1.4</v>
      </c>
      <c r="H430" t="n">
        <v>0</v>
      </c>
      <c r="I430" t="n">
        <v>0</v>
      </c>
      <c r="J430" t="n">
        <v>0</v>
      </c>
      <c r="K430" t="n">
        <v>0</v>
      </c>
      <c r="L430" t="n">
        <v>0</v>
      </c>
      <c r="M430" t="n">
        <v>0</v>
      </c>
      <c r="N430" t="n">
        <v>0</v>
      </c>
      <c r="O430" t="n">
        <v>0</v>
      </c>
      <c r="P430" t="n">
        <v>0</v>
      </c>
      <c r="Q430" t="n">
        <v>0</v>
      </c>
      <c r="R430" s="2" t="inlineStr"/>
    </row>
    <row r="431" ht="15" customHeight="1">
      <c r="A431" t="inlineStr">
        <is>
          <t>A 33574-2024</t>
        </is>
      </c>
      <c r="B431" s="1" t="n">
        <v>45520.32887731482</v>
      </c>
      <c r="C431" s="1" t="n">
        <v>46019</v>
      </c>
      <c r="D431" t="inlineStr">
        <is>
          <t>ÖREBRO LÄN</t>
        </is>
      </c>
      <c r="E431" t="inlineStr">
        <is>
          <t>LINDESBERG</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48061-2025</t>
        </is>
      </c>
      <c r="B432" s="1" t="n">
        <v>45932.68006944445</v>
      </c>
      <c r="C432" s="1" t="n">
        <v>46019</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44010-2023</t>
        </is>
      </c>
      <c r="B433" s="1" t="n">
        <v>45188</v>
      </c>
      <c r="C433" s="1" t="n">
        <v>46019</v>
      </c>
      <c r="D433" t="inlineStr">
        <is>
          <t>ÖREBRO LÄN</t>
        </is>
      </c>
      <c r="E433" t="inlineStr">
        <is>
          <t>LINDESBERG</t>
        </is>
      </c>
      <c r="G433" t="n">
        <v>2.3</v>
      </c>
      <c r="H433" t="n">
        <v>0</v>
      </c>
      <c r="I433" t="n">
        <v>0</v>
      </c>
      <c r="J433" t="n">
        <v>0</v>
      </c>
      <c r="K433" t="n">
        <v>0</v>
      </c>
      <c r="L433" t="n">
        <v>0</v>
      </c>
      <c r="M433" t="n">
        <v>0</v>
      </c>
      <c r="N433" t="n">
        <v>0</v>
      </c>
      <c r="O433" t="n">
        <v>0</v>
      </c>
      <c r="P433" t="n">
        <v>0</v>
      </c>
      <c r="Q433" t="n">
        <v>0</v>
      </c>
      <c r="R433" s="2" t="inlineStr"/>
    </row>
    <row r="434" ht="15" customHeight="1">
      <c r="A434" t="inlineStr">
        <is>
          <t>A 34002-2025</t>
        </is>
      </c>
      <c r="B434" s="1" t="n">
        <v>45844.57328703703</v>
      </c>
      <c r="C434" s="1" t="n">
        <v>46019</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34003-2025</t>
        </is>
      </c>
      <c r="B435" s="1" t="n">
        <v>45844.57527777777</v>
      </c>
      <c r="C435" s="1" t="n">
        <v>46019</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34097-2025</t>
        </is>
      </c>
      <c r="B436" s="1" t="n">
        <v>45845.4855787037</v>
      </c>
      <c r="C436" s="1" t="n">
        <v>46019</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50986-2023</t>
        </is>
      </c>
      <c r="B437" s="1" t="n">
        <v>45218</v>
      </c>
      <c r="C437" s="1" t="n">
        <v>46019</v>
      </c>
      <c r="D437" t="inlineStr">
        <is>
          <t>ÖREBRO LÄN</t>
        </is>
      </c>
      <c r="E437" t="inlineStr">
        <is>
          <t>LINDESBERG</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61969-2023</t>
        </is>
      </c>
      <c r="B438" s="1" t="n">
        <v>45266.58394675926</v>
      </c>
      <c r="C438" s="1" t="n">
        <v>46019</v>
      </c>
      <c r="D438" t="inlineStr">
        <is>
          <t>ÖREBRO LÄN</t>
        </is>
      </c>
      <c r="E438" t="inlineStr">
        <is>
          <t>LINDESBERG</t>
        </is>
      </c>
      <c r="G438" t="n">
        <v>10.5</v>
      </c>
      <c r="H438" t="n">
        <v>0</v>
      </c>
      <c r="I438" t="n">
        <v>0</v>
      </c>
      <c r="J438" t="n">
        <v>0</v>
      </c>
      <c r="K438" t="n">
        <v>0</v>
      </c>
      <c r="L438" t="n">
        <v>0</v>
      </c>
      <c r="M438" t="n">
        <v>0</v>
      </c>
      <c r="N438" t="n">
        <v>0</v>
      </c>
      <c r="O438" t="n">
        <v>0</v>
      </c>
      <c r="P438" t="n">
        <v>0</v>
      </c>
      <c r="Q438" t="n">
        <v>0</v>
      </c>
      <c r="R438" s="2" t="inlineStr"/>
    </row>
    <row r="439" ht="15" customHeight="1">
      <c r="A439" t="inlineStr">
        <is>
          <t>A 40450-2023</t>
        </is>
      </c>
      <c r="B439" s="1" t="n">
        <v>45170</v>
      </c>
      <c r="C439" s="1" t="n">
        <v>46019</v>
      </c>
      <c r="D439" t="inlineStr">
        <is>
          <t>ÖREBRO LÄN</t>
        </is>
      </c>
      <c r="E439" t="inlineStr">
        <is>
          <t>LINDESBERG</t>
        </is>
      </c>
      <c r="F439" t="inlineStr">
        <is>
          <t>Kyrkan</t>
        </is>
      </c>
      <c r="G439" t="n">
        <v>4.3</v>
      </c>
      <c r="H439" t="n">
        <v>0</v>
      </c>
      <c r="I439" t="n">
        <v>0</v>
      </c>
      <c r="J439" t="n">
        <v>0</v>
      </c>
      <c r="K439" t="n">
        <v>0</v>
      </c>
      <c r="L439" t="n">
        <v>0</v>
      </c>
      <c r="M439" t="n">
        <v>0</v>
      </c>
      <c r="N439" t="n">
        <v>0</v>
      </c>
      <c r="O439" t="n">
        <v>0</v>
      </c>
      <c r="P439" t="n">
        <v>0</v>
      </c>
      <c r="Q439" t="n">
        <v>0</v>
      </c>
      <c r="R439" s="2" t="inlineStr"/>
    </row>
    <row r="440" ht="15" customHeight="1">
      <c r="A440" t="inlineStr">
        <is>
          <t>A 48750-2025</t>
        </is>
      </c>
      <c r="B440" s="1" t="n">
        <v>45936.68452546297</v>
      </c>
      <c r="C440" s="1" t="n">
        <v>46019</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34267-2025</t>
        </is>
      </c>
      <c r="B441" s="1" t="n">
        <v>45845.76005787037</v>
      </c>
      <c r="C441" s="1" t="n">
        <v>46019</v>
      </c>
      <c r="D441" t="inlineStr">
        <is>
          <t>ÖREBRO LÄN</t>
        </is>
      </c>
      <c r="E441" t="inlineStr">
        <is>
          <t>LINDESBERG</t>
        </is>
      </c>
      <c r="G441" t="n">
        <v>4.6</v>
      </c>
      <c r="H441" t="n">
        <v>0</v>
      </c>
      <c r="I441" t="n">
        <v>0</v>
      </c>
      <c r="J441" t="n">
        <v>0</v>
      </c>
      <c r="K441" t="n">
        <v>0</v>
      </c>
      <c r="L441" t="n">
        <v>0</v>
      </c>
      <c r="M441" t="n">
        <v>0</v>
      </c>
      <c r="N441" t="n">
        <v>0</v>
      </c>
      <c r="O441" t="n">
        <v>0</v>
      </c>
      <c r="P441" t="n">
        <v>0</v>
      </c>
      <c r="Q441" t="n">
        <v>0</v>
      </c>
      <c r="R441" s="2" t="inlineStr"/>
    </row>
    <row r="442" ht="15" customHeight="1">
      <c r="A442" t="inlineStr">
        <is>
          <t>A 48620-2025</t>
        </is>
      </c>
      <c r="B442" s="1" t="n">
        <v>45936.49210648148</v>
      </c>
      <c r="C442" s="1" t="n">
        <v>46019</v>
      </c>
      <c r="D442" t="inlineStr">
        <is>
          <t>ÖREBRO LÄN</t>
        </is>
      </c>
      <c r="E442" t="inlineStr">
        <is>
          <t>LINDESBERG</t>
        </is>
      </c>
      <c r="F442" t="inlineStr">
        <is>
          <t>Sveaskog</t>
        </is>
      </c>
      <c r="G442" t="n">
        <v>5.2</v>
      </c>
      <c r="H442" t="n">
        <v>0</v>
      </c>
      <c r="I442" t="n">
        <v>0</v>
      </c>
      <c r="J442" t="n">
        <v>0</v>
      </c>
      <c r="K442" t="n">
        <v>0</v>
      </c>
      <c r="L442" t="n">
        <v>0</v>
      </c>
      <c r="M442" t="n">
        <v>0</v>
      </c>
      <c r="N442" t="n">
        <v>0</v>
      </c>
      <c r="O442" t="n">
        <v>0</v>
      </c>
      <c r="P442" t="n">
        <v>0</v>
      </c>
      <c r="Q442" t="n">
        <v>0</v>
      </c>
      <c r="R442" s="2" t="inlineStr"/>
    </row>
    <row r="443" ht="15" customHeight="1">
      <c r="A443" t="inlineStr">
        <is>
          <t>A 34264-2025</t>
        </is>
      </c>
      <c r="B443" s="1" t="n">
        <v>45845.75200231482</v>
      </c>
      <c r="C443" s="1" t="n">
        <v>46019</v>
      </c>
      <c r="D443" t="inlineStr">
        <is>
          <t>ÖREBRO LÄN</t>
        </is>
      </c>
      <c r="E443" t="inlineStr">
        <is>
          <t>LINDESBERG</t>
        </is>
      </c>
      <c r="G443" t="n">
        <v>3.9</v>
      </c>
      <c r="H443" t="n">
        <v>0</v>
      </c>
      <c r="I443" t="n">
        <v>0</v>
      </c>
      <c r="J443" t="n">
        <v>0</v>
      </c>
      <c r="K443" t="n">
        <v>0</v>
      </c>
      <c r="L443" t="n">
        <v>0</v>
      </c>
      <c r="M443" t="n">
        <v>0</v>
      </c>
      <c r="N443" t="n">
        <v>0</v>
      </c>
      <c r="O443" t="n">
        <v>0</v>
      </c>
      <c r="P443" t="n">
        <v>0</v>
      </c>
      <c r="Q443" t="n">
        <v>0</v>
      </c>
      <c r="R443" s="2" t="inlineStr"/>
    </row>
    <row r="444" ht="15" customHeight="1">
      <c r="A444" t="inlineStr">
        <is>
          <t>A 53062-2023</t>
        </is>
      </c>
      <c r="B444" s="1" t="n">
        <v>45227.31859953704</v>
      </c>
      <c r="C444" s="1" t="n">
        <v>46019</v>
      </c>
      <c r="D444" t="inlineStr">
        <is>
          <t>ÖREBRO LÄN</t>
        </is>
      </c>
      <c r="E444" t="inlineStr">
        <is>
          <t>LINDESBERG</t>
        </is>
      </c>
      <c r="G444" t="n">
        <v>3.1</v>
      </c>
      <c r="H444" t="n">
        <v>0</v>
      </c>
      <c r="I444" t="n">
        <v>0</v>
      </c>
      <c r="J444" t="n">
        <v>0</v>
      </c>
      <c r="K444" t="n">
        <v>0</v>
      </c>
      <c r="L444" t="n">
        <v>0</v>
      </c>
      <c r="M444" t="n">
        <v>0</v>
      </c>
      <c r="N444" t="n">
        <v>0</v>
      </c>
      <c r="O444" t="n">
        <v>0</v>
      </c>
      <c r="P444" t="n">
        <v>0</v>
      </c>
      <c r="Q444" t="n">
        <v>0</v>
      </c>
      <c r="R444" s="2" t="inlineStr"/>
    </row>
    <row r="445" ht="15" customHeight="1">
      <c r="A445" t="inlineStr">
        <is>
          <t>A 48497-2025</t>
        </is>
      </c>
      <c r="B445" s="1" t="n">
        <v>45936.37523148148</v>
      </c>
      <c r="C445" s="1" t="n">
        <v>46019</v>
      </c>
      <c r="D445" t="inlineStr">
        <is>
          <t>ÖREBRO LÄN</t>
        </is>
      </c>
      <c r="E445" t="inlineStr">
        <is>
          <t>LINDESBERG</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12739-2024</t>
        </is>
      </c>
      <c r="B446" s="1" t="n">
        <v>45384</v>
      </c>
      <c r="C446" s="1" t="n">
        <v>46019</v>
      </c>
      <c r="D446" t="inlineStr">
        <is>
          <t>ÖREBRO LÄN</t>
        </is>
      </c>
      <c r="E446" t="inlineStr">
        <is>
          <t>LINDESBERG</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56982-2025</t>
        </is>
      </c>
      <c r="B447" s="1" t="n">
        <v>45978.71075231482</v>
      </c>
      <c r="C447" s="1" t="n">
        <v>46019</v>
      </c>
      <c r="D447" t="inlineStr">
        <is>
          <t>ÖREBRO LÄN</t>
        </is>
      </c>
      <c r="E447" t="inlineStr">
        <is>
          <t>LINDESBERG</t>
        </is>
      </c>
      <c r="G447" t="n">
        <v>4.3</v>
      </c>
      <c r="H447" t="n">
        <v>0</v>
      </c>
      <c r="I447" t="n">
        <v>0</v>
      </c>
      <c r="J447" t="n">
        <v>0</v>
      </c>
      <c r="K447" t="n">
        <v>0</v>
      </c>
      <c r="L447" t="n">
        <v>0</v>
      </c>
      <c r="M447" t="n">
        <v>0</v>
      </c>
      <c r="N447" t="n">
        <v>0</v>
      </c>
      <c r="O447" t="n">
        <v>0</v>
      </c>
      <c r="P447" t="n">
        <v>0</v>
      </c>
      <c r="Q447" t="n">
        <v>0</v>
      </c>
      <c r="R447" s="2" t="inlineStr"/>
    </row>
    <row r="448" ht="15" customHeight="1">
      <c r="A448" t="inlineStr">
        <is>
          <t>A 45056-2024</t>
        </is>
      </c>
      <c r="B448" s="1" t="n">
        <v>45575.55273148148</v>
      </c>
      <c r="C448" s="1" t="n">
        <v>46019</v>
      </c>
      <c r="D448" t="inlineStr">
        <is>
          <t>ÖREBRO LÄN</t>
        </is>
      </c>
      <c r="E448" t="inlineStr">
        <is>
          <t>LINDESBERG</t>
        </is>
      </c>
      <c r="F448" t="inlineStr">
        <is>
          <t>Sveaskog</t>
        </is>
      </c>
      <c r="G448" t="n">
        <v>3.3</v>
      </c>
      <c r="H448" t="n">
        <v>0</v>
      </c>
      <c r="I448" t="n">
        <v>0</v>
      </c>
      <c r="J448" t="n">
        <v>0</v>
      </c>
      <c r="K448" t="n">
        <v>0</v>
      </c>
      <c r="L448" t="n">
        <v>0</v>
      </c>
      <c r="M448" t="n">
        <v>0</v>
      </c>
      <c r="N448" t="n">
        <v>0</v>
      </c>
      <c r="O448" t="n">
        <v>0</v>
      </c>
      <c r="P448" t="n">
        <v>0</v>
      </c>
      <c r="Q448" t="n">
        <v>0</v>
      </c>
      <c r="R448" s="2" t="inlineStr"/>
    </row>
    <row r="449" ht="15" customHeight="1">
      <c r="A449" t="inlineStr">
        <is>
          <t>A 45058-2024</t>
        </is>
      </c>
      <c r="B449" s="1" t="n">
        <v>45575.5547337963</v>
      </c>
      <c r="C449" s="1" t="n">
        <v>46019</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45063-2024</t>
        </is>
      </c>
      <c r="B450" s="1" t="n">
        <v>45575.55684027778</v>
      </c>
      <c r="C450" s="1" t="n">
        <v>46019</v>
      </c>
      <c r="D450" t="inlineStr">
        <is>
          <t>ÖREBRO LÄN</t>
        </is>
      </c>
      <c r="E450" t="inlineStr">
        <is>
          <t>LINDESBERG</t>
        </is>
      </c>
      <c r="F450" t="inlineStr">
        <is>
          <t>Sveaskog</t>
        </is>
      </c>
      <c r="G450" t="n">
        <v>3.3</v>
      </c>
      <c r="H450" t="n">
        <v>0</v>
      </c>
      <c r="I450" t="n">
        <v>0</v>
      </c>
      <c r="J450" t="n">
        <v>0</v>
      </c>
      <c r="K450" t="n">
        <v>0</v>
      </c>
      <c r="L450" t="n">
        <v>0</v>
      </c>
      <c r="M450" t="n">
        <v>0</v>
      </c>
      <c r="N450" t="n">
        <v>0</v>
      </c>
      <c r="O450" t="n">
        <v>0</v>
      </c>
      <c r="P450" t="n">
        <v>0</v>
      </c>
      <c r="Q450" t="n">
        <v>0</v>
      </c>
      <c r="R450" s="2" t="inlineStr"/>
    </row>
    <row r="451" ht="15" customHeight="1">
      <c r="A451" t="inlineStr">
        <is>
          <t>A 48489-2025</t>
        </is>
      </c>
      <c r="B451" s="1" t="n">
        <v>45936.36637731481</v>
      </c>
      <c r="C451" s="1" t="n">
        <v>46019</v>
      </c>
      <c r="D451" t="inlineStr">
        <is>
          <t>ÖREBRO LÄN</t>
        </is>
      </c>
      <c r="E451" t="inlineStr">
        <is>
          <t>LINDESBERG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48618-2025</t>
        </is>
      </c>
      <c r="B452" s="1" t="n">
        <v>45936.49026620371</v>
      </c>
      <c r="C452" s="1" t="n">
        <v>46019</v>
      </c>
      <c r="D452" t="inlineStr">
        <is>
          <t>ÖREBRO LÄN</t>
        </is>
      </c>
      <c r="E452" t="inlineStr">
        <is>
          <t>LINDESBERG</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48495-2025</t>
        </is>
      </c>
      <c r="B453" s="1" t="n">
        <v>45936.37237268518</v>
      </c>
      <c r="C453" s="1" t="n">
        <v>46019</v>
      </c>
      <c r="D453" t="inlineStr">
        <is>
          <t>ÖREBRO LÄN</t>
        </is>
      </c>
      <c r="E453" t="inlineStr">
        <is>
          <t>LINDESBERG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57359-2025</t>
        </is>
      </c>
      <c r="B454" s="1" t="n">
        <v>45980.36866898148</v>
      </c>
      <c r="C454" s="1" t="n">
        <v>46019</v>
      </c>
      <c r="D454" t="inlineStr">
        <is>
          <t>ÖREBRO LÄN</t>
        </is>
      </c>
      <c r="E454" t="inlineStr">
        <is>
          <t>LINDESBERG</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57361-2025</t>
        </is>
      </c>
      <c r="B455" s="1" t="n">
        <v>45980.36988425926</v>
      </c>
      <c r="C455" s="1" t="n">
        <v>46019</v>
      </c>
      <c r="D455" t="inlineStr">
        <is>
          <t>ÖREBRO LÄN</t>
        </is>
      </c>
      <c r="E455" t="inlineStr">
        <is>
          <t>LINDESBERG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9198-2025</t>
        </is>
      </c>
      <c r="B456" s="1" t="n">
        <v>45714</v>
      </c>
      <c r="C456" s="1" t="n">
        <v>46019</v>
      </c>
      <c r="D456" t="inlineStr">
        <is>
          <t>ÖREBRO LÄN</t>
        </is>
      </c>
      <c r="E456" t="inlineStr">
        <is>
          <t>LINDESBERG</t>
        </is>
      </c>
      <c r="G456" t="n">
        <v>3.3</v>
      </c>
      <c r="H456" t="n">
        <v>0</v>
      </c>
      <c r="I456" t="n">
        <v>0</v>
      </c>
      <c r="J456" t="n">
        <v>0</v>
      </c>
      <c r="K456" t="n">
        <v>0</v>
      </c>
      <c r="L456" t="n">
        <v>0</v>
      </c>
      <c r="M456" t="n">
        <v>0</v>
      </c>
      <c r="N456" t="n">
        <v>0</v>
      </c>
      <c r="O456" t="n">
        <v>0</v>
      </c>
      <c r="P456" t="n">
        <v>0</v>
      </c>
      <c r="Q456" t="n">
        <v>0</v>
      </c>
      <c r="R456" s="2" t="inlineStr"/>
    </row>
    <row r="457" ht="15" customHeight="1">
      <c r="A457" t="inlineStr">
        <is>
          <t>A 48867-2025</t>
        </is>
      </c>
      <c r="B457" s="1" t="n">
        <v>45937.4484837963</v>
      </c>
      <c r="C457" s="1" t="n">
        <v>46019</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60492-2024</t>
        </is>
      </c>
      <c r="B458" s="1" t="n">
        <v>45642</v>
      </c>
      <c r="C458" s="1" t="n">
        <v>46019</v>
      </c>
      <c r="D458" t="inlineStr">
        <is>
          <t>ÖREBRO LÄN</t>
        </is>
      </c>
      <c r="E458" t="inlineStr">
        <is>
          <t>LINDESBERG</t>
        </is>
      </c>
      <c r="G458" t="n">
        <v>2.6</v>
      </c>
      <c r="H458" t="n">
        <v>0</v>
      </c>
      <c r="I458" t="n">
        <v>0</v>
      </c>
      <c r="J458" t="n">
        <v>0</v>
      </c>
      <c r="K458" t="n">
        <v>0</v>
      </c>
      <c r="L458" t="n">
        <v>0</v>
      </c>
      <c r="M458" t="n">
        <v>0</v>
      </c>
      <c r="N458" t="n">
        <v>0</v>
      </c>
      <c r="O458" t="n">
        <v>0</v>
      </c>
      <c r="P458" t="n">
        <v>0</v>
      </c>
      <c r="Q458" t="n">
        <v>0</v>
      </c>
      <c r="R458" s="2" t="inlineStr"/>
    </row>
    <row r="459" ht="15" customHeight="1">
      <c r="A459" t="inlineStr">
        <is>
          <t>A 48953-2025</t>
        </is>
      </c>
      <c r="B459" s="1" t="n">
        <v>45937.54697916667</v>
      </c>
      <c r="C459" s="1" t="n">
        <v>46019</v>
      </c>
      <c r="D459" t="inlineStr">
        <is>
          <t>ÖREBRO LÄN</t>
        </is>
      </c>
      <c r="E459" t="inlineStr">
        <is>
          <t>LINDESBERG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24916-2022</t>
        </is>
      </c>
      <c r="B460" s="1" t="n">
        <v>44728</v>
      </c>
      <c r="C460" s="1" t="n">
        <v>46019</v>
      </c>
      <c r="D460" t="inlineStr">
        <is>
          <t>ÖREBRO LÄN</t>
        </is>
      </c>
      <c r="E460" t="inlineStr">
        <is>
          <t>LINDESBERG</t>
        </is>
      </c>
      <c r="G460" t="n">
        <v>8.1</v>
      </c>
      <c r="H460" t="n">
        <v>0</v>
      </c>
      <c r="I460" t="n">
        <v>0</v>
      </c>
      <c r="J460" t="n">
        <v>0</v>
      </c>
      <c r="K460" t="n">
        <v>0</v>
      </c>
      <c r="L460" t="n">
        <v>0</v>
      </c>
      <c r="M460" t="n">
        <v>0</v>
      </c>
      <c r="N460" t="n">
        <v>0</v>
      </c>
      <c r="O460" t="n">
        <v>0</v>
      </c>
      <c r="P460" t="n">
        <v>0</v>
      </c>
      <c r="Q460" t="n">
        <v>0</v>
      </c>
      <c r="R460" s="2" t="inlineStr"/>
    </row>
    <row r="461" ht="15" customHeight="1">
      <c r="A461" t="inlineStr">
        <is>
          <t>A 5677-2025</t>
        </is>
      </c>
      <c r="B461" s="1" t="n">
        <v>45694</v>
      </c>
      <c r="C461" s="1" t="n">
        <v>46019</v>
      </c>
      <c r="D461" t="inlineStr">
        <is>
          <t>ÖREBRO LÄN</t>
        </is>
      </c>
      <c r="E461" t="inlineStr">
        <is>
          <t>LINDESBERG</t>
        </is>
      </c>
      <c r="G461" t="n">
        <v>1.6</v>
      </c>
      <c r="H461" t="n">
        <v>0</v>
      </c>
      <c r="I461" t="n">
        <v>0</v>
      </c>
      <c r="J461" t="n">
        <v>0</v>
      </c>
      <c r="K461" t="n">
        <v>0</v>
      </c>
      <c r="L461" t="n">
        <v>0</v>
      </c>
      <c r="M461" t="n">
        <v>0</v>
      </c>
      <c r="N461" t="n">
        <v>0</v>
      </c>
      <c r="O461" t="n">
        <v>0</v>
      </c>
      <c r="P461" t="n">
        <v>0</v>
      </c>
      <c r="Q461" t="n">
        <v>0</v>
      </c>
      <c r="R461" s="2" t="inlineStr"/>
    </row>
    <row r="462" ht="15" customHeight="1">
      <c r="A462" t="inlineStr">
        <is>
          <t>A 48971-2025</t>
        </is>
      </c>
      <c r="B462" s="1" t="n">
        <v>45937.56420138889</v>
      </c>
      <c r="C462" s="1" t="n">
        <v>46019</v>
      </c>
      <c r="D462" t="inlineStr">
        <is>
          <t>ÖREBRO LÄN</t>
        </is>
      </c>
      <c r="E462" t="inlineStr">
        <is>
          <t>LINDESBERG</t>
        </is>
      </c>
      <c r="F462" t="inlineStr">
        <is>
          <t>Sveaskog</t>
        </is>
      </c>
      <c r="G462" t="n">
        <v>4.1</v>
      </c>
      <c r="H462" t="n">
        <v>0</v>
      </c>
      <c r="I462" t="n">
        <v>0</v>
      </c>
      <c r="J462" t="n">
        <v>0</v>
      </c>
      <c r="K462" t="n">
        <v>0</v>
      </c>
      <c r="L462" t="n">
        <v>0</v>
      </c>
      <c r="M462" t="n">
        <v>0</v>
      </c>
      <c r="N462" t="n">
        <v>0</v>
      </c>
      <c r="O462" t="n">
        <v>0</v>
      </c>
      <c r="P462" t="n">
        <v>0</v>
      </c>
      <c r="Q462" t="n">
        <v>0</v>
      </c>
      <c r="R462" s="2" t="inlineStr"/>
    </row>
    <row r="463" ht="15" customHeight="1">
      <c r="A463" t="inlineStr">
        <is>
          <t>A 48975-2025</t>
        </is>
      </c>
      <c r="B463" s="1" t="n">
        <v>45937.56798611111</v>
      </c>
      <c r="C463" s="1" t="n">
        <v>46019</v>
      </c>
      <c r="D463" t="inlineStr">
        <is>
          <t>ÖREBRO LÄN</t>
        </is>
      </c>
      <c r="E463" t="inlineStr">
        <is>
          <t>LINDESBERG</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26093-2023</t>
        </is>
      </c>
      <c r="B464" s="1" t="n">
        <v>45091.39362268519</v>
      </c>
      <c r="C464" s="1" t="n">
        <v>46019</v>
      </c>
      <c r="D464" t="inlineStr">
        <is>
          <t>ÖREBRO LÄN</t>
        </is>
      </c>
      <c r="E464" t="inlineStr">
        <is>
          <t>LINDESBERG</t>
        </is>
      </c>
      <c r="G464" t="n">
        <v>0.4</v>
      </c>
      <c r="H464" t="n">
        <v>0</v>
      </c>
      <c r="I464" t="n">
        <v>0</v>
      </c>
      <c r="J464" t="n">
        <v>0</v>
      </c>
      <c r="K464" t="n">
        <v>0</v>
      </c>
      <c r="L464" t="n">
        <v>0</v>
      </c>
      <c r="M464" t="n">
        <v>0</v>
      </c>
      <c r="N464" t="n">
        <v>0</v>
      </c>
      <c r="O464" t="n">
        <v>0</v>
      </c>
      <c r="P464" t="n">
        <v>0</v>
      </c>
      <c r="Q464" t="n">
        <v>0</v>
      </c>
      <c r="R464" s="2" t="inlineStr"/>
    </row>
    <row r="465" ht="15" customHeight="1">
      <c r="A465" t="inlineStr">
        <is>
          <t>A 47066-2023</t>
        </is>
      </c>
      <c r="B465" s="1" t="n">
        <v>45201</v>
      </c>
      <c r="C465" s="1" t="n">
        <v>46019</v>
      </c>
      <c r="D465" t="inlineStr">
        <is>
          <t>ÖREBRO LÄN</t>
        </is>
      </c>
      <c r="E465" t="inlineStr">
        <is>
          <t>LINDESBERG</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54859-2024</t>
        </is>
      </c>
      <c r="B466" s="1" t="n">
        <v>45618.58962962963</v>
      </c>
      <c r="C466" s="1" t="n">
        <v>46019</v>
      </c>
      <c r="D466" t="inlineStr">
        <is>
          <t>ÖREBRO LÄN</t>
        </is>
      </c>
      <c r="E466" t="inlineStr">
        <is>
          <t>LINDESBERG</t>
        </is>
      </c>
      <c r="F466" t="inlineStr">
        <is>
          <t>Sveaskog</t>
        </is>
      </c>
      <c r="G466" t="n">
        <v>5.3</v>
      </c>
      <c r="H466" t="n">
        <v>0</v>
      </c>
      <c r="I466" t="n">
        <v>0</v>
      </c>
      <c r="J466" t="n">
        <v>0</v>
      </c>
      <c r="K466" t="n">
        <v>0</v>
      </c>
      <c r="L466" t="n">
        <v>0</v>
      </c>
      <c r="M466" t="n">
        <v>0</v>
      </c>
      <c r="N466" t="n">
        <v>0</v>
      </c>
      <c r="O466" t="n">
        <v>0</v>
      </c>
      <c r="P466" t="n">
        <v>0</v>
      </c>
      <c r="Q466" t="n">
        <v>0</v>
      </c>
      <c r="R466" s="2" t="inlineStr"/>
    </row>
    <row r="467" ht="15" customHeight="1">
      <c r="A467" t="inlineStr">
        <is>
          <t>A 36773-2024</t>
        </is>
      </c>
      <c r="B467" s="1" t="n">
        <v>45538</v>
      </c>
      <c r="C467" s="1" t="n">
        <v>46019</v>
      </c>
      <c r="D467" t="inlineStr">
        <is>
          <t>ÖREBRO LÄN</t>
        </is>
      </c>
      <c r="E467" t="inlineStr">
        <is>
          <t>LINDESBERG</t>
        </is>
      </c>
      <c r="F467" t="inlineStr">
        <is>
          <t>Sveaskog</t>
        </is>
      </c>
      <c r="G467" t="n">
        <v>1.4</v>
      </c>
      <c r="H467" t="n">
        <v>0</v>
      </c>
      <c r="I467" t="n">
        <v>0</v>
      </c>
      <c r="J467" t="n">
        <v>0</v>
      </c>
      <c r="K467" t="n">
        <v>0</v>
      </c>
      <c r="L467" t="n">
        <v>0</v>
      </c>
      <c r="M467" t="n">
        <v>0</v>
      </c>
      <c r="N467" t="n">
        <v>0</v>
      </c>
      <c r="O467" t="n">
        <v>0</v>
      </c>
      <c r="P467" t="n">
        <v>0</v>
      </c>
      <c r="Q467" t="n">
        <v>0</v>
      </c>
      <c r="R467" s="2" t="inlineStr"/>
    </row>
    <row r="468" ht="15" customHeight="1">
      <c r="A468" t="inlineStr">
        <is>
          <t>A 57358-2025</t>
        </is>
      </c>
      <c r="B468" s="1" t="n">
        <v>45980.36679398148</v>
      </c>
      <c r="C468" s="1" t="n">
        <v>46019</v>
      </c>
      <c r="D468" t="inlineStr">
        <is>
          <t>ÖREBRO LÄN</t>
        </is>
      </c>
      <c r="E468" t="inlineStr">
        <is>
          <t>LINDESBERG</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57363-2025</t>
        </is>
      </c>
      <c r="B469" s="1" t="n">
        <v>45980.3716087963</v>
      </c>
      <c r="C469" s="1" t="n">
        <v>46019</v>
      </c>
      <c r="D469" t="inlineStr">
        <is>
          <t>ÖREBRO LÄN</t>
        </is>
      </c>
      <c r="E469" t="inlineStr">
        <is>
          <t>LINDESBERG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1681-2025</t>
        </is>
      </c>
      <c r="B470" s="1" t="n">
        <v>45670.69458333333</v>
      </c>
      <c r="C470" s="1" t="n">
        <v>46019</v>
      </c>
      <c r="D470" t="inlineStr">
        <is>
          <t>ÖREBRO LÄN</t>
        </is>
      </c>
      <c r="E470" t="inlineStr">
        <is>
          <t>LINDESBERG</t>
        </is>
      </c>
      <c r="G470" t="n">
        <v>1.9</v>
      </c>
      <c r="H470" t="n">
        <v>0</v>
      </c>
      <c r="I470" t="n">
        <v>0</v>
      </c>
      <c r="J470" t="n">
        <v>0</v>
      </c>
      <c r="K470" t="n">
        <v>0</v>
      </c>
      <c r="L470" t="n">
        <v>0</v>
      </c>
      <c r="M470" t="n">
        <v>0</v>
      </c>
      <c r="N470" t="n">
        <v>0</v>
      </c>
      <c r="O470" t="n">
        <v>0</v>
      </c>
      <c r="P470" t="n">
        <v>0</v>
      </c>
      <c r="Q470" t="n">
        <v>0</v>
      </c>
      <c r="R470" s="2" t="inlineStr"/>
    </row>
    <row r="471" ht="15" customHeight="1">
      <c r="A471" t="inlineStr">
        <is>
          <t>A 49100-2025</t>
        </is>
      </c>
      <c r="B471" s="1" t="n">
        <v>45937.71556712963</v>
      </c>
      <c r="C471" s="1" t="n">
        <v>46019</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36670-2024</t>
        </is>
      </c>
      <c r="B472" s="1" t="n">
        <v>45537.64621527777</v>
      </c>
      <c r="C472" s="1" t="n">
        <v>46019</v>
      </c>
      <c r="D472" t="inlineStr">
        <is>
          <t>ÖREBRO LÄN</t>
        </is>
      </c>
      <c r="E472" t="inlineStr">
        <is>
          <t>LINDESBERG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49133-2025</t>
        </is>
      </c>
      <c r="B473" s="1" t="n">
        <v>45937.92319444445</v>
      </c>
      <c r="C473" s="1" t="n">
        <v>46019</v>
      </c>
      <c r="D473" t="inlineStr">
        <is>
          <t>ÖREBRO LÄN</t>
        </is>
      </c>
      <c r="E473" t="inlineStr">
        <is>
          <t>LINDESBERG</t>
        </is>
      </c>
      <c r="G473" t="n">
        <v>5</v>
      </c>
      <c r="H473" t="n">
        <v>0</v>
      </c>
      <c r="I473" t="n">
        <v>0</v>
      </c>
      <c r="J473" t="n">
        <v>0</v>
      </c>
      <c r="K473" t="n">
        <v>0</v>
      </c>
      <c r="L473" t="n">
        <v>0</v>
      </c>
      <c r="M473" t="n">
        <v>0</v>
      </c>
      <c r="N473" t="n">
        <v>0</v>
      </c>
      <c r="O473" t="n">
        <v>0</v>
      </c>
      <c r="P473" t="n">
        <v>0</v>
      </c>
      <c r="Q473" t="n">
        <v>0</v>
      </c>
      <c r="R473" s="2" t="inlineStr"/>
    </row>
    <row r="474" ht="15" customHeight="1">
      <c r="A474" t="inlineStr">
        <is>
          <t>A 59804-2023</t>
        </is>
      </c>
      <c r="B474" s="1" t="n">
        <v>45257.48188657407</v>
      </c>
      <c r="C474" s="1" t="n">
        <v>46019</v>
      </c>
      <c r="D474" t="inlineStr">
        <is>
          <t>ÖREBRO LÄN</t>
        </is>
      </c>
      <c r="E474" t="inlineStr">
        <is>
          <t>LINDESBERG</t>
        </is>
      </c>
      <c r="G474" t="n">
        <v>1.2</v>
      </c>
      <c r="H474" t="n">
        <v>0</v>
      </c>
      <c r="I474" t="n">
        <v>0</v>
      </c>
      <c r="J474" t="n">
        <v>0</v>
      </c>
      <c r="K474" t="n">
        <v>0</v>
      </c>
      <c r="L474" t="n">
        <v>0</v>
      </c>
      <c r="M474" t="n">
        <v>0</v>
      </c>
      <c r="N474" t="n">
        <v>0</v>
      </c>
      <c r="O474" t="n">
        <v>0</v>
      </c>
      <c r="P474" t="n">
        <v>0</v>
      </c>
      <c r="Q474" t="n">
        <v>0</v>
      </c>
      <c r="R474" s="2" t="inlineStr"/>
    </row>
    <row r="475" ht="15" customHeight="1">
      <c r="A475" t="inlineStr">
        <is>
          <t>A 35366-2025</t>
        </is>
      </c>
      <c r="B475" s="1" t="n">
        <v>45854</v>
      </c>
      <c r="C475" s="1" t="n">
        <v>46019</v>
      </c>
      <c r="D475" t="inlineStr">
        <is>
          <t>ÖREBRO LÄN</t>
        </is>
      </c>
      <c r="E475" t="inlineStr">
        <is>
          <t>LINDESBERG</t>
        </is>
      </c>
      <c r="G475" t="n">
        <v>5.5</v>
      </c>
      <c r="H475" t="n">
        <v>0</v>
      </c>
      <c r="I475" t="n">
        <v>0</v>
      </c>
      <c r="J475" t="n">
        <v>0</v>
      </c>
      <c r="K475" t="n">
        <v>0</v>
      </c>
      <c r="L475" t="n">
        <v>0</v>
      </c>
      <c r="M475" t="n">
        <v>0</v>
      </c>
      <c r="N475" t="n">
        <v>0</v>
      </c>
      <c r="O475" t="n">
        <v>0</v>
      </c>
      <c r="P475" t="n">
        <v>0</v>
      </c>
      <c r="Q475" t="n">
        <v>0</v>
      </c>
      <c r="R475" s="2" t="inlineStr"/>
    </row>
    <row r="476" ht="15" customHeight="1">
      <c r="A476" t="inlineStr">
        <is>
          <t>A 40758-2021</t>
        </is>
      </c>
      <c r="B476" s="1" t="n">
        <v>44420</v>
      </c>
      <c r="C476" s="1" t="n">
        <v>46019</v>
      </c>
      <c r="D476" t="inlineStr">
        <is>
          <t>ÖREBRO LÄN</t>
        </is>
      </c>
      <c r="E476" t="inlineStr">
        <is>
          <t>LINDESBERG</t>
        </is>
      </c>
      <c r="G476" t="n">
        <v>5</v>
      </c>
      <c r="H476" t="n">
        <v>0</v>
      </c>
      <c r="I476" t="n">
        <v>0</v>
      </c>
      <c r="J476" t="n">
        <v>0</v>
      </c>
      <c r="K476" t="n">
        <v>0</v>
      </c>
      <c r="L476" t="n">
        <v>0</v>
      </c>
      <c r="M476" t="n">
        <v>0</v>
      </c>
      <c r="N476" t="n">
        <v>0</v>
      </c>
      <c r="O476" t="n">
        <v>0</v>
      </c>
      <c r="P476" t="n">
        <v>0</v>
      </c>
      <c r="Q476" t="n">
        <v>0</v>
      </c>
      <c r="R476" s="2" t="inlineStr"/>
    </row>
    <row r="477" ht="15" customHeight="1">
      <c r="A477" t="inlineStr">
        <is>
          <t>A 61691-2023</t>
        </is>
      </c>
      <c r="B477" s="1" t="n">
        <v>45265.64142361111</v>
      </c>
      <c r="C477" s="1" t="n">
        <v>46019</v>
      </c>
      <c r="D477" t="inlineStr">
        <is>
          <t>ÖREBRO LÄN</t>
        </is>
      </c>
      <c r="E477" t="inlineStr">
        <is>
          <t>LINDESBERG</t>
        </is>
      </c>
      <c r="G477" t="n">
        <v>2.6</v>
      </c>
      <c r="H477" t="n">
        <v>0</v>
      </c>
      <c r="I477" t="n">
        <v>0</v>
      </c>
      <c r="J477" t="n">
        <v>0</v>
      </c>
      <c r="K477" t="n">
        <v>0</v>
      </c>
      <c r="L477" t="n">
        <v>0</v>
      </c>
      <c r="M477" t="n">
        <v>0</v>
      </c>
      <c r="N477" t="n">
        <v>0</v>
      </c>
      <c r="O477" t="n">
        <v>0</v>
      </c>
      <c r="P477" t="n">
        <v>0</v>
      </c>
      <c r="Q477" t="n">
        <v>0</v>
      </c>
      <c r="R477" s="2" t="inlineStr"/>
    </row>
    <row r="478" ht="15" customHeight="1">
      <c r="A478" t="inlineStr">
        <is>
          <t>A 4298-2025</t>
        </is>
      </c>
      <c r="B478" s="1" t="n">
        <v>45685</v>
      </c>
      <c r="C478" s="1" t="n">
        <v>46019</v>
      </c>
      <c r="D478" t="inlineStr">
        <is>
          <t>ÖREBRO LÄN</t>
        </is>
      </c>
      <c r="E478" t="inlineStr">
        <is>
          <t>LINDESBERG</t>
        </is>
      </c>
      <c r="G478" t="n">
        <v>13.5</v>
      </c>
      <c r="H478" t="n">
        <v>0</v>
      </c>
      <c r="I478" t="n">
        <v>0</v>
      </c>
      <c r="J478" t="n">
        <v>0</v>
      </c>
      <c r="K478" t="n">
        <v>0</v>
      </c>
      <c r="L478" t="n">
        <v>0</v>
      </c>
      <c r="M478" t="n">
        <v>0</v>
      </c>
      <c r="N478" t="n">
        <v>0</v>
      </c>
      <c r="O478" t="n">
        <v>0</v>
      </c>
      <c r="P478" t="n">
        <v>0</v>
      </c>
      <c r="Q478" t="n">
        <v>0</v>
      </c>
      <c r="R478" s="2" t="inlineStr"/>
    </row>
    <row r="479" ht="15" customHeight="1">
      <c r="A479" t="inlineStr">
        <is>
          <t>A 53597-2024</t>
        </is>
      </c>
      <c r="B479" s="1" t="n">
        <v>45614.68083333333</v>
      </c>
      <c r="C479" s="1" t="n">
        <v>46019</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57356-2025</t>
        </is>
      </c>
      <c r="B480" s="1" t="n">
        <v>45980.36633101852</v>
      </c>
      <c r="C480" s="1" t="n">
        <v>46019</v>
      </c>
      <c r="D480" t="inlineStr">
        <is>
          <t>ÖREBRO LÄN</t>
        </is>
      </c>
      <c r="E480" t="inlineStr">
        <is>
          <t>LINDESBERG</t>
        </is>
      </c>
      <c r="F480" t="inlineStr">
        <is>
          <t>Sveaskog</t>
        </is>
      </c>
      <c r="G480" t="n">
        <v>3.4</v>
      </c>
      <c r="H480" t="n">
        <v>0</v>
      </c>
      <c r="I480" t="n">
        <v>0</v>
      </c>
      <c r="J480" t="n">
        <v>0</v>
      </c>
      <c r="K480" t="n">
        <v>0</v>
      </c>
      <c r="L480" t="n">
        <v>0</v>
      </c>
      <c r="M480" t="n">
        <v>0</v>
      </c>
      <c r="N480" t="n">
        <v>0</v>
      </c>
      <c r="O480" t="n">
        <v>0</v>
      </c>
      <c r="P480" t="n">
        <v>0</v>
      </c>
      <c r="Q480" t="n">
        <v>0</v>
      </c>
      <c r="R480" s="2" t="inlineStr"/>
    </row>
    <row r="481" ht="15" customHeight="1">
      <c r="A481" t="inlineStr">
        <is>
          <t>A 27702-2025</t>
        </is>
      </c>
      <c r="B481" s="1" t="n">
        <v>45813</v>
      </c>
      <c r="C481" s="1" t="n">
        <v>46019</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35292-2025</t>
        </is>
      </c>
      <c r="B482" s="1" t="n">
        <v>45854</v>
      </c>
      <c r="C482" s="1" t="n">
        <v>46019</v>
      </c>
      <c r="D482" t="inlineStr">
        <is>
          <t>ÖREBRO LÄN</t>
        </is>
      </c>
      <c r="E482" t="inlineStr">
        <is>
          <t>LINDESBERG</t>
        </is>
      </c>
      <c r="G482" t="n">
        <v>1</v>
      </c>
      <c r="H482" t="n">
        <v>0</v>
      </c>
      <c r="I482" t="n">
        <v>0</v>
      </c>
      <c r="J482" t="n">
        <v>0</v>
      </c>
      <c r="K482" t="n">
        <v>0</v>
      </c>
      <c r="L482" t="n">
        <v>0</v>
      </c>
      <c r="M482" t="n">
        <v>0</v>
      </c>
      <c r="N482" t="n">
        <v>0</v>
      </c>
      <c r="O482" t="n">
        <v>0</v>
      </c>
      <c r="P482" t="n">
        <v>0</v>
      </c>
      <c r="Q482" t="n">
        <v>0</v>
      </c>
      <c r="R482" s="2" t="inlineStr"/>
    </row>
    <row r="483" ht="15" customHeight="1">
      <c r="A483" t="inlineStr">
        <is>
          <t>A 48993-2025</t>
        </is>
      </c>
      <c r="B483" s="1" t="n">
        <v>45937.58590277778</v>
      </c>
      <c r="C483" s="1" t="n">
        <v>46019</v>
      </c>
      <c r="D483" t="inlineStr">
        <is>
          <t>ÖREBRO LÄN</t>
        </is>
      </c>
      <c r="E483" t="inlineStr">
        <is>
          <t>LINDESBERG</t>
        </is>
      </c>
      <c r="F483" t="inlineStr">
        <is>
          <t>Kyrkan</t>
        </is>
      </c>
      <c r="G483" t="n">
        <v>4</v>
      </c>
      <c r="H483" t="n">
        <v>0</v>
      </c>
      <c r="I483" t="n">
        <v>0</v>
      </c>
      <c r="J483" t="n">
        <v>0</v>
      </c>
      <c r="K483" t="n">
        <v>0</v>
      </c>
      <c r="L483" t="n">
        <v>0</v>
      </c>
      <c r="M483" t="n">
        <v>0</v>
      </c>
      <c r="N483" t="n">
        <v>0</v>
      </c>
      <c r="O483" t="n">
        <v>0</v>
      </c>
      <c r="P483" t="n">
        <v>0</v>
      </c>
      <c r="Q483" t="n">
        <v>0</v>
      </c>
      <c r="R483" s="2" t="inlineStr"/>
    </row>
    <row r="484" ht="15" customHeight="1">
      <c r="A484" t="inlineStr">
        <is>
          <t>A 43081-2021</t>
        </is>
      </c>
      <c r="B484" s="1" t="n">
        <v>44431</v>
      </c>
      <c r="C484" s="1" t="n">
        <v>46019</v>
      </c>
      <c r="D484" t="inlineStr">
        <is>
          <t>ÖREBRO LÄN</t>
        </is>
      </c>
      <c r="E484" t="inlineStr">
        <is>
          <t>LINDESBERG</t>
        </is>
      </c>
      <c r="G484" t="n">
        <v>0.5</v>
      </c>
      <c r="H484" t="n">
        <v>0</v>
      </c>
      <c r="I484" t="n">
        <v>0</v>
      </c>
      <c r="J484" t="n">
        <v>0</v>
      </c>
      <c r="K484" t="n">
        <v>0</v>
      </c>
      <c r="L484" t="n">
        <v>0</v>
      </c>
      <c r="M484" t="n">
        <v>0</v>
      </c>
      <c r="N484" t="n">
        <v>0</v>
      </c>
      <c r="O484" t="n">
        <v>0</v>
      </c>
      <c r="P484" t="n">
        <v>0</v>
      </c>
      <c r="Q484" t="n">
        <v>0</v>
      </c>
      <c r="R484" s="2" t="inlineStr"/>
    </row>
    <row r="485" ht="15" customHeight="1">
      <c r="A485" t="inlineStr">
        <is>
          <t>A 32002-2023</t>
        </is>
      </c>
      <c r="B485" s="1" t="n">
        <v>45119.46452546296</v>
      </c>
      <c r="C485" s="1" t="n">
        <v>46019</v>
      </c>
      <c r="D485" t="inlineStr">
        <is>
          <t>ÖREBRO LÄN</t>
        </is>
      </c>
      <c r="E485" t="inlineStr">
        <is>
          <t>LINDESBERG</t>
        </is>
      </c>
      <c r="F485" t="inlineStr">
        <is>
          <t>Kyrkan</t>
        </is>
      </c>
      <c r="G485" t="n">
        <v>0.6</v>
      </c>
      <c r="H485" t="n">
        <v>0</v>
      </c>
      <c r="I485" t="n">
        <v>0</v>
      </c>
      <c r="J485" t="n">
        <v>0</v>
      </c>
      <c r="K485" t="n">
        <v>0</v>
      </c>
      <c r="L485" t="n">
        <v>0</v>
      </c>
      <c r="M485" t="n">
        <v>0</v>
      </c>
      <c r="N485" t="n">
        <v>0</v>
      </c>
      <c r="O485" t="n">
        <v>0</v>
      </c>
      <c r="P485" t="n">
        <v>0</v>
      </c>
      <c r="Q485" t="n">
        <v>0</v>
      </c>
      <c r="R485" s="2" t="inlineStr"/>
    </row>
    <row r="486" ht="15" customHeight="1">
      <c r="A486" t="inlineStr">
        <is>
          <t>A 49183-2025</t>
        </is>
      </c>
      <c r="B486" s="1" t="n">
        <v>45938.39741898148</v>
      </c>
      <c r="C486" s="1" t="n">
        <v>46019</v>
      </c>
      <c r="D486" t="inlineStr">
        <is>
          <t>ÖREBRO LÄN</t>
        </is>
      </c>
      <c r="E486" t="inlineStr">
        <is>
          <t>LINDESBERG</t>
        </is>
      </c>
      <c r="G486" t="n">
        <v>4.4</v>
      </c>
      <c r="H486" t="n">
        <v>0</v>
      </c>
      <c r="I486" t="n">
        <v>0</v>
      </c>
      <c r="J486" t="n">
        <v>0</v>
      </c>
      <c r="K486" t="n">
        <v>0</v>
      </c>
      <c r="L486" t="n">
        <v>0</v>
      </c>
      <c r="M486" t="n">
        <v>0</v>
      </c>
      <c r="N486" t="n">
        <v>0</v>
      </c>
      <c r="O486" t="n">
        <v>0</v>
      </c>
      <c r="P486" t="n">
        <v>0</v>
      </c>
      <c r="Q486" t="n">
        <v>0</v>
      </c>
      <c r="R486" s="2" t="inlineStr"/>
    </row>
    <row r="487" ht="15" customHeight="1">
      <c r="A487" t="inlineStr">
        <is>
          <t>A 35710-2025</t>
        </is>
      </c>
      <c r="B487" s="1" t="n">
        <v>45860.3857175926</v>
      </c>
      <c r="C487" s="1" t="n">
        <v>46019</v>
      </c>
      <c r="D487" t="inlineStr">
        <is>
          <t>ÖREBRO LÄN</t>
        </is>
      </c>
      <c r="E487" t="inlineStr">
        <is>
          <t>LINDESBERG</t>
        </is>
      </c>
      <c r="G487" t="n">
        <v>3.2</v>
      </c>
      <c r="H487" t="n">
        <v>0</v>
      </c>
      <c r="I487" t="n">
        <v>0</v>
      </c>
      <c r="J487" t="n">
        <v>0</v>
      </c>
      <c r="K487" t="n">
        <v>0</v>
      </c>
      <c r="L487" t="n">
        <v>0</v>
      </c>
      <c r="M487" t="n">
        <v>0</v>
      </c>
      <c r="N487" t="n">
        <v>0</v>
      </c>
      <c r="O487" t="n">
        <v>0</v>
      </c>
      <c r="P487" t="n">
        <v>0</v>
      </c>
      <c r="Q487" t="n">
        <v>0</v>
      </c>
      <c r="R487" s="2" t="inlineStr"/>
    </row>
    <row r="488" ht="15" customHeight="1">
      <c r="A488" t="inlineStr">
        <is>
          <t>A 7661-2024</t>
        </is>
      </c>
      <c r="B488" s="1" t="n">
        <v>45348</v>
      </c>
      <c r="C488" s="1" t="n">
        <v>46019</v>
      </c>
      <c r="D488" t="inlineStr">
        <is>
          <t>ÖREBRO LÄN</t>
        </is>
      </c>
      <c r="E488" t="inlineStr">
        <is>
          <t>LINDESBERG</t>
        </is>
      </c>
      <c r="G488" t="n">
        <v>4.1</v>
      </c>
      <c r="H488" t="n">
        <v>0</v>
      </c>
      <c r="I488" t="n">
        <v>0</v>
      </c>
      <c r="J488" t="n">
        <v>0</v>
      </c>
      <c r="K488" t="n">
        <v>0</v>
      </c>
      <c r="L488" t="n">
        <v>0</v>
      </c>
      <c r="M488" t="n">
        <v>0</v>
      </c>
      <c r="N488" t="n">
        <v>0</v>
      </c>
      <c r="O488" t="n">
        <v>0</v>
      </c>
      <c r="P488" t="n">
        <v>0</v>
      </c>
      <c r="Q488" t="n">
        <v>0</v>
      </c>
      <c r="R488" s="2" t="inlineStr"/>
    </row>
    <row r="489" ht="15" customHeight="1">
      <c r="A489" t="inlineStr">
        <is>
          <t>A 35702-2025</t>
        </is>
      </c>
      <c r="B489" s="1" t="n">
        <v>45860.36222222223</v>
      </c>
      <c r="C489" s="1" t="n">
        <v>46019</v>
      </c>
      <c r="D489" t="inlineStr">
        <is>
          <t>ÖREBRO LÄN</t>
        </is>
      </c>
      <c r="E489" t="inlineStr">
        <is>
          <t>LINDESBERG</t>
        </is>
      </c>
      <c r="G489" t="n">
        <v>5.3</v>
      </c>
      <c r="H489" t="n">
        <v>0</v>
      </c>
      <c r="I489" t="n">
        <v>0</v>
      </c>
      <c r="J489" t="n">
        <v>0</v>
      </c>
      <c r="K489" t="n">
        <v>0</v>
      </c>
      <c r="L489" t="n">
        <v>0</v>
      </c>
      <c r="M489" t="n">
        <v>0</v>
      </c>
      <c r="N489" t="n">
        <v>0</v>
      </c>
      <c r="O489" t="n">
        <v>0</v>
      </c>
      <c r="P489" t="n">
        <v>0</v>
      </c>
      <c r="Q489" t="n">
        <v>0</v>
      </c>
      <c r="R489" s="2" t="inlineStr"/>
    </row>
    <row r="490" ht="15" customHeight="1">
      <c r="A490" t="inlineStr">
        <is>
          <t>A 49707-2025</t>
        </is>
      </c>
      <c r="B490" s="1" t="n">
        <v>45939.67951388889</v>
      </c>
      <c r="C490" s="1" t="n">
        <v>46019</v>
      </c>
      <c r="D490" t="inlineStr">
        <is>
          <t>ÖREBRO LÄN</t>
        </is>
      </c>
      <c r="E490" t="inlineStr">
        <is>
          <t>LINDESBERG</t>
        </is>
      </c>
      <c r="F490" t="inlineStr">
        <is>
          <t>Kommuner</t>
        </is>
      </c>
      <c r="G490" t="n">
        <v>0.6</v>
      </c>
      <c r="H490" t="n">
        <v>0</v>
      </c>
      <c r="I490" t="n">
        <v>0</v>
      </c>
      <c r="J490" t="n">
        <v>0</v>
      </c>
      <c r="K490" t="n">
        <v>0</v>
      </c>
      <c r="L490" t="n">
        <v>0</v>
      </c>
      <c r="M490" t="n">
        <v>0</v>
      </c>
      <c r="N490" t="n">
        <v>0</v>
      </c>
      <c r="O490" t="n">
        <v>0</v>
      </c>
      <c r="P490" t="n">
        <v>0</v>
      </c>
      <c r="Q490" t="n">
        <v>0</v>
      </c>
      <c r="R490" s="2" t="inlineStr"/>
    </row>
    <row r="491" ht="15" customHeight="1">
      <c r="A491" t="inlineStr">
        <is>
          <t>A 57299-2025</t>
        </is>
      </c>
      <c r="B491" s="1" t="n">
        <v>45979.81347222222</v>
      </c>
      <c r="C491" s="1" t="n">
        <v>46019</v>
      </c>
      <c r="D491" t="inlineStr">
        <is>
          <t>ÖREBRO LÄN</t>
        </is>
      </c>
      <c r="E491" t="inlineStr">
        <is>
          <t>LINDESBERG</t>
        </is>
      </c>
      <c r="F491" t="inlineStr">
        <is>
          <t>Sveaskog</t>
        </is>
      </c>
      <c r="G491" t="n">
        <v>4.5</v>
      </c>
      <c r="H491" t="n">
        <v>0</v>
      </c>
      <c r="I491" t="n">
        <v>0</v>
      </c>
      <c r="J491" t="n">
        <v>0</v>
      </c>
      <c r="K491" t="n">
        <v>0</v>
      </c>
      <c r="L491" t="n">
        <v>0</v>
      </c>
      <c r="M491" t="n">
        <v>0</v>
      </c>
      <c r="N491" t="n">
        <v>0</v>
      </c>
      <c r="O491" t="n">
        <v>0</v>
      </c>
      <c r="P491" t="n">
        <v>0</v>
      </c>
      <c r="Q491" t="n">
        <v>0</v>
      </c>
      <c r="R491" s="2" t="inlineStr"/>
    </row>
    <row r="492" ht="15" customHeight="1">
      <c r="A492" t="inlineStr">
        <is>
          <t>A 57317-2025</t>
        </is>
      </c>
      <c r="B492" s="1" t="n">
        <v>45980.01226851852</v>
      </c>
      <c r="C492" s="1" t="n">
        <v>46019</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12278-2025</t>
        </is>
      </c>
      <c r="B493" s="1" t="n">
        <v>45729.65171296296</v>
      </c>
      <c r="C493" s="1" t="n">
        <v>46019</v>
      </c>
      <c r="D493" t="inlineStr">
        <is>
          <t>ÖREBRO LÄN</t>
        </is>
      </c>
      <c r="E493" t="inlineStr">
        <is>
          <t>LINDESBERG</t>
        </is>
      </c>
      <c r="G493" t="n">
        <v>3.2</v>
      </c>
      <c r="H493" t="n">
        <v>0</v>
      </c>
      <c r="I493" t="n">
        <v>0</v>
      </c>
      <c r="J493" t="n">
        <v>0</v>
      </c>
      <c r="K493" t="n">
        <v>0</v>
      </c>
      <c r="L493" t="n">
        <v>0</v>
      </c>
      <c r="M493" t="n">
        <v>0</v>
      </c>
      <c r="N493" t="n">
        <v>0</v>
      </c>
      <c r="O493" t="n">
        <v>0</v>
      </c>
      <c r="P493" t="n">
        <v>0</v>
      </c>
      <c r="Q493" t="n">
        <v>0</v>
      </c>
      <c r="R493" s="2" t="inlineStr"/>
    </row>
    <row r="494" ht="15" customHeight="1">
      <c r="A494" t="inlineStr">
        <is>
          <t>A 57300-2025</t>
        </is>
      </c>
      <c r="B494" s="1" t="n">
        <v>45979.81403935186</v>
      </c>
      <c r="C494" s="1" t="n">
        <v>46019</v>
      </c>
      <c r="D494" t="inlineStr">
        <is>
          <t>ÖREBRO LÄN</t>
        </is>
      </c>
      <c r="E494" t="inlineStr">
        <is>
          <t>LINDESBERG</t>
        </is>
      </c>
      <c r="F494" t="inlineStr">
        <is>
          <t>Sveaskog</t>
        </is>
      </c>
      <c r="G494" t="n">
        <v>4.9</v>
      </c>
      <c r="H494" t="n">
        <v>0</v>
      </c>
      <c r="I494" t="n">
        <v>0</v>
      </c>
      <c r="J494" t="n">
        <v>0</v>
      </c>
      <c r="K494" t="n">
        <v>0</v>
      </c>
      <c r="L494" t="n">
        <v>0</v>
      </c>
      <c r="M494" t="n">
        <v>0</v>
      </c>
      <c r="N494" t="n">
        <v>0</v>
      </c>
      <c r="O494" t="n">
        <v>0</v>
      </c>
      <c r="P494" t="n">
        <v>0</v>
      </c>
      <c r="Q494" t="n">
        <v>0</v>
      </c>
      <c r="R494" s="2" t="inlineStr"/>
    </row>
    <row r="495" ht="15" customHeight="1">
      <c r="A495" t="inlineStr">
        <is>
          <t>A 47304-2024</t>
        </is>
      </c>
      <c r="B495" s="1" t="n">
        <v>45587</v>
      </c>
      <c r="C495" s="1" t="n">
        <v>46019</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34237-2023</t>
        </is>
      </c>
      <c r="B496" s="1" t="n">
        <v>45138</v>
      </c>
      <c r="C496" s="1" t="n">
        <v>46019</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57320-2025</t>
        </is>
      </c>
      <c r="B497" s="1" t="n">
        <v>45980.01553240741</v>
      </c>
      <c r="C497" s="1" t="n">
        <v>46019</v>
      </c>
      <c r="D497" t="inlineStr">
        <is>
          <t>ÖREBRO LÄN</t>
        </is>
      </c>
      <c r="E497" t="inlineStr">
        <is>
          <t>LINDESBERG</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57313-2025</t>
        </is>
      </c>
      <c r="B498" s="1" t="n">
        <v>45979.97458333334</v>
      </c>
      <c r="C498" s="1" t="n">
        <v>46019</v>
      </c>
      <c r="D498" t="inlineStr">
        <is>
          <t>ÖREBRO LÄN</t>
        </is>
      </c>
      <c r="E498" t="inlineStr">
        <is>
          <t>LINDESBERG</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57314-2025</t>
        </is>
      </c>
      <c r="B499" s="1" t="n">
        <v>45980.00710648148</v>
      </c>
      <c r="C499" s="1" t="n">
        <v>46019</v>
      </c>
      <c r="D499" t="inlineStr">
        <is>
          <t>ÖREBRO LÄN</t>
        </is>
      </c>
      <c r="E499" t="inlineStr">
        <is>
          <t>LINDESBERG</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57315-2025</t>
        </is>
      </c>
      <c r="B500" s="1" t="n">
        <v>45980.00753472222</v>
      </c>
      <c r="C500" s="1" t="n">
        <v>46019</v>
      </c>
      <c r="D500" t="inlineStr">
        <is>
          <t>ÖREBRO LÄN</t>
        </is>
      </c>
      <c r="E500" t="inlineStr">
        <is>
          <t>LINDESBERG</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57316-2025</t>
        </is>
      </c>
      <c r="B501" s="1" t="n">
        <v>45980.0115625</v>
      </c>
      <c r="C501" s="1" t="n">
        <v>46019</v>
      </c>
      <c r="D501" t="inlineStr">
        <is>
          <t>ÖREBRO LÄN</t>
        </is>
      </c>
      <c r="E501" t="inlineStr">
        <is>
          <t>LINDESBERG</t>
        </is>
      </c>
      <c r="F501" t="inlineStr">
        <is>
          <t>Sveaskog</t>
        </is>
      </c>
      <c r="G501" t="n">
        <v>6.5</v>
      </c>
      <c r="H501" t="n">
        <v>0</v>
      </c>
      <c r="I501" t="n">
        <v>0</v>
      </c>
      <c r="J501" t="n">
        <v>0</v>
      </c>
      <c r="K501" t="n">
        <v>0</v>
      </c>
      <c r="L501" t="n">
        <v>0</v>
      </c>
      <c r="M501" t="n">
        <v>0</v>
      </c>
      <c r="N501" t="n">
        <v>0</v>
      </c>
      <c r="O501" t="n">
        <v>0</v>
      </c>
      <c r="P501" t="n">
        <v>0</v>
      </c>
      <c r="Q501" t="n">
        <v>0</v>
      </c>
      <c r="R501" s="2" t="inlineStr"/>
    </row>
    <row r="502" ht="15" customHeight="1">
      <c r="A502" t="inlineStr">
        <is>
          <t>A 29942-2024</t>
        </is>
      </c>
      <c r="B502" s="1" t="n">
        <v>45488.42258101852</v>
      </c>
      <c r="C502" s="1" t="n">
        <v>46019</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49946-2025</t>
        </is>
      </c>
      <c r="B503" s="1" t="n">
        <v>45940.69862268519</v>
      </c>
      <c r="C503" s="1" t="n">
        <v>46019</v>
      </c>
      <c r="D503" t="inlineStr">
        <is>
          <t>ÖREBRO LÄN</t>
        </is>
      </c>
      <c r="E503" t="inlineStr">
        <is>
          <t>LINDESBERG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3294-2024</t>
        </is>
      </c>
      <c r="B504" s="1" t="n">
        <v>45316</v>
      </c>
      <c r="C504" s="1" t="n">
        <v>46019</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36253-2024</t>
        </is>
      </c>
      <c r="B505" s="1" t="n">
        <v>45534.54032407407</v>
      </c>
      <c r="C505" s="1" t="n">
        <v>46019</v>
      </c>
      <c r="D505" t="inlineStr">
        <is>
          <t>ÖREBRO LÄN</t>
        </is>
      </c>
      <c r="E505" t="inlineStr">
        <is>
          <t>LINDESBERG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58166-2025</t>
        </is>
      </c>
      <c r="B506" s="1" t="n">
        <v>45982.71017361111</v>
      </c>
      <c r="C506" s="1" t="n">
        <v>46019</v>
      </c>
      <c r="D506" t="inlineStr">
        <is>
          <t>ÖREBRO LÄN</t>
        </is>
      </c>
      <c r="E506" t="inlineStr">
        <is>
          <t>LINDESBERG</t>
        </is>
      </c>
      <c r="G506" t="n">
        <v>2.5</v>
      </c>
      <c r="H506" t="n">
        <v>0</v>
      </c>
      <c r="I506" t="n">
        <v>0</v>
      </c>
      <c r="J506" t="n">
        <v>0</v>
      </c>
      <c r="K506" t="n">
        <v>0</v>
      </c>
      <c r="L506" t="n">
        <v>0</v>
      </c>
      <c r="M506" t="n">
        <v>0</v>
      </c>
      <c r="N506" t="n">
        <v>0</v>
      </c>
      <c r="O506" t="n">
        <v>0</v>
      </c>
      <c r="P506" t="n">
        <v>0</v>
      </c>
      <c r="Q506" t="n">
        <v>0</v>
      </c>
      <c r="R506" s="2" t="inlineStr"/>
    </row>
    <row r="507" ht="15" customHeight="1">
      <c r="A507" t="inlineStr">
        <is>
          <t>A 14185-2024</t>
        </is>
      </c>
      <c r="B507" s="1" t="n">
        <v>45393.3562962963</v>
      </c>
      <c r="C507" s="1" t="n">
        <v>46019</v>
      </c>
      <c r="D507" t="inlineStr">
        <is>
          <t>ÖREBRO LÄN</t>
        </is>
      </c>
      <c r="E507" t="inlineStr">
        <is>
          <t>LINDESBERG</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14190-2024</t>
        </is>
      </c>
      <c r="B508" s="1" t="n">
        <v>45393.36060185185</v>
      </c>
      <c r="C508" s="1" t="n">
        <v>46019</v>
      </c>
      <c r="D508" t="inlineStr">
        <is>
          <t>ÖREBRO LÄN</t>
        </is>
      </c>
      <c r="E508" t="inlineStr">
        <is>
          <t>LINDESBERG</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49943-2025</t>
        </is>
      </c>
      <c r="B509" s="1" t="n">
        <v>45940.69521990741</v>
      </c>
      <c r="C509" s="1" t="n">
        <v>46019</v>
      </c>
      <c r="D509" t="inlineStr">
        <is>
          <t>ÖREBRO LÄN</t>
        </is>
      </c>
      <c r="E509" t="inlineStr">
        <is>
          <t>LINDESBERG</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30514-2025</t>
        </is>
      </c>
      <c r="B510" s="1" t="n">
        <v>45831</v>
      </c>
      <c r="C510" s="1" t="n">
        <v>46019</v>
      </c>
      <c r="D510" t="inlineStr">
        <is>
          <t>ÖREBRO LÄN</t>
        </is>
      </c>
      <c r="E510" t="inlineStr">
        <is>
          <t>LINDESBERG</t>
        </is>
      </c>
      <c r="G510" t="n">
        <v>1.6</v>
      </c>
      <c r="H510" t="n">
        <v>0</v>
      </c>
      <c r="I510" t="n">
        <v>0</v>
      </c>
      <c r="J510" t="n">
        <v>0</v>
      </c>
      <c r="K510" t="n">
        <v>0</v>
      </c>
      <c r="L510" t="n">
        <v>0</v>
      </c>
      <c r="M510" t="n">
        <v>0</v>
      </c>
      <c r="N510" t="n">
        <v>0</v>
      </c>
      <c r="O510" t="n">
        <v>0</v>
      </c>
      <c r="P510" t="n">
        <v>0</v>
      </c>
      <c r="Q510" t="n">
        <v>0</v>
      </c>
      <c r="R510" s="2" t="inlineStr"/>
    </row>
    <row r="511" ht="15" customHeight="1">
      <c r="A511" t="inlineStr">
        <is>
          <t>A 45173-2024</t>
        </is>
      </c>
      <c r="B511" s="1" t="n">
        <v>45575.65721064815</v>
      </c>
      <c r="C511" s="1" t="n">
        <v>46019</v>
      </c>
      <c r="D511" t="inlineStr">
        <is>
          <t>ÖREBRO LÄN</t>
        </is>
      </c>
      <c r="E511" t="inlineStr">
        <is>
          <t>LINDESBERG</t>
        </is>
      </c>
      <c r="F511" t="inlineStr">
        <is>
          <t>Sveaskog</t>
        </is>
      </c>
      <c r="G511" t="n">
        <v>1.8</v>
      </c>
      <c r="H511" t="n">
        <v>0</v>
      </c>
      <c r="I511" t="n">
        <v>0</v>
      </c>
      <c r="J511" t="n">
        <v>0</v>
      </c>
      <c r="K511" t="n">
        <v>0</v>
      </c>
      <c r="L511" t="n">
        <v>0</v>
      </c>
      <c r="M511" t="n">
        <v>0</v>
      </c>
      <c r="N511" t="n">
        <v>0</v>
      </c>
      <c r="O511" t="n">
        <v>0</v>
      </c>
      <c r="P511" t="n">
        <v>0</v>
      </c>
      <c r="Q511" t="n">
        <v>0</v>
      </c>
      <c r="R511" s="2" t="inlineStr"/>
    </row>
    <row r="512" ht="15" customHeight="1">
      <c r="A512" t="inlineStr">
        <is>
          <t>A 30512-2025</t>
        </is>
      </c>
      <c r="B512" s="1" t="n">
        <v>45831</v>
      </c>
      <c r="C512" s="1" t="n">
        <v>46019</v>
      </c>
      <c r="D512" t="inlineStr">
        <is>
          <t>ÖREBRO LÄN</t>
        </is>
      </c>
      <c r="E512" t="inlineStr">
        <is>
          <t>LINDESBERG</t>
        </is>
      </c>
      <c r="G512" t="n">
        <v>4.5</v>
      </c>
      <c r="H512" t="n">
        <v>0</v>
      </c>
      <c r="I512" t="n">
        <v>0</v>
      </c>
      <c r="J512" t="n">
        <v>0</v>
      </c>
      <c r="K512" t="n">
        <v>0</v>
      </c>
      <c r="L512" t="n">
        <v>0</v>
      </c>
      <c r="M512" t="n">
        <v>0</v>
      </c>
      <c r="N512" t="n">
        <v>0</v>
      </c>
      <c r="O512" t="n">
        <v>0</v>
      </c>
      <c r="P512" t="n">
        <v>0</v>
      </c>
      <c r="Q512" t="n">
        <v>0</v>
      </c>
      <c r="R512" s="2" t="inlineStr"/>
    </row>
    <row r="513" ht="15" customHeight="1">
      <c r="A513" t="inlineStr">
        <is>
          <t>A 36572-2025</t>
        </is>
      </c>
      <c r="B513" s="1" t="n">
        <v>45870</v>
      </c>
      <c r="C513" s="1" t="n">
        <v>46019</v>
      </c>
      <c r="D513" t="inlineStr">
        <is>
          <t>ÖREBRO LÄN</t>
        </is>
      </c>
      <c r="E513" t="inlineStr">
        <is>
          <t>LINDESBERG</t>
        </is>
      </c>
      <c r="G513" t="n">
        <v>11.9</v>
      </c>
      <c r="H513" t="n">
        <v>0</v>
      </c>
      <c r="I513" t="n">
        <v>0</v>
      </c>
      <c r="J513" t="n">
        <v>0</v>
      </c>
      <c r="K513" t="n">
        <v>0</v>
      </c>
      <c r="L513" t="n">
        <v>0</v>
      </c>
      <c r="M513" t="n">
        <v>0</v>
      </c>
      <c r="N513" t="n">
        <v>0</v>
      </c>
      <c r="O513" t="n">
        <v>0</v>
      </c>
      <c r="P513" t="n">
        <v>0</v>
      </c>
      <c r="Q513" t="n">
        <v>0</v>
      </c>
      <c r="R513" s="2" t="inlineStr"/>
    </row>
    <row r="514" ht="15" customHeight="1">
      <c r="A514" t="inlineStr">
        <is>
          <t>A 36574-2025</t>
        </is>
      </c>
      <c r="B514" s="1" t="n">
        <v>45870</v>
      </c>
      <c r="C514" s="1" t="n">
        <v>46019</v>
      </c>
      <c r="D514" t="inlineStr">
        <is>
          <t>ÖREBRO LÄN</t>
        </is>
      </c>
      <c r="E514" t="inlineStr">
        <is>
          <t>LINDESBERG</t>
        </is>
      </c>
      <c r="G514" t="n">
        <v>4</v>
      </c>
      <c r="H514" t="n">
        <v>0</v>
      </c>
      <c r="I514" t="n">
        <v>0</v>
      </c>
      <c r="J514" t="n">
        <v>0</v>
      </c>
      <c r="K514" t="n">
        <v>0</v>
      </c>
      <c r="L514" t="n">
        <v>0</v>
      </c>
      <c r="M514" t="n">
        <v>0</v>
      </c>
      <c r="N514" t="n">
        <v>0</v>
      </c>
      <c r="O514" t="n">
        <v>0</v>
      </c>
      <c r="P514" t="n">
        <v>0</v>
      </c>
      <c r="Q514" t="n">
        <v>0</v>
      </c>
      <c r="R514" s="2" t="inlineStr"/>
    </row>
    <row r="515" ht="15" customHeight="1">
      <c r="A515" t="inlineStr">
        <is>
          <t>A 36577-2025</t>
        </is>
      </c>
      <c r="B515" s="1" t="n">
        <v>45870</v>
      </c>
      <c r="C515" s="1" t="n">
        <v>46019</v>
      </c>
      <c r="D515" t="inlineStr">
        <is>
          <t>ÖREBRO LÄN</t>
        </is>
      </c>
      <c r="E515" t="inlineStr">
        <is>
          <t>LINDESBERG</t>
        </is>
      </c>
      <c r="G515" t="n">
        <v>3.7</v>
      </c>
      <c r="H515" t="n">
        <v>0</v>
      </c>
      <c r="I515" t="n">
        <v>0</v>
      </c>
      <c r="J515" t="n">
        <v>0</v>
      </c>
      <c r="K515" t="n">
        <v>0</v>
      </c>
      <c r="L515" t="n">
        <v>0</v>
      </c>
      <c r="M515" t="n">
        <v>0</v>
      </c>
      <c r="N515" t="n">
        <v>0</v>
      </c>
      <c r="O515" t="n">
        <v>0</v>
      </c>
      <c r="P515" t="n">
        <v>0</v>
      </c>
      <c r="Q515" t="n">
        <v>0</v>
      </c>
      <c r="R515" s="2" t="inlineStr"/>
    </row>
    <row r="516" ht="15" customHeight="1">
      <c r="A516" t="inlineStr">
        <is>
          <t>A 49944-2025</t>
        </is>
      </c>
      <c r="B516" s="1" t="n">
        <v>45940.69643518519</v>
      </c>
      <c r="C516" s="1" t="n">
        <v>46019</v>
      </c>
      <c r="D516" t="inlineStr">
        <is>
          <t>ÖREBRO LÄN</t>
        </is>
      </c>
      <c r="E516" t="inlineStr">
        <is>
          <t>LINDESBERG</t>
        </is>
      </c>
      <c r="F516" t="inlineStr">
        <is>
          <t>Sveaskog</t>
        </is>
      </c>
      <c r="G516" t="n">
        <v>2.6</v>
      </c>
      <c r="H516" t="n">
        <v>0</v>
      </c>
      <c r="I516" t="n">
        <v>0</v>
      </c>
      <c r="J516" t="n">
        <v>0</v>
      </c>
      <c r="K516" t="n">
        <v>0</v>
      </c>
      <c r="L516" t="n">
        <v>0</v>
      </c>
      <c r="M516" t="n">
        <v>0</v>
      </c>
      <c r="N516" t="n">
        <v>0</v>
      </c>
      <c r="O516" t="n">
        <v>0</v>
      </c>
      <c r="P516" t="n">
        <v>0</v>
      </c>
      <c r="Q516" t="n">
        <v>0</v>
      </c>
      <c r="R516" s="2" t="inlineStr"/>
    </row>
    <row r="517" ht="15" customHeight="1">
      <c r="A517" t="inlineStr">
        <is>
          <t>A 49947-2025</t>
        </is>
      </c>
      <c r="B517" s="1" t="n">
        <v>45940.70018518518</v>
      </c>
      <c r="C517" s="1" t="n">
        <v>46019</v>
      </c>
      <c r="D517" t="inlineStr">
        <is>
          <t>ÖREBRO LÄN</t>
        </is>
      </c>
      <c r="E517" t="inlineStr">
        <is>
          <t>LINDESBERG</t>
        </is>
      </c>
      <c r="F517" t="inlineStr">
        <is>
          <t>Sveaskog</t>
        </is>
      </c>
      <c r="G517" t="n">
        <v>3.2</v>
      </c>
      <c r="H517" t="n">
        <v>0</v>
      </c>
      <c r="I517" t="n">
        <v>0</v>
      </c>
      <c r="J517" t="n">
        <v>0</v>
      </c>
      <c r="K517" t="n">
        <v>0</v>
      </c>
      <c r="L517" t="n">
        <v>0</v>
      </c>
      <c r="M517" t="n">
        <v>0</v>
      </c>
      <c r="N517" t="n">
        <v>0</v>
      </c>
      <c r="O517" t="n">
        <v>0</v>
      </c>
      <c r="P517" t="n">
        <v>0</v>
      </c>
      <c r="Q517" t="n">
        <v>0</v>
      </c>
      <c r="R517" s="2" t="inlineStr"/>
    </row>
    <row r="518" ht="15" customHeight="1">
      <c r="A518" t="inlineStr">
        <is>
          <t>A 51656-2023</t>
        </is>
      </c>
      <c r="B518" s="1" t="n">
        <v>45222</v>
      </c>
      <c r="C518" s="1" t="n">
        <v>46019</v>
      </c>
      <c r="D518" t="inlineStr">
        <is>
          <t>ÖREBRO LÄN</t>
        </is>
      </c>
      <c r="E518" t="inlineStr">
        <is>
          <t>LINDESBERG</t>
        </is>
      </c>
      <c r="G518" t="n">
        <v>1.2</v>
      </c>
      <c r="H518" t="n">
        <v>0</v>
      </c>
      <c r="I518" t="n">
        <v>0</v>
      </c>
      <c r="J518" t="n">
        <v>0</v>
      </c>
      <c r="K518" t="n">
        <v>0</v>
      </c>
      <c r="L518" t="n">
        <v>0</v>
      </c>
      <c r="M518" t="n">
        <v>0</v>
      </c>
      <c r="N518" t="n">
        <v>0</v>
      </c>
      <c r="O518" t="n">
        <v>0</v>
      </c>
      <c r="P518" t="n">
        <v>0</v>
      </c>
      <c r="Q518" t="n">
        <v>0</v>
      </c>
      <c r="R518" s="2" t="inlineStr"/>
    </row>
    <row r="519" ht="15" customHeight="1">
      <c r="A519" t="inlineStr">
        <is>
          <t>A 50072-2025</t>
        </is>
      </c>
      <c r="B519" s="1" t="n">
        <v>45943.45966435185</v>
      </c>
      <c r="C519" s="1" t="n">
        <v>46019</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50086-2025</t>
        </is>
      </c>
      <c r="B520" s="1" t="n">
        <v>45943.47649305555</v>
      </c>
      <c r="C520" s="1" t="n">
        <v>46019</v>
      </c>
      <c r="D520" t="inlineStr">
        <is>
          <t>ÖREBRO LÄN</t>
        </is>
      </c>
      <c r="E520" t="inlineStr">
        <is>
          <t>LINDESBERG</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3732-2023</t>
        </is>
      </c>
      <c r="B521" s="1" t="n">
        <v>44949</v>
      </c>
      <c r="C521" s="1" t="n">
        <v>46019</v>
      </c>
      <c r="D521" t="inlineStr">
        <is>
          <t>ÖREBRO LÄN</t>
        </is>
      </c>
      <c r="E521" t="inlineStr">
        <is>
          <t>LINDESBERG</t>
        </is>
      </c>
      <c r="G521" t="n">
        <v>3.3</v>
      </c>
      <c r="H521" t="n">
        <v>0</v>
      </c>
      <c r="I521" t="n">
        <v>0</v>
      </c>
      <c r="J521" t="n">
        <v>0</v>
      </c>
      <c r="K521" t="n">
        <v>0</v>
      </c>
      <c r="L521" t="n">
        <v>0</v>
      </c>
      <c r="M521" t="n">
        <v>0</v>
      </c>
      <c r="N521" t="n">
        <v>0</v>
      </c>
      <c r="O521" t="n">
        <v>0</v>
      </c>
      <c r="P521" t="n">
        <v>0</v>
      </c>
      <c r="Q521" t="n">
        <v>0</v>
      </c>
      <c r="R521" s="2" t="inlineStr"/>
    </row>
    <row r="522" ht="15" customHeight="1">
      <c r="A522" t="inlineStr">
        <is>
          <t>A 50073-2025</t>
        </is>
      </c>
      <c r="B522" s="1" t="n">
        <v>45943.4603125</v>
      </c>
      <c r="C522" s="1" t="n">
        <v>46019</v>
      </c>
      <c r="D522" t="inlineStr">
        <is>
          <t>ÖREBRO LÄN</t>
        </is>
      </c>
      <c r="E522" t="inlineStr">
        <is>
          <t>LINDESBERG</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57069-2022</t>
        </is>
      </c>
      <c r="B523" s="1" t="n">
        <v>44895</v>
      </c>
      <c r="C523" s="1" t="n">
        <v>46019</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36579-2025</t>
        </is>
      </c>
      <c r="B524" s="1" t="n">
        <v>45870</v>
      </c>
      <c r="C524" s="1" t="n">
        <v>46019</v>
      </c>
      <c r="D524" t="inlineStr">
        <is>
          <t>ÖREBRO LÄN</t>
        </is>
      </c>
      <c r="E524" t="inlineStr">
        <is>
          <t>LINDESBERG</t>
        </is>
      </c>
      <c r="G524" t="n">
        <v>6</v>
      </c>
      <c r="H524" t="n">
        <v>0</v>
      </c>
      <c r="I524" t="n">
        <v>0</v>
      </c>
      <c r="J524" t="n">
        <v>0</v>
      </c>
      <c r="K524" t="n">
        <v>0</v>
      </c>
      <c r="L524" t="n">
        <v>0</v>
      </c>
      <c r="M524" t="n">
        <v>0</v>
      </c>
      <c r="N524" t="n">
        <v>0</v>
      </c>
      <c r="O524" t="n">
        <v>0</v>
      </c>
      <c r="P524" t="n">
        <v>0</v>
      </c>
      <c r="Q524" t="n">
        <v>0</v>
      </c>
      <c r="R524" s="2" t="inlineStr"/>
    </row>
    <row r="525" ht="15" customHeight="1">
      <c r="A525" t="inlineStr">
        <is>
          <t>A 58963-2025</t>
        </is>
      </c>
      <c r="B525" s="1" t="n">
        <v>45987.60012731481</v>
      </c>
      <c r="C525" s="1" t="n">
        <v>46019</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4067-2024</t>
        </is>
      </c>
      <c r="B526" s="1" t="n">
        <v>45323</v>
      </c>
      <c r="C526" s="1" t="n">
        <v>46019</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29500-2023</t>
        </is>
      </c>
      <c r="B527" s="1" t="n">
        <v>45106</v>
      </c>
      <c r="C527" s="1" t="n">
        <v>46019</v>
      </c>
      <c r="D527" t="inlineStr">
        <is>
          <t>ÖREBRO LÄN</t>
        </is>
      </c>
      <c r="E527" t="inlineStr">
        <is>
          <t>LINDESBERG</t>
        </is>
      </c>
      <c r="G527" t="n">
        <v>1.6</v>
      </c>
      <c r="H527" t="n">
        <v>0</v>
      </c>
      <c r="I527" t="n">
        <v>0</v>
      </c>
      <c r="J527" t="n">
        <v>0</v>
      </c>
      <c r="K527" t="n">
        <v>0</v>
      </c>
      <c r="L527" t="n">
        <v>0</v>
      </c>
      <c r="M527" t="n">
        <v>0</v>
      </c>
      <c r="N527" t="n">
        <v>0</v>
      </c>
      <c r="O527" t="n">
        <v>0</v>
      </c>
      <c r="P527" t="n">
        <v>0</v>
      </c>
      <c r="Q527" t="n">
        <v>0</v>
      </c>
      <c r="R527" s="2" t="inlineStr"/>
    </row>
    <row r="528" ht="15" customHeight="1">
      <c r="A528" t="inlineStr">
        <is>
          <t>A 10823-2023</t>
        </is>
      </c>
      <c r="B528" s="1" t="n">
        <v>44990</v>
      </c>
      <c r="C528" s="1" t="n">
        <v>46019</v>
      </c>
      <c r="D528" t="inlineStr">
        <is>
          <t>ÖREBRO LÄN</t>
        </is>
      </c>
      <c r="E528" t="inlineStr">
        <is>
          <t>LINDESBERG</t>
        </is>
      </c>
      <c r="G528" t="n">
        <v>1.8</v>
      </c>
      <c r="H528" t="n">
        <v>0</v>
      </c>
      <c r="I528" t="n">
        <v>0</v>
      </c>
      <c r="J528" t="n">
        <v>0</v>
      </c>
      <c r="K528" t="n">
        <v>0</v>
      </c>
      <c r="L528" t="n">
        <v>0</v>
      </c>
      <c r="M528" t="n">
        <v>0</v>
      </c>
      <c r="N528" t="n">
        <v>0</v>
      </c>
      <c r="O528" t="n">
        <v>0</v>
      </c>
      <c r="P528" t="n">
        <v>0</v>
      </c>
      <c r="Q528" t="n">
        <v>0</v>
      </c>
      <c r="R528" s="2" t="inlineStr"/>
    </row>
    <row r="529" ht="15" customHeight="1">
      <c r="A529" t="inlineStr">
        <is>
          <t>A 8902-2024</t>
        </is>
      </c>
      <c r="B529" s="1" t="n">
        <v>45357.34521990741</v>
      </c>
      <c r="C529" s="1" t="n">
        <v>46019</v>
      </c>
      <c r="D529" t="inlineStr">
        <is>
          <t>ÖREBRO LÄN</t>
        </is>
      </c>
      <c r="E529" t="inlineStr">
        <is>
          <t>LINDESBERG</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36859-2025</t>
        </is>
      </c>
      <c r="B530" s="1" t="n">
        <v>45874.40503472222</v>
      </c>
      <c r="C530" s="1" t="n">
        <v>46019</v>
      </c>
      <c r="D530" t="inlineStr">
        <is>
          <t>ÖREBRO LÄN</t>
        </is>
      </c>
      <c r="E530" t="inlineStr">
        <is>
          <t>LINDESBERG</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37497-2025</t>
        </is>
      </c>
      <c r="B531" s="1" t="n">
        <v>45877.64431712963</v>
      </c>
      <c r="C531" s="1" t="n">
        <v>46019</v>
      </c>
      <c r="D531" t="inlineStr">
        <is>
          <t>ÖREBRO LÄN</t>
        </is>
      </c>
      <c r="E531" t="inlineStr">
        <is>
          <t>LINDESBERG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37490-2025</t>
        </is>
      </c>
      <c r="B532" s="1" t="n">
        <v>45877.63989583333</v>
      </c>
      <c r="C532" s="1" t="n">
        <v>46019</v>
      </c>
      <c r="D532" t="inlineStr">
        <is>
          <t>ÖREBRO LÄN</t>
        </is>
      </c>
      <c r="E532" t="inlineStr">
        <is>
          <t>LINDESBERG</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37491-2025</t>
        </is>
      </c>
      <c r="B533" s="1" t="n">
        <v>45877.64144675926</v>
      </c>
      <c r="C533" s="1" t="n">
        <v>46019</v>
      </c>
      <c r="D533" t="inlineStr">
        <is>
          <t>ÖREBRO LÄN</t>
        </is>
      </c>
      <c r="E533" t="inlineStr">
        <is>
          <t>LINDESBERG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37499-2025</t>
        </is>
      </c>
      <c r="B534" s="1" t="n">
        <v>45877.64605324074</v>
      </c>
      <c r="C534" s="1" t="n">
        <v>46019</v>
      </c>
      <c r="D534" t="inlineStr">
        <is>
          <t>ÖREBRO LÄN</t>
        </is>
      </c>
      <c r="E534" t="inlineStr">
        <is>
          <t>LINDESBERG</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40305-2024</t>
        </is>
      </c>
      <c r="B535" s="1" t="n">
        <v>45554.71863425926</v>
      </c>
      <c r="C535" s="1" t="n">
        <v>46019</v>
      </c>
      <c r="D535" t="inlineStr">
        <is>
          <t>ÖREBRO LÄN</t>
        </is>
      </c>
      <c r="E535" t="inlineStr">
        <is>
          <t>LINDESBERG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37503-2025</t>
        </is>
      </c>
      <c r="B536" s="1" t="n">
        <v>45877.65075231482</v>
      </c>
      <c r="C536" s="1" t="n">
        <v>46019</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37501-2025</t>
        </is>
      </c>
      <c r="B537" s="1" t="n">
        <v>45877.64847222222</v>
      </c>
      <c r="C537" s="1" t="n">
        <v>46019</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46019</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51186-2025</t>
        </is>
      </c>
      <c r="B539" s="1" t="n">
        <v>45947.62353009259</v>
      </c>
      <c r="C539" s="1" t="n">
        <v>46019</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19436-2025</t>
        </is>
      </c>
      <c r="B540" s="1" t="n">
        <v>45769.98449074074</v>
      </c>
      <c r="C540" s="1" t="n">
        <v>46019</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37301-2025</t>
        </is>
      </c>
      <c r="B541" s="1" t="n">
        <v>45876.59166666667</v>
      </c>
      <c r="C541" s="1" t="n">
        <v>46019</v>
      </c>
      <c r="D541" t="inlineStr">
        <is>
          <t>ÖREBRO LÄN</t>
        </is>
      </c>
      <c r="E541" t="inlineStr">
        <is>
          <t>LINDESBERG</t>
        </is>
      </c>
      <c r="G541" t="n">
        <v>1.4</v>
      </c>
      <c r="H541" t="n">
        <v>0</v>
      </c>
      <c r="I541" t="n">
        <v>0</v>
      </c>
      <c r="J541" t="n">
        <v>0</v>
      </c>
      <c r="K541" t="n">
        <v>0</v>
      </c>
      <c r="L541" t="n">
        <v>0</v>
      </c>
      <c r="M541" t="n">
        <v>0</v>
      </c>
      <c r="N541" t="n">
        <v>0</v>
      </c>
      <c r="O541" t="n">
        <v>0</v>
      </c>
      <c r="P541" t="n">
        <v>0</v>
      </c>
      <c r="Q541" t="n">
        <v>0</v>
      </c>
      <c r="R541" s="2" t="inlineStr"/>
    </row>
    <row r="542" ht="15" customHeight="1">
      <c r="A542" t="inlineStr">
        <is>
          <t>A 22829-2023</t>
        </is>
      </c>
      <c r="B542" s="1" t="n">
        <v>45072.42776620371</v>
      </c>
      <c r="C542" s="1" t="n">
        <v>46019</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37492-2025</t>
        </is>
      </c>
      <c r="B543" s="1" t="n">
        <v>45877.64230324074</v>
      </c>
      <c r="C543" s="1" t="n">
        <v>46019</v>
      </c>
      <c r="D543" t="inlineStr">
        <is>
          <t>ÖREBRO LÄN</t>
        </is>
      </c>
      <c r="E543" t="inlineStr">
        <is>
          <t>LINDESBERG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51172-2025</t>
        </is>
      </c>
      <c r="B544" s="1" t="n">
        <v>45947.60508101852</v>
      </c>
      <c r="C544" s="1" t="n">
        <v>46019</v>
      </c>
      <c r="D544" t="inlineStr">
        <is>
          <t>ÖREBRO LÄN</t>
        </is>
      </c>
      <c r="E544" t="inlineStr">
        <is>
          <t>LINDESBERG</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28463-2024</t>
        </is>
      </c>
      <c r="B545" s="1" t="n">
        <v>45477.70315972222</v>
      </c>
      <c r="C545" s="1" t="n">
        <v>46019</v>
      </c>
      <c r="D545" t="inlineStr">
        <is>
          <t>ÖREBRO LÄN</t>
        </is>
      </c>
      <c r="E545" t="inlineStr">
        <is>
          <t>LINDESBERG</t>
        </is>
      </c>
      <c r="G545" t="n">
        <v>6.3</v>
      </c>
      <c r="H545" t="n">
        <v>0</v>
      </c>
      <c r="I545" t="n">
        <v>0</v>
      </c>
      <c r="J545" t="n">
        <v>0</v>
      </c>
      <c r="K545" t="n">
        <v>0</v>
      </c>
      <c r="L545" t="n">
        <v>0</v>
      </c>
      <c r="M545" t="n">
        <v>0</v>
      </c>
      <c r="N545" t="n">
        <v>0</v>
      </c>
      <c r="O545" t="n">
        <v>0</v>
      </c>
      <c r="P545" t="n">
        <v>0</v>
      </c>
      <c r="Q545" t="n">
        <v>0</v>
      </c>
      <c r="R545" s="2" t="inlineStr"/>
    </row>
    <row r="546" ht="15" customHeight="1">
      <c r="A546" t="inlineStr">
        <is>
          <t>A 37837-2025</t>
        </is>
      </c>
      <c r="B546" s="1" t="n">
        <v>45881.42791666667</v>
      </c>
      <c r="C546" s="1" t="n">
        <v>46019</v>
      </c>
      <c r="D546" t="inlineStr">
        <is>
          <t>ÖREBRO LÄN</t>
        </is>
      </c>
      <c r="E546" t="inlineStr">
        <is>
          <t>LINDESBERG</t>
        </is>
      </c>
      <c r="G546" t="n">
        <v>1.3</v>
      </c>
      <c r="H546" t="n">
        <v>0</v>
      </c>
      <c r="I546" t="n">
        <v>0</v>
      </c>
      <c r="J546" t="n">
        <v>0</v>
      </c>
      <c r="K546" t="n">
        <v>0</v>
      </c>
      <c r="L546" t="n">
        <v>0</v>
      </c>
      <c r="M546" t="n">
        <v>0</v>
      </c>
      <c r="N546" t="n">
        <v>0</v>
      </c>
      <c r="O546" t="n">
        <v>0</v>
      </c>
      <c r="P546" t="n">
        <v>0</v>
      </c>
      <c r="Q546" t="n">
        <v>0</v>
      </c>
      <c r="R546" s="2" t="inlineStr"/>
    </row>
    <row r="547" ht="15" customHeight="1">
      <c r="A547" t="inlineStr">
        <is>
          <t>A 37602-2025</t>
        </is>
      </c>
      <c r="B547" s="1" t="n">
        <v>45880</v>
      </c>
      <c r="C547" s="1" t="n">
        <v>46019</v>
      </c>
      <c r="D547" t="inlineStr">
        <is>
          <t>ÖREBRO LÄN</t>
        </is>
      </c>
      <c r="E547" t="inlineStr">
        <is>
          <t>LINDESBERG</t>
        </is>
      </c>
      <c r="G547" t="n">
        <v>1</v>
      </c>
      <c r="H547" t="n">
        <v>0</v>
      </c>
      <c r="I547" t="n">
        <v>0</v>
      </c>
      <c r="J547" t="n">
        <v>0</v>
      </c>
      <c r="K547" t="n">
        <v>0</v>
      </c>
      <c r="L547" t="n">
        <v>0</v>
      </c>
      <c r="M547" t="n">
        <v>0</v>
      </c>
      <c r="N547" t="n">
        <v>0</v>
      </c>
      <c r="O547" t="n">
        <v>0</v>
      </c>
      <c r="P547" t="n">
        <v>0</v>
      </c>
      <c r="Q547" t="n">
        <v>0</v>
      </c>
      <c r="R547" s="2" t="inlineStr"/>
    </row>
    <row r="548" ht="15" customHeight="1">
      <c r="A548" t="inlineStr">
        <is>
          <t>A 37625-2025</t>
        </is>
      </c>
      <c r="B548" s="1" t="n">
        <v>45880.46056712963</v>
      </c>
      <c r="C548" s="1" t="n">
        <v>46019</v>
      </c>
      <c r="D548" t="inlineStr">
        <is>
          <t>ÖREBRO LÄN</t>
        </is>
      </c>
      <c r="E548" t="inlineStr">
        <is>
          <t>LINDESBERG</t>
        </is>
      </c>
      <c r="G548" t="n">
        <v>12.5</v>
      </c>
      <c r="H548" t="n">
        <v>0</v>
      </c>
      <c r="I548" t="n">
        <v>0</v>
      </c>
      <c r="J548" t="n">
        <v>0</v>
      </c>
      <c r="K548" t="n">
        <v>0</v>
      </c>
      <c r="L548" t="n">
        <v>0</v>
      </c>
      <c r="M548" t="n">
        <v>0</v>
      </c>
      <c r="N548" t="n">
        <v>0</v>
      </c>
      <c r="O548" t="n">
        <v>0</v>
      </c>
      <c r="P548" t="n">
        <v>0</v>
      </c>
      <c r="Q548" t="n">
        <v>0</v>
      </c>
      <c r="R548" s="2" t="inlineStr"/>
    </row>
    <row r="549" ht="15" customHeight="1">
      <c r="A549" t="inlineStr">
        <is>
          <t>A 37552-2025</t>
        </is>
      </c>
      <c r="B549" s="1" t="n">
        <v>45880.28673611111</v>
      </c>
      <c r="C549" s="1" t="n">
        <v>46019</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50933-2025</t>
        </is>
      </c>
      <c r="B550" s="1" t="n">
        <v>45946.68859953704</v>
      </c>
      <c r="C550" s="1" t="n">
        <v>46019</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15822-2024</t>
        </is>
      </c>
      <c r="B551" s="1" t="n">
        <v>45404.68190972223</v>
      </c>
      <c r="C551" s="1" t="n">
        <v>46019</v>
      </c>
      <c r="D551" t="inlineStr">
        <is>
          <t>ÖREBRO LÄN</t>
        </is>
      </c>
      <c r="E551" t="inlineStr">
        <is>
          <t>LINDESBERG</t>
        </is>
      </c>
      <c r="F551" t="inlineStr">
        <is>
          <t>Sveaskog</t>
        </is>
      </c>
      <c r="G551" t="n">
        <v>6.7</v>
      </c>
      <c r="H551" t="n">
        <v>0</v>
      </c>
      <c r="I551" t="n">
        <v>0</v>
      </c>
      <c r="J551" t="n">
        <v>0</v>
      </c>
      <c r="K551" t="n">
        <v>0</v>
      </c>
      <c r="L551" t="n">
        <v>0</v>
      </c>
      <c r="M551" t="n">
        <v>0</v>
      </c>
      <c r="N551" t="n">
        <v>0</v>
      </c>
      <c r="O551" t="n">
        <v>0</v>
      </c>
      <c r="P551" t="n">
        <v>0</v>
      </c>
      <c r="Q551" t="n">
        <v>0</v>
      </c>
      <c r="R551" s="2" t="inlineStr"/>
    </row>
    <row r="552" ht="15" customHeight="1">
      <c r="A552" t="inlineStr">
        <is>
          <t>A 50765-2025</t>
        </is>
      </c>
      <c r="B552" s="1" t="n">
        <v>45946.44216435185</v>
      </c>
      <c r="C552" s="1" t="n">
        <v>46019</v>
      </c>
      <c r="D552" t="inlineStr">
        <is>
          <t>ÖREBRO LÄN</t>
        </is>
      </c>
      <c r="E552" t="inlineStr">
        <is>
          <t>LINDESBERG</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37935-2025</t>
        </is>
      </c>
      <c r="B553" s="1" t="n">
        <v>45881.59550925926</v>
      </c>
      <c r="C553" s="1" t="n">
        <v>46019</v>
      </c>
      <c r="D553" t="inlineStr">
        <is>
          <t>ÖREBRO LÄN</t>
        </is>
      </c>
      <c r="E553" t="inlineStr">
        <is>
          <t>LINDESBERG</t>
        </is>
      </c>
      <c r="G553" t="n">
        <v>5.1</v>
      </c>
      <c r="H553" t="n">
        <v>0</v>
      </c>
      <c r="I553" t="n">
        <v>0</v>
      </c>
      <c r="J553" t="n">
        <v>0</v>
      </c>
      <c r="K553" t="n">
        <v>0</v>
      </c>
      <c r="L553" t="n">
        <v>0</v>
      </c>
      <c r="M553" t="n">
        <v>0</v>
      </c>
      <c r="N553" t="n">
        <v>0</v>
      </c>
      <c r="O553" t="n">
        <v>0</v>
      </c>
      <c r="P553" t="n">
        <v>0</v>
      </c>
      <c r="Q553" t="n">
        <v>0</v>
      </c>
      <c r="R553" s="2" t="inlineStr"/>
    </row>
    <row r="554" ht="15" customHeight="1">
      <c r="A554" t="inlineStr">
        <is>
          <t>A 59052-2023</t>
        </is>
      </c>
      <c r="B554" s="1" t="n">
        <v>45252.78021990741</v>
      </c>
      <c r="C554" s="1" t="n">
        <v>46019</v>
      </c>
      <c r="D554" t="inlineStr">
        <is>
          <t>ÖREBRO LÄN</t>
        </is>
      </c>
      <c r="E554" t="inlineStr">
        <is>
          <t>LINDESBERG</t>
        </is>
      </c>
      <c r="G554" t="n">
        <v>4.2</v>
      </c>
      <c r="H554" t="n">
        <v>0</v>
      </c>
      <c r="I554" t="n">
        <v>0</v>
      </c>
      <c r="J554" t="n">
        <v>0</v>
      </c>
      <c r="K554" t="n">
        <v>0</v>
      </c>
      <c r="L554" t="n">
        <v>0</v>
      </c>
      <c r="M554" t="n">
        <v>0</v>
      </c>
      <c r="N554" t="n">
        <v>0</v>
      </c>
      <c r="O554" t="n">
        <v>0</v>
      </c>
      <c r="P554" t="n">
        <v>0</v>
      </c>
      <c r="Q554" t="n">
        <v>0</v>
      </c>
      <c r="R554" s="2" t="inlineStr"/>
    </row>
    <row r="555" ht="15" customHeight="1">
      <c r="A555" t="inlineStr">
        <is>
          <t>A 37553-2025</t>
        </is>
      </c>
      <c r="B555" s="1" t="n">
        <v>45880.3172337963</v>
      </c>
      <c r="C555" s="1" t="n">
        <v>46019</v>
      </c>
      <c r="D555" t="inlineStr">
        <is>
          <t>ÖREBRO LÄN</t>
        </is>
      </c>
      <c r="E555" t="inlineStr">
        <is>
          <t>LINDESBERG</t>
        </is>
      </c>
      <c r="G555" t="n">
        <v>0.6</v>
      </c>
      <c r="H555" t="n">
        <v>0</v>
      </c>
      <c r="I555" t="n">
        <v>0</v>
      </c>
      <c r="J555" t="n">
        <v>0</v>
      </c>
      <c r="K555" t="n">
        <v>0</v>
      </c>
      <c r="L555" t="n">
        <v>0</v>
      </c>
      <c r="M555" t="n">
        <v>0</v>
      </c>
      <c r="N555" t="n">
        <v>0</v>
      </c>
      <c r="O555" t="n">
        <v>0</v>
      </c>
      <c r="P555" t="n">
        <v>0</v>
      </c>
      <c r="Q555" t="n">
        <v>0</v>
      </c>
      <c r="R555" s="2" t="inlineStr"/>
    </row>
    <row r="556" ht="15" customHeight="1">
      <c r="A556" t="inlineStr">
        <is>
          <t>A 51030-2025</t>
        </is>
      </c>
      <c r="B556" s="1" t="n">
        <v>45947.40105324074</v>
      </c>
      <c r="C556" s="1" t="n">
        <v>46019</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2107-2022</t>
        </is>
      </c>
      <c r="B557" s="1" t="n">
        <v>44577.83484953704</v>
      </c>
      <c r="C557" s="1" t="n">
        <v>46019</v>
      </c>
      <c r="D557" t="inlineStr">
        <is>
          <t>ÖREBRO LÄN</t>
        </is>
      </c>
      <c r="E557" t="inlineStr">
        <is>
          <t>LINDESBERG</t>
        </is>
      </c>
      <c r="G557" t="n">
        <v>2.9</v>
      </c>
      <c r="H557" t="n">
        <v>0</v>
      </c>
      <c r="I557" t="n">
        <v>0</v>
      </c>
      <c r="J557" t="n">
        <v>0</v>
      </c>
      <c r="K557" t="n">
        <v>0</v>
      </c>
      <c r="L557" t="n">
        <v>0</v>
      </c>
      <c r="M557" t="n">
        <v>0</v>
      </c>
      <c r="N557" t="n">
        <v>0</v>
      </c>
      <c r="O557" t="n">
        <v>0</v>
      </c>
      <c r="P557" t="n">
        <v>0</v>
      </c>
      <c r="Q557" t="n">
        <v>0</v>
      </c>
      <c r="R557" s="2" t="inlineStr"/>
    </row>
    <row r="558" ht="15" customHeight="1">
      <c r="A558" t="inlineStr">
        <is>
          <t>A 50936-2025</t>
        </is>
      </c>
      <c r="B558" s="1" t="n">
        <v>45946.69616898148</v>
      </c>
      <c r="C558" s="1" t="n">
        <v>46019</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23603-2023</t>
        </is>
      </c>
      <c r="B559" s="1" t="n">
        <v>45077</v>
      </c>
      <c r="C559" s="1" t="n">
        <v>46019</v>
      </c>
      <c r="D559" t="inlineStr">
        <is>
          <t>ÖREBRO LÄN</t>
        </is>
      </c>
      <c r="E559" t="inlineStr">
        <is>
          <t>LINDESBERG</t>
        </is>
      </c>
      <c r="F559" t="inlineStr">
        <is>
          <t>Sveaskog</t>
        </is>
      </c>
      <c r="G559" t="n">
        <v>2.3</v>
      </c>
      <c r="H559" t="n">
        <v>0</v>
      </c>
      <c r="I559" t="n">
        <v>0</v>
      </c>
      <c r="J559" t="n">
        <v>0</v>
      </c>
      <c r="K559" t="n">
        <v>0</v>
      </c>
      <c r="L559" t="n">
        <v>0</v>
      </c>
      <c r="M559" t="n">
        <v>0</v>
      </c>
      <c r="N559" t="n">
        <v>0</v>
      </c>
      <c r="O559" t="n">
        <v>0</v>
      </c>
      <c r="P559" t="n">
        <v>0</v>
      </c>
      <c r="Q559" t="n">
        <v>0</v>
      </c>
      <c r="R559" s="2" t="inlineStr"/>
    </row>
    <row r="560" ht="15" customHeight="1">
      <c r="A560" t="inlineStr">
        <is>
          <t>A 23607-2023</t>
        </is>
      </c>
      <c r="B560" s="1" t="n">
        <v>45077</v>
      </c>
      <c r="C560" s="1" t="n">
        <v>46019</v>
      </c>
      <c r="D560" t="inlineStr">
        <is>
          <t>ÖREBRO LÄN</t>
        </is>
      </c>
      <c r="E560" t="inlineStr">
        <is>
          <t>LINDESBERG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23612-2023</t>
        </is>
      </c>
      <c r="B561" s="1" t="n">
        <v>45077</v>
      </c>
      <c r="C561" s="1" t="n">
        <v>46019</v>
      </c>
      <c r="D561" t="inlineStr">
        <is>
          <t>ÖREBRO LÄN</t>
        </is>
      </c>
      <c r="E561" t="inlineStr">
        <is>
          <t>LINDESBERG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23641-2024</t>
        </is>
      </c>
      <c r="B562" s="1" t="n">
        <v>45454.49679398148</v>
      </c>
      <c r="C562" s="1" t="n">
        <v>46019</v>
      </c>
      <c r="D562" t="inlineStr">
        <is>
          <t>ÖREBRO LÄN</t>
        </is>
      </c>
      <c r="E562" t="inlineStr">
        <is>
          <t>LINDESBERG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46219-2022</t>
        </is>
      </c>
      <c r="B563" s="1" t="n">
        <v>44846</v>
      </c>
      <c r="C563" s="1" t="n">
        <v>46019</v>
      </c>
      <c r="D563" t="inlineStr">
        <is>
          <t>ÖREBRO LÄN</t>
        </is>
      </c>
      <c r="E563" t="inlineStr">
        <is>
          <t>LINDESBERG</t>
        </is>
      </c>
      <c r="G563" t="n">
        <v>6</v>
      </c>
      <c r="H563" t="n">
        <v>0</v>
      </c>
      <c r="I563" t="n">
        <v>0</v>
      </c>
      <c r="J563" t="n">
        <v>0</v>
      </c>
      <c r="K563" t="n">
        <v>0</v>
      </c>
      <c r="L563" t="n">
        <v>0</v>
      </c>
      <c r="M563" t="n">
        <v>0</v>
      </c>
      <c r="N563" t="n">
        <v>0</v>
      </c>
      <c r="O563" t="n">
        <v>0</v>
      </c>
      <c r="P563" t="n">
        <v>0</v>
      </c>
      <c r="Q563" t="n">
        <v>0</v>
      </c>
      <c r="R563" s="2" t="inlineStr"/>
    </row>
    <row r="564" ht="15" customHeight="1">
      <c r="A564" t="inlineStr">
        <is>
          <t>A 10057-2025</t>
        </is>
      </c>
      <c r="B564" s="1" t="n">
        <v>45719.52871527777</v>
      </c>
      <c r="C564" s="1" t="n">
        <v>46019</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54862-2024</t>
        </is>
      </c>
      <c r="B565" s="1" t="n">
        <v>45618</v>
      </c>
      <c r="C565" s="1" t="n">
        <v>46019</v>
      </c>
      <c r="D565" t="inlineStr">
        <is>
          <t>ÖREBRO LÄN</t>
        </is>
      </c>
      <c r="E565" t="inlineStr">
        <is>
          <t>LINDESBERG</t>
        </is>
      </c>
      <c r="F565" t="inlineStr">
        <is>
          <t>Sveaskog</t>
        </is>
      </c>
      <c r="G565" t="n">
        <v>12.2</v>
      </c>
      <c r="H565" t="n">
        <v>0</v>
      </c>
      <c r="I565" t="n">
        <v>0</v>
      </c>
      <c r="J565" t="n">
        <v>0</v>
      </c>
      <c r="K565" t="n">
        <v>0</v>
      </c>
      <c r="L565" t="n">
        <v>0</v>
      </c>
      <c r="M565" t="n">
        <v>0</v>
      </c>
      <c r="N565" t="n">
        <v>0</v>
      </c>
      <c r="O565" t="n">
        <v>0</v>
      </c>
      <c r="P565" t="n">
        <v>0</v>
      </c>
      <c r="Q565" t="n">
        <v>0</v>
      </c>
      <c r="R565" s="2" t="inlineStr"/>
    </row>
    <row r="566" ht="15" customHeight="1">
      <c r="A566" t="inlineStr">
        <is>
          <t>A 5358-2022</t>
        </is>
      </c>
      <c r="B566" s="1" t="n">
        <v>44594.84091435185</v>
      </c>
      <c r="C566" s="1" t="n">
        <v>46019</v>
      </c>
      <c r="D566" t="inlineStr">
        <is>
          <t>ÖREBRO LÄN</t>
        </is>
      </c>
      <c r="E566" t="inlineStr">
        <is>
          <t>LINDESBERG</t>
        </is>
      </c>
      <c r="G566" t="n">
        <v>2.8</v>
      </c>
      <c r="H566" t="n">
        <v>0</v>
      </c>
      <c r="I566" t="n">
        <v>0</v>
      </c>
      <c r="J566" t="n">
        <v>0</v>
      </c>
      <c r="K566" t="n">
        <v>0</v>
      </c>
      <c r="L566" t="n">
        <v>0</v>
      </c>
      <c r="M566" t="n">
        <v>0</v>
      </c>
      <c r="N566" t="n">
        <v>0</v>
      </c>
      <c r="O566" t="n">
        <v>0</v>
      </c>
      <c r="P566" t="n">
        <v>0</v>
      </c>
      <c r="Q566" t="n">
        <v>0</v>
      </c>
      <c r="R566" s="2" t="inlineStr"/>
    </row>
    <row r="567" ht="15" customHeight="1">
      <c r="A567" t="inlineStr">
        <is>
          <t>A 60943-2024</t>
        </is>
      </c>
      <c r="B567" s="1" t="n">
        <v>45645.3737962963</v>
      </c>
      <c r="C567" s="1" t="n">
        <v>46019</v>
      </c>
      <c r="D567" t="inlineStr">
        <is>
          <t>ÖREBRO LÄN</t>
        </is>
      </c>
      <c r="E567" t="inlineStr">
        <is>
          <t>LINDESBERG</t>
        </is>
      </c>
      <c r="F567" t="inlineStr">
        <is>
          <t>Sveaskog</t>
        </is>
      </c>
      <c r="G567" t="n">
        <v>2</v>
      </c>
      <c r="H567" t="n">
        <v>0</v>
      </c>
      <c r="I567" t="n">
        <v>0</v>
      </c>
      <c r="J567" t="n">
        <v>0</v>
      </c>
      <c r="K567" t="n">
        <v>0</v>
      </c>
      <c r="L567" t="n">
        <v>0</v>
      </c>
      <c r="M567" t="n">
        <v>0</v>
      </c>
      <c r="N567" t="n">
        <v>0</v>
      </c>
      <c r="O567" t="n">
        <v>0</v>
      </c>
      <c r="P567" t="n">
        <v>0</v>
      </c>
      <c r="Q567" t="n">
        <v>0</v>
      </c>
      <c r="R567" s="2" t="inlineStr"/>
    </row>
    <row r="568" ht="15" customHeight="1">
      <c r="A568" t="inlineStr">
        <is>
          <t>A 41948-2023</t>
        </is>
      </c>
      <c r="B568" s="1" t="n">
        <v>45177.33091435185</v>
      </c>
      <c r="C568" s="1" t="n">
        <v>46019</v>
      </c>
      <c r="D568" t="inlineStr">
        <is>
          <t>ÖREBRO LÄN</t>
        </is>
      </c>
      <c r="E568" t="inlineStr">
        <is>
          <t>LINDESBERG</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44804-2024</t>
        </is>
      </c>
      <c r="B569" s="1" t="n">
        <v>45574.65189814815</v>
      </c>
      <c r="C569" s="1" t="n">
        <v>46019</v>
      </c>
      <c r="D569" t="inlineStr">
        <is>
          <t>ÖREBRO LÄN</t>
        </is>
      </c>
      <c r="E569" t="inlineStr">
        <is>
          <t>LINDESBERG</t>
        </is>
      </c>
      <c r="F569" t="inlineStr">
        <is>
          <t>Sveaskog</t>
        </is>
      </c>
      <c r="G569" t="n">
        <v>5.7</v>
      </c>
      <c r="H569" t="n">
        <v>0</v>
      </c>
      <c r="I569" t="n">
        <v>0</v>
      </c>
      <c r="J569" t="n">
        <v>0</v>
      </c>
      <c r="K569" t="n">
        <v>0</v>
      </c>
      <c r="L569" t="n">
        <v>0</v>
      </c>
      <c r="M569" t="n">
        <v>0</v>
      </c>
      <c r="N569" t="n">
        <v>0</v>
      </c>
      <c r="O569" t="n">
        <v>0</v>
      </c>
      <c r="P569" t="n">
        <v>0</v>
      </c>
      <c r="Q569" t="n">
        <v>0</v>
      </c>
      <c r="R569" s="2" t="inlineStr"/>
    </row>
    <row r="570" ht="15" customHeight="1">
      <c r="A570" t="inlineStr">
        <is>
          <t>A 52102-2025</t>
        </is>
      </c>
      <c r="B570" s="1" t="n">
        <v>45952.68358796297</v>
      </c>
      <c r="C570" s="1" t="n">
        <v>46019</v>
      </c>
      <c r="D570" t="inlineStr">
        <is>
          <t>ÖREBRO LÄN</t>
        </is>
      </c>
      <c r="E570" t="inlineStr">
        <is>
          <t>LINDESBERG</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26778-2023</t>
        </is>
      </c>
      <c r="B571" s="1" t="n">
        <v>45093.48221064815</v>
      </c>
      <c r="C571" s="1" t="n">
        <v>46019</v>
      </c>
      <c r="D571" t="inlineStr">
        <is>
          <t>ÖREBRO LÄN</t>
        </is>
      </c>
      <c r="E571" t="inlineStr">
        <is>
          <t>LINDESBERG</t>
        </is>
      </c>
      <c r="G571" t="n">
        <v>7.5</v>
      </c>
      <c r="H571" t="n">
        <v>0</v>
      </c>
      <c r="I571" t="n">
        <v>0</v>
      </c>
      <c r="J571" t="n">
        <v>0</v>
      </c>
      <c r="K571" t="n">
        <v>0</v>
      </c>
      <c r="L571" t="n">
        <v>0</v>
      </c>
      <c r="M571" t="n">
        <v>0</v>
      </c>
      <c r="N571" t="n">
        <v>0</v>
      </c>
      <c r="O571" t="n">
        <v>0</v>
      </c>
      <c r="P571" t="n">
        <v>0</v>
      </c>
      <c r="Q571" t="n">
        <v>0</v>
      </c>
      <c r="R571" s="2" t="inlineStr"/>
    </row>
    <row r="572" ht="15" customHeight="1">
      <c r="A572" t="inlineStr">
        <is>
          <t>A 38534-2025</t>
        </is>
      </c>
      <c r="B572" s="1" t="n">
        <v>45884</v>
      </c>
      <c r="C572" s="1" t="n">
        <v>46019</v>
      </c>
      <c r="D572" t="inlineStr">
        <is>
          <t>ÖREBRO LÄN</t>
        </is>
      </c>
      <c r="E572" t="inlineStr">
        <is>
          <t>LINDESBERG</t>
        </is>
      </c>
      <c r="G572" t="n">
        <v>4.9</v>
      </c>
      <c r="H572" t="n">
        <v>0</v>
      </c>
      <c r="I572" t="n">
        <v>0</v>
      </c>
      <c r="J572" t="n">
        <v>0</v>
      </c>
      <c r="K572" t="n">
        <v>0</v>
      </c>
      <c r="L572" t="n">
        <v>0</v>
      </c>
      <c r="M572" t="n">
        <v>0</v>
      </c>
      <c r="N572" t="n">
        <v>0</v>
      </c>
      <c r="O572" t="n">
        <v>0</v>
      </c>
      <c r="P572" t="n">
        <v>0</v>
      </c>
      <c r="Q572" t="n">
        <v>0</v>
      </c>
      <c r="R572" s="2" t="inlineStr"/>
    </row>
    <row r="573" ht="15" customHeight="1">
      <c r="A573" t="inlineStr">
        <is>
          <t>A 52117-2025</t>
        </is>
      </c>
      <c r="B573" s="1" t="n">
        <v>45952.70765046297</v>
      </c>
      <c r="C573" s="1" t="n">
        <v>46019</v>
      </c>
      <c r="D573" t="inlineStr">
        <is>
          <t>ÖREBRO LÄN</t>
        </is>
      </c>
      <c r="E573" t="inlineStr">
        <is>
          <t>LINDESBERG</t>
        </is>
      </c>
      <c r="G573" t="n">
        <v>4.6</v>
      </c>
      <c r="H573" t="n">
        <v>0</v>
      </c>
      <c r="I573" t="n">
        <v>0</v>
      </c>
      <c r="J573" t="n">
        <v>0</v>
      </c>
      <c r="K573" t="n">
        <v>0</v>
      </c>
      <c r="L573" t="n">
        <v>0</v>
      </c>
      <c r="M573" t="n">
        <v>0</v>
      </c>
      <c r="N573" t="n">
        <v>0</v>
      </c>
      <c r="O573" t="n">
        <v>0</v>
      </c>
      <c r="P573" t="n">
        <v>0</v>
      </c>
      <c r="Q573" t="n">
        <v>0</v>
      </c>
      <c r="R573" s="2" t="inlineStr"/>
    </row>
    <row r="574" ht="15" customHeight="1">
      <c r="A574" t="inlineStr">
        <is>
          <t>A 52098-2025</t>
        </is>
      </c>
      <c r="B574" s="1" t="n">
        <v>45952.68001157408</v>
      </c>
      <c r="C574" s="1" t="n">
        <v>46019</v>
      </c>
      <c r="D574" t="inlineStr">
        <is>
          <t>ÖREBRO LÄN</t>
        </is>
      </c>
      <c r="E574" t="inlineStr">
        <is>
          <t>LINDESBERG</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52103-2025</t>
        </is>
      </c>
      <c r="B575" s="1" t="n">
        <v>45952.68439814815</v>
      </c>
      <c r="C575" s="1" t="n">
        <v>46019</v>
      </c>
      <c r="D575" t="inlineStr">
        <is>
          <t>ÖREBRO LÄN</t>
        </is>
      </c>
      <c r="E575" t="inlineStr">
        <is>
          <t>LINDESBERG</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19392-2025</t>
        </is>
      </c>
      <c r="B576" s="1" t="n">
        <v>45769.66260416667</v>
      </c>
      <c r="C576" s="1" t="n">
        <v>46019</v>
      </c>
      <c r="D576" t="inlineStr">
        <is>
          <t>ÖREBRO LÄN</t>
        </is>
      </c>
      <c r="E576" t="inlineStr">
        <is>
          <t>LINDESBERG</t>
        </is>
      </c>
      <c r="G576" t="n">
        <v>6.5</v>
      </c>
      <c r="H576" t="n">
        <v>0</v>
      </c>
      <c r="I576" t="n">
        <v>0</v>
      </c>
      <c r="J576" t="n">
        <v>0</v>
      </c>
      <c r="K576" t="n">
        <v>0</v>
      </c>
      <c r="L576" t="n">
        <v>0</v>
      </c>
      <c r="M576" t="n">
        <v>0</v>
      </c>
      <c r="N576" t="n">
        <v>0</v>
      </c>
      <c r="O576" t="n">
        <v>0</v>
      </c>
      <c r="P576" t="n">
        <v>0</v>
      </c>
      <c r="Q576" t="n">
        <v>0</v>
      </c>
      <c r="R576" s="2" t="inlineStr"/>
    </row>
    <row r="577" ht="15" customHeight="1">
      <c r="A577" t="inlineStr">
        <is>
          <t>A 61597-2023</t>
        </is>
      </c>
      <c r="B577" s="1" t="n">
        <v>45265.49225694445</v>
      </c>
      <c r="C577" s="1" t="n">
        <v>46019</v>
      </c>
      <c r="D577" t="inlineStr">
        <is>
          <t>ÖREBRO LÄN</t>
        </is>
      </c>
      <c r="E577" t="inlineStr">
        <is>
          <t>LINDESBERG</t>
        </is>
      </c>
      <c r="G577" t="n">
        <v>10.3</v>
      </c>
      <c r="H577" t="n">
        <v>0</v>
      </c>
      <c r="I577" t="n">
        <v>0</v>
      </c>
      <c r="J577" t="n">
        <v>0</v>
      </c>
      <c r="K577" t="n">
        <v>0</v>
      </c>
      <c r="L577" t="n">
        <v>0</v>
      </c>
      <c r="M577" t="n">
        <v>0</v>
      </c>
      <c r="N577" t="n">
        <v>0</v>
      </c>
      <c r="O577" t="n">
        <v>0</v>
      </c>
      <c r="P577" t="n">
        <v>0</v>
      </c>
      <c r="Q577" t="n">
        <v>0</v>
      </c>
      <c r="R577" s="2" t="inlineStr"/>
    </row>
    <row r="578" ht="15" customHeight="1">
      <c r="A578" t="inlineStr">
        <is>
          <t>A 52101-2025</t>
        </is>
      </c>
      <c r="B578" s="1" t="n">
        <v>45952.68271990741</v>
      </c>
      <c r="C578" s="1" t="n">
        <v>46019</v>
      </c>
      <c r="D578" t="inlineStr">
        <is>
          <t>ÖREBRO LÄN</t>
        </is>
      </c>
      <c r="E578" t="inlineStr">
        <is>
          <t>LINDESBERG</t>
        </is>
      </c>
      <c r="F578" t="inlineStr">
        <is>
          <t>Sveaskog</t>
        </is>
      </c>
      <c r="G578" t="n">
        <v>10.9</v>
      </c>
      <c r="H578" t="n">
        <v>0</v>
      </c>
      <c r="I578" t="n">
        <v>0</v>
      </c>
      <c r="J578" t="n">
        <v>0</v>
      </c>
      <c r="K578" t="n">
        <v>0</v>
      </c>
      <c r="L578" t="n">
        <v>0</v>
      </c>
      <c r="M578" t="n">
        <v>0</v>
      </c>
      <c r="N578" t="n">
        <v>0</v>
      </c>
      <c r="O578" t="n">
        <v>0</v>
      </c>
      <c r="P578" t="n">
        <v>0</v>
      </c>
      <c r="Q578" t="n">
        <v>0</v>
      </c>
      <c r="R578" s="2" t="inlineStr"/>
    </row>
    <row r="579" ht="15" customHeight="1">
      <c r="A579" t="inlineStr">
        <is>
          <t>A 52104-2025</t>
        </is>
      </c>
      <c r="B579" s="1" t="n">
        <v>45952.68524305556</v>
      </c>
      <c r="C579" s="1" t="n">
        <v>46019</v>
      </c>
      <c r="D579" t="inlineStr">
        <is>
          <t>ÖREBRO LÄN</t>
        </is>
      </c>
      <c r="E579" t="inlineStr">
        <is>
          <t>LINDESBERG</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7211-2024</t>
        </is>
      </c>
      <c r="B580" s="1" t="n">
        <v>45344.623125</v>
      </c>
      <c r="C580" s="1" t="n">
        <v>46019</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41582-2021</t>
        </is>
      </c>
      <c r="B581" s="1" t="n">
        <v>44425.40297453704</v>
      </c>
      <c r="C581" s="1" t="n">
        <v>46019</v>
      </c>
      <c r="D581" t="inlineStr">
        <is>
          <t>ÖREBRO LÄN</t>
        </is>
      </c>
      <c r="E581" t="inlineStr">
        <is>
          <t>LINDESBERG</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52298-2025</t>
        </is>
      </c>
      <c r="B582" s="1" t="n">
        <v>45953.61387731481</v>
      </c>
      <c r="C582" s="1" t="n">
        <v>46019</v>
      </c>
      <c r="D582" t="inlineStr">
        <is>
          <t>ÖREBRO LÄN</t>
        </is>
      </c>
      <c r="E582" t="inlineStr">
        <is>
          <t>LINDESBERG</t>
        </is>
      </c>
      <c r="G582" t="n">
        <v>18.2</v>
      </c>
      <c r="H582" t="n">
        <v>0</v>
      </c>
      <c r="I582" t="n">
        <v>0</v>
      </c>
      <c r="J582" t="n">
        <v>0</v>
      </c>
      <c r="K582" t="n">
        <v>0</v>
      </c>
      <c r="L582" t="n">
        <v>0</v>
      </c>
      <c r="M582" t="n">
        <v>0</v>
      </c>
      <c r="N582" t="n">
        <v>0</v>
      </c>
      <c r="O582" t="n">
        <v>0</v>
      </c>
      <c r="P582" t="n">
        <v>0</v>
      </c>
      <c r="Q582" t="n">
        <v>0</v>
      </c>
      <c r="R582" s="2" t="inlineStr"/>
    </row>
    <row r="583" ht="15" customHeight="1">
      <c r="A583" t="inlineStr">
        <is>
          <t>A 6511-2025</t>
        </is>
      </c>
      <c r="B583" s="1" t="n">
        <v>45699.65424768518</v>
      </c>
      <c r="C583" s="1" t="n">
        <v>46019</v>
      </c>
      <c r="D583" t="inlineStr">
        <is>
          <t>ÖREBRO LÄN</t>
        </is>
      </c>
      <c r="E583" t="inlineStr">
        <is>
          <t>LINDESBERG</t>
        </is>
      </c>
      <c r="G583" t="n">
        <v>9.1</v>
      </c>
      <c r="H583" t="n">
        <v>0</v>
      </c>
      <c r="I583" t="n">
        <v>0</v>
      </c>
      <c r="J583" t="n">
        <v>0</v>
      </c>
      <c r="K583" t="n">
        <v>0</v>
      </c>
      <c r="L583" t="n">
        <v>0</v>
      </c>
      <c r="M583" t="n">
        <v>0</v>
      </c>
      <c r="N583" t="n">
        <v>0</v>
      </c>
      <c r="O583" t="n">
        <v>0</v>
      </c>
      <c r="P583" t="n">
        <v>0</v>
      </c>
      <c r="Q583" t="n">
        <v>0</v>
      </c>
      <c r="R583" s="2" t="inlineStr"/>
    </row>
    <row r="584" ht="15" customHeight="1">
      <c r="A584" t="inlineStr">
        <is>
          <t>A 38460-2024</t>
        </is>
      </c>
      <c r="B584" s="1" t="n">
        <v>45546.46497685185</v>
      </c>
      <c r="C584" s="1" t="n">
        <v>46019</v>
      </c>
      <c r="D584" t="inlineStr">
        <is>
          <t>ÖREBRO LÄN</t>
        </is>
      </c>
      <c r="E584" t="inlineStr">
        <is>
          <t>LINDESBERG</t>
        </is>
      </c>
      <c r="F584" t="inlineStr">
        <is>
          <t>Sveaskog</t>
        </is>
      </c>
      <c r="G584" t="n">
        <v>3</v>
      </c>
      <c r="H584" t="n">
        <v>0</v>
      </c>
      <c r="I584" t="n">
        <v>0</v>
      </c>
      <c r="J584" t="n">
        <v>0</v>
      </c>
      <c r="K584" t="n">
        <v>0</v>
      </c>
      <c r="L584" t="n">
        <v>0</v>
      </c>
      <c r="M584" t="n">
        <v>0</v>
      </c>
      <c r="N584" t="n">
        <v>0</v>
      </c>
      <c r="O584" t="n">
        <v>0</v>
      </c>
      <c r="P584" t="n">
        <v>0</v>
      </c>
      <c r="Q584" t="n">
        <v>0</v>
      </c>
      <c r="R584" s="2" t="inlineStr"/>
    </row>
    <row r="585" ht="15" customHeight="1">
      <c r="A585" t="inlineStr">
        <is>
          <t>A 52730-2025</t>
        </is>
      </c>
      <c r="B585" s="1" t="n">
        <v>45957.36386574074</v>
      </c>
      <c r="C585" s="1" t="n">
        <v>46019</v>
      </c>
      <c r="D585" t="inlineStr">
        <is>
          <t>ÖREBRO LÄN</t>
        </is>
      </c>
      <c r="E585" t="inlineStr">
        <is>
          <t>LINDESBERG</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48265-2021</t>
        </is>
      </c>
      <c r="B586" s="1" t="n">
        <v>44449</v>
      </c>
      <c r="C586" s="1" t="n">
        <v>46019</v>
      </c>
      <c r="D586" t="inlineStr">
        <is>
          <t>ÖREBRO LÄN</t>
        </is>
      </c>
      <c r="E586" t="inlineStr">
        <is>
          <t>LINDESBERG</t>
        </is>
      </c>
      <c r="G586" t="n">
        <v>23.7</v>
      </c>
      <c r="H586" t="n">
        <v>0</v>
      </c>
      <c r="I586" t="n">
        <v>0</v>
      </c>
      <c r="J586" t="n">
        <v>0</v>
      </c>
      <c r="K586" t="n">
        <v>0</v>
      </c>
      <c r="L586" t="n">
        <v>0</v>
      </c>
      <c r="M586" t="n">
        <v>0</v>
      </c>
      <c r="N586" t="n">
        <v>0</v>
      </c>
      <c r="O586" t="n">
        <v>0</v>
      </c>
      <c r="P586" t="n">
        <v>0</v>
      </c>
      <c r="Q586" t="n">
        <v>0</v>
      </c>
      <c r="R586" s="2" t="inlineStr"/>
    </row>
    <row r="587" ht="15" customHeight="1">
      <c r="A587" t="inlineStr">
        <is>
          <t>A 67016-2021</t>
        </is>
      </c>
      <c r="B587" s="1" t="n">
        <v>44522</v>
      </c>
      <c r="C587" s="1" t="n">
        <v>46019</v>
      </c>
      <c r="D587" t="inlineStr">
        <is>
          <t>ÖREBRO LÄN</t>
        </is>
      </c>
      <c r="E587" t="inlineStr">
        <is>
          <t>LINDESBERG</t>
        </is>
      </c>
      <c r="G587" t="n">
        <v>8</v>
      </c>
      <c r="H587" t="n">
        <v>0</v>
      </c>
      <c r="I587" t="n">
        <v>0</v>
      </c>
      <c r="J587" t="n">
        <v>0</v>
      </c>
      <c r="K587" t="n">
        <v>0</v>
      </c>
      <c r="L587" t="n">
        <v>0</v>
      </c>
      <c r="M587" t="n">
        <v>0</v>
      </c>
      <c r="N587" t="n">
        <v>0</v>
      </c>
      <c r="O587" t="n">
        <v>0</v>
      </c>
      <c r="P587" t="n">
        <v>0</v>
      </c>
      <c r="Q587" t="n">
        <v>0</v>
      </c>
      <c r="R587" s="2" t="inlineStr"/>
    </row>
    <row r="588" ht="15" customHeight="1">
      <c r="A588" t="inlineStr">
        <is>
          <t>A 7026-2024</t>
        </is>
      </c>
      <c r="B588" s="1" t="n">
        <v>45343.58587962963</v>
      </c>
      <c r="C588" s="1" t="n">
        <v>46019</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60806-2025</t>
        </is>
      </c>
      <c r="B589" s="1" t="n">
        <v>45999.43730324074</v>
      </c>
      <c r="C589" s="1" t="n">
        <v>46019</v>
      </c>
      <c r="D589" t="inlineStr">
        <is>
          <t>ÖREBRO LÄN</t>
        </is>
      </c>
      <c r="E589" t="inlineStr">
        <is>
          <t>LINDESBERG</t>
        </is>
      </c>
      <c r="G589" t="n">
        <v>7.9</v>
      </c>
      <c r="H589" t="n">
        <v>0</v>
      </c>
      <c r="I589" t="n">
        <v>0</v>
      </c>
      <c r="J589" t="n">
        <v>0</v>
      </c>
      <c r="K589" t="n">
        <v>0</v>
      </c>
      <c r="L589" t="n">
        <v>0</v>
      </c>
      <c r="M589" t="n">
        <v>0</v>
      </c>
      <c r="N589" t="n">
        <v>0</v>
      </c>
      <c r="O589" t="n">
        <v>0</v>
      </c>
      <c r="P589" t="n">
        <v>0</v>
      </c>
      <c r="Q589" t="n">
        <v>0</v>
      </c>
      <c r="R589" s="2" t="inlineStr"/>
    </row>
    <row r="590" ht="15" customHeight="1">
      <c r="A590" t="inlineStr">
        <is>
          <t>A 4013-2025</t>
        </is>
      </c>
      <c r="B590" s="1" t="n">
        <v>45684.5790162037</v>
      </c>
      <c r="C590" s="1" t="n">
        <v>46019</v>
      </c>
      <c r="D590" t="inlineStr">
        <is>
          <t>ÖREBRO LÄN</t>
        </is>
      </c>
      <c r="E590" t="inlineStr">
        <is>
          <t>LINDESBERG</t>
        </is>
      </c>
      <c r="G590" t="n">
        <v>0.9</v>
      </c>
      <c r="H590" t="n">
        <v>0</v>
      </c>
      <c r="I590" t="n">
        <v>0</v>
      </c>
      <c r="J590" t="n">
        <v>0</v>
      </c>
      <c r="K590" t="n">
        <v>0</v>
      </c>
      <c r="L590" t="n">
        <v>0</v>
      </c>
      <c r="M590" t="n">
        <v>0</v>
      </c>
      <c r="N590" t="n">
        <v>0</v>
      </c>
      <c r="O590" t="n">
        <v>0</v>
      </c>
      <c r="P590" t="n">
        <v>0</v>
      </c>
      <c r="Q590" t="n">
        <v>0</v>
      </c>
      <c r="R590" s="2" t="inlineStr"/>
    </row>
    <row r="591" ht="15" customHeight="1">
      <c r="A591" t="inlineStr">
        <is>
          <t>A 33978-2023</t>
        </is>
      </c>
      <c r="B591" s="1" t="n">
        <v>45134.68158564815</v>
      </c>
      <c r="C591" s="1" t="n">
        <v>46019</v>
      </c>
      <c r="D591" t="inlineStr">
        <is>
          <t>ÖREBRO LÄN</t>
        </is>
      </c>
      <c r="E591" t="inlineStr">
        <is>
          <t>LINDESBERG</t>
        </is>
      </c>
      <c r="G591" t="n">
        <v>4.1</v>
      </c>
      <c r="H591" t="n">
        <v>0</v>
      </c>
      <c r="I591" t="n">
        <v>0</v>
      </c>
      <c r="J591" t="n">
        <v>0</v>
      </c>
      <c r="K591" t="n">
        <v>0</v>
      </c>
      <c r="L591" t="n">
        <v>0</v>
      </c>
      <c r="M591" t="n">
        <v>0</v>
      </c>
      <c r="N591" t="n">
        <v>0</v>
      </c>
      <c r="O591" t="n">
        <v>0</v>
      </c>
      <c r="P591" t="n">
        <v>0</v>
      </c>
      <c r="Q591" t="n">
        <v>0</v>
      </c>
      <c r="R591" s="2" t="inlineStr"/>
    </row>
    <row r="592" ht="15" customHeight="1">
      <c r="A592" t="inlineStr">
        <is>
          <t>A 55272-2023</t>
        </is>
      </c>
      <c r="B592" s="1" t="n">
        <v>45237.67819444444</v>
      </c>
      <c r="C592" s="1" t="n">
        <v>46019</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12307-2025</t>
        </is>
      </c>
      <c r="B593" s="1" t="n">
        <v>45729.76231481481</v>
      </c>
      <c r="C593" s="1" t="n">
        <v>46019</v>
      </c>
      <c r="D593" t="inlineStr">
        <is>
          <t>ÖREBRO LÄN</t>
        </is>
      </c>
      <c r="E593" t="inlineStr">
        <is>
          <t>LINDESBERG</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15852-2025</t>
        </is>
      </c>
      <c r="B594" s="1" t="n">
        <v>45749</v>
      </c>
      <c r="C594" s="1" t="n">
        <v>46019</v>
      </c>
      <c r="D594" t="inlineStr">
        <is>
          <t>ÖREBRO LÄN</t>
        </is>
      </c>
      <c r="E594" t="inlineStr">
        <is>
          <t>LINDESBERG</t>
        </is>
      </c>
      <c r="G594" t="n">
        <v>8.9</v>
      </c>
      <c r="H594" t="n">
        <v>0</v>
      </c>
      <c r="I594" t="n">
        <v>0</v>
      </c>
      <c r="J594" t="n">
        <v>0</v>
      </c>
      <c r="K594" t="n">
        <v>0</v>
      </c>
      <c r="L594" t="n">
        <v>0</v>
      </c>
      <c r="M594" t="n">
        <v>0</v>
      </c>
      <c r="N594" t="n">
        <v>0</v>
      </c>
      <c r="O594" t="n">
        <v>0</v>
      </c>
      <c r="P594" t="n">
        <v>0</v>
      </c>
      <c r="Q594" t="n">
        <v>0</v>
      </c>
      <c r="R594" s="2" t="inlineStr"/>
    </row>
    <row r="595" ht="15" customHeight="1">
      <c r="A595" t="inlineStr">
        <is>
          <t>A 52401-2025</t>
        </is>
      </c>
      <c r="B595" s="1" t="n">
        <v>45954.35075231481</v>
      </c>
      <c r="C595" s="1" t="n">
        <v>46019</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52402-2025</t>
        </is>
      </c>
      <c r="B596" s="1" t="n">
        <v>45954.35387731482</v>
      </c>
      <c r="C596" s="1" t="n">
        <v>46019</v>
      </c>
      <c r="D596" t="inlineStr">
        <is>
          <t>ÖREBRO LÄN</t>
        </is>
      </c>
      <c r="E596" t="inlineStr">
        <is>
          <t>LINDESBERG</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8834-2023</t>
        </is>
      </c>
      <c r="B597" s="1" t="n">
        <v>44978</v>
      </c>
      <c r="C597" s="1" t="n">
        <v>46019</v>
      </c>
      <c r="D597" t="inlineStr">
        <is>
          <t>ÖREBRO LÄN</t>
        </is>
      </c>
      <c r="E597" t="inlineStr">
        <is>
          <t>LINDESBERG</t>
        </is>
      </c>
      <c r="G597" t="n">
        <v>0.5</v>
      </c>
      <c r="H597" t="n">
        <v>0</v>
      </c>
      <c r="I597" t="n">
        <v>0</v>
      </c>
      <c r="J597" t="n">
        <v>0</v>
      </c>
      <c r="K597" t="n">
        <v>0</v>
      </c>
      <c r="L597" t="n">
        <v>0</v>
      </c>
      <c r="M597" t="n">
        <v>0</v>
      </c>
      <c r="N597" t="n">
        <v>0</v>
      </c>
      <c r="O597" t="n">
        <v>0</v>
      </c>
      <c r="P597" t="n">
        <v>0</v>
      </c>
      <c r="Q597" t="n">
        <v>0</v>
      </c>
      <c r="R597" s="2" t="inlineStr"/>
    </row>
    <row r="598" ht="15" customHeight="1">
      <c r="A598" t="inlineStr">
        <is>
          <t>A 51071-2022</t>
        </is>
      </c>
      <c r="B598" s="1" t="n">
        <v>44868.36924768519</v>
      </c>
      <c r="C598" s="1" t="n">
        <v>46019</v>
      </c>
      <c r="D598" t="inlineStr">
        <is>
          <t>ÖREBRO LÄN</t>
        </is>
      </c>
      <c r="E598" t="inlineStr">
        <is>
          <t>LINDESBERG</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60926-2024</t>
        </is>
      </c>
      <c r="B599" s="1" t="n">
        <v>45645</v>
      </c>
      <c r="C599" s="1" t="n">
        <v>46019</v>
      </c>
      <c r="D599" t="inlineStr">
        <is>
          <t>ÖREBRO LÄN</t>
        </is>
      </c>
      <c r="E599" t="inlineStr">
        <is>
          <t>LINDESBERG</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1383-2025</t>
        </is>
      </c>
      <c r="B600" s="1" t="n">
        <v>45667</v>
      </c>
      <c r="C600" s="1" t="n">
        <v>46019</v>
      </c>
      <c r="D600" t="inlineStr">
        <is>
          <t>ÖREBRO LÄN</t>
        </is>
      </c>
      <c r="E600" t="inlineStr">
        <is>
          <t>LINDESBERG</t>
        </is>
      </c>
      <c r="G600" t="n">
        <v>5</v>
      </c>
      <c r="H600" t="n">
        <v>0</v>
      </c>
      <c r="I600" t="n">
        <v>0</v>
      </c>
      <c r="J600" t="n">
        <v>0</v>
      </c>
      <c r="K600" t="n">
        <v>0</v>
      </c>
      <c r="L600" t="n">
        <v>0</v>
      </c>
      <c r="M600" t="n">
        <v>0</v>
      </c>
      <c r="N600" t="n">
        <v>0</v>
      </c>
      <c r="O600" t="n">
        <v>0</v>
      </c>
      <c r="P600" t="n">
        <v>0</v>
      </c>
      <c r="Q600" t="n">
        <v>0</v>
      </c>
      <c r="R600" s="2" t="inlineStr"/>
    </row>
    <row r="601" ht="15" customHeight="1">
      <c r="A601" t="inlineStr">
        <is>
          <t>A 53288-2025</t>
        </is>
      </c>
      <c r="B601" s="1" t="n">
        <v>45958.79287037037</v>
      </c>
      <c r="C601" s="1" t="n">
        <v>46019</v>
      </c>
      <c r="D601" t="inlineStr">
        <is>
          <t>ÖREBRO LÄN</t>
        </is>
      </c>
      <c r="E601" t="inlineStr">
        <is>
          <t>LINDESBERG</t>
        </is>
      </c>
      <c r="G601" t="n">
        <v>2.3</v>
      </c>
      <c r="H601" t="n">
        <v>0</v>
      </c>
      <c r="I601" t="n">
        <v>0</v>
      </c>
      <c r="J601" t="n">
        <v>0</v>
      </c>
      <c r="K601" t="n">
        <v>0</v>
      </c>
      <c r="L601" t="n">
        <v>0</v>
      </c>
      <c r="M601" t="n">
        <v>0</v>
      </c>
      <c r="N601" t="n">
        <v>0</v>
      </c>
      <c r="O601" t="n">
        <v>0</v>
      </c>
      <c r="P601" t="n">
        <v>0</v>
      </c>
      <c r="Q601" t="n">
        <v>0</v>
      </c>
      <c r="R601" s="2" t="inlineStr"/>
    </row>
    <row r="602" ht="15" customHeight="1">
      <c r="A602" t="inlineStr">
        <is>
          <t>A 35229-2024</t>
        </is>
      </c>
      <c r="B602" s="1" t="n">
        <v>45530</v>
      </c>
      <c r="C602" s="1" t="n">
        <v>46019</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50285-2022</t>
        </is>
      </c>
      <c r="B603" s="1" t="n">
        <v>44865.87770833333</v>
      </c>
      <c r="C603" s="1" t="n">
        <v>46019</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10822-2023</t>
        </is>
      </c>
      <c r="B604" s="1" t="n">
        <v>44990</v>
      </c>
      <c r="C604" s="1" t="n">
        <v>46019</v>
      </c>
      <c r="D604" t="inlineStr">
        <is>
          <t>ÖREBRO LÄN</t>
        </is>
      </c>
      <c r="E604" t="inlineStr">
        <is>
          <t>LINDESBERG</t>
        </is>
      </c>
      <c r="G604" t="n">
        <v>1.3</v>
      </c>
      <c r="H604" t="n">
        <v>0</v>
      </c>
      <c r="I604" t="n">
        <v>0</v>
      </c>
      <c r="J604" t="n">
        <v>0</v>
      </c>
      <c r="K604" t="n">
        <v>0</v>
      </c>
      <c r="L604" t="n">
        <v>0</v>
      </c>
      <c r="M604" t="n">
        <v>0</v>
      </c>
      <c r="N604" t="n">
        <v>0</v>
      </c>
      <c r="O604" t="n">
        <v>0</v>
      </c>
      <c r="P604" t="n">
        <v>0</v>
      </c>
      <c r="Q604" t="n">
        <v>0</v>
      </c>
      <c r="R604" s="2" t="inlineStr"/>
    </row>
    <row r="605" ht="15" customHeight="1">
      <c r="A605" t="inlineStr">
        <is>
          <t>A 3233-2023</t>
        </is>
      </c>
      <c r="B605" s="1" t="n">
        <v>44946</v>
      </c>
      <c r="C605" s="1" t="n">
        <v>46019</v>
      </c>
      <c r="D605" t="inlineStr">
        <is>
          <t>ÖREBRO LÄN</t>
        </is>
      </c>
      <c r="E605" t="inlineStr">
        <is>
          <t>LINDESBERG</t>
        </is>
      </c>
      <c r="G605" t="n">
        <v>3</v>
      </c>
      <c r="H605" t="n">
        <v>0</v>
      </c>
      <c r="I605" t="n">
        <v>0</v>
      </c>
      <c r="J605" t="n">
        <v>0</v>
      </c>
      <c r="K605" t="n">
        <v>0</v>
      </c>
      <c r="L605" t="n">
        <v>0</v>
      </c>
      <c r="M605" t="n">
        <v>0</v>
      </c>
      <c r="N605" t="n">
        <v>0</v>
      </c>
      <c r="O605" t="n">
        <v>0</v>
      </c>
      <c r="P605" t="n">
        <v>0</v>
      </c>
      <c r="Q605" t="n">
        <v>0</v>
      </c>
      <c r="R605" s="2" t="inlineStr"/>
    </row>
    <row r="606" ht="15" customHeight="1">
      <c r="A606" t="inlineStr">
        <is>
          <t>A 15325-2024</t>
        </is>
      </c>
      <c r="B606" s="1" t="n">
        <v>45400.6709837963</v>
      </c>
      <c r="C606" s="1" t="n">
        <v>46019</v>
      </c>
      <c r="D606" t="inlineStr">
        <is>
          <t>ÖREBRO LÄN</t>
        </is>
      </c>
      <c r="E606" t="inlineStr">
        <is>
          <t>LINDESBERG</t>
        </is>
      </c>
      <c r="F606" t="inlineStr">
        <is>
          <t>Sveaskog</t>
        </is>
      </c>
      <c r="G606" t="n">
        <v>0.3</v>
      </c>
      <c r="H606" t="n">
        <v>0</v>
      </c>
      <c r="I606" t="n">
        <v>0</v>
      </c>
      <c r="J606" t="n">
        <v>0</v>
      </c>
      <c r="K606" t="n">
        <v>0</v>
      </c>
      <c r="L606" t="n">
        <v>0</v>
      </c>
      <c r="M606" t="n">
        <v>0</v>
      </c>
      <c r="N606" t="n">
        <v>0</v>
      </c>
      <c r="O606" t="n">
        <v>0</v>
      </c>
      <c r="P606" t="n">
        <v>0</v>
      </c>
      <c r="Q606" t="n">
        <v>0</v>
      </c>
      <c r="R606" s="2" t="inlineStr"/>
    </row>
    <row r="607" ht="15" customHeight="1">
      <c r="A607" t="inlineStr">
        <is>
          <t>A 40970-2023</t>
        </is>
      </c>
      <c r="B607" s="1" t="n">
        <v>45173</v>
      </c>
      <c r="C607" s="1" t="n">
        <v>46019</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53187-2025</t>
        </is>
      </c>
      <c r="B608" s="1" t="n">
        <v>45958.55577546296</v>
      </c>
      <c r="C608" s="1" t="n">
        <v>46019</v>
      </c>
      <c r="D608" t="inlineStr">
        <is>
          <t>ÖREBRO LÄN</t>
        </is>
      </c>
      <c r="E608" t="inlineStr">
        <is>
          <t>LINDESBERG</t>
        </is>
      </c>
      <c r="F608" t="inlineStr">
        <is>
          <t>Kommuner</t>
        </is>
      </c>
      <c r="G608" t="n">
        <v>2.7</v>
      </c>
      <c r="H608" t="n">
        <v>0</v>
      </c>
      <c r="I608" t="n">
        <v>0</v>
      </c>
      <c r="J608" t="n">
        <v>0</v>
      </c>
      <c r="K608" t="n">
        <v>0</v>
      </c>
      <c r="L608" t="n">
        <v>0</v>
      </c>
      <c r="M608" t="n">
        <v>0</v>
      </c>
      <c r="N608" t="n">
        <v>0</v>
      </c>
      <c r="O608" t="n">
        <v>0</v>
      </c>
      <c r="P608" t="n">
        <v>0</v>
      </c>
      <c r="Q608" t="n">
        <v>0</v>
      </c>
      <c r="R608" s="2" t="inlineStr"/>
    </row>
    <row r="609" ht="15" customHeight="1">
      <c r="A609" t="inlineStr">
        <is>
          <t>A 34093-2022</t>
        </is>
      </c>
      <c r="B609" s="1" t="n">
        <v>44791</v>
      </c>
      <c r="C609" s="1" t="n">
        <v>46019</v>
      </c>
      <c r="D609" t="inlineStr">
        <is>
          <t>ÖREBRO LÄN</t>
        </is>
      </c>
      <c r="E609" t="inlineStr">
        <is>
          <t>LINDESBERG</t>
        </is>
      </c>
      <c r="G609" t="n">
        <v>3.3</v>
      </c>
      <c r="H609" t="n">
        <v>0</v>
      </c>
      <c r="I609" t="n">
        <v>0</v>
      </c>
      <c r="J609" t="n">
        <v>0</v>
      </c>
      <c r="K609" t="n">
        <v>0</v>
      </c>
      <c r="L609" t="n">
        <v>0</v>
      </c>
      <c r="M609" t="n">
        <v>0</v>
      </c>
      <c r="N609" t="n">
        <v>0</v>
      </c>
      <c r="O609" t="n">
        <v>0</v>
      </c>
      <c r="P609" t="n">
        <v>0</v>
      </c>
      <c r="Q609" t="n">
        <v>0</v>
      </c>
      <c r="R609" s="2" t="inlineStr"/>
    </row>
    <row r="610" ht="15" customHeight="1">
      <c r="A610" t="inlineStr">
        <is>
          <t>A 58662-2022</t>
        </is>
      </c>
      <c r="B610" s="1" t="n">
        <v>44902</v>
      </c>
      <c r="C610" s="1" t="n">
        <v>46019</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15060-2024</t>
        </is>
      </c>
      <c r="B611" s="1" t="n">
        <v>45399.56596064815</v>
      </c>
      <c r="C611" s="1" t="n">
        <v>46019</v>
      </c>
      <c r="D611" t="inlineStr">
        <is>
          <t>ÖREBRO LÄN</t>
        </is>
      </c>
      <c r="E611" t="inlineStr">
        <is>
          <t>LINDESBERG</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28031-2023</t>
        </is>
      </c>
      <c r="B612" s="1" t="n">
        <v>45099.27354166667</v>
      </c>
      <c r="C612" s="1" t="n">
        <v>46019</v>
      </c>
      <c r="D612" t="inlineStr">
        <is>
          <t>ÖREBRO LÄN</t>
        </is>
      </c>
      <c r="E612" t="inlineStr">
        <is>
          <t>LINDESBERG</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4310-2025</t>
        </is>
      </c>
      <c r="B613" s="1" t="n">
        <v>45685</v>
      </c>
      <c r="C613" s="1" t="n">
        <v>46019</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19026-2021</t>
        </is>
      </c>
      <c r="B614" s="1" t="n">
        <v>44308</v>
      </c>
      <c r="C614" s="1" t="n">
        <v>46019</v>
      </c>
      <c r="D614" t="inlineStr">
        <is>
          <t>ÖREBRO LÄN</t>
        </is>
      </c>
      <c r="E614" t="inlineStr">
        <is>
          <t>LINDESBERG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47110-2024</t>
        </is>
      </c>
      <c r="B615" s="1" t="n">
        <v>45586.55451388889</v>
      </c>
      <c r="C615" s="1" t="n">
        <v>46019</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53721-2025</t>
        </is>
      </c>
      <c r="B616" s="1" t="n">
        <v>45960</v>
      </c>
      <c r="C616" s="1" t="n">
        <v>46019</v>
      </c>
      <c r="D616" t="inlineStr">
        <is>
          <t>ÖREBRO LÄN</t>
        </is>
      </c>
      <c r="E616" t="inlineStr">
        <is>
          <t>LINDESBERG</t>
        </is>
      </c>
      <c r="G616" t="n">
        <v>3.3</v>
      </c>
      <c r="H616" t="n">
        <v>0</v>
      </c>
      <c r="I616" t="n">
        <v>0</v>
      </c>
      <c r="J616" t="n">
        <v>0</v>
      </c>
      <c r="K616" t="n">
        <v>0</v>
      </c>
      <c r="L616" t="n">
        <v>0</v>
      </c>
      <c r="M616" t="n">
        <v>0</v>
      </c>
      <c r="N616" t="n">
        <v>0</v>
      </c>
      <c r="O616" t="n">
        <v>0</v>
      </c>
      <c r="P616" t="n">
        <v>0</v>
      </c>
      <c r="Q616" t="n">
        <v>0</v>
      </c>
      <c r="R616" s="2" t="inlineStr"/>
    </row>
    <row r="617" ht="15" customHeight="1">
      <c r="A617" t="inlineStr">
        <is>
          <t>A 53723-2025</t>
        </is>
      </c>
      <c r="B617" s="1" t="n">
        <v>45960.62986111111</v>
      </c>
      <c r="C617" s="1" t="n">
        <v>46019</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27440-2023</t>
        </is>
      </c>
      <c r="B618" s="1" t="n">
        <v>45097.39893518519</v>
      </c>
      <c r="C618" s="1" t="n">
        <v>46019</v>
      </c>
      <c r="D618" t="inlineStr">
        <is>
          <t>ÖREBRO LÄN</t>
        </is>
      </c>
      <c r="E618" t="inlineStr">
        <is>
          <t>LINDESBERG</t>
        </is>
      </c>
      <c r="G618" t="n">
        <v>6.6</v>
      </c>
      <c r="H618" t="n">
        <v>0</v>
      </c>
      <c r="I618" t="n">
        <v>0</v>
      </c>
      <c r="J618" t="n">
        <v>0</v>
      </c>
      <c r="K618" t="n">
        <v>0</v>
      </c>
      <c r="L618" t="n">
        <v>0</v>
      </c>
      <c r="M618" t="n">
        <v>0</v>
      </c>
      <c r="N618" t="n">
        <v>0</v>
      </c>
      <c r="O618" t="n">
        <v>0</v>
      </c>
      <c r="P618" t="n">
        <v>0</v>
      </c>
      <c r="Q618" t="n">
        <v>0</v>
      </c>
      <c r="R618" s="2" t="inlineStr"/>
    </row>
    <row r="619" ht="15" customHeight="1">
      <c r="A619" t="inlineStr">
        <is>
          <t>A 61758-2025</t>
        </is>
      </c>
      <c r="B619" s="1" t="n">
        <v>46002.61762731482</v>
      </c>
      <c r="C619" s="1" t="n">
        <v>46019</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61761-2025</t>
        </is>
      </c>
      <c r="B620" s="1" t="n">
        <v>46002.62465277778</v>
      </c>
      <c r="C620" s="1" t="n">
        <v>46019</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39137-2024</t>
        </is>
      </c>
      <c r="B621" s="1" t="n">
        <v>45548</v>
      </c>
      <c r="C621" s="1" t="n">
        <v>46019</v>
      </c>
      <c r="D621" t="inlineStr">
        <is>
          <t>ÖREBRO LÄN</t>
        </is>
      </c>
      <c r="E621" t="inlineStr">
        <is>
          <t>LINDESBERG</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39152-2024</t>
        </is>
      </c>
      <c r="B622" s="1" t="n">
        <v>45548</v>
      </c>
      <c r="C622" s="1" t="n">
        <v>46019</v>
      </c>
      <c r="D622" t="inlineStr">
        <is>
          <t>ÖREBRO LÄN</t>
        </is>
      </c>
      <c r="E622" t="inlineStr">
        <is>
          <t>LINDESBERG</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21245-2024</t>
        </is>
      </c>
      <c r="B623" s="1" t="n">
        <v>45440</v>
      </c>
      <c r="C623" s="1" t="n">
        <v>46019</v>
      </c>
      <c r="D623" t="inlineStr">
        <is>
          <t>ÖREBRO LÄN</t>
        </is>
      </c>
      <c r="E623" t="inlineStr">
        <is>
          <t>LINDESBERG</t>
        </is>
      </c>
      <c r="G623" t="n">
        <v>2</v>
      </c>
      <c r="H623" t="n">
        <v>0</v>
      </c>
      <c r="I623" t="n">
        <v>0</v>
      </c>
      <c r="J623" t="n">
        <v>0</v>
      </c>
      <c r="K623" t="n">
        <v>0</v>
      </c>
      <c r="L623" t="n">
        <v>0</v>
      </c>
      <c r="M623" t="n">
        <v>0</v>
      </c>
      <c r="N623" t="n">
        <v>0</v>
      </c>
      <c r="O623" t="n">
        <v>0</v>
      </c>
      <c r="P623" t="n">
        <v>0</v>
      </c>
      <c r="Q623" t="n">
        <v>0</v>
      </c>
      <c r="R623" s="2" t="inlineStr"/>
    </row>
    <row r="624" ht="15" customHeight="1">
      <c r="A624" t="inlineStr">
        <is>
          <t>A 4603-2024</t>
        </is>
      </c>
      <c r="B624" s="1" t="n">
        <v>45328</v>
      </c>
      <c r="C624" s="1" t="n">
        <v>46019</v>
      </c>
      <c r="D624" t="inlineStr">
        <is>
          <t>ÖREBRO LÄN</t>
        </is>
      </c>
      <c r="E624" t="inlineStr">
        <is>
          <t>LINDESBERG</t>
        </is>
      </c>
      <c r="F624" t="inlineStr">
        <is>
          <t>BillerudKorsnäs AB</t>
        </is>
      </c>
      <c r="G624" t="n">
        <v>4.3</v>
      </c>
      <c r="H624" t="n">
        <v>0</v>
      </c>
      <c r="I624" t="n">
        <v>0</v>
      </c>
      <c r="J624" t="n">
        <v>0</v>
      </c>
      <c r="K624" t="n">
        <v>0</v>
      </c>
      <c r="L624" t="n">
        <v>0</v>
      </c>
      <c r="M624" t="n">
        <v>0</v>
      </c>
      <c r="N624" t="n">
        <v>0</v>
      </c>
      <c r="O624" t="n">
        <v>0</v>
      </c>
      <c r="P624" t="n">
        <v>0</v>
      </c>
      <c r="Q624" t="n">
        <v>0</v>
      </c>
      <c r="R624" s="2" t="inlineStr"/>
    </row>
    <row r="625" ht="15" customHeight="1">
      <c r="A625" t="inlineStr">
        <is>
          <t>A 61601-2024</t>
        </is>
      </c>
      <c r="B625" s="1" t="n">
        <v>45646.63839120371</v>
      </c>
      <c r="C625" s="1" t="n">
        <v>46019</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6604-2024</t>
        </is>
      </c>
      <c r="B626" s="1" t="n">
        <v>45341.56577546296</v>
      </c>
      <c r="C626" s="1" t="n">
        <v>46019</v>
      </c>
      <c r="D626" t="inlineStr">
        <is>
          <t>ÖREBRO LÄN</t>
        </is>
      </c>
      <c r="E626" t="inlineStr">
        <is>
          <t>LINDESBERG</t>
        </is>
      </c>
      <c r="F626" t="inlineStr">
        <is>
          <t>Sveaskog</t>
        </is>
      </c>
      <c r="G626" t="n">
        <v>2.3</v>
      </c>
      <c r="H626" t="n">
        <v>0</v>
      </c>
      <c r="I626" t="n">
        <v>0</v>
      </c>
      <c r="J626" t="n">
        <v>0</v>
      </c>
      <c r="K626" t="n">
        <v>0</v>
      </c>
      <c r="L626" t="n">
        <v>0</v>
      </c>
      <c r="M626" t="n">
        <v>0</v>
      </c>
      <c r="N626" t="n">
        <v>0</v>
      </c>
      <c r="O626" t="n">
        <v>0</v>
      </c>
      <c r="P626" t="n">
        <v>0</v>
      </c>
      <c r="Q626" t="n">
        <v>0</v>
      </c>
      <c r="R626" s="2" t="inlineStr"/>
    </row>
    <row r="627" ht="15" customHeight="1">
      <c r="A627" t="inlineStr">
        <is>
          <t>A 61745-2025</t>
        </is>
      </c>
      <c r="B627" s="1" t="n">
        <v>46002.60324074074</v>
      </c>
      <c r="C627" s="1" t="n">
        <v>46019</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4924-2021</t>
        </is>
      </c>
      <c r="B628" s="1" t="n">
        <v>44227</v>
      </c>
      <c r="C628" s="1" t="n">
        <v>46019</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42410-2024</t>
        </is>
      </c>
      <c r="B629" s="1" t="n">
        <v>45565</v>
      </c>
      <c r="C629" s="1" t="n">
        <v>46019</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9140-2025</t>
        </is>
      </c>
      <c r="B630" s="1" t="n">
        <v>45714.31533564815</v>
      </c>
      <c r="C630" s="1" t="n">
        <v>46019</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54249-2025</t>
        </is>
      </c>
      <c r="B631" s="1" t="n">
        <v>45964.64599537037</v>
      </c>
      <c r="C631" s="1" t="n">
        <v>46019</v>
      </c>
      <c r="D631" t="inlineStr">
        <is>
          <t>ÖREBRO LÄN</t>
        </is>
      </c>
      <c r="E631" t="inlineStr">
        <is>
          <t>LINDESBERG</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54070-2025</t>
        </is>
      </c>
      <c r="B632" s="1" t="n">
        <v>45964.34680555556</v>
      </c>
      <c r="C632" s="1" t="n">
        <v>46019</v>
      </c>
      <c r="D632" t="inlineStr">
        <is>
          <t>ÖREBRO LÄN</t>
        </is>
      </c>
      <c r="E632" t="inlineStr">
        <is>
          <t>LINDESBERG</t>
        </is>
      </c>
      <c r="G632" t="n">
        <v>0.5</v>
      </c>
      <c r="H632" t="n">
        <v>0</v>
      </c>
      <c r="I632" t="n">
        <v>0</v>
      </c>
      <c r="J632" t="n">
        <v>0</v>
      </c>
      <c r="K632" t="n">
        <v>0</v>
      </c>
      <c r="L632" t="n">
        <v>0</v>
      </c>
      <c r="M632" t="n">
        <v>0</v>
      </c>
      <c r="N632" t="n">
        <v>0</v>
      </c>
      <c r="O632" t="n">
        <v>0</v>
      </c>
      <c r="P632" t="n">
        <v>0</v>
      </c>
      <c r="Q632" t="n">
        <v>0</v>
      </c>
      <c r="R632" s="2" t="inlineStr"/>
    </row>
    <row r="633" ht="15" customHeight="1">
      <c r="A633" t="inlineStr">
        <is>
          <t>A 8139-2023</t>
        </is>
      </c>
      <c r="B633" s="1" t="n">
        <v>44970</v>
      </c>
      <c r="C633" s="1" t="n">
        <v>46019</v>
      </c>
      <c r="D633" t="inlineStr">
        <is>
          <t>ÖREBRO LÄN</t>
        </is>
      </c>
      <c r="E633" t="inlineStr">
        <is>
          <t>LINDESBERG</t>
        </is>
      </c>
      <c r="G633" t="n">
        <v>3.6</v>
      </c>
      <c r="H633" t="n">
        <v>0</v>
      </c>
      <c r="I633" t="n">
        <v>0</v>
      </c>
      <c r="J633" t="n">
        <v>0</v>
      </c>
      <c r="K633" t="n">
        <v>0</v>
      </c>
      <c r="L633" t="n">
        <v>0</v>
      </c>
      <c r="M633" t="n">
        <v>0</v>
      </c>
      <c r="N633" t="n">
        <v>0</v>
      </c>
      <c r="O633" t="n">
        <v>0</v>
      </c>
      <c r="P633" t="n">
        <v>0</v>
      </c>
      <c r="Q633" t="n">
        <v>0</v>
      </c>
      <c r="R633" s="2" t="inlineStr"/>
    </row>
    <row r="634" ht="15" customHeight="1">
      <c r="A634" t="inlineStr">
        <is>
          <t>A 54072-2025</t>
        </is>
      </c>
      <c r="B634" s="1" t="n">
        <v>45964.3550925926</v>
      </c>
      <c r="C634" s="1" t="n">
        <v>46019</v>
      </c>
      <c r="D634" t="inlineStr">
        <is>
          <t>ÖREBRO LÄN</t>
        </is>
      </c>
      <c r="E634" t="inlineStr">
        <is>
          <t>LINDESBERG</t>
        </is>
      </c>
      <c r="G634" t="n">
        <v>1.3</v>
      </c>
      <c r="H634" t="n">
        <v>0</v>
      </c>
      <c r="I634" t="n">
        <v>0</v>
      </c>
      <c r="J634" t="n">
        <v>0</v>
      </c>
      <c r="K634" t="n">
        <v>0</v>
      </c>
      <c r="L634" t="n">
        <v>0</v>
      </c>
      <c r="M634" t="n">
        <v>0</v>
      </c>
      <c r="N634" t="n">
        <v>0</v>
      </c>
      <c r="O634" t="n">
        <v>0</v>
      </c>
      <c r="P634" t="n">
        <v>0</v>
      </c>
      <c r="Q634" t="n">
        <v>0</v>
      </c>
      <c r="R634" s="2" t="inlineStr"/>
    </row>
    <row r="635" ht="15" customHeight="1">
      <c r="A635" t="inlineStr">
        <is>
          <t>A 62246-2025</t>
        </is>
      </c>
      <c r="B635" s="1" t="n">
        <v>46006.60633101852</v>
      </c>
      <c r="C635" s="1" t="n">
        <v>46019</v>
      </c>
      <c r="D635" t="inlineStr">
        <is>
          <t>ÖREBRO LÄN</t>
        </is>
      </c>
      <c r="E635" t="inlineStr">
        <is>
          <t>LINDESBERG</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54250-2025</t>
        </is>
      </c>
      <c r="B636" s="1" t="n">
        <v>45964.64709490741</v>
      </c>
      <c r="C636" s="1" t="n">
        <v>46019</v>
      </c>
      <c r="D636" t="inlineStr">
        <is>
          <t>ÖREBRO LÄN</t>
        </is>
      </c>
      <c r="E636" t="inlineStr">
        <is>
          <t>LINDESBERG</t>
        </is>
      </c>
      <c r="F636" t="inlineStr">
        <is>
          <t>Sveaskog</t>
        </is>
      </c>
      <c r="G636" t="n">
        <v>4.5</v>
      </c>
      <c r="H636" t="n">
        <v>0</v>
      </c>
      <c r="I636" t="n">
        <v>0</v>
      </c>
      <c r="J636" t="n">
        <v>0</v>
      </c>
      <c r="K636" t="n">
        <v>0</v>
      </c>
      <c r="L636" t="n">
        <v>0</v>
      </c>
      <c r="M636" t="n">
        <v>0</v>
      </c>
      <c r="N636" t="n">
        <v>0</v>
      </c>
      <c r="O636" t="n">
        <v>0</v>
      </c>
      <c r="P636" t="n">
        <v>0</v>
      </c>
      <c r="Q636" t="n">
        <v>0</v>
      </c>
      <c r="R636" s="2" t="inlineStr"/>
    </row>
    <row r="637" ht="15" customHeight="1">
      <c r="A637" t="inlineStr">
        <is>
          <t>A 54251-2025</t>
        </is>
      </c>
      <c r="B637" s="1" t="n">
        <v>45964.64778935185</v>
      </c>
      <c r="C637" s="1" t="n">
        <v>46019</v>
      </c>
      <c r="D637" t="inlineStr">
        <is>
          <t>ÖREBRO LÄN</t>
        </is>
      </c>
      <c r="E637" t="inlineStr">
        <is>
          <t>LINDESBERG</t>
        </is>
      </c>
      <c r="F637" t="inlineStr">
        <is>
          <t>Sveaskog</t>
        </is>
      </c>
      <c r="G637" t="n">
        <v>3.2</v>
      </c>
      <c r="H637" t="n">
        <v>0</v>
      </c>
      <c r="I637" t="n">
        <v>0</v>
      </c>
      <c r="J637" t="n">
        <v>0</v>
      </c>
      <c r="K637" t="n">
        <v>0</v>
      </c>
      <c r="L637" t="n">
        <v>0</v>
      </c>
      <c r="M637" t="n">
        <v>0</v>
      </c>
      <c r="N637" t="n">
        <v>0</v>
      </c>
      <c r="O637" t="n">
        <v>0</v>
      </c>
      <c r="P637" t="n">
        <v>0</v>
      </c>
      <c r="Q637" t="n">
        <v>0</v>
      </c>
      <c r="R637" s="2" t="inlineStr"/>
    </row>
    <row r="638" ht="15" customHeight="1">
      <c r="A638" t="inlineStr">
        <is>
          <t>A 53168-2023</t>
        </is>
      </c>
      <c r="B638" s="1" t="n">
        <v>45229</v>
      </c>
      <c r="C638" s="1" t="n">
        <v>46019</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54240-2025</t>
        </is>
      </c>
      <c r="B639" s="1" t="n">
        <v>45964.62796296296</v>
      </c>
      <c r="C639" s="1" t="n">
        <v>46019</v>
      </c>
      <c r="D639" t="inlineStr">
        <is>
          <t>ÖREBRO LÄN</t>
        </is>
      </c>
      <c r="E639" t="inlineStr">
        <is>
          <t>LINDESBERG</t>
        </is>
      </c>
      <c r="G639" t="n">
        <v>3.9</v>
      </c>
      <c r="H639" t="n">
        <v>0</v>
      </c>
      <c r="I639" t="n">
        <v>0</v>
      </c>
      <c r="J639" t="n">
        <v>0</v>
      </c>
      <c r="K639" t="n">
        <v>0</v>
      </c>
      <c r="L639" t="n">
        <v>0</v>
      </c>
      <c r="M639" t="n">
        <v>0</v>
      </c>
      <c r="N639" t="n">
        <v>0</v>
      </c>
      <c r="O639" t="n">
        <v>0</v>
      </c>
      <c r="P639" t="n">
        <v>0</v>
      </c>
      <c r="Q639" t="n">
        <v>0</v>
      </c>
      <c r="R639" s="2" t="inlineStr"/>
    </row>
    <row r="640" ht="15" customHeight="1">
      <c r="A640" t="inlineStr">
        <is>
          <t>A 6001-2021</t>
        </is>
      </c>
      <c r="B640" s="1" t="n">
        <v>44231</v>
      </c>
      <c r="C640" s="1" t="n">
        <v>46019</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62383-2025</t>
        </is>
      </c>
      <c r="B641" s="1" t="n">
        <v>46007.3708449074</v>
      </c>
      <c r="C641" s="1" t="n">
        <v>46019</v>
      </c>
      <c r="D641" t="inlineStr">
        <is>
          <t>ÖREBRO LÄN</t>
        </is>
      </c>
      <c r="E641" t="inlineStr">
        <is>
          <t>LINDESBERG</t>
        </is>
      </c>
      <c r="G641" t="n">
        <v>3.5</v>
      </c>
      <c r="H641" t="n">
        <v>0</v>
      </c>
      <c r="I641" t="n">
        <v>0</v>
      </c>
      <c r="J641" t="n">
        <v>0</v>
      </c>
      <c r="K641" t="n">
        <v>0</v>
      </c>
      <c r="L641" t="n">
        <v>0</v>
      </c>
      <c r="M641" t="n">
        <v>0</v>
      </c>
      <c r="N641" t="n">
        <v>0</v>
      </c>
      <c r="O641" t="n">
        <v>0</v>
      </c>
      <c r="P641" t="n">
        <v>0</v>
      </c>
      <c r="Q641" t="n">
        <v>0</v>
      </c>
      <c r="R641" s="2" t="inlineStr"/>
    </row>
    <row r="642" ht="15" customHeight="1">
      <c r="A642" t="inlineStr">
        <is>
          <t>A 36748-2024</t>
        </is>
      </c>
      <c r="B642" s="1" t="n">
        <v>45538.34460648148</v>
      </c>
      <c r="C642" s="1" t="n">
        <v>46019</v>
      </c>
      <c r="D642" t="inlineStr">
        <is>
          <t>ÖREBRO LÄN</t>
        </is>
      </c>
      <c r="E642" t="inlineStr">
        <is>
          <t>LINDESBERG</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28082-2021</t>
        </is>
      </c>
      <c r="B643" s="1" t="n">
        <v>44355</v>
      </c>
      <c r="C643" s="1" t="n">
        <v>46019</v>
      </c>
      <c r="D643" t="inlineStr">
        <is>
          <t>ÖREBRO LÄN</t>
        </is>
      </c>
      <c r="E643" t="inlineStr">
        <is>
          <t>LINDESBERG</t>
        </is>
      </c>
      <c r="F643" t="inlineStr">
        <is>
          <t>Sveaskog</t>
        </is>
      </c>
      <c r="G643" t="n">
        <v>9.9</v>
      </c>
      <c r="H643" t="n">
        <v>0</v>
      </c>
      <c r="I643" t="n">
        <v>0</v>
      </c>
      <c r="J643" t="n">
        <v>0</v>
      </c>
      <c r="K643" t="n">
        <v>0</v>
      </c>
      <c r="L643" t="n">
        <v>0</v>
      </c>
      <c r="M643" t="n">
        <v>0</v>
      </c>
      <c r="N643" t="n">
        <v>0</v>
      </c>
      <c r="O643" t="n">
        <v>0</v>
      </c>
      <c r="P643" t="n">
        <v>0</v>
      </c>
      <c r="Q643" t="n">
        <v>0</v>
      </c>
      <c r="R643" s="2" t="inlineStr"/>
    </row>
    <row r="644" ht="15" customHeight="1">
      <c r="A644" t="inlineStr">
        <is>
          <t>A 64427-2021</t>
        </is>
      </c>
      <c r="B644" s="1" t="n">
        <v>44511</v>
      </c>
      <c r="C644" s="1" t="n">
        <v>46019</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47620-2023</t>
        </is>
      </c>
      <c r="B645" s="1" t="n">
        <v>45203.510625</v>
      </c>
      <c r="C645" s="1" t="n">
        <v>46019</v>
      </c>
      <c r="D645" t="inlineStr">
        <is>
          <t>ÖREBRO LÄN</t>
        </is>
      </c>
      <c r="E645" t="inlineStr">
        <is>
          <t>LINDESBERG</t>
        </is>
      </c>
      <c r="G645" t="n">
        <v>2.7</v>
      </c>
      <c r="H645" t="n">
        <v>0</v>
      </c>
      <c r="I645" t="n">
        <v>0</v>
      </c>
      <c r="J645" t="n">
        <v>0</v>
      </c>
      <c r="K645" t="n">
        <v>0</v>
      </c>
      <c r="L645" t="n">
        <v>0</v>
      </c>
      <c r="M645" t="n">
        <v>0</v>
      </c>
      <c r="N645" t="n">
        <v>0</v>
      </c>
      <c r="O645" t="n">
        <v>0</v>
      </c>
      <c r="P645" t="n">
        <v>0</v>
      </c>
      <c r="Q645" t="n">
        <v>0</v>
      </c>
      <c r="R645" s="2" t="inlineStr"/>
    </row>
    <row r="646" ht="15" customHeight="1">
      <c r="A646" t="inlineStr">
        <is>
          <t>A 60400-2025</t>
        </is>
      </c>
      <c r="B646" s="1" t="n">
        <v>45995</v>
      </c>
      <c r="C646" s="1" t="n">
        <v>46019</v>
      </c>
      <c r="D646" t="inlineStr">
        <is>
          <t>ÖREBRO LÄN</t>
        </is>
      </c>
      <c r="E646" t="inlineStr">
        <is>
          <t>LINDESBERG</t>
        </is>
      </c>
      <c r="G646" t="n">
        <v>11.2</v>
      </c>
      <c r="H646" t="n">
        <v>0</v>
      </c>
      <c r="I646" t="n">
        <v>0</v>
      </c>
      <c r="J646" t="n">
        <v>0</v>
      </c>
      <c r="K646" t="n">
        <v>0</v>
      </c>
      <c r="L646" t="n">
        <v>0</v>
      </c>
      <c r="M646" t="n">
        <v>0</v>
      </c>
      <c r="N646" t="n">
        <v>0</v>
      </c>
      <c r="O646" t="n">
        <v>0</v>
      </c>
      <c r="P646" t="n">
        <v>0</v>
      </c>
      <c r="Q646" t="n">
        <v>0</v>
      </c>
      <c r="R646" s="2" t="inlineStr"/>
    </row>
    <row r="647" ht="15" customHeight="1">
      <c r="A647" t="inlineStr">
        <is>
          <t>A 53352-2023</t>
        </is>
      </c>
      <c r="B647" s="1" t="n">
        <v>45229.66262731481</v>
      </c>
      <c r="C647" s="1" t="n">
        <v>46019</v>
      </c>
      <c r="D647" t="inlineStr">
        <is>
          <t>ÖREBRO LÄN</t>
        </is>
      </c>
      <c r="E647" t="inlineStr">
        <is>
          <t>LINDESBERG</t>
        </is>
      </c>
      <c r="F647" t="inlineStr">
        <is>
          <t>Sveaskog</t>
        </is>
      </c>
      <c r="G647" t="n">
        <v>0.3</v>
      </c>
      <c r="H647" t="n">
        <v>0</v>
      </c>
      <c r="I647" t="n">
        <v>0</v>
      </c>
      <c r="J647" t="n">
        <v>0</v>
      </c>
      <c r="K647" t="n">
        <v>0</v>
      </c>
      <c r="L647" t="n">
        <v>0</v>
      </c>
      <c r="M647" t="n">
        <v>0</v>
      </c>
      <c r="N647" t="n">
        <v>0</v>
      </c>
      <c r="O647" t="n">
        <v>0</v>
      </c>
      <c r="P647" t="n">
        <v>0</v>
      </c>
      <c r="Q647" t="n">
        <v>0</v>
      </c>
      <c r="R647" s="2" t="inlineStr"/>
    </row>
    <row r="648" ht="15" customHeight="1">
      <c r="A648" t="inlineStr">
        <is>
          <t>A 62603-2025</t>
        </is>
      </c>
      <c r="B648" s="1" t="n">
        <v>46008.25765046296</v>
      </c>
      <c r="C648" s="1" t="n">
        <v>46019</v>
      </c>
      <c r="D648" t="inlineStr">
        <is>
          <t>ÖREBRO LÄN</t>
        </is>
      </c>
      <c r="E648" t="inlineStr">
        <is>
          <t>LINDESBERG</t>
        </is>
      </c>
      <c r="G648" t="n">
        <v>2.3</v>
      </c>
      <c r="H648" t="n">
        <v>0</v>
      </c>
      <c r="I648" t="n">
        <v>0</v>
      </c>
      <c r="J648" t="n">
        <v>0</v>
      </c>
      <c r="K648" t="n">
        <v>0</v>
      </c>
      <c r="L648" t="n">
        <v>0</v>
      </c>
      <c r="M648" t="n">
        <v>0</v>
      </c>
      <c r="N648" t="n">
        <v>0</v>
      </c>
      <c r="O648" t="n">
        <v>0</v>
      </c>
      <c r="P648" t="n">
        <v>0</v>
      </c>
      <c r="Q648" t="n">
        <v>0</v>
      </c>
      <c r="R648" s="2" t="inlineStr"/>
    </row>
    <row r="649" ht="15" customHeight="1">
      <c r="A649" t="inlineStr">
        <is>
          <t>A 62604-2025</t>
        </is>
      </c>
      <c r="B649" s="1" t="n">
        <v>46008.26085648148</v>
      </c>
      <c r="C649" s="1" t="n">
        <v>46019</v>
      </c>
      <c r="D649" t="inlineStr">
        <is>
          <t>ÖREBRO LÄN</t>
        </is>
      </c>
      <c r="E649" t="inlineStr">
        <is>
          <t>LINDESBERG</t>
        </is>
      </c>
      <c r="G649" t="n">
        <v>0.6</v>
      </c>
      <c r="H649" t="n">
        <v>0</v>
      </c>
      <c r="I649" t="n">
        <v>0</v>
      </c>
      <c r="J649" t="n">
        <v>0</v>
      </c>
      <c r="K649" t="n">
        <v>0</v>
      </c>
      <c r="L649" t="n">
        <v>0</v>
      </c>
      <c r="M649" t="n">
        <v>0</v>
      </c>
      <c r="N649" t="n">
        <v>0</v>
      </c>
      <c r="O649" t="n">
        <v>0</v>
      </c>
      <c r="P649" t="n">
        <v>0</v>
      </c>
      <c r="Q649" t="n">
        <v>0</v>
      </c>
      <c r="R649" s="2" t="inlineStr"/>
    </row>
    <row r="650" ht="15" customHeight="1">
      <c r="A650" t="inlineStr">
        <is>
          <t>A 6727-2022</t>
        </is>
      </c>
      <c r="B650" s="1" t="n">
        <v>44602.45490740741</v>
      </c>
      <c r="C650" s="1" t="n">
        <v>46019</v>
      </c>
      <c r="D650" t="inlineStr">
        <is>
          <t>ÖREBRO LÄN</t>
        </is>
      </c>
      <c r="E650" t="inlineStr">
        <is>
          <t>LINDESBERG</t>
        </is>
      </c>
      <c r="G650" t="n">
        <v>0.8</v>
      </c>
      <c r="H650" t="n">
        <v>0</v>
      </c>
      <c r="I650" t="n">
        <v>0</v>
      </c>
      <c r="J650" t="n">
        <v>0</v>
      </c>
      <c r="K650" t="n">
        <v>0</v>
      </c>
      <c r="L650" t="n">
        <v>0</v>
      </c>
      <c r="M650" t="n">
        <v>0</v>
      </c>
      <c r="N650" t="n">
        <v>0</v>
      </c>
      <c r="O650" t="n">
        <v>0</v>
      </c>
      <c r="P650" t="n">
        <v>0</v>
      </c>
      <c r="Q650" t="n">
        <v>0</v>
      </c>
      <c r="R650" s="2" t="inlineStr"/>
    </row>
    <row r="651" ht="15" customHeight="1">
      <c r="A651" t="inlineStr">
        <is>
          <t>A 55065-2025</t>
        </is>
      </c>
      <c r="B651" s="1" t="n">
        <v>45967.7096875</v>
      </c>
      <c r="C651" s="1" t="n">
        <v>46019</v>
      </c>
      <c r="D651" t="inlineStr">
        <is>
          <t>ÖREBRO LÄN</t>
        </is>
      </c>
      <c r="E651" t="inlineStr">
        <is>
          <t>LINDESBERG</t>
        </is>
      </c>
      <c r="G651" t="n">
        <v>3.5</v>
      </c>
      <c r="H651" t="n">
        <v>0</v>
      </c>
      <c r="I651" t="n">
        <v>0</v>
      </c>
      <c r="J651" t="n">
        <v>0</v>
      </c>
      <c r="K651" t="n">
        <v>0</v>
      </c>
      <c r="L651" t="n">
        <v>0</v>
      </c>
      <c r="M651" t="n">
        <v>0</v>
      </c>
      <c r="N651" t="n">
        <v>0</v>
      </c>
      <c r="O651" t="n">
        <v>0</v>
      </c>
      <c r="P651" t="n">
        <v>0</v>
      </c>
      <c r="Q651" t="n">
        <v>0</v>
      </c>
      <c r="R651" s="2" t="inlineStr"/>
    </row>
    <row r="652" ht="15" customHeight="1">
      <c r="A652" t="inlineStr">
        <is>
          <t>A 60450-2025</t>
        </is>
      </c>
      <c r="B652" s="1" t="n">
        <v>45995</v>
      </c>
      <c r="C652" s="1" t="n">
        <v>46019</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44803-2024</t>
        </is>
      </c>
      <c r="B653" s="1" t="n">
        <v>45574.65087962963</v>
      </c>
      <c r="C653" s="1" t="n">
        <v>46019</v>
      </c>
      <c r="D653" t="inlineStr">
        <is>
          <t>ÖREBRO LÄN</t>
        </is>
      </c>
      <c r="E653" t="inlineStr">
        <is>
          <t>LINDESBERG</t>
        </is>
      </c>
      <c r="F653" t="inlineStr">
        <is>
          <t>Sveaskog</t>
        </is>
      </c>
      <c r="G653" t="n">
        <v>6.8</v>
      </c>
      <c r="H653" t="n">
        <v>0</v>
      </c>
      <c r="I653" t="n">
        <v>0</v>
      </c>
      <c r="J653" t="n">
        <v>0</v>
      </c>
      <c r="K653" t="n">
        <v>0</v>
      </c>
      <c r="L653" t="n">
        <v>0</v>
      </c>
      <c r="M653" t="n">
        <v>0</v>
      </c>
      <c r="N653" t="n">
        <v>0</v>
      </c>
      <c r="O653" t="n">
        <v>0</v>
      </c>
      <c r="P653" t="n">
        <v>0</v>
      </c>
      <c r="Q653" t="n">
        <v>0</v>
      </c>
      <c r="R653" s="2" t="inlineStr"/>
    </row>
    <row r="654" ht="15" customHeight="1">
      <c r="A654" t="inlineStr">
        <is>
          <t>A 25012-2023</t>
        </is>
      </c>
      <c r="B654" s="1" t="n">
        <v>45085</v>
      </c>
      <c r="C654" s="1" t="n">
        <v>46019</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63078-2025</t>
        </is>
      </c>
      <c r="B655" s="1" t="n">
        <v>46009.66377314815</v>
      </c>
      <c r="C655" s="1" t="n">
        <v>46019</v>
      </c>
      <c r="D655" t="inlineStr">
        <is>
          <t>ÖREBRO LÄN</t>
        </is>
      </c>
      <c r="E655" t="inlineStr">
        <is>
          <t>LINDESBERG</t>
        </is>
      </c>
      <c r="G655" t="n">
        <v>0.9</v>
      </c>
      <c r="H655" t="n">
        <v>0</v>
      </c>
      <c r="I655" t="n">
        <v>0</v>
      </c>
      <c r="J655" t="n">
        <v>0</v>
      </c>
      <c r="K655" t="n">
        <v>0</v>
      </c>
      <c r="L655" t="n">
        <v>0</v>
      </c>
      <c r="M655" t="n">
        <v>0</v>
      </c>
      <c r="N655" t="n">
        <v>0</v>
      </c>
      <c r="O655" t="n">
        <v>0</v>
      </c>
      <c r="P655" t="n">
        <v>0</v>
      </c>
      <c r="Q655" t="n">
        <v>0</v>
      </c>
      <c r="R655" s="2" t="inlineStr"/>
    </row>
    <row r="656" ht="15" customHeight="1">
      <c r="A656" t="inlineStr">
        <is>
          <t>A 63083-2025</t>
        </is>
      </c>
      <c r="B656" s="1" t="n">
        <v>46009.67175925926</v>
      </c>
      <c r="C656" s="1" t="n">
        <v>46019</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13969-2025</t>
        </is>
      </c>
      <c r="B657" s="1" t="n">
        <v>45738.43714120371</v>
      </c>
      <c r="C657" s="1" t="n">
        <v>46019</v>
      </c>
      <c r="D657" t="inlineStr">
        <is>
          <t>ÖREBRO LÄN</t>
        </is>
      </c>
      <c r="E657" t="inlineStr">
        <is>
          <t>LINDESBERG</t>
        </is>
      </c>
      <c r="G657" t="n">
        <v>1.5</v>
      </c>
      <c r="H657" t="n">
        <v>0</v>
      </c>
      <c r="I657" t="n">
        <v>0</v>
      </c>
      <c r="J657" t="n">
        <v>0</v>
      </c>
      <c r="K657" t="n">
        <v>0</v>
      </c>
      <c r="L657" t="n">
        <v>0</v>
      </c>
      <c r="M657" t="n">
        <v>0</v>
      </c>
      <c r="N657" t="n">
        <v>0</v>
      </c>
      <c r="O657" t="n">
        <v>0</v>
      </c>
      <c r="P657" t="n">
        <v>0</v>
      </c>
      <c r="Q657" t="n">
        <v>0</v>
      </c>
      <c r="R657" s="2" t="inlineStr"/>
    </row>
    <row r="658" ht="15" customHeight="1">
      <c r="A658" t="inlineStr">
        <is>
          <t>A 61739-2025</t>
        </is>
      </c>
      <c r="B658" s="1" t="n">
        <v>46002</v>
      </c>
      <c r="C658" s="1" t="n">
        <v>46019</v>
      </c>
      <c r="D658" t="inlineStr">
        <is>
          <t>ÖREBRO LÄN</t>
        </is>
      </c>
      <c r="E658" t="inlineStr">
        <is>
          <t>LINDESBERG</t>
        </is>
      </c>
      <c r="G658" t="n">
        <v>5.3</v>
      </c>
      <c r="H658" t="n">
        <v>0</v>
      </c>
      <c r="I658" t="n">
        <v>0</v>
      </c>
      <c r="J658" t="n">
        <v>0</v>
      </c>
      <c r="K658" t="n">
        <v>0</v>
      </c>
      <c r="L658" t="n">
        <v>0</v>
      </c>
      <c r="M658" t="n">
        <v>0</v>
      </c>
      <c r="N658" t="n">
        <v>0</v>
      </c>
      <c r="O658" t="n">
        <v>0</v>
      </c>
      <c r="P658" t="n">
        <v>0</v>
      </c>
      <c r="Q658" t="n">
        <v>0</v>
      </c>
      <c r="R658" s="2" t="inlineStr"/>
    </row>
    <row r="659" ht="15" customHeight="1">
      <c r="A659" t="inlineStr">
        <is>
          <t>A 53366-2023</t>
        </is>
      </c>
      <c r="B659" s="1" t="n">
        <v>45229</v>
      </c>
      <c r="C659" s="1" t="n">
        <v>46019</v>
      </c>
      <c r="D659" t="inlineStr">
        <is>
          <t>ÖREBRO LÄN</t>
        </is>
      </c>
      <c r="E659" t="inlineStr">
        <is>
          <t>LINDESBERG</t>
        </is>
      </c>
      <c r="G659" t="n">
        <v>1.9</v>
      </c>
      <c r="H659" t="n">
        <v>0</v>
      </c>
      <c r="I659" t="n">
        <v>0</v>
      </c>
      <c r="J659" t="n">
        <v>0</v>
      </c>
      <c r="K659" t="n">
        <v>0</v>
      </c>
      <c r="L659" t="n">
        <v>0</v>
      </c>
      <c r="M659" t="n">
        <v>0</v>
      </c>
      <c r="N659" t="n">
        <v>0</v>
      </c>
      <c r="O659" t="n">
        <v>0</v>
      </c>
      <c r="P659" t="n">
        <v>0</v>
      </c>
      <c r="Q659" t="n">
        <v>0</v>
      </c>
      <c r="R659" s="2" t="inlineStr"/>
    </row>
    <row r="660" ht="15" customHeight="1">
      <c r="A660" t="inlineStr">
        <is>
          <t>A 55255-2025</t>
        </is>
      </c>
      <c r="B660" s="1" t="n">
        <v>45968.63695601852</v>
      </c>
      <c r="C660" s="1" t="n">
        <v>46019</v>
      </c>
      <c r="D660" t="inlineStr">
        <is>
          <t>ÖREBRO LÄN</t>
        </is>
      </c>
      <c r="E660" t="inlineStr">
        <is>
          <t>LINDESBERG</t>
        </is>
      </c>
      <c r="F660" t="inlineStr">
        <is>
          <t>Kyrkan</t>
        </is>
      </c>
      <c r="G660" t="n">
        <v>1</v>
      </c>
      <c r="H660" t="n">
        <v>0</v>
      </c>
      <c r="I660" t="n">
        <v>0</v>
      </c>
      <c r="J660" t="n">
        <v>0</v>
      </c>
      <c r="K660" t="n">
        <v>0</v>
      </c>
      <c r="L660" t="n">
        <v>0</v>
      </c>
      <c r="M660" t="n">
        <v>0</v>
      </c>
      <c r="N660" t="n">
        <v>0</v>
      </c>
      <c r="O660" t="n">
        <v>0</v>
      </c>
      <c r="P660" t="n">
        <v>0</v>
      </c>
      <c r="Q660" t="n">
        <v>0</v>
      </c>
      <c r="R660" s="2" t="inlineStr"/>
    </row>
    <row r="661" ht="15" customHeight="1">
      <c r="A661" t="inlineStr">
        <is>
          <t>A 42430-2024</t>
        </is>
      </c>
      <c r="B661" s="1" t="n">
        <v>45565.40700231482</v>
      </c>
      <c r="C661" s="1" t="n">
        <v>46019</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36754-2024</t>
        </is>
      </c>
      <c r="B662" s="1" t="n">
        <v>45538.34796296297</v>
      </c>
      <c r="C662" s="1" t="n">
        <v>46019</v>
      </c>
      <c r="D662" t="inlineStr">
        <is>
          <t>ÖREBRO LÄN</t>
        </is>
      </c>
      <c r="E662" t="inlineStr">
        <is>
          <t>LINDESBERG</t>
        </is>
      </c>
      <c r="F662" t="inlineStr">
        <is>
          <t>Sveaskog</t>
        </is>
      </c>
      <c r="G662" t="n">
        <v>3.1</v>
      </c>
      <c r="H662" t="n">
        <v>0</v>
      </c>
      <c r="I662" t="n">
        <v>0</v>
      </c>
      <c r="J662" t="n">
        <v>0</v>
      </c>
      <c r="K662" t="n">
        <v>0</v>
      </c>
      <c r="L662" t="n">
        <v>0</v>
      </c>
      <c r="M662" t="n">
        <v>0</v>
      </c>
      <c r="N662" t="n">
        <v>0</v>
      </c>
      <c r="O662" t="n">
        <v>0</v>
      </c>
      <c r="P662" t="n">
        <v>0</v>
      </c>
      <c r="Q662" t="n">
        <v>0</v>
      </c>
      <c r="R662" s="2" t="inlineStr"/>
    </row>
    <row r="663" ht="15" customHeight="1">
      <c r="A663" t="inlineStr">
        <is>
          <t>A 61736-2025</t>
        </is>
      </c>
      <c r="B663" s="1" t="n">
        <v>46002</v>
      </c>
      <c r="C663" s="1" t="n">
        <v>46019</v>
      </c>
      <c r="D663" t="inlineStr">
        <is>
          <t>ÖREBRO LÄN</t>
        </is>
      </c>
      <c r="E663" t="inlineStr">
        <is>
          <t>LINDESBERG</t>
        </is>
      </c>
      <c r="G663" t="n">
        <v>4.5</v>
      </c>
      <c r="H663" t="n">
        <v>0</v>
      </c>
      <c r="I663" t="n">
        <v>0</v>
      </c>
      <c r="J663" t="n">
        <v>0</v>
      </c>
      <c r="K663" t="n">
        <v>0</v>
      </c>
      <c r="L663" t="n">
        <v>0</v>
      </c>
      <c r="M663" t="n">
        <v>0</v>
      </c>
      <c r="N663" t="n">
        <v>0</v>
      </c>
      <c r="O663" t="n">
        <v>0</v>
      </c>
      <c r="P663" t="n">
        <v>0</v>
      </c>
      <c r="Q663" t="n">
        <v>0</v>
      </c>
      <c r="R663" s="2" t="inlineStr"/>
    </row>
    <row r="664" ht="15" customHeight="1">
      <c r="A664" t="inlineStr">
        <is>
          <t>A 55477-2025</t>
        </is>
      </c>
      <c r="B664" s="1" t="n">
        <v>45971.56197916667</v>
      </c>
      <c r="C664" s="1" t="n">
        <v>46019</v>
      </c>
      <c r="D664" t="inlineStr">
        <is>
          <t>ÖREBRO LÄN</t>
        </is>
      </c>
      <c r="E664" t="inlineStr">
        <is>
          <t>LINDESBERG</t>
        </is>
      </c>
      <c r="G664" t="n">
        <v>1.2</v>
      </c>
      <c r="H664" t="n">
        <v>0</v>
      </c>
      <c r="I664" t="n">
        <v>0</v>
      </c>
      <c r="J664" t="n">
        <v>0</v>
      </c>
      <c r="K664" t="n">
        <v>0</v>
      </c>
      <c r="L664" t="n">
        <v>0</v>
      </c>
      <c r="M664" t="n">
        <v>0</v>
      </c>
      <c r="N664" t="n">
        <v>0</v>
      </c>
      <c r="O664" t="n">
        <v>0</v>
      </c>
      <c r="P664" t="n">
        <v>0</v>
      </c>
      <c r="Q664" t="n">
        <v>0</v>
      </c>
      <c r="R664" s="2" t="inlineStr"/>
    </row>
    <row r="665" ht="15" customHeight="1">
      <c r="A665" t="inlineStr">
        <is>
          <t>A 55490-2025</t>
        </is>
      </c>
      <c r="B665" s="1" t="n">
        <v>45971.57659722222</v>
      </c>
      <c r="C665" s="1" t="n">
        <v>46019</v>
      </c>
      <c r="D665" t="inlineStr">
        <is>
          <t>ÖREBRO LÄN</t>
        </is>
      </c>
      <c r="E665" t="inlineStr">
        <is>
          <t>LINDESBERG</t>
        </is>
      </c>
      <c r="G665" t="n">
        <v>1.1</v>
      </c>
      <c r="H665" t="n">
        <v>0</v>
      </c>
      <c r="I665" t="n">
        <v>0</v>
      </c>
      <c r="J665" t="n">
        <v>0</v>
      </c>
      <c r="K665" t="n">
        <v>0</v>
      </c>
      <c r="L665" t="n">
        <v>0</v>
      </c>
      <c r="M665" t="n">
        <v>0</v>
      </c>
      <c r="N665" t="n">
        <v>0</v>
      </c>
      <c r="O665" t="n">
        <v>0</v>
      </c>
      <c r="P665" t="n">
        <v>0</v>
      </c>
      <c r="Q665" t="n">
        <v>0</v>
      </c>
      <c r="R665" s="2" t="inlineStr"/>
    </row>
    <row r="666" ht="15" customHeight="1">
      <c r="A666" t="inlineStr">
        <is>
          <t>A 1354-2024</t>
        </is>
      </c>
      <c r="B666" s="1" t="n">
        <v>45303</v>
      </c>
      <c r="C666" s="1" t="n">
        <v>46019</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27001-2024</t>
        </is>
      </c>
      <c r="B667" s="1" t="n">
        <v>45471.38995370371</v>
      </c>
      <c r="C667" s="1" t="n">
        <v>46019</v>
      </c>
      <c r="D667" t="inlineStr">
        <is>
          <t>ÖREBRO LÄN</t>
        </is>
      </c>
      <c r="E667" t="inlineStr">
        <is>
          <t>LINDESBERG</t>
        </is>
      </c>
      <c r="G667" t="n">
        <v>2.8</v>
      </c>
      <c r="H667" t="n">
        <v>0</v>
      </c>
      <c r="I667" t="n">
        <v>0</v>
      </c>
      <c r="J667" t="n">
        <v>0</v>
      </c>
      <c r="K667" t="n">
        <v>0</v>
      </c>
      <c r="L667" t="n">
        <v>0</v>
      </c>
      <c r="M667" t="n">
        <v>0</v>
      </c>
      <c r="N667" t="n">
        <v>0</v>
      </c>
      <c r="O667" t="n">
        <v>0</v>
      </c>
      <c r="P667" t="n">
        <v>0</v>
      </c>
      <c r="Q667" t="n">
        <v>0</v>
      </c>
      <c r="R667" s="2" t="inlineStr"/>
    </row>
    <row r="668" ht="15" customHeight="1">
      <c r="A668" t="inlineStr">
        <is>
          <t>A 26067-2022</t>
        </is>
      </c>
      <c r="B668" s="1" t="n">
        <v>44734.64337962963</v>
      </c>
      <c r="C668" s="1" t="n">
        <v>46019</v>
      </c>
      <c r="D668" t="inlineStr">
        <is>
          <t>ÖREBRO LÄN</t>
        </is>
      </c>
      <c r="E668" t="inlineStr">
        <is>
          <t>LINDESBERG</t>
        </is>
      </c>
      <c r="G668" t="n">
        <v>3.1</v>
      </c>
      <c r="H668" t="n">
        <v>0</v>
      </c>
      <c r="I668" t="n">
        <v>0</v>
      </c>
      <c r="J668" t="n">
        <v>0</v>
      </c>
      <c r="K668" t="n">
        <v>0</v>
      </c>
      <c r="L668" t="n">
        <v>0</v>
      </c>
      <c r="M668" t="n">
        <v>0</v>
      </c>
      <c r="N668" t="n">
        <v>0</v>
      </c>
      <c r="O668" t="n">
        <v>0</v>
      </c>
      <c r="P668" t="n">
        <v>0</v>
      </c>
      <c r="Q668" t="n">
        <v>0</v>
      </c>
      <c r="R668" s="2" t="inlineStr"/>
    </row>
    <row r="669" ht="15" customHeight="1">
      <c r="A669" t="inlineStr">
        <is>
          <t>A 59395-2022</t>
        </is>
      </c>
      <c r="B669" s="1" t="n">
        <v>44906.73321759259</v>
      </c>
      <c r="C669" s="1" t="n">
        <v>46019</v>
      </c>
      <c r="D669" t="inlineStr">
        <is>
          <t>ÖREBRO LÄN</t>
        </is>
      </c>
      <c r="E669" t="inlineStr">
        <is>
          <t>LINDESBERG</t>
        </is>
      </c>
      <c r="G669" t="n">
        <v>4.3</v>
      </c>
      <c r="H669" t="n">
        <v>0</v>
      </c>
      <c r="I669" t="n">
        <v>0</v>
      </c>
      <c r="J669" t="n">
        <v>0</v>
      </c>
      <c r="K669" t="n">
        <v>0</v>
      </c>
      <c r="L669" t="n">
        <v>0</v>
      </c>
      <c r="M669" t="n">
        <v>0</v>
      </c>
      <c r="N669" t="n">
        <v>0</v>
      </c>
      <c r="O669" t="n">
        <v>0</v>
      </c>
      <c r="P669" t="n">
        <v>0</v>
      </c>
      <c r="Q669" t="n">
        <v>0</v>
      </c>
      <c r="R669" s="2" t="inlineStr"/>
    </row>
    <row r="670" ht="15" customHeight="1">
      <c r="A670" t="inlineStr">
        <is>
          <t>A 19043-2023</t>
        </is>
      </c>
      <c r="B670" s="1" t="n">
        <v>45047.7181712963</v>
      </c>
      <c r="C670" s="1" t="n">
        <v>46019</v>
      </c>
      <c r="D670" t="inlineStr">
        <is>
          <t>ÖREBRO LÄN</t>
        </is>
      </c>
      <c r="E670" t="inlineStr">
        <is>
          <t>LINDESBERG</t>
        </is>
      </c>
      <c r="G670" t="n">
        <v>2.6</v>
      </c>
      <c r="H670" t="n">
        <v>0</v>
      </c>
      <c r="I670" t="n">
        <v>0</v>
      </c>
      <c r="J670" t="n">
        <v>0</v>
      </c>
      <c r="K670" t="n">
        <v>0</v>
      </c>
      <c r="L670" t="n">
        <v>0</v>
      </c>
      <c r="M670" t="n">
        <v>0</v>
      </c>
      <c r="N670" t="n">
        <v>0</v>
      </c>
      <c r="O670" t="n">
        <v>0</v>
      </c>
      <c r="P670" t="n">
        <v>0</v>
      </c>
      <c r="Q670" t="n">
        <v>0</v>
      </c>
      <c r="R670" s="2" t="inlineStr"/>
    </row>
    <row r="671" ht="15" customHeight="1">
      <c r="A671" t="inlineStr">
        <is>
          <t>A 41343-2021</t>
        </is>
      </c>
      <c r="B671" s="1" t="n">
        <v>44424.61709490741</v>
      </c>
      <c r="C671" s="1" t="n">
        <v>46019</v>
      </c>
      <c r="D671" t="inlineStr">
        <is>
          <t>ÖREBRO LÄN</t>
        </is>
      </c>
      <c r="E671" t="inlineStr">
        <is>
          <t>LINDESBERG</t>
        </is>
      </c>
      <c r="G671" t="n">
        <v>8.9</v>
      </c>
      <c r="H671" t="n">
        <v>0</v>
      </c>
      <c r="I671" t="n">
        <v>0</v>
      </c>
      <c r="J671" t="n">
        <v>0</v>
      </c>
      <c r="K671" t="n">
        <v>0</v>
      </c>
      <c r="L671" t="n">
        <v>0</v>
      </c>
      <c r="M671" t="n">
        <v>0</v>
      </c>
      <c r="N671" t="n">
        <v>0</v>
      </c>
      <c r="O671" t="n">
        <v>0</v>
      </c>
      <c r="P671" t="n">
        <v>0</v>
      </c>
      <c r="Q671" t="n">
        <v>0</v>
      </c>
      <c r="R671" s="2" t="inlineStr"/>
    </row>
    <row r="672" ht="15" customHeight="1">
      <c r="A672" t="inlineStr">
        <is>
          <t>A 43416-2024</t>
        </is>
      </c>
      <c r="B672" s="1" t="n">
        <v>45568.62625</v>
      </c>
      <c r="C672" s="1" t="n">
        <v>46019</v>
      </c>
      <c r="D672" t="inlineStr">
        <is>
          <t>ÖREBRO LÄN</t>
        </is>
      </c>
      <c r="E672" t="inlineStr">
        <is>
          <t>LINDESBERG</t>
        </is>
      </c>
      <c r="F672" t="inlineStr">
        <is>
          <t>Sveaskog</t>
        </is>
      </c>
      <c r="G672" t="n">
        <v>0.6</v>
      </c>
      <c r="H672" t="n">
        <v>0</v>
      </c>
      <c r="I672" t="n">
        <v>0</v>
      </c>
      <c r="J672" t="n">
        <v>0</v>
      </c>
      <c r="K672" t="n">
        <v>0</v>
      </c>
      <c r="L672" t="n">
        <v>0</v>
      </c>
      <c r="M672" t="n">
        <v>0</v>
      </c>
      <c r="N672" t="n">
        <v>0</v>
      </c>
      <c r="O672" t="n">
        <v>0</v>
      </c>
      <c r="P672" t="n">
        <v>0</v>
      </c>
      <c r="Q672" t="n">
        <v>0</v>
      </c>
      <c r="R672" s="2" t="inlineStr"/>
    </row>
    <row r="673" ht="15" customHeight="1">
      <c r="A673" t="inlineStr">
        <is>
          <t>A 58056-2025</t>
        </is>
      </c>
      <c r="B673" s="1" t="n">
        <v>45982</v>
      </c>
      <c r="C673" s="1" t="n">
        <v>46019</v>
      </c>
      <c r="D673" t="inlineStr">
        <is>
          <t>ÖREBRO LÄN</t>
        </is>
      </c>
      <c r="E673" t="inlineStr">
        <is>
          <t>LINDESBERG</t>
        </is>
      </c>
      <c r="G673" t="n">
        <v>0.9</v>
      </c>
      <c r="H673" t="n">
        <v>0</v>
      </c>
      <c r="I673" t="n">
        <v>0</v>
      </c>
      <c r="J673" t="n">
        <v>0</v>
      </c>
      <c r="K673" t="n">
        <v>0</v>
      </c>
      <c r="L673" t="n">
        <v>0</v>
      </c>
      <c r="M673" t="n">
        <v>0</v>
      </c>
      <c r="N673" t="n">
        <v>0</v>
      </c>
      <c r="O673" t="n">
        <v>0</v>
      </c>
      <c r="P673" t="n">
        <v>0</v>
      </c>
      <c r="Q673" t="n">
        <v>0</v>
      </c>
      <c r="R673" s="2" t="inlineStr"/>
    </row>
    <row r="674" ht="15" customHeight="1">
      <c r="A674" t="inlineStr">
        <is>
          <t>A 58050-2025</t>
        </is>
      </c>
      <c r="B674" s="1" t="n">
        <v>45982</v>
      </c>
      <c r="C674" s="1" t="n">
        <v>46019</v>
      </c>
      <c r="D674" t="inlineStr">
        <is>
          <t>ÖREBRO LÄN</t>
        </is>
      </c>
      <c r="E674" t="inlineStr">
        <is>
          <t>LINDESBERG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10654-2023</t>
        </is>
      </c>
      <c r="B675" s="1" t="n">
        <v>44984</v>
      </c>
      <c r="C675" s="1" t="n">
        <v>46019</v>
      </c>
      <c r="D675" t="inlineStr">
        <is>
          <t>ÖREBRO LÄN</t>
        </is>
      </c>
      <c r="E675" t="inlineStr">
        <is>
          <t>LINDESBERG</t>
        </is>
      </c>
      <c r="G675" t="n">
        <v>1.2</v>
      </c>
      <c r="H675" t="n">
        <v>0</v>
      </c>
      <c r="I675" t="n">
        <v>0</v>
      </c>
      <c r="J675" t="n">
        <v>0</v>
      </c>
      <c r="K675" t="n">
        <v>0</v>
      </c>
      <c r="L675" t="n">
        <v>0</v>
      </c>
      <c r="M675" t="n">
        <v>0</v>
      </c>
      <c r="N675" t="n">
        <v>0</v>
      </c>
      <c r="O675" t="n">
        <v>0</v>
      </c>
      <c r="P675" t="n">
        <v>0</v>
      </c>
      <c r="Q675" t="n">
        <v>0</v>
      </c>
      <c r="R675" s="2" t="inlineStr"/>
    </row>
    <row r="676" ht="15" customHeight="1">
      <c r="A676" t="inlineStr">
        <is>
          <t>A 63125-2023</t>
        </is>
      </c>
      <c r="B676" s="1" t="n">
        <v>45273</v>
      </c>
      <c r="C676" s="1" t="n">
        <v>46019</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56306-2025</t>
        </is>
      </c>
      <c r="B677" s="1" t="n">
        <v>45974.61217592593</v>
      </c>
      <c r="C677" s="1" t="n">
        <v>46019</v>
      </c>
      <c r="D677" t="inlineStr">
        <is>
          <t>ÖREBRO LÄN</t>
        </is>
      </c>
      <c r="E677" t="inlineStr">
        <is>
          <t>LINDESBERG</t>
        </is>
      </c>
      <c r="F677" t="inlineStr">
        <is>
          <t>Sveaskog</t>
        </is>
      </c>
      <c r="G677" t="n">
        <v>0.9</v>
      </c>
      <c r="H677" t="n">
        <v>0</v>
      </c>
      <c r="I677" t="n">
        <v>0</v>
      </c>
      <c r="J677" t="n">
        <v>0</v>
      </c>
      <c r="K677" t="n">
        <v>0</v>
      </c>
      <c r="L677" t="n">
        <v>0</v>
      </c>
      <c r="M677" t="n">
        <v>0</v>
      </c>
      <c r="N677" t="n">
        <v>0</v>
      </c>
      <c r="O677" t="n">
        <v>0</v>
      </c>
      <c r="P677" t="n">
        <v>0</v>
      </c>
      <c r="Q677" t="n">
        <v>0</v>
      </c>
      <c r="R677" s="2" t="inlineStr"/>
    </row>
    <row r="678" ht="15" customHeight="1">
      <c r="A678" t="inlineStr">
        <is>
          <t>A 56308-2025</t>
        </is>
      </c>
      <c r="B678" s="1" t="n">
        <v>45974.61344907407</v>
      </c>
      <c r="C678" s="1" t="n">
        <v>46019</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56232-2025</t>
        </is>
      </c>
      <c r="B679" s="1" t="n">
        <v>45974.53239583333</v>
      </c>
      <c r="C679" s="1" t="n">
        <v>46019</v>
      </c>
      <c r="D679" t="inlineStr">
        <is>
          <t>ÖREBRO LÄN</t>
        </is>
      </c>
      <c r="E679" t="inlineStr">
        <is>
          <t>LINDESBERG</t>
        </is>
      </c>
      <c r="G679" t="n">
        <v>3.2</v>
      </c>
      <c r="H679" t="n">
        <v>0</v>
      </c>
      <c r="I679" t="n">
        <v>0</v>
      </c>
      <c r="J679" t="n">
        <v>0</v>
      </c>
      <c r="K679" t="n">
        <v>0</v>
      </c>
      <c r="L679" t="n">
        <v>0</v>
      </c>
      <c r="M679" t="n">
        <v>0</v>
      </c>
      <c r="N679" t="n">
        <v>0</v>
      </c>
      <c r="O679" t="n">
        <v>0</v>
      </c>
      <c r="P679" t="n">
        <v>0</v>
      </c>
      <c r="Q679" t="n">
        <v>0</v>
      </c>
      <c r="R679" s="2" t="inlineStr"/>
    </row>
    <row r="680" ht="15" customHeight="1">
      <c r="A680" t="inlineStr">
        <is>
          <t>A 56226-2025</t>
        </is>
      </c>
      <c r="B680" s="1" t="n">
        <v>45974.51283564815</v>
      </c>
      <c r="C680" s="1" t="n">
        <v>46019</v>
      </c>
      <c r="D680" t="inlineStr">
        <is>
          <t>ÖREBRO LÄN</t>
        </is>
      </c>
      <c r="E680" t="inlineStr">
        <is>
          <t>LINDESBERG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14454-2024</t>
        </is>
      </c>
      <c r="B681" s="1" t="n">
        <v>45394.51289351852</v>
      </c>
      <c r="C681" s="1" t="n">
        <v>46019</v>
      </c>
      <c r="D681" t="inlineStr">
        <is>
          <t>ÖREBRO LÄN</t>
        </is>
      </c>
      <c r="E681" t="inlineStr">
        <is>
          <t>LINDESBERG</t>
        </is>
      </c>
      <c r="G681" t="n">
        <v>1.9</v>
      </c>
      <c r="H681" t="n">
        <v>0</v>
      </c>
      <c r="I681" t="n">
        <v>0</v>
      </c>
      <c r="J681" t="n">
        <v>0</v>
      </c>
      <c r="K681" t="n">
        <v>0</v>
      </c>
      <c r="L681" t="n">
        <v>0</v>
      </c>
      <c r="M681" t="n">
        <v>0</v>
      </c>
      <c r="N681" t="n">
        <v>0</v>
      </c>
      <c r="O681" t="n">
        <v>0</v>
      </c>
      <c r="P681" t="n">
        <v>0</v>
      </c>
      <c r="Q681" t="n">
        <v>0</v>
      </c>
      <c r="R681" s="2" t="inlineStr"/>
    </row>
    <row r="682" ht="15" customHeight="1">
      <c r="A682" t="inlineStr">
        <is>
          <t>A 6752-2021</t>
        </is>
      </c>
      <c r="B682" s="1" t="n">
        <v>44236</v>
      </c>
      <c r="C682" s="1" t="n">
        <v>46019</v>
      </c>
      <c r="D682" t="inlineStr">
        <is>
          <t>ÖREBRO LÄN</t>
        </is>
      </c>
      <c r="E682" t="inlineStr">
        <is>
          <t>LINDESBERG</t>
        </is>
      </c>
      <c r="G682" t="n">
        <v>2.6</v>
      </c>
      <c r="H682" t="n">
        <v>0</v>
      </c>
      <c r="I682" t="n">
        <v>0</v>
      </c>
      <c r="J682" t="n">
        <v>0</v>
      </c>
      <c r="K682" t="n">
        <v>0</v>
      </c>
      <c r="L682" t="n">
        <v>0</v>
      </c>
      <c r="M682" t="n">
        <v>0</v>
      </c>
      <c r="N682" t="n">
        <v>0</v>
      </c>
      <c r="O682" t="n">
        <v>0</v>
      </c>
      <c r="P682" t="n">
        <v>0</v>
      </c>
      <c r="Q682" t="n">
        <v>0</v>
      </c>
      <c r="R682" s="2" t="inlineStr"/>
      <c r="U682">
        <f>HYPERLINK("https://klasma.github.io/Logging_1885/knärot/A 6752-2021 karta knärot.png", "A 6752-2021")</f>
        <v/>
      </c>
      <c r="V682">
        <f>HYPERLINK("https://klasma.github.io/Logging_1885/klagomål/A 6752-2021 FSC-klagomål.docx", "A 6752-2021")</f>
        <v/>
      </c>
      <c r="W682">
        <f>HYPERLINK("https://klasma.github.io/Logging_1885/klagomålsmail/A 6752-2021 FSC-klagomål mail.docx", "A 6752-2021")</f>
        <v/>
      </c>
      <c r="X682">
        <f>HYPERLINK("https://klasma.github.io/Logging_1885/tillsyn/A 6752-2021 tillsynsbegäran.docx", "A 6752-2021")</f>
        <v/>
      </c>
      <c r="Y682">
        <f>HYPERLINK("https://klasma.github.io/Logging_1885/tillsynsmail/A 6752-2021 tillsynsbegäran mail.docx", "A 6752-2021")</f>
        <v/>
      </c>
    </row>
    <row r="683" ht="15" customHeight="1">
      <c r="A683" t="inlineStr">
        <is>
          <t>A 61960-2024</t>
        </is>
      </c>
      <c r="B683" s="1" t="n">
        <v>45653.53664351852</v>
      </c>
      <c r="C683" s="1" t="n">
        <v>46019</v>
      </c>
      <c r="D683" t="inlineStr">
        <is>
          <t>ÖREBRO LÄN</t>
        </is>
      </c>
      <c r="E683" t="inlineStr">
        <is>
          <t>LINDESBERG</t>
        </is>
      </c>
      <c r="G683" t="n">
        <v>1.1</v>
      </c>
      <c r="H683" t="n">
        <v>0</v>
      </c>
      <c r="I683" t="n">
        <v>0</v>
      </c>
      <c r="J683" t="n">
        <v>0</v>
      </c>
      <c r="K683" t="n">
        <v>0</v>
      </c>
      <c r="L683" t="n">
        <v>0</v>
      </c>
      <c r="M683" t="n">
        <v>0</v>
      </c>
      <c r="N683" t="n">
        <v>0</v>
      </c>
      <c r="O683" t="n">
        <v>0</v>
      </c>
      <c r="P683" t="n">
        <v>0</v>
      </c>
      <c r="Q683" t="n">
        <v>0</v>
      </c>
      <c r="R683" s="2" t="inlineStr"/>
    </row>
    <row r="684" ht="15" customHeight="1">
      <c r="A684" t="inlineStr">
        <is>
          <t>A 34436-2023</t>
        </is>
      </c>
      <c r="B684" s="1" t="n">
        <v>45139.64328703703</v>
      </c>
      <c r="C684" s="1" t="n">
        <v>46019</v>
      </c>
      <c r="D684" t="inlineStr">
        <is>
          <t>ÖREBRO LÄN</t>
        </is>
      </c>
      <c r="E684" t="inlineStr">
        <is>
          <t>LINDESBERG</t>
        </is>
      </c>
      <c r="F684" t="inlineStr">
        <is>
          <t>Kyrkan</t>
        </is>
      </c>
      <c r="G684" t="n">
        <v>5.8</v>
      </c>
      <c r="H684" t="n">
        <v>0</v>
      </c>
      <c r="I684" t="n">
        <v>0</v>
      </c>
      <c r="J684" t="n">
        <v>0</v>
      </c>
      <c r="K684" t="n">
        <v>0</v>
      </c>
      <c r="L684" t="n">
        <v>0</v>
      </c>
      <c r="M684" t="n">
        <v>0</v>
      </c>
      <c r="N684" t="n">
        <v>0</v>
      </c>
      <c r="O684" t="n">
        <v>0</v>
      </c>
      <c r="P684" t="n">
        <v>0</v>
      </c>
      <c r="Q684" t="n">
        <v>0</v>
      </c>
      <c r="R684" s="2" t="inlineStr"/>
    </row>
    <row r="685" ht="15" customHeight="1">
      <c r="A685" t="inlineStr">
        <is>
          <t>A 54860-2024</t>
        </is>
      </c>
      <c r="B685" s="1" t="n">
        <v>45618.59219907408</v>
      </c>
      <c r="C685" s="1" t="n">
        <v>46019</v>
      </c>
      <c r="D685" t="inlineStr">
        <is>
          <t>ÖREBRO LÄN</t>
        </is>
      </c>
      <c r="E685" t="inlineStr">
        <is>
          <t>LINDESBERG</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6181-2025</t>
        </is>
      </c>
      <c r="B686" s="1" t="n">
        <v>45698</v>
      </c>
      <c r="C686" s="1" t="n">
        <v>46019</v>
      </c>
      <c r="D686" t="inlineStr">
        <is>
          <t>ÖREBRO LÄN</t>
        </is>
      </c>
      <c r="E686" t="inlineStr">
        <is>
          <t>LINDESBERG</t>
        </is>
      </c>
      <c r="G686" t="n">
        <v>2.8</v>
      </c>
      <c r="H686" t="n">
        <v>0</v>
      </c>
      <c r="I686" t="n">
        <v>0</v>
      </c>
      <c r="J686" t="n">
        <v>0</v>
      </c>
      <c r="K686" t="n">
        <v>0</v>
      </c>
      <c r="L686" t="n">
        <v>0</v>
      </c>
      <c r="M686" t="n">
        <v>0</v>
      </c>
      <c r="N686" t="n">
        <v>0</v>
      </c>
      <c r="O686" t="n">
        <v>0</v>
      </c>
      <c r="P686" t="n">
        <v>0</v>
      </c>
      <c r="Q686" t="n">
        <v>0</v>
      </c>
      <c r="R686" s="2" t="inlineStr"/>
    </row>
    <row r="687" ht="15" customHeight="1">
      <c r="A687" t="inlineStr">
        <is>
          <t>A 8612-2024</t>
        </is>
      </c>
      <c r="B687" s="1" t="n">
        <v>45355.70009259259</v>
      </c>
      <c r="C687" s="1" t="n">
        <v>46019</v>
      </c>
      <c r="D687" t="inlineStr">
        <is>
          <t>ÖREBRO LÄN</t>
        </is>
      </c>
      <c r="E687" t="inlineStr">
        <is>
          <t>LINDESBERG</t>
        </is>
      </c>
      <c r="G687" t="n">
        <v>4.5</v>
      </c>
      <c r="H687" t="n">
        <v>0</v>
      </c>
      <c r="I687" t="n">
        <v>0</v>
      </c>
      <c r="J687" t="n">
        <v>0</v>
      </c>
      <c r="K687" t="n">
        <v>0</v>
      </c>
      <c r="L687" t="n">
        <v>0</v>
      </c>
      <c r="M687" t="n">
        <v>0</v>
      </c>
      <c r="N687" t="n">
        <v>0</v>
      </c>
      <c r="O687" t="n">
        <v>0</v>
      </c>
      <c r="P687" t="n">
        <v>0</v>
      </c>
      <c r="Q687" t="n">
        <v>0</v>
      </c>
      <c r="R687" s="2" t="inlineStr"/>
    </row>
    <row r="688" ht="15" customHeight="1">
      <c r="A688" t="inlineStr">
        <is>
          <t>A 7126-2025</t>
        </is>
      </c>
      <c r="B688" s="1" t="n">
        <v>45702</v>
      </c>
      <c r="C688" s="1" t="n">
        <v>46019</v>
      </c>
      <c r="D688" t="inlineStr">
        <is>
          <t>ÖREBRO LÄN</t>
        </is>
      </c>
      <c r="E688" t="inlineStr">
        <is>
          <t>LINDESBERG</t>
        </is>
      </c>
      <c r="G688" t="n">
        <v>1.3</v>
      </c>
      <c r="H688" t="n">
        <v>0</v>
      </c>
      <c r="I688" t="n">
        <v>0</v>
      </c>
      <c r="J688" t="n">
        <v>0</v>
      </c>
      <c r="K688" t="n">
        <v>0</v>
      </c>
      <c r="L688" t="n">
        <v>0</v>
      </c>
      <c r="M688" t="n">
        <v>0</v>
      </c>
      <c r="N688" t="n">
        <v>0</v>
      </c>
      <c r="O688" t="n">
        <v>0</v>
      </c>
      <c r="P688" t="n">
        <v>0</v>
      </c>
      <c r="Q688" t="n">
        <v>0</v>
      </c>
      <c r="R688" s="2" t="inlineStr"/>
    </row>
    <row r="689" ht="15" customHeight="1">
      <c r="A689" t="inlineStr">
        <is>
          <t>A 9961-2023</t>
        </is>
      </c>
      <c r="B689" s="1" t="n">
        <v>44979</v>
      </c>
      <c r="C689" s="1" t="n">
        <v>46019</v>
      </c>
      <c r="D689" t="inlineStr">
        <is>
          <t>ÖREBRO LÄN</t>
        </is>
      </c>
      <c r="E689" t="inlineStr">
        <is>
          <t>LINDESBERG</t>
        </is>
      </c>
      <c r="G689" t="n">
        <v>4.8</v>
      </c>
      <c r="H689" t="n">
        <v>0</v>
      </c>
      <c r="I689" t="n">
        <v>0</v>
      </c>
      <c r="J689" t="n">
        <v>0</v>
      </c>
      <c r="K689" t="n">
        <v>0</v>
      </c>
      <c r="L689" t="n">
        <v>0</v>
      </c>
      <c r="M689" t="n">
        <v>0</v>
      </c>
      <c r="N689" t="n">
        <v>0</v>
      </c>
      <c r="O689" t="n">
        <v>0</v>
      </c>
      <c r="P689" t="n">
        <v>0</v>
      </c>
      <c r="Q689" t="n">
        <v>0</v>
      </c>
      <c r="R689" s="2" t="inlineStr"/>
    </row>
    <row r="690" ht="15" customHeight="1">
      <c r="A690" t="inlineStr">
        <is>
          <t>A 21084-2021</t>
        </is>
      </c>
      <c r="B690" s="1" t="n">
        <v>44319</v>
      </c>
      <c r="C690" s="1" t="n">
        <v>46019</v>
      </c>
      <c r="D690" t="inlineStr">
        <is>
          <t>ÖREBRO LÄN</t>
        </is>
      </c>
      <c r="E690" t="inlineStr">
        <is>
          <t>LINDESBERG</t>
        </is>
      </c>
      <c r="G690" t="n">
        <v>3.1</v>
      </c>
      <c r="H690" t="n">
        <v>0</v>
      </c>
      <c r="I690" t="n">
        <v>0</v>
      </c>
      <c r="J690" t="n">
        <v>0</v>
      </c>
      <c r="K690" t="n">
        <v>0</v>
      </c>
      <c r="L690" t="n">
        <v>0</v>
      </c>
      <c r="M690" t="n">
        <v>0</v>
      </c>
      <c r="N690" t="n">
        <v>0</v>
      </c>
      <c r="O690" t="n">
        <v>0</v>
      </c>
      <c r="P690" t="n">
        <v>0</v>
      </c>
      <c r="Q690" t="n">
        <v>0</v>
      </c>
      <c r="R690" s="2" t="inlineStr"/>
    </row>
    <row r="691" ht="15" customHeight="1">
      <c r="A691" t="inlineStr">
        <is>
          <t>A 5047-2023</t>
        </is>
      </c>
      <c r="B691" s="1" t="n">
        <v>44958.58982638889</v>
      </c>
      <c r="C691" s="1" t="n">
        <v>46019</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18590-2023</t>
        </is>
      </c>
      <c r="B692" s="1" t="n">
        <v>45043.40300925926</v>
      </c>
      <c r="C692" s="1" t="n">
        <v>46019</v>
      </c>
      <c r="D692" t="inlineStr">
        <is>
          <t>ÖREBRO LÄN</t>
        </is>
      </c>
      <c r="E692" t="inlineStr">
        <is>
          <t>LINDESBERG</t>
        </is>
      </c>
      <c r="G692" t="n">
        <v>2.4</v>
      </c>
      <c r="H692" t="n">
        <v>0</v>
      </c>
      <c r="I692" t="n">
        <v>0</v>
      </c>
      <c r="J692" t="n">
        <v>0</v>
      </c>
      <c r="K692" t="n">
        <v>0</v>
      </c>
      <c r="L692" t="n">
        <v>0</v>
      </c>
      <c r="M692" t="n">
        <v>0</v>
      </c>
      <c r="N692" t="n">
        <v>0</v>
      </c>
      <c r="O692" t="n">
        <v>0</v>
      </c>
      <c r="P692" t="n">
        <v>0</v>
      </c>
      <c r="Q692" t="n">
        <v>0</v>
      </c>
      <c r="R692" s="2" t="inlineStr"/>
    </row>
    <row r="693" ht="15" customHeight="1">
      <c r="A693" t="inlineStr">
        <is>
          <t>A 5784-2025</t>
        </is>
      </c>
      <c r="B693" s="1" t="n">
        <v>45694</v>
      </c>
      <c r="C693" s="1" t="n">
        <v>46019</v>
      </c>
      <c r="D693" t="inlineStr">
        <is>
          <t>ÖREBRO LÄN</t>
        </is>
      </c>
      <c r="E693" t="inlineStr">
        <is>
          <t>LINDESBERG</t>
        </is>
      </c>
      <c r="F693" t="inlineStr">
        <is>
          <t>Allmännings- och besparingsskogar</t>
        </is>
      </c>
      <c r="G693" t="n">
        <v>1.6</v>
      </c>
      <c r="H693" t="n">
        <v>0</v>
      </c>
      <c r="I693" t="n">
        <v>0</v>
      </c>
      <c r="J693" t="n">
        <v>0</v>
      </c>
      <c r="K693" t="n">
        <v>0</v>
      </c>
      <c r="L693" t="n">
        <v>0</v>
      </c>
      <c r="M693" t="n">
        <v>0</v>
      </c>
      <c r="N693" t="n">
        <v>0</v>
      </c>
      <c r="O693" t="n">
        <v>0</v>
      </c>
      <c r="P693" t="n">
        <v>0</v>
      </c>
      <c r="Q693" t="n">
        <v>0</v>
      </c>
      <c r="R693" s="2" t="inlineStr"/>
    </row>
    <row r="694" ht="15" customHeight="1">
      <c r="A694" t="inlineStr">
        <is>
          <t>A 16448-2025</t>
        </is>
      </c>
      <c r="B694" s="1" t="n">
        <v>45751.5056712963</v>
      </c>
      <c r="C694" s="1" t="n">
        <v>46019</v>
      </c>
      <c r="D694" t="inlineStr">
        <is>
          <t>ÖREBRO LÄN</t>
        </is>
      </c>
      <c r="E694" t="inlineStr">
        <is>
          <t>LINDESBERG</t>
        </is>
      </c>
      <c r="G694" t="n">
        <v>20.1</v>
      </c>
      <c r="H694" t="n">
        <v>0</v>
      </c>
      <c r="I694" t="n">
        <v>0</v>
      </c>
      <c r="J694" t="n">
        <v>0</v>
      </c>
      <c r="K694" t="n">
        <v>0</v>
      </c>
      <c r="L694" t="n">
        <v>0</v>
      </c>
      <c r="M694" t="n">
        <v>0</v>
      </c>
      <c r="N694" t="n">
        <v>0</v>
      </c>
      <c r="O694" t="n">
        <v>0</v>
      </c>
      <c r="P694" t="n">
        <v>0</v>
      </c>
      <c r="Q694" t="n">
        <v>0</v>
      </c>
      <c r="R694" s="2" t="inlineStr"/>
    </row>
    <row r="695" ht="15" customHeight="1">
      <c r="A695" t="inlineStr">
        <is>
          <t>A 54432-2023</t>
        </is>
      </c>
      <c r="B695" s="1" t="n">
        <v>45233.42121527778</v>
      </c>
      <c r="C695" s="1" t="n">
        <v>46019</v>
      </c>
      <c r="D695" t="inlineStr">
        <is>
          <t>ÖREBRO LÄN</t>
        </is>
      </c>
      <c r="E695" t="inlineStr">
        <is>
          <t>LINDESBERG</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9436-2023</t>
        </is>
      </c>
      <c r="B696" s="1" t="n">
        <v>44981</v>
      </c>
      <c r="C696" s="1" t="n">
        <v>46019</v>
      </c>
      <c r="D696" t="inlineStr">
        <is>
          <t>ÖREBRO LÄN</t>
        </is>
      </c>
      <c r="E696" t="inlineStr">
        <is>
          <t>LINDESBERG</t>
        </is>
      </c>
      <c r="G696" t="n">
        <v>2.8</v>
      </c>
      <c r="H696" t="n">
        <v>0</v>
      </c>
      <c r="I696" t="n">
        <v>0</v>
      </c>
      <c r="J696" t="n">
        <v>0</v>
      </c>
      <c r="K696" t="n">
        <v>0</v>
      </c>
      <c r="L696" t="n">
        <v>0</v>
      </c>
      <c r="M696" t="n">
        <v>0</v>
      </c>
      <c r="N696" t="n">
        <v>0</v>
      </c>
      <c r="O696" t="n">
        <v>0</v>
      </c>
      <c r="P696" t="n">
        <v>0</v>
      </c>
      <c r="Q696" t="n">
        <v>0</v>
      </c>
      <c r="R696" s="2" t="inlineStr"/>
    </row>
    <row r="697" ht="15" customHeight="1">
      <c r="A697" t="inlineStr">
        <is>
          <t>A 60200-2024</t>
        </is>
      </c>
      <c r="B697" s="1" t="n">
        <v>45642.66184027777</v>
      </c>
      <c r="C697" s="1" t="n">
        <v>46019</v>
      </c>
      <c r="D697" t="inlineStr">
        <is>
          <t>ÖREBRO LÄN</t>
        </is>
      </c>
      <c r="E697" t="inlineStr">
        <is>
          <t>LINDESBERG</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36747-2024</t>
        </is>
      </c>
      <c r="B698" s="1" t="n">
        <v>45538.34193287037</v>
      </c>
      <c r="C698" s="1" t="n">
        <v>46019</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13305-2023</t>
        </is>
      </c>
      <c r="B699" s="1" t="n">
        <v>45005.35967592592</v>
      </c>
      <c r="C699" s="1" t="n">
        <v>46019</v>
      </c>
      <c r="D699" t="inlineStr">
        <is>
          <t>ÖREBRO LÄN</t>
        </is>
      </c>
      <c r="E699" t="inlineStr">
        <is>
          <t>LINDESBERG</t>
        </is>
      </c>
      <c r="G699" t="n">
        <v>5.5</v>
      </c>
      <c r="H699" t="n">
        <v>0</v>
      </c>
      <c r="I699" t="n">
        <v>0</v>
      </c>
      <c r="J699" t="n">
        <v>0</v>
      </c>
      <c r="K699" t="n">
        <v>0</v>
      </c>
      <c r="L699" t="n">
        <v>0</v>
      </c>
      <c r="M699" t="n">
        <v>0</v>
      </c>
      <c r="N699" t="n">
        <v>0</v>
      </c>
      <c r="O699" t="n">
        <v>0</v>
      </c>
      <c r="P699" t="n">
        <v>0</v>
      </c>
      <c r="Q699" t="n">
        <v>0</v>
      </c>
      <c r="R699" s="2" t="inlineStr"/>
    </row>
    <row r="700" ht="15" customHeight="1">
      <c r="A700" t="inlineStr">
        <is>
          <t>A 13368-2023</t>
        </is>
      </c>
      <c r="B700" s="1" t="n">
        <v>45005.47820601852</v>
      </c>
      <c r="C700" s="1" t="n">
        <v>46019</v>
      </c>
      <c r="D700" t="inlineStr">
        <is>
          <t>ÖREBRO LÄN</t>
        </is>
      </c>
      <c r="E700" t="inlineStr">
        <is>
          <t>LINDESBERG</t>
        </is>
      </c>
      <c r="F700" t="inlineStr">
        <is>
          <t>Kommuner</t>
        </is>
      </c>
      <c r="G700" t="n">
        <v>0.7</v>
      </c>
      <c r="H700" t="n">
        <v>0</v>
      </c>
      <c r="I700" t="n">
        <v>0</v>
      </c>
      <c r="J700" t="n">
        <v>0</v>
      </c>
      <c r="K700" t="n">
        <v>0</v>
      </c>
      <c r="L700" t="n">
        <v>0</v>
      </c>
      <c r="M700" t="n">
        <v>0</v>
      </c>
      <c r="N700" t="n">
        <v>0</v>
      </c>
      <c r="O700" t="n">
        <v>0</v>
      </c>
      <c r="P700" t="n">
        <v>0</v>
      </c>
      <c r="Q700" t="n">
        <v>0</v>
      </c>
      <c r="R700" s="2" t="inlineStr"/>
    </row>
    <row r="701" ht="15" customHeight="1">
      <c r="A701" t="inlineStr">
        <is>
          <t>A 56912-2024</t>
        </is>
      </c>
      <c r="B701" s="1" t="n">
        <v>45628.59233796296</v>
      </c>
      <c r="C701" s="1" t="n">
        <v>46019</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15745-2024</t>
        </is>
      </c>
      <c r="B702" s="1" t="n">
        <v>45404.55239583334</v>
      </c>
      <c r="C702" s="1" t="n">
        <v>46019</v>
      </c>
      <c r="D702" t="inlineStr">
        <is>
          <t>ÖREBRO LÄN</t>
        </is>
      </c>
      <c r="E702" t="inlineStr">
        <is>
          <t>LINDESBERG</t>
        </is>
      </c>
      <c r="F702" t="inlineStr">
        <is>
          <t>Sveaskog</t>
        </is>
      </c>
      <c r="G702" t="n">
        <v>6.2</v>
      </c>
      <c r="H702" t="n">
        <v>0</v>
      </c>
      <c r="I702" t="n">
        <v>0</v>
      </c>
      <c r="J702" t="n">
        <v>0</v>
      </c>
      <c r="K702" t="n">
        <v>0</v>
      </c>
      <c r="L702" t="n">
        <v>0</v>
      </c>
      <c r="M702" t="n">
        <v>0</v>
      </c>
      <c r="N702" t="n">
        <v>0</v>
      </c>
      <c r="O702" t="n">
        <v>0</v>
      </c>
      <c r="P702" t="n">
        <v>0</v>
      </c>
      <c r="Q702" t="n">
        <v>0</v>
      </c>
      <c r="R702" s="2" t="inlineStr"/>
    </row>
    <row r="703" ht="15" customHeight="1">
      <c r="A703" t="inlineStr">
        <is>
          <t>A 15750-2024</t>
        </is>
      </c>
      <c r="B703" s="1" t="n">
        <v>45404.55601851852</v>
      </c>
      <c r="C703" s="1" t="n">
        <v>46019</v>
      </c>
      <c r="D703" t="inlineStr">
        <is>
          <t>ÖREBRO LÄN</t>
        </is>
      </c>
      <c r="E703" t="inlineStr">
        <is>
          <t>LINDESBERG</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72698-2021</t>
        </is>
      </c>
      <c r="B704" s="1" t="n">
        <v>44546.6679050926</v>
      </c>
      <c r="C704" s="1" t="n">
        <v>46019</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19110-2025</t>
        </is>
      </c>
      <c r="B705" s="1" t="n">
        <v>45768.49947916667</v>
      </c>
      <c r="C705" s="1" t="n">
        <v>46019</v>
      </c>
      <c r="D705" t="inlineStr">
        <is>
          <t>ÖREBRO LÄN</t>
        </is>
      </c>
      <c r="E705" t="inlineStr">
        <is>
          <t>LINDESBERG</t>
        </is>
      </c>
      <c r="G705" t="n">
        <v>2.6</v>
      </c>
      <c r="H705" t="n">
        <v>0</v>
      </c>
      <c r="I705" t="n">
        <v>0</v>
      </c>
      <c r="J705" t="n">
        <v>0</v>
      </c>
      <c r="K705" t="n">
        <v>0</v>
      </c>
      <c r="L705" t="n">
        <v>0</v>
      </c>
      <c r="M705" t="n">
        <v>0</v>
      </c>
      <c r="N705" t="n">
        <v>0</v>
      </c>
      <c r="O705" t="n">
        <v>0</v>
      </c>
      <c r="P705" t="n">
        <v>0</v>
      </c>
      <c r="Q705" t="n">
        <v>0</v>
      </c>
      <c r="R705" s="2" t="inlineStr"/>
    </row>
    <row r="706" ht="15" customHeight="1">
      <c r="A706" t="inlineStr">
        <is>
          <t>A 46678-2023</t>
        </is>
      </c>
      <c r="B706" s="1" t="n">
        <v>45194</v>
      </c>
      <c r="C706" s="1" t="n">
        <v>46019</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23579-2022</t>
        </is>
      </c>
      <c r="B707" s="1" t="n">
        <v>44721.52627314815</v>
      </c>
      <c r="C707" s="1" t="n">
        <v>46019</v>
      </c>
      <c r="D707" t="inlineStr">
        <is>
          <t>ÖREBRO LÄN</t>
        </is>
      </c>
      <c r="E707" t="inlineStr">
        <is>
          <t>LINDESBERG</t>
        </is>
      </c>
      <c r="G707" t="n">
        <v>0.7</v>
      </c>
      <c r="H707" t="n">
        <v>0</v>
      </c>
      <c r="I707" t="n">
        <v>0</v>
      </c>
      <c r="J707" t="n">
        <v>0</v>
      </c>
      <c r="K707" t="n">
        <v>0</v>
      </c>
      <c r="L707" t="n">
        <v>0</v>
      </c>
      <c r="M707" t="n">
        <v>0</v>
      </c>
      <c r="N707" t="n">
        <v>0</v>
      </c>
      <c r="O707" t="n">
        <v>0</v>
      </c>
      <c r="P707" t="n">
        <v>0</v>
      </c>
      <c r="Q707" t="n">
        <v>0</v>
      </c>
      <c r="R707" s="2" t="inlineStr"/>
    </row>
    <row r="708" ht="15" customHeight="1">
      <c r="A708" t="inlineStr">
        <is>
          <t>A 53054-2022</t>
        </is>
      </c>
      <c r="B708" s="1" t="n">
        <v>44876.35706018518</v>
      </c>
      <c r="C708" s="1" t="n">
        <v>46019</v>
      </c>
      <c r="D708" t="inlineStr">
        <is>
          <t>ÖREBRO LÄN</t>
        </is>
      </c>
      <c r="E708" t="inlineStr">
        <is>
          <t>LINDESBERG</t>
        </is>
      </c>
      <c r="F708" t="inlineStr">
        <is>
          <t>Sveaskog</t>
        </is>
      </c>
      <c r="G708" t="n">
        <v>2.6</v>
      </c>
      <c r="H708" t="n">
        <v>0</v>
      </c>
      <c r="I708" t="n">
        <v>0</v>
      </c>
      <c r="J708" t="n">
        <v>0</v>
      </c>
      <c r="K708" t="n">
        <v>0</v>
      </c>
      <c r="L708" t="n">
        <v>0</v>
      </c>
      <c r="M708" t="n">
        <v>0</v>
      </c>
      <c r="N708" t="n">
        <v>0</v>
      </c>
      <c r="O708" t="n">
        <v>0</v>
      </c>
      <c r="P708" t="n">
        <v>0</v>
      </c>
      <c r="Q708" t="n">
        <v>0</v>
      </c>
      <c r="R708" s="2" t="inlineStr"/>
    </row>
    <row r="709" ht="15" customHeight="1">
      <c r="A709" t="inlineStr">
        <is>
          <t>A 20467-2023</t>
        </is>
      </c>
      <c r="B709" s="1" t="n">
        <v>45057</v>
      </c>
      <c r="C709" s="1" t="n">
        <v>46019</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35140-2023</t>
        </is>
      </c>
      <c r="B710" s="1" t="n">
        <v>45145</v>
      </c>
      <c r="C710" s="1" t="n">
        <v>46019</v>
      </c>
      <c r="D710" t="inlineStr">
        <is>
          <t>ÖREBRO LÄN</t>
        </is>
      </c>
      <c r="E710" t="inlineStr">
        <is>
          <t>LINDESBERG</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38762-2021</t>
        </is>
      </c>
      <c r="B711" s="1" t="n">
        <v>44410.61837962963</v>
      </c>
      <c r="C711" s="1" t="n">
        <v>46019</v>
      </c>
      <c r="D711" t="inlineStr">
        <is>
          <t>ÖREBRO LÄN</t>
        </is>
      </c>
      <c r="E711" t="inlineStr">
        <is>
          <t>LINDESBERG</t>
        </is>
      </c>
      <c r="F711" t="inlineStr">
        <is>
          <t>Sveaskog</t>
        </is>
      </c>
      <c r="G711" t="n">
        <v>2.3</v>
      </c>
      <c r="H711" t="n">
        <v>0</v>
      </c>
      <c r="I711" t="n">
        <v>0</v>
      </c>
      <c r="J711" t="n">
        <v>0</v>
      </c>
      <c r="K711" t="n">
        <v>0</v>
      </c>
      <c r="L711" t="n">
        <v>0</v>
      </c>
      <c r="M711" t="n">
        <v>0</v>
      </c>
      <c r="N711" t="n">
        <v>0</v>
      </c>
      <c r="O711" t="n">
        <v>0</v>
      </c>
      <c r="P711" t="n">
        <v>0</v>
      </c>
      <c r="Q711" t="n">
        <v>0</v>
      </c>
      <c r="R711" s="2" t="inlineStr"/>
    </row>
    <row r="712" ht="15" customHeight="1">
      <c r="A712" t="inlineStr">
        <is>
          <t>A 39419-2023</t>
        </is>
      </c>
      <c r="B712" s="1" t="n">
        <v>45166.68493055556</v>
      </c>
      <c r="C712" s="1" t="n">
        <v>46019</v>
      </c>
      <c r="D712" t="inlineStr">
        <is>
          <t>ÖREBRO LÄN</t>
        </is>
      </c>
      <c r="E712" t="inlineStr">
        <is>
          <t>LINDESBERG</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6470-2024</t>
        </is>
      </c>
      <c r="B713" s="1" t="n">
        <v>45338</v>
      </c>
      <c r="C713" s="1" t="n">
        <v>46019</v>
      </c>
      <c r="D713" t="inlineStr">
        <is>
          <t>ÖREBRO LÄN</t>
        </is>
      </c>
      <c r="E713" t="inlineStr">
        <is>
          <t>LINDESBERG</t>
        </is>
      </c>
      <c r="G713" t="n">
        <v>1.2</v>
      </c>
      <c r="H713" t="n">
        <v>0</v>
      </c>
      <c r="I713" t="n">
        <v>0</v>
      </c>
      <c r="J713" t="n">
        <v>0</v>
      </c>
      <c r="K713" t="n">
        <v>0</v>
      </c>
      <c r="L713" t="n">
        <v>0</v>
      </c>
      <c r="M713" t="n">
        <v>0</v>
      </c>
      <c r="N713" t="n">
        <v>0</v>
      </c>
      <c r="O713" t="n">
        <v>0</v>
      </c>
      <c r="P713" t="n">
        <v>0</v>
      </c>
      <c r="Q713" t="n">
        <v>0</v>
      </c>
      <c r="R713" s="2" t="inlineStr"/>
    </row>
    <row r="714" ht="15" customHeight="1">
      <c r="A714" t="inlineStr">
        <is>
          <t>A 58697-2024</t>
        </is>
      </c>
      <c r="B714" s="1" t="n">
        <v>45635.63706018519</v>
      </c>
      <c r="C714" s="1" t="n">
        <v>46019</v>
      </c>
      <c r="D714" t="inlineStr">
        <is>
          <t>ÖREBRO LÄN</t>
        </is>
      </c>
      <c r="E714" t="inlineStr">
        <is>
          <t>LINDESBERG</t>
        </is>
      </c>
      <c r="G714" t="n">
        <v>25.1</v>
      </c>
      <c r="H714" t="n">
        <v>0</v>
      </c>
      <c r="I714" t="n">
        <v>0</v>
      </c>
      <c r="J714" t="n">
        <v>0</v>
      </c>
      <c r="K714" t="n">
        <v>0</v>
      </c>
      <c r="L714" t="n">
        <v>0</v>
      </c>
      <c r="M714" t="n">
        <v>0</v>
      </c>
      <c r="N714" t="n">
        <v>0</v>
      </c>
      <c r="O714" t="n">
        <v>0</v>
      </c>
      <c r="P714" t="n">
        <v>0</v>
      </c>
      <c r="Q714" t="n">
        <v>0</v>
      </c>
      <c r="R714" s="2" t="inlineStr"/>
    </row>
    <row r="715" ht="15" customHeight="1">
      <c r="A715" t="inlineStr">
        <is>
          <t>A 45978-2021</t>
        </is>
      </c>
      <c r="B715" s="1" t="n">
        <v>44441.70047453704</v>
      </c>
      <c r="C715" s="1" t="n">
        <v>46019</v>
      </c>
      <c r="D715" t="inlineStr">
        <is>
          <t>ÖREBRO LÄN</t>
        </is>
      </c>
      <c r="E715" t="inlineStr">
        <is>
          <t>LINDESBERG</t>
        </is>
      </c>
      <c r="G715" t="n">
        <v>4.4</v>
      </c>
      <c r="H715" t="n">
        <v>0</v>
      </c>
      <c r="I715" t="n">
        <v>0</v>
      </c>
      <c r="J715" t="n">
        <v>0</v>
      </c>
      <c r="K715" t="n">
        <v>0</v>
      </c>
      <c r="L715" t="n">
        <v>0</v>
      </c>
      <c r="M715" t="n">
        <v>0</v>
      </c>
      <c r="N715" t="n">
        <v>0</v>
      </c>
      <c r="O715" t="n">
        <v>0</v>
      </c>
      <c r="P715" t="n">
        <v>0</v>
      </c>
      <c r="Q715" t="n">
        <v>0</v>
      </c>
      <c r="R715" s="2" t="inlineStr"/>
    </row>
    <row r="716" ht="15" customHeight="1">
      <c r="A716" t="inlineStr">
        <is>
          <t>A 11218-2025</t>
        </is>
      </c>
      <c r="B716" s="1" t="n">
        <v>45726.33763888889</v>
      </c>
      <c r="C716" s="1" t="n">
        <v>46019</v>
      </c>
      <c r="D716" t="inlineStr">
        <is>
          <t>ÖREBRO LÄN</t>
        </is>
      </c>
      <c r="E716" t="inlineStr">
        <is>
          <t>LINDESBERG</t>
        </is>
      </c>
      <c r="G716" t="n">
        <v>0.4</v>
      </c>
      <c r="H716" t="n">
        <v>0</v>
      </c>
      <c r="I716" t="n">
        <v>0</v>
      </c>
      <c r="J716" t="n">
        <v>0</v>
      </c>
      <c r="K716" t="n">
        <v>0</v>
      </c>
      <c r="L716" t="n">
        <v>0</v>
      </c>
      <c r="M716" t="n">
        <v>0</v>
      </c>
      <c r="N716" t="n">
        <v>0</v>
      </c>
      <c r="O716" t="n">
        <v>0</v>
      </c>
      <c r="P716" t="n">
        <v>0</v>
      </c>
      <c r="Q716" t="n">
        <v>0</v>
      </c>
      <c r="R716" s="2" t="inlineStr"/>
    </row>
    <row r="717" ht="15" customHeight="1">
      <c r="A717" t="inlineStr">
        <is>
          <t>A 11220-2025</t>
        </is>
      </c>
      <c r="B717" s="1" t="n">
        <v>45726.34090277777</v>
      </c>
      <c r="C717" s="1" t="n">
        <v>46019</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37616-2023</t>
        </is>
      </c>
      <c r="B718" s="1" t="n">
        <v>45159.44525462963</v>
      </c>
      <c r="C718" s="1" t="n">
        <v>46019</v>
      </c>
      <c r="D718" t="inlineStr">
        <is>
          <t>ÖREBRO LÄN</t>
        </is>
      </c>
      <c r="E718" t="inlineStr">
        <is>
          <t>LINDESBERG</t>
        </is>
      </c>
      <c r="G718" t="n">
        <v>5.3</v>
      </c>
      <c r="H718" t="n">
        <v>0</v>
      </c>
      <c r="I718" t="n">
        <v>0</v>
      </c>
      <c r="J718" t="n">
        <v>0</v>
      </c>
      <c r="K718" t="n">
        <v>0</v>
      </c>
      <c r="L718" t="n">
        <v>0</v>
      </c>
      <c r="M718" t="n">
        <v>0</v>
      </c>
      <c r="N718" t="n">
        <v>0</v>
      </c>
      <c r="O718" t="n">
        <v>0</v>
      </c>
      <c r="P718" t="n">
        <v>0</v>
      </c>
      <c r="Q718" t="n">
        <v>0</v>
      </c>
      <c r="R718" s="2" t="inlineStr"/>
    </row>
    <row r="719" ht="15" customHeight="1">
      <c r="A719" t="inlineStr">
        <is>
          <t>A 28562-2023</t>
        </is>
      </c>
      <c r="B719" s="1" t="n">
        <v>45103.53614583334</v>
      </c>
      <c r="C719" s="1" t="n">
        <v>46019</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21016-2023</t>
        </is>
      </c>
      <c r="B720" s="1" t="n">
        <v>45061.53414351852</v>
      </c>
      <c r="C720" s="1" t="n">
        <v>46019</v>
      </c>
      <c r="D720" t="inlineStr">
        <is>
          <t>ÖREBRO LÄN</t>
        </is>
      </c>
      <c r="E720" t="inlineStr">
        <is>
          <t>LINDESBERG</t>
        </is>
      </c>
      <c r="G720" t="n">
        <v>8.1</v>
      </c>
      <c r="H720" t="n">
        <v>0</v>
      </c>
      <c r="I720" t="n">
        <v>0</v>
      </c>
      <c r="J720" t="n">
        <v>0</v>
      </c>
      <c r="K720" t="n">
        <v>0</v>
      </c>
      <c r="L720" t="n">
        <v>0</v>
      </c>
      <c r="M720" t="n">
        <v>0</v>
      </c>
      <c r="N720" t="n">
        <v>0</v>
      </c>
      <c r="O720" t="n">
        <v>0</v>
      </c>
      <c r="P720" t="n">
        <v>0</v>
      </c>
      <c r="Q720" t="n">
        <v>0</v>
      </c>
      <c r="R720" s="2" t="inlineStr"/>
    </row>
    <row r="721" ht="15" customHeight="1">
      <c r="A721" t="inlineStr">
        <is>
          <t>A 64084-2023</t>
        </is>
      </c>
      <c r="B721" s="1" t="n">
        <v>45279</v>
      </c>
      <c r="C721" s="1" t="n">
        <v>46019</v>
      </c>
      <c r="D721" t="inlineStr">
        <is>
          <t>ÖREBRO LÄN</t>
        </is>
      </c>
      <c r="E721" t="inlineStr">
        <is>
          <t>LINDESBERG</t>
        </is>
      </c>
      <c r="G721" t="n">
        <v>2.1</v>
      </c>
      <c r="H721" t="n">
        <v>0</v>
      </c>
      <c r="I721" t="n">
        <v>0</v>
      </c>
      <c r="J721" t="n">
        <v>0</v>
      </c>
      <c r="K721" t="n">
        <v>0</v>
      </c>
      <c r="L721" t="n">
        <v>0</v>
      </c>
      <c r="M721" t="n">
        <v>0</v>
      </c>
      <c r="N721" t="n">
        <v>0</v>
      </c>
      <c r="O721" t="n">
        <v>0</v>
      </c>
      <c r="P721" t="n">
        <v>0</v>
      </c>
      <c r="Q721" t="n">
        <v>0</v>
      </c>
      <c r="R721" s="2" t="inlineStr"/>
    </row>
    <row r="722" ht="15" customHeight="1">
      <c r="A722" t="inlineStr">
        <is>
          <t>A 33886-2024</t>
        </is>
      </c>
      <c r="B722" s="1" t="n">
        <v>45523.31621527778</v>
      </c>
      <c r="C722" s="1" t="n">
        <v>46019</v>
      </c>
      <c r="D722" t="inlineStr">
        <is>
          <t>ÖREBRO LÄN</t>
        </is>
      </c>
      <c r="E722" t="inlineStr">
        <is>
          <t>LINDESBERG</t>
        </is>
      </c>
      <c r="G722" t="n">
        <v>1.3</v>
      </c>
      <c r="H722" t="n">
        <v>0</v>
      </c>
      <c r="I722" t="n">
        <v>0</v>
      </c>
      <c r="J722" t="n">
        <v>0</v>
      </c>
      <c r="K722" t="n">
        <v>0</v>
      </c>
      <c r="L722" t="n">
        <v>0</v>
      </c>
      <c r="M722" t="n">
        <v>0</v>
      </c>
      <c r="N722" t="n">
        <v>0</v>
      </c>
      <c r="O722" t="n">
        <v>0</v>
      </c>
      <c r="P722" t="n">
        <v>0</v>
      </c>
      <c r="Q722" t="n">
        <v>0</v>
      </c>
      <c r="R722" s="2" t="inlineStr"/>
    </row>
    <row r="723" ht="15" customHeight="1">
      <c r="A723" t="inlineStr">
        <is>
          <t>A 43046-2022</t>
        </is>
      </c>
      <c r="B723" s="1" t="n">
        <v>44833</v>
      </c>
      <c r="C723" s="1" t="n">
        <v>46019</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62866-2023</t>
        </is>
      </c>
      <c r="B724" s="1" t="n">
        <v>45272.36168981482</v>
      </c>
      <c r="C724" s="1" t="n">
        <v>46019</v>
      </c>
      <c r="D724" t="inlineStr">
        <is>
          <t>ÖREBRO LÄN</t>
        </is>
      </c>
      <c r="E724" t="inlineStr">
        <is>
          <t>LINDESBERG</t>
        </is>
      </c>
      <c r="G724" t="n">
        <v>14.5</v>
      </c>
      <c r="H724" t="n">
        <v>0</v>
      </c>
      <c r="I724" t="n">
        <v>0</v>
      </c>
      <c r="J724" t="n">
        <v>0</v>
      </c>
      <c r="K724" t="n">
        <v>0</v>
      </c>
      <c r="L724" t="n">
        <v>0</v>
      </c>
      <c r="M724" t="n">
        <v>0</v>
      </c>
      <c r="N724" t="n">
        <v>0</v>
      </c>
      <c r="O724" t="n">
        <v>0</v>
      </c>
      <c r="P724" t="n">
        <v>0</v>
      </c>
      <c r="Q724" t="n">
        <v>0</v>
      </c>
      <c r="R724" s="2" t="inlineStr"/>
    </row>
    <row r="725" ht="15" customHeight="1">
      <c r="A725" t="inlineStr">
        <is>
          <t>A 6-2023</t>
        </is>
      </c>
      <c r="B725" s="1" t="n">
        <v>44927.72487268518</v>
      </c>
      <c r="C725" s="1" t="n">
        <v>46019</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13729-2025</t>
        </is>
      </c>
      <c r="B726" s="1" t="n">
        <v>45737.3846412037</v>
      </c>
      <c r="C726" s="1" t="n">
        <v>46019</v>
      </c>
      <c r="D726" t="inlineStr">
        <is>
          <t>ÖREBRO LÄN</t>
        </is>
      </c>
      <c r="E726" t="inlineStr">
        <is>
          <t>LINDESBERG</t>
        </is>
      </c>
      <c r="F726" t="inlineStr">
        <is>
          <t>Sveaskog</t>
        </is>
      </c>
      <c r="G726" t="n">
        <v>5.4</v>
      </c>
      <c r="H726" t="n">
        <v>0</v>
      </c>
      <c r="I726" t="n">
        <v>0</v>
      </c>
      <c r="J726" t="n">
        <v>0</v>
      </c>
      <c r="K726" t="n">
        <v>0</v>
      </c>
      <c r="L726" t="n">
        <v>0</v>
      </c>
      <c r="M726" t="n">
        <v>0</v>
      </c>
      <c r="N726" t="n">
        <v>0</v>
      </c>
      <c r="O726" t="n">
        <v>0</v>
      </c>
      <c r="P726" t="n">
        <v>0</v>
      </c>
      <c r="Q726" t="n">
        <v>0</v>
      </c>
      <c r="R726" s="2" t="inlineStr"/>
    </row>
    <row r="727" ht="15" customHeight="1">
      <c r="A727" t="inlineStr">
        <is>
          <t>A 41353-2024</t>
        </is>
      </c>
      <c r="B727" s="1" t="n">
        <v>45559</v>
      </c>
      <c r="C727" s="1" t="n">
        <v>46019</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63508-2023</t>
        </is>
      </c>
      <c r="B728" s="1" t="n">
        <v>45274</v>
      </c>
      <c r="C728" s="1" t="n">
        <v>46019</v>
      </c>
      <c r="D728" t="inlineStr">
        <is>
          <t>ÖREBRO LÄN</t>
        </is>
      </c>
      <c r="E728" t="inlineStr">
        <is>
          <t>LINDESBERG</t>
        </is>
      </c>
      <c r="G728" t="n">
        <v>1.4</v>
      </c>
      <c r="H728" t="n">
        <v>0</v>
      </c>
      <c r="I728" t="n">
        <v>0</v>
      </c>
      <c r="J728" t="n">
        <v>0</v>
      </c>
      <c r="K728" t="n">
        <v>0</v>
      </c>
      <c r="L728" t="n">
        <v>0</v>
      </c>
      <c r="M728" t="n">
        <v>0</v>
      </c>
      <c r="N728" t="n">
        <v>0</v>
      </c>
      <c r="O728" t="n">
        <v>0</v>
      </c>
      <c r="P728" t="n">
        <v>0</v>
      </c>
      <c r="Q728" t="n">
        <v>0</v>
      </c>
      <c r="R728" s="2" t="inlineStr"/>
    </row>
    <row r="729" ht="15" customHeight="1">
      <c r="A729" t="inlineStr">
        <is>
          <t>A 36136-2023</t>
        </is>
      </c>
      <c r="B729" s="1" t="n">
        <v>45149</v>
      </c>
      <c r="C729" s="1" t="n">
        <v>46019</v>
      </c>
      <c r="D729" t="inlineStr">
        <is>
          <t>ÖREBRO LÄN</t>
        </is>
      </c>
      <c r="E729" t="inlineStr">
        <is>
          <t>LINDESBERG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34025-2024</t>
        </is>
      </c>
      <c r="B730" s="1" t="n">
        <v>45523.58565972222</v>
      </c>
      <c r="C730" s="1" t="n">
        <v>46019</v>
      </c>
      <c r="D730" t="inlineStr">
        <is>
          <t>ÖREBRO LÄN</t>
        </is>
      </c>
      <c r="E730" t="inlineStr">
        <is>
          <t>LINDESBERG</t>
        </is>
      </c>
      <c r="G730" t="n">
        <v>1.3</v>
      </c>
      <c r="H730" t="n">
        <v>0</v>
      </c>
      <c r="I730" t="n">
        <v>0</v>
      </c>
      <c r="J730" t="n">
        <v>0</v>
      </c>
      <c r="K730" t="n">
        <v>0</v>
      </c>
      <c r="L730" t="n">
        <v>0</v>
      </c>
      <c r="M730" t="n">
        <v>0</v>
      </c>
      <c r="N730" t="n">
        <v>0</v>
      </c>
      <c r="O730" t="n">
        <v>0</v>
      </c>
      <c r="P730" t="n">
        <v>0</v>
      </c>
      <c r="Q730" t="n">
        <v>0</v>
      </c>
      <c r="R730" s="2" t="inlineStr"/>
    </row>
    <row r="731" ht="15" customHeight="1">
      <c r="A731" t="inlineStr">
        <is>
          <t>A 19077-2025</t>
        </is>
      </c>
      <c r="B731" s="1" t="n">
        <v>45766.33309027777</v>
      </c>
      <c r="C731" s="1" t="n">
        <v>46019</v>
      </c>
      <c r="D731" t="inlineStr">
        <is>
          <t>ÖREBRO LÄN</t>
        </is>
      </c>
      <c r="E731" t="inlineStr">
        <is>
          <t>LINDESBERG</t>
        </is>
      </c>
      <c r="G731" t="n">
        <v>0</v>
      </c>
      <c r="H731" t="n">
        <v>0</v>
      </c>
      <c r="I731" t="n">
        <v>0</v>
      </c>
      <c r="J731" t="n">
        <v>0</v>
      </c>
      <c r="K731" t="n">
        <v>0</v>
      </c>
      <c r="L731" t="n">
        <v>0</v>
      </c>
      <c r="M731" t="n">
        <v>0</v>
      </c>
      <c r="N731" t="n">
        <v>0</v>
      </c>
      <c r="O731" t="n">
        <v>0</v>
      </c>
      <c r="P731" t="n">
        <v>0</v>
      </c>
      <c r="Q731" t="n">
        <v>0</v>
      </c>
      <c r="R731" s="2" t="inlineStr"/>
    </row>
    <row r="732" ht="15" customHeight="1">
      <c r="A732" t="inlineStr">
        <is>
          <t>A 13884-2023</t>
        </is>
      </c>
      <c r="B732" s="1" t="n">
        <v>45007</v>
      </c>
      <c r="C732" s="1" t="n">
        <v>46019</v>
      </c>
      <c r="D732" t="inlineStr">
        <is>
          <t>ÖREBRO LÄN</t>
        </is>
      </c>
      <c r="E732" t="inlineStr">
        <is>
          <t>LINDESBERG</t>
        </is>
      </c>
      <c r="F732" t="inlineStr">
        <is>
          <t>Kommuner</t>
        </is>
      </c>
      <c r="G732" t="n">
        <v>7.7</v>
      </c>
      <c r="H732" t="n">
        <v>0</v>
      </c>
      <c r="I732" t="n">
        <v>0</v>
      </c>
      <c r="J732" t="n">
        <v>0</v>
      </c>
      <c r="K732" t="n">
        <v>0</v>
      </c>
      <c r="L732" t="n">
        <v>0</v>
      </c>
      <c r="M732" t="n">
        <v>0</v>
      </c>
      <c r="N732" t="n">
        <v>0</v>
      </c>
      <c r="O732" t="n">
        <v>0</v>
      </c>
      <c r="P732" t="n">
        <v>0</v>
      </c>
      <c r="Q732" t="n">
        <v>0</v>
      </c>
      <c r="R732" s="2" t="inlineStr"/>
    </row>
    <row r="733" ht="15" customHeight="1">
      <c r="A733" t="inlineStr">
        <is>
          <t>A 50275-2024</t>
        </is>
      </c>
      <c r="B733" s="1" t="n">
        <v>45600.60071759259</v>
      </c>
      <c r="C733" s="1" t="n">
        <v>46019</v>
      </c>
      <c r="D733" t="inlineStr">
        <is>
          <t>ÖREBRO LÄN</t>
        </is>
      </c>
      <c r="E733" t="inlineStr">
        <is>
          <t>LINDESBERG</t>
        </is>
      </c>
      <c r="G733" t="n">
        <v>4.3</v>
      </c>
      <c r="H733" t="n">
        <v>0</v>
      </c>
      <c r="I733" t="n">
        <v>0</v>
      </c>
      <c r="J733" t="n">
        <v>0</v>
      </c>
      <c r="K733" t="n">
        <v>0</v>
      </c>
      <c r="L733" t="n">
        <v>0</v>
      </c>
      <c r="M733" t="n">
        <v>0</v>
      </c>
      <c r="N733" t="n">
        <v>0</v>
      </c>
      <c r="O733" t="n">
        <v>0</v>
      </c>
      <c r="P733" t="n">
        <v>0</v>
      </c>
      <c r="Q733" t="n">
        <v>0</v>
      </c>
      <c r="R733" s="2" t="inlineStr"/>
    </row>
    <row r="734" ht="15" customHeight="1">
      <c r="A734" t="inlineStr">
        <is>
          <t>A 17463-2023</t>
        </is>
      </c>
      <c r="B734" s="1" t="n">
        <v>45036</v>
      </c>
      <c r="C734" s="1" t="n">
        <v>46019</v>
      </c>
      <c r="D734" t="inlineStr">
        <is>
          <t>ÖREBRO LÄN</t>
        </is>
      </c>
      <c r="E734" t="inlineStr">
        <is>
          <t>LINDESBERG</t>
        </is>
      </c>
      <c r="G734" t="n">
        <v>0.6</v>
      </c>
      <c r="H734" t="n">
        <v>0</v>
      </c>
      <c r="I734" t="n">
        <v>0</v>
      </c>
      <c r="J734" t="n">
        <v>0</v>
      </c>
      <c r="K734" t="n">
        <v>0</v>
      </c>
      <c r="L734" t="n">
        <v>0</v>
      </c>
      <c r="M734" t="n">
        <v>0</v>
      </c>
      <c r="N734" t="n">
        <v>0</v>
      </c>
      <c r="O734" t="n">
        <v>0</v>
      </c>
      <c r="P734" t="n">
        <v>0</v>
      </c>
      <c r="Q734" t="n">
        <v>0</v>
      </c>
      <c r="R734" s="2" t="inlineStr"/>
    </row>
    <row r="735" ht="15" customHeight="1">
      <c r="A735" t="inlineStr">
        <is>
          <t>A 10712-2021</t>
        </is>
      </c>
      <c r="B735" s="1" t="n">
        <v>44258</v>
      </c>
      <c r="C735" s="1" t="n">
        <v>46019</v>
      </c>
      <c r="D735" t="inlineStr">
        <is>
          <t>ÖREBRO LÄN</t>
        </is>
      </c>
      <c r="E735" t="inlineStr">
        <is>
          <t>LINDESBERG</t>
        </is>
      </c>
      <c r="G735" t="n">
        <v>0.7</v>
      </c>
      <c r="H735" t="n">
        <v>0</v>
      </c>
      <c r="I735" t="n">
        <v>0</v>
      </c>
      <c r="J735" t="n">
        <v>0</v>
      </c>
      <c r="K735" t="n">
        <v>0</v>
      </c>
      <c r="L735" t="n">
        <v>0</v>
      </c>
      <c r="M735" t="n">
        <v>0</v>
      </c>
      <c r="N735" t="n">
        <v>0</v>
      </c>
      <c r="O735" t="n">
        <v>0</v>
      </c>
      <c r="P735" t="n">
        <v>0</v>
      </c>
      <c r="Q735" t="n">
        <v>0</v>
      </c>
      <c r="R735" s="2" t="inlineStr"/>
    </row>
    <row r="736" ht="15" customHeight="1">
      <c r="A736" t="inlineStr">
        <is>
          <t>A 14522-2025</t>
        </is>
      </c>
      <c r="B736" s="1" t="n">
        <v>45741.64491898148</v>
      </c>
      <c r="C736" s="1" t="n">
        <v>46019</v>
      </c>
      <c r="D736" t="inlineStr">
        <is>
          <t>ÖREBRO LÄN</t>
        </is>
      </c>
      <c r="E736" t="inlineStr">
        <is>
          <t>LINDESBERG</t>
        </is>
      </c>
      <c r="G736" t="n">
        <v>4.5</v>
      </c>
      <c r="H736" t="n">
        <v>0</v>
      </c>
      <c r="I736" t="n">
        <v>0</v>
      </c>
      <c r="J736" t="n">
        <v>0</v>
      </c>
      <c r="K736" t="n">
        <v>0</v>
      </c>
      <c r="L736" t="n">
        <v>0</v>
      </c>
      <c r="M736" t="n">
        <v>0</v>
      </c>
      <c r="N736" t="n">
        <v>0</v>
      </c>
      <c r="O736" t="n">
        <v>0</v>
      </c>
      <c r="P736" t="n">
        <v>0</v>
      </c>
      <c r="Q736" t="n">
        <v>0</v>
      </c>
      <c r="R736" s="2" t="inlineStr"/>
    </row>
    <row r="737" ht="15" customHeight="1">
      <c r="A737" t="inlineStr">
        <is>
          <t>A 36001-2021</t>
        </is>
      </c>
      <c r="B737" s="1" t="n">
        <v>44389</v>
      </c>
      <c r="C737" s="1" t="n">
        <v>46019</v>
      </c>
      <c r="D737" t="inlineStr">
        <is>
          <t>ÖREBRO LÄN</t>
        </is>
      </c>
      <c r="E737" t="inlineStr">
        <is>
          <t>LINDESBERG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33280-2024</t>
        </is>
      </c>
      <c r="B738" s="1" t="n">
        <v>45518.71048611111</v>
      </c>
      <c r="C738" s="1" t="n">
        <v>46019</v>
      </c>
      <c r="D738" t="inlineStr">
        <is>
          <t>ÖREBRO LÄN</t>
        </is>
      </c>
      <c r="E738" t="inlineStr">
        <is>
          <t>LINDESBERG</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33281-2024</t>
        </is>
      </c>
      <c r="B739" s="1" t="n">
        <v>45518.71202546296</v>
      </c>
      <c r="C739" s="1" t="n">
        <v>46019</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33283-2024</t>
        </is>
      </c>
      <c r="B740" s="1" t="n">
        <v>45518.71591435185</v>
      </c>
      <c r="C740" s="1" t="n">
        <v>46019</v>
      </c>
      <c r="D740" t="inlineStr">
        <is>
          <t>ÖREBRO LÄN</t>
        </is>
      </c>
      <c r="E740" t="inlineStr">
        <is>
          <t>LINDESBERG</t>
        </is>
      </c>
      <c r="G740" t="n">
        <v>3.9</v>
      </c>
      <c r="H740" t="n">
        <v>0</v>
      </c>
      <c r="I740" t="n">
        <v>0</v>
      </c>
      <c r="J740" t="n">
        <v>0</v>
      </c>
      <c r="K740" t="n">
        <v>0</v>
      </c>
      <c r="L740" t="n">
        <v>0</v>
      </c>
      <c r="M740" t="n">
        <v>0</v>
      </c>
      <c r="N740" t="n">
        <v>0</v>
      </c>
      <c r="O740" t="n">
        <v>0</v>
      </c>
      <c r="P740" t="n">
        <v>0</v>
      </c>
      <c r="Q740" t="n">
        <v>0</v>
      </c>
      <c r="R740" s="2" t="inlineStr"/>
    </row>
    <row r="741" ht="15" customHeight="1">
      <c r="A741" t="inlineStr">
        <is>
          <t>A 39140-2024</t>
        </is>
      </c>
      <c r="B741" s="1" t="n">
        <v>45548</v>
      </c>
      <c r="C741" s="1" t="n">
        <v>46019</v>
      </c>
      <c r="D741" t="inlineStr">
        <is>
          <t>ÖREBRO LÄN</t>
        </is>
      </c>
      <c r="E741" t="inlineStr">
        <is>
          <t>LINDESBERG</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32928-2023</t>
        </is>
      </c>
      <c r="B742" s="1" t="n">
        <v>45125.41458333333</v>
      </c>
      <c r="C742" s="1" t="n">
        <v>46019</v>
      </c>
      <c r="D742" t="inlineStr">
        <is>
          <t>ÖREBRO LÄN</t>
        </is>
      </c>
      <c r="E742" t="inlineStr">
        <is>
          <t>LINDESBERG</t>
        </is>
      </c>
      <c r="G742" t="n">
        <v>4.8</v>
      </c>
      <c r="H742" t="n">
        <v>0</v>
      </c>
      <c r="I742" t="n">
        <v>0</v>
      </c>
      <c r="J742" t="n">
        <v>0</v>
      </c>
      <c r="K742" t="n">
        <v>0</v>
      </c>
      <c r="L742" t="n">
        <v>0</v>
      </c>
      <c r="M742" t="n">
        <v>0</v>
      </c>
      <c r="N742" t="n">
        <v>0</v>
      </c>
      <c r="O742" t="n">
        <v>0</v>
      </c>
      <c r="P742" t="n">
        <v>0</v>
      </c>
      <c r="Q742" t="n">
        <v>0</v>
      </c>
      <c r="R742" s="2" t="inlineStr"/>
    </row>
    <row r="743" ht="15" customHeight="1">
      <c r="A743" t="inlineStr">
        <is>
          <t>A 32994-2023</t>
        </is>
      </c>
      <c r="B743" s="1" t="n">
        <v>45113</v>
      </c>
      <c r="C743" s="1" t="n">
        <v>46019</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45062-2022</t>
        </is>
      </c>
      <c r="B744" s="1" t="n">
        <v>44841</v>
      </c>
      <c r="C744" s="1" t="n">
        <v>46019</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21012-2023</t>
        </is>
      </c>
      <c r="B745" s="1" t="n">
        <v>45061.52474537037</v>
      </c>
      <c r="C745" s="1" t="n">
        <v>46019</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40456-2023</t>
        </is>
      </c>
      <c r="B746" s="1" t="n">
        <v>45170</v>
      </c>
      <c r="C746" s="1" t="n">
        <v>46019</v>
      </c>
      <c r="D746" t="inlineStr">
        <is>
          <t>ÖREBRO LÄN</t>
        </is>
      </c>
      <c r="E746" t="inlineStr">
        <is>
          <t>LINDESBERG</t>
        </is>
      </c>
      <c r="F746" t="inlineStr">
        <is>
          <t>Kyrkan</t>
        </is>
      </c>
      <c r="G746" t="n">
        <v>0.6</v>
      </c>
      <c r="H746" t="n">
        <v>0</v>
      </c>
      <c r="I746" t="n">
        <v>0</v>
      </c>
      <c r="J746" t="n">
        <v>0</v>
      </c>
      <c r="K746" t="n">
        <v>0</v>
      </c>
      <c r="L746" t="n">
        <v>0</v>
      </c>
      <c r="M746" t="n">
        <v>0</v>
      </c>
      <c r="N746" t="n">
        <v>0</v>
      </c>
      <c r="O746" t="n">
        <v>0</v>
      </c>
      <c r="P746" t="n">
        <v>0</v>
      </c>
      <c r="Q746" t="n">
        <v>0</v>
      </c>
      <c r="R746" s="2" t="inlineStr"/>
    </row>
    <row r="747" ht="15" customHeight="1">
      <c r="A747" t="inlineStr">
        <is>
          <t>A 42282-2024</t>
        </is>
      </c>
      <c r="B747" s="1" t="n">
        <v>45562.61158564815</v>
      </c>
      <c r="C747" s="1" t="n">
        <v>46019</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32262-2021</t>
        </is>
      </c>
      <c r="B748" s="1" t="n">
        <v>44371.47609953704</v>
      </c>
      <c r="C748" s="1" t="n">
        <v>46019</v>
      </c>
      <c r="D748" t="inlineStr">
        <is>
          <t>ÖREBRO LÄN</t>
        </is>
      </c>
      <c r="E748" t="inlineStr">
        <is>
          <t>LINDESBERG</t>
        </is>
      </c>
      <c r="G748" t="n">
        <v>0.9</v>
      </c>
      <c r="H748" t="n">
        <v>0</v>
      </c>
      <c r="I748" t="n">
        <v>0</v>
      </c>
      <c r="J748" t="n">
        <v>0</v>
      </c>
      <c r="K748" t="n">
        <v>0</v>
      </c>
      <c r="L748" t="n">
        <v>0</v>
      </c>
      <c r="M748" t="n">
        <v>0</v>
      </c>
      <c r="N748" t="n">
        <v>0</v>
      </c>
      <c r="O748" t="n">
        <v>0</v>
      </c>
      <c r="P748" t="n">
        <v>0</v>
      </c>
      <c r="Q748" t="n">
        <v>0</v>
      </c>
      <c r="R748" s="2" t="inlineStr"/>
    </row>
    <row r="749" ht="15" customHeight="1">
      <c r="A749" t="inlineStr">
        <is>
          <t>A 27576-2024</t>
        </is>
      </c>
      <c r="B749" s="1" t="n">
        <v>45474.65005787037</v>
      </c>
      <c r="C749" s="1" t="n">
        <v>46019</v>
      </c>
      <c r="D749" t="inlineStr">
        <is>
          <t>ÖREBRO LÄN</t>
        </is>
      </c>
      <c r="E749" t="inlineStr">
        <is>
          <t>LINDESBERG</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32099-2024</t>
        </is>
      </c>
      <c r="B750" s="1" t="n">
        <v>45511.40297453704</v>
      </c>
      <c r="C750" s="1" t="n">
        <v>46019</v>
      </c>
      <c r="D750" t="inlineStr">
        <is>
          <t>ÖREBRO LÄN</t>
        </is>
      </c>
      <c r="E750" t="inlineStr">
        <is>
          <t>LINDESBERG</t>
        </is>
      </c>
      <c r="G750" t="n">
        <v>2.3</v>
      </c>
      <c r="H750" t="n">
        <v>0</v>
      </c>
      <c r="I750" t="n">
        <v>0</v>
      </c>
      <c r="J750" t="n">
        <v>0</v>
      </c>
      <c r="K750" t="n">
        <v>0</v>
      </c>
      <c r="L750" t="n">
        <v>0</v>
      </c>
      <c r="M750" t="n">
        <v>0</v>
      </c>
      <c r="N750" t="n">
        <v>0</v>
      </c>
      <c r="O750" t="n">
        <v>0</v>
      </c>
      <c r="P750" t="n">
        <v>0</v>
      </c>
      <c r="Q750" t="n">
        <v>0</v>
      </c>
      <c r="R750" s="2" t="inlineStr"/>
    </row>
    <row r="751" ht="15" customHeight="1">
      <c r="A751" t="inlineStr">
        <is>
          <t>A 8836-2023</t>
        </is>
      </c>
      <c r="B751" s="1" t="n">
        <v>44978</v>
      </c>
      <c r="C751" s="1" t="n">
        <v>46019</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5772-2023</t>
        </is>
      </c>
      <c r="B752" s="1" t="n">
        <v>44963.37709490741</v>
      </c>
      <c r="C752" s="1" t="n">
        <v>46019</v>
      </c>
      <c r="D752" t="inlineStr">
        <is>
          <t>ÖREBRO LÄN</t>
        </is>
      </c>
      <c r="E752" t="inlineStr">
        <is>
          <t>LINDESBERG</t>
        </is>
      </c>
      <c r="G752" t="n">
        <v>3</v>
      </c>
      <c r="H752" t="n">
        <v>0</v>
      </c>
      <c r="I752" t="n">
        <v>0</v>
      </c>
      <c r="J752" t="n">
        <v>0</v>
      </c>
      <c r="K752" t="n">
        <v>0</v>
      </c>
      <c r="L752" t="n">
        <v>0</v>
      </c>
      <c r="M752" t="n">
        <v>0</v>
      </c>
      <c r="N752" t="n">
        <v>0</v>
      </c>
      <c r="O752" t="n">
        <v>0</v>
      </c>
      <c r="P752" t="n">
        <v>0</v>
      </c>
      <c r="Q752" t="n">
        <v>0</v>
      </c>
      <c r="R752" s="2" t="inlineStr"/>
    </row>
    <row r="753" ht="15" customHeight="1">
      <c r="A753" t="inlineStr">
        <is>
          <t>A 36024-2021</t>
        </is>
      </c>
      <c r="B753" s="1" t="n">
        <v>44389</v>
      </c>
      <c r="C753" s="1" t="n">
        <v>46019</v>
      </c>
      <c r="D753" t="inlineStr">
        <is>
          <t>ÖREBRO LÄN</t>
        </is>
      </c>
      <c r="E753" t="inlineStr">
        <is>
          <t>LINDESBERG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11559-2024</t>
        </is>
      </c>
      <c r="B754" s="1" t="n">
        <v>45373.30434027778</v>
      </c>
      <c r="C754" s="1" t="n">
        <v>46019</v>
      </c>
      <c r="D754" t="inlineStr">
        <is>
          <t>ÖREBRO LÄN</t>
        </is>
      </c>
      <c r="E754" t="inlineStr">
        <is>
          <t>LINDESBERG</t>
        </is>
      </c>
      <c r="F754" t="inlineStr">
        <is>
          <t>BillerudKorsnäs AB</t>
        </is>
      </c>
      <c r="G754" t="n">
        <v>1.9</v>
      </c>
      <c r="H754" t="n">
        <v>0</v>
      </c>
      <c r="I754" t="n">
        <v>0</v>
      </c>
      <c r="J754" t="n">
        <v>0</v>
      </c>
      <c r="K754" t="n">
        <v>0</v>
      </c>
      <c r="L754" t="n">
        <v>0</v>
      </c>
      <c r="M754" t="n">
        <v>0</v>
      </c>
      <c r="N754" t="n">
        <v>0</v>
      </c>
      <c r="O754" t="n">
        <v>0</v>
      </c>
      <c r="P754" t="n">
        <v>0</v>
      </c>
      <c r="Q754" t="n">
        <v>0</v>
      </c>
      <c r="R754" s="2" t="inlineStr"/>
    </row>
    <row r="755" ht="15" customHeight="1">
      <c r="A755" t="inlineStr">
        <is>
          <t>A 13472-2023</t>
        </is>
      </c>
      <c r="B755" s="1" t="n">
        <v>45005</v>
      </c>
      <c r="C755" s="1" t="n">
        <v>46019</v>
      </c>
      <c r="D755" t="inlineStr">
        <is>
          <t>ÖREBRO LÄN</t>
        </is>
      </c>
      <c r="E755" t="inlineStr">
        <is>
          <t>LINDESBERG</t>
        </is>
      </c>
      <c r="G755" t="n">
        <v>2.5</v>
      </c>
      <c r="H755" t="n">
        <v>0</v>
      </c>
      <c r="I755" t="n">
        <v>0</v>
      </c>
      <c r="J755" t="n">
        <v>0</v>
      </c>
      <c r="K755" t="n">
        <v>0</v>
      </c>
      <c r="L755" t="n">
        <v>0</v>
      </c>
      <c r="M755" t="n">
        <v>0</v>
      </c>
      <c r="N755" t="n">
        <v>0</v>
      </c>
      <c r="O755" t="n">
        <v>0</v>
      </c>
      <c r="P755" t="n">
        <v>0</v>
      </c>
      <c r="Q755" t="n">
        <v>0</v>
      </c>
      <c r="R755" s="2" t="inlineStr"/>
    </row>
    <row r="756" ht="15" customHeight="1">
      <c r="A756" t="inlineStr">
        <is>
          <t>A 17087-2023</t>
        </is>
      </c>
      <c r="B756" s="1" t="n">
        <v>45034.5174537037</v>
      </c>
      <c r="C756" s="1" t="n">
        <v>46019</v>
      </c>
      <c r="D756" t="inlineStr">
        <is>
          <t>ÖREBRO LÄN</t>
        </is>
      </c>
      <c r="E756" t="inlineStr">
        <is>
          <t>LINDESBERG</t>
        </is>
      </c>
      <c r="G756" t="n">
        <v>2.7</v>
      </c>
      <c r="H756" t="n">
        <v>0</v>
      </c>
      <c r="I756" t="n">
        <v>0</v>
      </c>
      <c r="J756" t="n">
        <v>0</v>
      </c>
      <c r="K756" t="n">
        <v>0</v>
      </c>
      <c r="L756" t="n">
        <v>0</v>
      </c>
      <c r="M756" t="n">
        <v>0</v>
      </c>
      <c r="N756" t="n">
        <v>0</v>
      </c>
      <c r="O756" t="n">
        <v>0</v>
      </c>
      <c r="P756" t="n">
        <v>0</v>
      </c>
      <c r="Q756" t="n">
        <v>0</v>
      </c>
      <c r="R756" s="2" t="inlineStr"/>
    </row>
    <row r="757" ht="15" customHeight="1">
      <c r="A757" t="inlineStr">
        <is>
          <t>A 61222-2022</t>
        </is>
      </c>
      <c r="B757" s="1" t="n">
        <v>44909</v>
      </c>
      <c r="C757" s="1" t="n">
        <v>46019</v>
      </c>
      <c r="D757" t="inlineStr">
        <is>
          <t>ÖREBRO LÄN</t>
        </is>
      </c>
      <c r="E757" t="inlineStr">
        <is>
          <t>LINDESBERG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46484-2024</t>
        </is>
      </c>
      <c r="B758" s="1" t="n">
        <v>45582.57542824074</v>
      </c>
      <c r="C758" s="1" t="n">
        <v>46019</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41576-2021</t>
        </is>
      </c>
      <c r="B759" s="1" t="n">
        <v>44425</v>
      </c>
      <c r="C759" s="1" t="n">
        <v>46019</v>
      </c>
      <c r="D759" t="inlineStr">
        <is>
          <t>ÖREBRO LÄN</t>
        </is>
      </c>
      <c r="E759" t="inlineStr">
        <is>
          <t>LINDESBERG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58741-2024</t>
        </is>
      </c>
      <c r="B760" s="1" t="n">
        <v>45635.69581018519</v>
      </c>
      <c r="C760" s="1" t="n">
        <v>46019</v>
      </c>
      <c r="D760" t="inlineStr">
        <is>
          <t>ÖREBRO LÄN</t>
        </is>
      </c>
      <c r="E760" t="inlineStr">
        <is>
          <t>LINDESBERG</t>
        </is>
      </c>
      <c r="G760" t="n">
        <v>1.5</v>
      </c>
      <c r="H760" t="n">
        <v>0</v>
      </c>
      <c r="I760" t="n">
        <v>0</v>
      </c>
      <c r="J760" t="n">
        <v>0</v>
      </c>
      <c r="K760" t="n">
        <v>0</v>
      </c>
      <c r="L760" t="n">
        <v>0</v>
      </c>
      <c r="M760" t="n">
        <v>0</v>
      </c>
      <c r="N760" t="n">
        <v>0</v>
      </c>
      <c r="O760" t="n">
        <v>0</v>
      </c>
      <c r="P760" t="n">
        <v>0</v>
      </c>
      <c r="Q760" t="n">
        <v>0</v>
      </c>
      <c r="R760" s="2" t="inlineStr"/>
    </row>
    <row r="761" ht="15" customHeight="1">
      <c r="A761" t="inlineStr">
        <is>
          <t>A 26967-2022</t>
        </is>
      </c>
      <c r="B761" s="1" t="n">
        <v>44740.66997685185</v>
      </c>
      <c r="C761" s="1" t="n">
        <v>46019</v>
      </c>
      <c r="D761" t="inlineStr">
        <is>
          <t>ÖREBRO LÄN</t>
        </is>
      </c>
      <c r="E761" t="inlineStr">
        <is>
          <t>LINDESBERG</t>
        </is>
      </c>
      <c r="G761" t="n">
        <v>1.6</v>
      </c>
      <c r="H761" t="n">
        <v>0</v>
      </c>
      <c r="I761" t="n">
        <v>0</v>
      </c>
      <c r="J761" t="n">
        <v>0</v>
      </c>
      <c r="K761" t="n">
        <v>0</v>
      </c>
      <c r="L761" t="n">
        <v>0</v>
      </c>
      <c r="M761" t="n">
        <v>0</v>
      </c>
      <c r="N761" t="n">
        <v>0</v>
      </c>
      <c r="O761" t="n">
        <v>0</v>
      </c>
      <c r="P761" t="n">
        <v>0</v>
      </c>
      <c r="Q761" t="n">
        <v>0</v>
      </c>
      <c r="R761" s="2" t="inlineStr"/>
    </row>
    <row r="762" ht="15" customHeight="1">
      <c r="A762" t="inlineStr">
        <is>
          <t>A 43066-2021</t>
        </is>
      </c>
      <c r="B762" s="1" t="n">
        <v>44431</v>
      </c>
      <c r="C762" s="1" t="n">
        <v>46019</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16791-2024</t>
        </is>
      </c>
      <c r="B763" s="1" t="n">
        <v>45411.42858796296</v>
      </c>
      <c r="C763" s="1" t="n">
        <v>46019</v>
      </c>
      <c r="D763" t="inlineStr">
        <is>
          <t>ÖREBRO LÄN</t>
        </is>
      </c>
      <c r="E763" t="inlineStr">
        <is>
          <t>LINDESBERG</t>
        </is>
      </c>
      <c r="G763" t="n">
        <v>16.1</v>
      </c>
      <c r="H763" t="n">
        <v>0</v>
      </c>
      <c r="I763" t="n">
        <v>0</v>
      </c>
      <c r="J763" t="n">
        <v>0</v>
      </c>
      <c r="K763" t="n">
        <v>0</v>
      </c>
      <c r="L763" t="n">
        <v>0</v>
      </c>
      <c r="M763" t="n">
        <v>0</v>
      </c>
      <c r="N763" t="n">
        <v>0</v>
      </c>
      <c r="O763" t="n">
        <v>0</v>
      </c>
      <c r="P763" t="n">
        <v>0</v>
      </c>
      <c r="Q763" t="n">
        <v>0</v>
      </c>
      <c r="R763" s="2" t="inlineStr"/>
    </row>
    <row r="764" ht="15" customHeight="1">
      <c r="A764" t="inlineStr">
        <is>
          <t>A 45428-2023</t>
        </is>
      </c>
      <c r="B764" s="1" t="n">
        <v>45194</v>
      </c>
      <c r="C764" s="1" t="n">
        <v>46019</v>
      </c>
      <c r="D764" t="inlineStr">
        <is>
          <t>ÖREBRO LÄN</t>
        </is>
      </c>
      <c r="E764" t="inlineStr">
        <is>
          <t>LINDESBERG</t>
        </is>
      </c>
      <c r="G764" t="n">
        <v>7.7</v>
      </c>
      <c r="H764" t="n">
        <v>0</v>
      </c>
      <c r="I764" t="n">
        <v>0</v>
      </c>
      <c r="J764" t="n">
        <v>0</v>
      </c>
      <c r="K764" t="n">
        <v>0</v>
      </c>
      <c r="L764" t="n">
        <v>0</v>
      </c>
      <c r="M764" t="n">
        <v>0</v>
      </c>
      <c r="N764" t="n">
        <v>0</v>
      </c>
      <c r="O764" t="n">
        <v>0</v>
      </c>
      <c r="P764" t="n">
        <v>0</v>
      </c>
      <c r="Q764" t="n">
        <v>0</v>
      </c>
      <c r="R764" s="2" t="inlineStr"/>
    </row>
    <row r="765" ht="15" customHeight="1">
      <c r="A765" t="inlineStr">
        <is>
          <t>A 53897-2024</t>
        </is>
      </c>
      <c r="B765" s="1" t="n">
        <v>45615.69570601852</v>
      </c>
      <c r="C765" s="1" t="n">
        <v>46019</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56907-2024</t>
        </is>
      </c>
      <c r="B766" s="1" t="n">
        <v>45628.58975694444</v>
      </c>
      <c r="C766" s="1" t="n">
        <v>46019</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7992-2025</t>
        </is>
      </c>
      <c r="B767" s="1" t="n">
        <v>45707</v>
      </c>
      <c r="C767" s="1" t="n">
        <v>46019</v>
      </c>
      <c r="D767" t="inlineStr">
        <is>
          <t>ÖREBRO LÄN</t>
        </is>
      </c>
      <c r="E767" t="inlineStr">
        <is>
          <t>LINDESBERG</t>
        </is>
      </c>
      <c r="G767" t="n">
        <v>4.8</v>
      </c>
      <c r="H767" t="n">
        <v>0</v>
      </c>
      <c r="I767" t="n">
        <v>0</v>
      </c>
      <c r="J767" t="n">
        <v>0</v>
      </c>
      <c r="K767" t="n">
        <v>0</v>
      </c>
      <c r="L767" t="n">
        <v>0</v>
      </c>
      <c r="M767" t="n">
        <v>0</v>
      </c>
      <c r="N767" t="n">
        <v>0</v>
      </c>
      <c r="O767" t="n">
        <v>0</v>
      </c>
      <c r="P767" t="n">
        <v>0</v>
      </c>
      <c r="Q767" t="n">
        <v>0</v>
      </c>
      <c r="R767" s="2" t="inlineStr"/>
    </row>
    <row r="768" ht="15" customHeight="1">
      <c r="A768" t="inlineStr">
        <is>
          <t>A 17242-2025</t>
        </is>
      </c>
      <c r="B768" s="1" t="n">
        <v>45756.49009259259</v>
      </c>
      <c r="C768" s="1" t="n">
        <v>46019</v>
      </c>
      <c r="D768" t="inlineStr">
        <is>
          <t>ÖREBRO LÄN</t>
        </is>
      </c>
      <c r="E768" t="inlineStr">
        <is>
          <t>LINDESBERG</t>
        </is>
      </c>
      <c r="G768" t="n">
        <v>7.3</v>
      </c>
      <c r="H768" t="n">
        <v>0</v>
      </c>
      <c r="I768" t="n">
        <v>0</v>
      </c>
      <c r="J768" t="n">
        <v>0</v>
      </c>
      <c r="K768" t="n">
        <v>0</v>
      </c>
      <c r="L768" t="n">
        <v>0</v>
      </c>
      <c r="M768" t="n">
        <v>0</v>
      </c>
      <c r="N768" t="n">
        <v>0</v>
      </c>
      <c r="O768" t="n">
        <v>0</v>
      </c>
      <c r="P768" t="n">
        <v>0</v>
      </c>
      <c r="Q768" t="n">
        <v>0</v>
      </c>
      <c r="R768" s="2" t="inlineStr"/>
    </row>
    <row r="769" ht="15" customHeight="1">
      <c r="A769" t="inlineStr">
        <is>
          <t>A 7119-2025</t>
        </is>
      </c>
      <c r="B769" s="1" t="n">
        <v>45702</v>
      </c>
      <c r="C769" s="1" t="n">
        <v>46019</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45060-2024</t>
        </is>
      </c>
      <c r="B770" s="1" t="n">
        <v>45575.55570601852</v>
      </c>
      <c r="C770" s="1" t="n">
        <v>46019</v>
      </c>
      <c r="D770" t="inlineStr">
        <is>
          <t>ÖREBRO LÄN</t>
        </is>
      </c>
      <c r="E770" t="inlineStr">
        <is>
          <t>LINDESBERG</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50972-2023</t>
        </is>
      </c>
      <c r="B771" s="1" t="n">
        <v>45218</v>
      </c>
      <c r="C771" s="1" t="n">
        <v>46019</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50225-2021</t>
        </is>
      </c>
      <c r="B772" s="1" t="n">
        <v>44457</v>
      </c>
      <c r="C772" s="1" t="n">
        <v>46019</v>
      </c>
      <c r="D772" t="inlineStr">
        <is>
          <t>ÖREBRO LÄN</t>
        </is>
      </c>
      <c r="E772" t="inlineStr">
        <is>
          <t>LINDESBERG</t>
        </is>
      </c>
      <c r="G772" t="n">
        <v>2.5</v>
      </c>
      <c r="H772" t="n">
        <v>0</v>
      </c>
      <c r="I772" t="n">
        <v>0</v>
      </c>
      <c r="J772" t="n">
        <v>0</v>
      </c>
      <c r="K772" t="n">
        <v>0</v>
      </c>
      <c r="L772" t="n">
        <v>0</v>
      </c>
      <c r="M772" t="n">
        <v>0</v>
      </c>
      <c r="N772" t="n">
        <v>0</v>
      </c>
      <c r="O772" t="n">
        <v>0</v>
      </c>
      <c r="P772" t="n">
        <v>0</v>
      </c>
      <c r="Q772" t="n">
        <v>0</v>
      </c>
      <c r="R772" s="2" t="inlineStr"/>
    </row>
    <row r="773" ht="15" customHeight="1">
      <c r="A773" t="inlineStr">
        <is>
          <t>A 17995-2021</t>
        </is>
      </c>
      <c r="B773" s="1" t="n">
        <v>44301</v>
      </c>
      <c r="C773" s="1" t="n">
        <v>46019</v>
      </c>
      <c r="D773" t="inlineStr">
        <is>
          <t>ÖREBRO LÄN</t>
        </is>
      </c>
      <c r="E773" t="inlineStr">
        <is>
          <t>LINDESBERG</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48244-2024</t>
        </is>
      </c>
      <c r="B774" s="1" t="n">
        <v>45590.39471064815</v>
      </c>
      <c r="C774" s="1" t="n">
        <v>46019</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20210-2024</t>
        </is>
      </c>
      <c r="B775" s="1" t="n">
        <v>45434.65854166666</v>
      </c>
      <c r="C775" s="1" t="n">
        <v>46019</v>
      </c>
      <c r="D775" t="inlineStr">
        <is>
          <t>ÖREBRO LÄN</t>
        </is>
      </c>
      <c r="E775" t="inlineStr">
        <is>
          <t>LINDESBERG</t>
        </is>
      </c>
      <c r="G775" t="n">
        <v>5.5</v>
      </c>
      <c r="H775" t="n">
        <v>0</v>
      </c>
      <c r="I775" t="n">
        <v>0</v>
      </c>
      <c r="J775" t="n">
        <v>0</v>
      </c>
      <c r="K775" t="n">
        <v>0</v>
      </c>
      <c r="L775" t="n">
        <v>0</v>
      </c>
      <c r="M775" t="n">
        <v>0</v>
      </c>
      <c r="N775" t="n">
        <v>0</v>
      </c>
      <c r="O775" t="n">
        <v>0</v>
      </c>
      <c r="P775" t="n">
        <v>0</v>
      </c>
      <c r="Q775" t="n">
        <v>0</v>
      </c>
      <c r="R775" s="2" t="inlineStr"/>
    </row>
    <row r="776" ht="15" customHeight="1">
      <c r="A776" t="inlineStr">
        <is>
          <t>A 24352-2023</t>
        </is>
      </c>
      <c r="B776" s="1" t="n">
        <v>45082.31421296296</v>
      </c>
      <c r="C776" s="1" t="n">
        <v>46019</v>
      </c>
      <c r="D776" t="inlineStr">
        <is>
          <t>ÖREBRO LÄN</t>
        </is>
      </c>
      <c r="E776" t="inlineStr">
        <is>
          <t>LINDESBERG</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22824-2023</t>
        </is>
      </c>
      <c r="B777" s="1" t="n">
        <v>45072</v>
      </c>
      <c r="C777" s="1" t="n">
        <v>46019</v>
      </c>
      <c r="D777" t="inlineStr">
        <is>
          <t>ÖREBRO LÄN</t>
        </is>
      </c>
      <c r="E777" t="inlineStr">
        <is>
          <t>LINDESBERG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36509-2024</t>
        </is>
      </c>
      <c r="B778" s="1" t="n">
        <v>45537.42240740741</v>
      </c>
      <c r="C778" s="1" t="n">
        <v>46019</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33428-2024</t>
        </is>
      </c>
      <c r="B779" s="1" t="n">
        <v>45519.52319444445</v>
      </c>
      <c r="C779" s="1" t="n">
        <v>46019</v>
      </c>
      <c r="D779" t="inlineStr">
        <is>
          <t>ÖREBRO LÄN</t>
        </is>
      </c>
      <c r="E779" t="inlineStr">
        <is>
          <t>LINDESBERG</t>
        </is>
      </c>
      <c r="F779" t="inlineStr">
        <is>
          <t>Sveaskog</t>
        </is>
      </c>
      <c r="G779" t="n">
        <v>0.2</v>
      </c>
      <c r="H779" t="n">
        <v>0</v>
      </c>
      <c r="I779" t="n">
        <v>0</v>
      </c>
      <c r="J779" t="n">
        <v>0</v>
      </c>
      <c r="K779" t="n">
        <v>0</v>
      </c>
      <c r="L779" t="n">
        <v>0</v>
      </c>
      <c r="M779" t="n">
        <v>0</v>
      </c>
      <c r="N779" t="n">
        <v>0</v>
      </c>
      <c r="O779" t="n">
        <v>0</v>
      </c>
      <c r="P779" t="n">
        <v>0</v>
      </c>
      <c r="Q779" t="n">
        <v>0</v>
      </c>
      <c r="R779" s="2" t="inlineStr"/>
    </row>
    <row r="780" ht="15" customHeight="1">
      <c r="A780" t="inlineStr">
        <is>
          <t>A 17104-2024</t>
        </is>
      </c>
      <c r="B780" s="1" t="n">
        <v>45412.54541666667</v>
      </c>
      <c r="C780" s="1" t="n">
        <v>46019</v>
      </c>
      <c r="D780" t="inlineStr">
        <is>
          <t>ÖREBRO LÄN</t>
        </is>
      </c>
      <c r="E780" t="inlineStr">
        <is>
          <t>LINDESBERG</t>
        </is>
      </c>
      <c r="G780" t="n">
        <v>2.2</v>
      </c>
      <c r="H780" t="n">
        <v>0</v>
      </c>
      <c r="I780" t="n">
        <v>0</v>
      </c>
      <c r="J780" t="n">
        <v>0</v>
      </c>
      <c r="K780" t="n">
        <v>0</v>
      </c>
      <c r="L780" t="n">
        <v>0</v>
      </c>
      <c r="M780" t="n">
        <v>0</v>
      </c>
      <c r="N780" t="n">
        <v>0</v>
      </c>
      <c r="O780" t="n">
        <v>0</v>
      </c>
      <c r="P780" t="n">
        <v>0</v>
      </c>
      <c r="Q780" t="n">
        <v>0</v>
      </c>
      <c r="R780" s="2" t="inlineStr"/>
    </row>
    <row r="781" ht="15" customHeight="1">
      <c r="A781" t="inlineStr">
        <is>
          <t>A 13350-2024</t>
        </is>
      </c>
      <c r="B781" s="1" t="n">
        <v>45387.24732638889</v>
      </c>
      <c r="C781" s="1" t="n">
        <v>46019</v>
      </c>
      <c r="D781" t="inlineStr">
        <is>
          <t>ÖREBRO LÄN</t>
        </is>
      </c>
      <c r="E781" t="inlineStr">
        <is>
          <t>LINDESBERG</t>
        </is>
      </c>
      <c r="G781" t="n">
        <v>4.1</v>
      </c>
      <c r="H781" t="n">
        <v>0</v>
      </c>
      <c r="I781" t="n">
        <v>0</v>
      </c>
      <c r="J781" t="n">
        <v>0</v>
      </c>
      <c r="K781" t="n">
        <v>0</v>
      </c>
      <c r="L781" t="n">
        <v>0</v>
      </c>
      <c r="M781" t="n">
        <v>0</v>
      </c>
      <c r="N781" t="n">
        <v>0</v>
      </c>
      <c r="O781" t="n">
        <v>0</v>
      </c>
      <c r="P781" t="n">
        <v>0</v>
      </c>
      <c r="Q781" t="n">
        <v>0</v>
      </c>
      <c r="R781" s="2" t="inlineStr"/>
    </row>
    <row r="782" ht="15" customHeight="1">
      <c r="A782" t="inlineStr">
        <is>
          <t>A 13351-2024</t>
        </is>
      </c>
      <c r="B782" s="1" t="n">
        <v>45387.2521875</v>
      </c>
      <c r="C782" s="1" t="n">
        <v>46019</v>
      </c>
      <c r="D782" t="inlineStr">
        <is>
          <t>ÖREBRO LÄN</t>
        </is>
      </c>
      <c r="E782" t="inlineStr">
        <is>
          <t>LINDESBERG</t>
        </is>
      </c>
      <c r="G782" t="n">
        <v>1.7</v>
      </c>
      <c r="H782" t="n">
        <v>0</v>
      </c>
      <c r="I782" t="n">
        <v>0</v>
      </c>
      <c r="J782" t="n">
        <v>0</v>
      </c>
      <c r="K782" t="n">
        <v>0</v>
      </c>
      <c r="L782" t="n">
        <v>0</v>
      </c>
      <c r="M782" t="n">
        <v>0</v>
      </c>
      <c r="N782" t="n">
        <v>0</v>
      </c>
      <c r="O782" t="n">
        <v>0</v>
      </c>
      <c r="P782" t="n">
        <v>0</v>
      </c>
      <c r="Q782" t="n">
        <v>0</v>
      </c>
      <c r="R782" s="2" t="inlineStr"/>
    </row>
    <row r="783" ht="15" customHeight="1">
      <c r="A783" t="inlineStr">
        <is>
          <t>A 40303-2024</t>
        </is>
      </c>
      <c r="B783" s="1" t="n">
        <v>45554.7158912037</v>
      </c>
      <c r="C783" s="1" t="n">
        <v>46019</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34838-2023</t>
        </is>
      </c>
      <c r="B784" s="1" t="n">
        <v>45141.76530092592</v>
      </c>
      <c r="C784" s="1" t="n">
        <v>46019</v>
      </c>
      <c r="D784" t="inlineStr">
        <is>
          <t>ÖREBRO LÄN</t>
        </is>
      </c>
      <c r="E784" t="inlineStr">
        <is>
          <t>LINDESBERG</t>
        </is>
      </c>
      <c r="G784" t="n">
        <v>3</v>
      </c>
      <c r="H784" t="n">
        <v>0</v>
      </c>
      <c r="I784" t="n">
        <v>0</v>
      </c>
      <c r="J784" t="n">
        <v>0</v>
      </c>
      <c r="K784" t="n">
        <v>0</v>
      </c>
      <c r="L784" t="n">
        <v>0</v>
      </c>
      <c r="M784" t="n">
        <v>0</v>
      </c>
      <c r="N784" t="n">
        <v>0</v>
      </c>
      <c r="O784" t="n">
        <v>0</v>
      </c>
      <c r="P784" t="n">
        <v>0</v>
      </c>
      <c r="Q784" t="n">
        <v>0</v>
      </c>
      <c r="R784" s="2" t="inlineStr"/>
    </row>
    <row r="785" ht="15" customHeight="1">
      <c r="A785" t="inlineStr">
        <is>
          <t>A 15324-2024</t>
        </is>
      </c>
      <c r="B785" s="1" t="n">
        <v>45400.66995370371</v>
      </c>
      <c r="C785" s="1" t="n">
        <v>46019</v>
      </c>
      <c r="D785" t="inlineStr">
        <is>
          <t>ÖREBRO LÄN</t>
        </is>
      </c>
      <c r="E785" t="inlineStr">
        <is>
          <t>LINDESBERG</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36170-2021</t>
        </is>
      </c>
      <c r="B786" s="1" t="n">
        <v>44389</v>
      </c>
      <c r="C786" s="1" t="n">
        <v>46019</v>
      </c>
      <c r="D786" t="inlineStr">
        <is>
          <t>ÖREBRO LÄN</t>
        </is>
      </c>
      <c r="E786" t="inlineStr">
        <is>
          <t>LINDESBERG</t>
        </is>
      </c>
      <c r="G786" t="n">
        <v>0.4</v>
      </c>
      <c r="H786" t="n">
        <v>0</v>
      </c>
      <c r="I786" t="n">
        <v>0</v>
      </c>
      <c r="J786" t="n">
        <v>0</v>
      </c>
      <c r="K786" t="n">
        <v>0</v>
      </c>
      <c r="L786" t="n">
        <v>0</v>
      </c>
      <c r="M786" t="n">
        <v>0</v>
      </c>
      <c r="N786" t="n">
        <v>0</v>
      </c>
      <c r="O786" t="n">
        <v>0</v>
      </c>
      <c r="P786" t="n">
        <v>0</v>
      </c>
      <c r="Q786" t="n">
        <v>0</v>
      </c>
      <c r="R786" s="2" t="inlineStr"/>
    </row>
    <row r="787" ht="15" customHeight="1">
      <c r="A787" t="inlineStr">
        <is>
          <t>A 7180-2023</t>
        </is>
      </c>
      <c r="B787" s="1" t="n">
        <v>44970.51849537037</v>
      </c>
      <c r="C787" s="1" t="n">
        <v>46019</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46675-2023</t>
        </is>
      </c>
      <c r="B788" s="1" t="n">
        <v>45194</v>
      </c>
      <c r="C788" s="1" t="n">
        <v>46019</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50964-2023</t>
        </is>
      </c>
      <c r="B789" s="1" t="n">
        <v>45218.488125</v>
      </c>
      <c r="C789" s="1" t="n">
        <v>46019</v>
      </c>
      <c r="D789" t="inlineStr">
        <is>
          <t>ÖREBRO LÄN</t>
        </is>
      </c>
      <c r="E789" t="inlineStr">
        <is>
          <t>LINDESBERG</t>
        </is>
      </c>
      <c r="F789" t="inlineStr">
        <is>
          <t>Sveaskog</t>
        </is>
      </c>
      <c r="G789" t="n">
        <v>0.7</v>
      </c>
      <c r="H789" t="n">
        <v>0</v>
      </c>
      <c r="I789" t="n">
        <v>0</v>
      </c>
      <c r="J789" t="n">
        <v>0</v>
      </c>
      <c r="K789" t="n">
        <v>0</v>
      </c>
      <c r="L789" t="n">
        <v>0</v>
      </c>
      <c r="M789" t="n">
        <v>0</v>
      </c>
      <c r="N789" t="n">
        <v>0</v>
      </c>
      <c r="O789" t="n">
        <v>0</v>
      </c>
      <c r="P789" t="n">
        <v>0</v>
      </c>
      <c r="Q789" t="n">
        <v>0</v>
      </c>
      <c r="R789" s="2" t="inlineStr"/>
    </row>
    <row r="790" ht="15" customHeight="1">
      <c r="A790" t="inlineStr">
        <is>
          <t>A 50619-2022</t>
        </is>
      </c>
      <c r="B790" s="1" t="n">
        <v>44866.79668981482</v>
      </c>
      <c r="C790" s="1" t="n">
        <v>46019</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36893-2024</t>
        </is>
      </c>
      <c r="B791" s="1" t="n">
        <v>45538</v>
      </c>
      <c r="C791" s="1" t="n">
        <v>46019</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47155-2024</t>
        </is>
      </c>
      <c r="B792" s="1" t="n">
        <v>45586</v>
      </c>
      <c r="C792" s="1" t="n">
        <v>46019</v>
      </c>
      <c r="D792" t="inlineStr">
        <is>
          <t>ÖREBRO LÄN</t>
        </is>
      </c>
      <c r="E792" t="inlineStr">
        <is>
          <t>LINDESBERG</t>
        </is>
      </c>
      <c r="F792" t="inlineStr">
        <is>
          <t>Sveaskog</t>
        </is>
      </c>
      <c r="G792" t="n">
        <v>5.7</v>
      </c>
      <c r="H792" t="n">
        <v>0</v>
      </c>
      <c r="I792" t="n">
        <v>0</v>
      </c>
      <c r="J792" t="n">
        <v>0</v>
      </c>
      <c r="K792" t="n">
        <v>0</v>
      </c>
      <c r="L792" t="n">
        <v>0</v>
      </c>
      <c r="M792" t="n">
        <v>0</v>
      </c>
      <c r="N792" t="n">
        <v>0</v>
      </c>
      <c r="O792" t="n">
        <v>0</v>
      </c>
      <c r="P792" t="n">
        <v>0</v>
      </c>
      <c r="Q792" t="n">
        <v>0</v>
      </c>
      <c r="R792" s="2" t="inlineStr"/>
    </row>
    <row r="793" ht="15" customHeight="1">
      <c r="A793" t="inlineStr">
        <is>
          <t>A 10111-2022</t>
        </is>
      </c>
      <c r="B793" s="1" t="n">
        <v>44621.85737268518</v>
      </c>
      <c r="C793" s="1" t="n">
        <v>46019</v>
      </c>
      <c r="D793" t="inlineStr">
        <is>
          <t>ÖREBRO LÄN</t>
        </is>
      </c>
      <c r="E793" t="inlineStr">
        <is>
          <t>LINDESBERG</t>
        </is>
      </c>
      <c r="G793" t="n">
        <v>2.4</v>
      </c>
      <c r="H793" t="n">
        <v>0</v>
      </c>
      <c r="I793" t="n">
        <v>0</v>
      </c>
      <c r="J793" t="n">
        <v>0</v>
      </c>
      <c r="K793" t="n">
        <v>0</v>
      </c>
      <c r="L793" t="n">
        <v>0</v>
      </c>
      <c r="M793" t="n">
        <v>0</v>
      </c>
      <c r="N793" t="n">
        <v>0</v>
      </c>
      <c r="O793" t="n">
        <v>0</v>
      </c>
      <c r="P793" t="n">
        <v>0</v>
      </c>
      <c r="Q793" t="n">
        <v>0</v>
      </c>
      <c r="R793" s="2" t="inlineStr"/>
    </row>
    <row r="794" ht="15" customHeight="1">
      <c r="A794" t="inlineStr">
        <is>
          <t>A 14231-2023</t>
        </is>
      </c>
      <c r="B794" s="1" t="n">
        <v>45009.64217592592</v>
      </c>
      <c r="C794" s="1" t="n">
        <v>46019</v>
      </c>
      <c r="D794" t="inlineStr">
        <is>
          <t>ÖREBRO LÄN</t>
        </is>
      </c>
      <c r="E794" t="inlineStr">
        <is>
          <t>LINDESBERG</t>
        </is>
      </c>
      <c r="G794" t="n">
        <v>4.3</v>
      </c>
      <c r="H794" t="n">
        <v>0</v>
      </c>
      <c r="I794" t="n">
        <v>0</v>
      </c>
      <c r="J794" t="n">
        <v>0</v>
      </c>
      <c r="K794" t="n">
        <v>0</v>
      </c>
      <c r="L794" t="n">
        <v>0</v>
      </c>
      <c r="M794" t="n">
        <v>0</v>
      </c>
      <c r="N794" t="n">
        <v>0</v>
      </c>
      <c r="O794" t="n">
        <v>0</v>
      </c>
      <c r="P794" t="n">
        <v>0</v>
      </c>
      <c r="Q794" t="n">
        <v>0</v>
      </c>
      <c r="R794" s="2" t="inlineStr"/>
    </row>
    <row r="795" ht="15" customHeight="1">
      <c r="A795" t="inlineStr">
        <is>
          <t>A 484-2022</t>
        </is>
      </c>
      <c r="B795" s="1" t="n">
        <v>44566</v>
      </c>
      <c r="C795" s="1" t="n">
        <v>46019</v>
      </c>
      <c r="D795" t="inlineStr">
        <is>
          <t>ÖREBRO LÄN</t>
        </is>
      </c>
      <c r="E795" t="inlineStr">
        <is>
          <t>LINDESBERG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1395-2025</t>
        </is>
      </c>
      <c r="B796" s="1" t="n">
        <v>45667</v>
      </c>
      <c r="C796" s="1" t="n">
        <v>46019</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1405-2025</t>
        </is>
      </c>
      <c r="B797" s="1" t="n">
        <v>45667</v>
      </c>
      <c r="C797" s="1" t="n">
        <v>46019</v>
      </c>
      <c r="D797" t="inlineStr">
        <is>
          <t>ÖREBRO LÄN</t>
        </is>
      </c>
      <c r="E797" t="inlineStr">
        <is>
          <t>LINDESBERG</t>
        </is>
      </c>
      <c r="F797" t="inlineStr">
        <is>
          <t>Allmännings- och besparingsskogar</t>
        </is>
      </c>
      <c r="G797" t="n">
        <v>3.1</v>
      </c>
      <c r="H797" t="n">
        <v>0</v>
      </c>
      <c r="I797" t="n">
        <v>0</v>
      </c>
      <c r="J797" t="n">
        <v>0</v>
      </c>
      <c r="K797" t="n">
        <v>0</v>
      </c>
      <c r="L797" t="n">
        <v>0</v>
      </c>
      <c r="M797" t="n">
        <v>0</v>
      </c>
      <c r="N797" t="n">
        <v>0</v>
      </c>
      <c r="O797" t="n">
        <v>0</v>
      </c>
      <c r="P797" t="n">
        <v>0</v>
      </c>
      <c r="Q797" t="n">
        <v>0</v>
      </c>
      <c r="R797" s="2" t="inlineStr"/>
    </row>
    <row r="798" ht="15" customHeight="1">
      <c r="A798" t="inlineStr">
        <is>
          <t>A 34434-2023</t>
        </is>
      </c>
      <c r="B798" s="1" t="n">
        <v>45139.63480324074</v>
      </c>
      <c r="C798" s="1" t="n">
        <v>46019</v>
      </c>
      <c r="D798" t="inlineStr">
        <is>
          <t>ÖREBRO LÄN</t>
        </is>
      </c>
      <c r="E798" t="inlineStr">
        <is>
          <t>LINDESBERG</t>
        </is>
      </c>
      <c r="F798" t="inlineStr">
        <is>
          <t>Kyrkan</t>
        </is>
      </c>
      <c r="G798" t="n">
        <v>1.7</v>
      </c>
      <c r="H798" t="n">
        <v>0</v>
      </c>
      <c r="I798" t="n">
        <v>0</v>
      </c>
      <c r="J798" t="n">
        <v>0</v>
      </c>
      <c r="K798" t="n">
        <v>0</v>
      </c>
      <c r="L798" t="n">
        <v>0</v>
      </c>
      <c r="M798" t="n">
        <v>0</v>
      </c>
      <c r="N798" t="n">
        <v>0</v>
      </c>
      <c r="O798" t="n">
        <v>0</v>
      </c>
      <c r="P798" t="n">
        <v>0</v>
      </c>
      <c r="Q798" t="n">
        <v>0</v>
      </c>
      <c r="R798" s="2" t="inlineStr"/>
    </row>
    <row r="799" ht="15" customHeight="1">
      <c r="A799" t="inlineStr">
        <is>
          <t>A 45078-2024</t>
        </is>
      </c>
      <c r="B799" s="1" t="n">
        <v>45575.57104166667</v>
      </c>
      <c r="C799" s="1" t="n">
        <v>46019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6723-2022</t>
        </is>
      </c>
      <c r="B800" s="1" t="n">
        <v>44602.45162037037</v>
      </c>
      <c r="C800" s="1" t="n">
        <v>46019</v>
      </c>
      <c r="D800" t="inlineStr">
        <is>
          <t>ÖREBRO LÄN</t>
        </is>
      </c>
      <c r="E800" t="inlineStr">
        <is>
          <t>LINDESBERG</t>
        </is>
      </c>
      <c r="G800" t="n">
        <v>4.2</v>
      </c>
      <c r="H800" t="n">
        <v>0</v>
      </c>
      <c r="I800" t="n">
        <v>0</v>
      </c>
      <c r="J800" t="n">
        <v>0</v>
      </c>
      <c r="K800" t="n">
        <v>0</v>
      </c>
      <c r="L800" t="n">
        <v>0</v>
      </c>
      <c r="M800" t="n">
        <v>0</v>
      </c>
      <c r="N800" t="n">
        <v>0</v>
      </c>
      <c r="O800" t="n">
        <v>0</v>
      </c>
      <c r="P800" t="n">
        <v>0</v>
      </c>
      <c r="Q800" t="n">
        <v>0</v>
      </c>
      <c r="R800" s="2" t="inlineStr"/>
    </row>
    <row r="801" ht="15" customHeight="1">
      <c r="A801" t="inlineStr">
        <is>
          <t>A 28470-2023</t>
        </is>
      </c>
      <c r="B801" s="1" t="n">
        <v>45103</v>
      </c>
      <c r="C801" s="1" t="n">
        <v>46019</v>
      </c>
      <c r="D801" t="inlineStr">
        <is>
          <t>ÖREBRO LÄN</t>
        </is>
      </c>
      <c r="E801" t="inlineStr">
        <is>
          <t>LINDESBERG</t>
        </is>
      </c>
      <c r="G801" t="n">
        <v>6.7</v>
      </c>
      <c r="H801" t="n">
        <v>0</v>
      </c>
      <c r="I801" t="n">
        <v>0</v>
      </c>
      <c r="J801" t="n">
        <v>0</v>
      </c>
      <c r="K801" t="n">
        <v>0</v>
      </c>
      <c r="L801" t="n">
        <v>0</v>
      </c>
      <c r="M801" t="n">
        <v>0</v>
      </c>
      <c r="N801" t="n">
        <v>0</v>
      </c>
      <c r="O801" t="n">
        <v>0</v>
      </c>
      <c r="P801" t="n">
        <v>0</v>
      </c>
      <c r="Q801" t="n">
        <v>0</v>
      </c>
      <c r="R801" s="2" t="inlineStr"/>
    </row>
    <row r="802" ht="15" customHeight="1">
      <c r="A802" t="inlineStr">
        <is>
          <t>A 32097-2024</t>
        </is>
      </c>
      <c r="B802" s="1" t="n">
        <v>45511.39445601852</v>
      </c>
      <c r="C802" s="1" t="n">
        <v>46019</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26340-2022</t>
        </is>
      </c>
      <c r="B803" s="1" t="n">
        <v>44735.62539351852</v>
      </c>
      <c r="C803" s="1" t="n">
        <v>46019</v>
      </c>
      <c r="D803" t="inlineStr">
        <is>
          <t>ÖREBRO LÄN</t>
        </is>
      </c>
      <c r="E803" t="inlineStr">
        <is>
          <t>LINDESBERG</t>
        </is>
      </c>
      <c r="F803" t="inlineStr">
        <is>
          <t>Sveaskog</t>
        </is>
      </c>
      <c r="G803" t="n">
        <v>2.6</v>
      </c>
      <c r="H803" t="n">
        <v>0</v>
      </c>
      <c r="I803" t="n">
        <v>0</v>
      </c>
      <c r="J803" t="n">
        <v>0</v>
      </c>
      <c r="K803" t="n">
        <v>0</v>
      </c>
      <c r="L803" t="n">
        <v>0</v>
      </c>
      <c r="M803" t="n">
        <v>0</v>
      </c>
      <c r="N803" t="n">
        <v>0</v>
      </c>
      <c r="O803" t="n">
        <v>0</v>
      </c>
      <c r="P803" t="n">
        <v>0</v>
      </c>
      <c r="Q803" t="n">
        <v>0</v>
      </c>
      <c r="R803" s="2" t="inlineStr"/>
    </row>
    <row r="804" ht="15" customHeight="1">
      <c r="A804" t="inlineStr">
        <is>
          <t>A 30534-2023</t>
        </is>
      </c>
      <c r="B804" s="1" t="n">
        <v>45111</v>
      </c>
      <c r="C804" s="1" t="n">
        <v>46019</v>
      </c>
      <c r="D804" t="inlineStr">
        <is>
          <t>ÖREBRO LÄN</t>
        </is>
      </c>
      <c r="E804" t="inlineStr">
        <is>
          <t>LINDESBERG</t>
        </is>
      </c>
      <c r="G804" t="n">
        <v>0.7</v>
      </c>
      <c r="H804" t="n">
        <v>0</v>
      </c>
      <c r="I804" t="n">
        <v>0</v>
      </c>
      <c r="J804" t="n">
        <v>0</v>
      </c>
      <c r="K804" t="n">
        <v>0</v>
      </c>
      <c r="L804" t="n">
        <v>0</v>
      </c>
      <c r="M804" t="n">
        <v>0</v>
      </c>
      <c r="N804" t="n">
        <v>0</v>
      </c>
      <c r="O804" t="n">
        <v>0</v>
      </c>
      <c r="P804" t="n">
        <v>0</v>
      </c>
      <c r="Q804" t="n">
        <v>0</v>
      </c>
      <c r="R804" s="2" t="inlineStr"/>
    </row>
    <row r="805" ht="15" customHeight="1">
      <c r="A805" t="inlineStr">
        <is>
          <t>A 3994-2023</t>
        </is>
      </c>
      <c r="B805" s="1" t="n">
        <v>44950</v>
      </c>
      <c r="C805" s="1" t="n">
        <v>46019</v>
      </c>
      <c r="D805" t="inlineStr">
        <is>
          <t>ÖREBRO LÄN</t>
        </is>
      </c>
      <c r="E805" t="inlineStr">
        <is>
          <t>LINDESBERG</t>
        </is>
      </c>
      <c r="G805" t="n">
        <v>4.8</v>
      </c>
      <c r="H805" t="n">
        <v>0</v>
      </c>
      <c r="I805" t="n">
        <v>0</v>
      </c>
      <c r="J805" t="n">
        <v>0</v>
      </c>
      <c r="K805" t="n">
        <v>0</v>
      </c>
      <c r="L805" t="n">
        <v>0</v>
      </c>
      <c r="M805" t="n">
        <v>0</v>
      </c>
      <c r="N805" t="n">
        <v>0</v>
      </c>
      <c r="O805" t="n">
        <v>0</v>
      </c>
      <c r="P805" t="n">
        <v>0</v>
      </c>
      <c r="Q805" t="n">
        <v>0</v>
      </c>
      <c r="R805" s="2" t="inlineStr"/>
    </row>
    <row r="806" ht="15" customHeight="1">
      <c r="A806" t="inlineStr">
        <is>
          <t>A 54705-2022</t>
        </is>
      </c>
      <c r="B806" s="1" t="n">
        <v>44883</v>
      </c>
      <c r="C806" s="1" t="n">
        <v>46019</v>
      </c>
      <c r="D806" t="inlineStr">
        <is>
          <t>ÖREBRO LÄN</t>
        </is>
      </c>
      <c r="E806" t="inlineStr">
        <is>
          <t>LINDESBERG</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59631-2023</t>
        </is>
      </c>
      <c r="B807" s="1" t="n">
        <v>45254.68105324074</v>
      </c>
      <c r="C807" s="1" t="n">
        <v>46019</v>
      </c>
      <c r="D807" t="inlineStr">
        <is>
          <t>ÖREBRO LÄN</t>
        </is>
      </c>
      <c r="E807" t="inlineStr">
        <is>
          <t>LINDESBERG</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34539-2024</t>
        </is>
      </c>
      <c r="B808" s="1" t="n">
        <v>45525.7374537037</v>
      </c>
      <c r="C808" s="1" t="n">
        <v>46019</v>
      </c>
      <c r="D808" t="inlineStr">
        <is>
          <t>ÖREBRO LÄN</t>
        </is>
      </c>
      <c r="E808" t="inlineStr">
        <is>
          <t>LINDESBERG</t>
        </is>
      </c>
      <c r="G808" t="n">
        <v>5.4</v>
      </c>
      <c r="H808" t="n">
        <v>0</v>
      </c>
      <c r="I808" t="n">
        <v>0</v>
      </c>
      <c r="J808" t="n">
        <v>0</v>
      </c>
      <c r="K808" t="n">
        <v>0</v>
      </c>
      <c r="L808" t="n">
        <v>0</v>
      </c>
      <c r="M808" t="n">
        <v>0</v>
      </c>
      <c r="N808" t="n">
        <v>0</v>
      </c>
      <c r="O808" t="n">
        <v>0</v>
      </c>
      <c r="P808" t="n">
        <v>0</v>
      </c>
      <c r="Q808" t="n">
        <v>0</v>
      </c>
      <c r="R808" s="2" t="inlineStr"/>
    </row>
    <row r="809" ht="15" customHeight="1">
      <c r="A809" t="inlineStr">
        <is>
          <t>A 41951-2023</t>
        </is>
      </c>
      <c r="B809" s="1" t="n">
        <v>45177.33991898148</v>
      </c>
      <c r="C809" s="1" t="n">
        <v>46019</v>
      </c>
      <c r="D809" t="inlineStr">
        <is>
          <t>ÖREBRO LÄN</t>
        </is>
      </c>
      <c r="E809" t="inlineStr">
        <is>
          <t>LINDESBERG</t>
        </is>
      </c>
      <c r="F809" t="inlineStr">
        <is>
          <t>Kyrkan</t>
        </is>
      </c>
      <c r="G809" t="n">
        <v>3.3</v>
      </c>
      <c r="H809" t="n">
        <v>0</v>
      </c>
      <c r="I809" t="n">
        <v>0</v>
      </c>
      <c r="J809" t="n">
        <v>0</v>
      </c>
      <c r="K809" t="n">
        <v>0</v>
      </c>
      <c r="L809" t="n">
        <v>0</v>
      </c>
      <c r="M809" t="n">
        <v>0</v>
      </c>
      <c r="N809" t="n">
        <v>0</v>
      </c>
      <c r="O809" t="n">
        <v>0</v>
      </c>
      <c r="P809" t="n">
        <v>0</v>
      </c>
      <c r="Q809" t="n">
        <v>0</v>
      </c>
      <c r="R809" s="2" t="inlineStr"/>
    </row>
    <row r="810" ht="15" customHeight="1">
      <c r="A810" t="inlineStr">
        <is>
          <t>A 58603-2023</t>
        </is>
      </c>
      <c r="B810" s="1" t="n">
        <v>45251</v>
      </c>
      <c r="C810" s="1" t="n">
        <v>46019</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14187-2024</t>
        </is>
      </c>
      <c r="B811" s="1" t="n">
        <v>45393.35787037037</v>
      </c>
      <c r="C811" s="1" t="n">
        <v>46019</v>
      </c>
      <c r="D811" t="inlineStr">
        <is>
          <t>ÖREBRO LÄN</t>
        </is>
      </c>
      <c r="E811" t="inlineStr">
        <is>
          <t>LINDESBERG</t>
        </is>
      </c>
      <c r="F811" t="inlineStr">
        <is>
          <t>Sveaskog</t>
        </is>
      </c>
      <c r="G811" t="n">
        <v>0.3</v>
      </c>
      <c r="H811" t="n">
        <v>0</v>
      </c>
      <c r="I811" t="n">
        <v>0</v>
      </c>
      <c r="J811" t="n">
        <v>0</v>
      </c>
      <c r="K811" t="n">
        <v>0</v>
      </c>
      <c r="L811" t="n">
        <v>0</v>
      </c>
      <c r="M811" t="n">
        <v>0</v>
      </c>
      <c r="N811" t="n">
        <v>0</v>
      </c>
      <c r="O811" t="n">
        <v>0</v>
      </c>
      <c r="P811" t="n">
        <v>0</v>
      </c>
      <c r="Q811" t="n">
        <v>0</v>
      </c>
      <c r="R811" s="2" t="inlineStr"/>
    </row>
    <row r="812" ht="15" customHeight="1">
      <c r="A812" t="inlineStr">
        <is>
          <t>A 18418-2025</t>
        </is>
      </c>
      <c r="B812" s="1" t="n">
        <v>45762.61817129629</v>
      </c>
      <c r="C812" s="1" t="n">
        <v>46019</v>
      </c>
      <c r="D812" t="inlineStr">
        <is>
          <t>ÖREBRO LÄN</t>
        </is>
      </c>
      <c r="E812" t="inlineStr">
        <is>
          <t>LINDESBERG</t>
        </is>
      </c>
      <c r="G812" t="n">
        <v>2.3</v>
      </c>
      <c r="H812" t="n">
        <v>0</v>
      </c>
      <c r="I812" t="n">
        <v>0</v>
      </c>
      <c r="J812" t="n">
        <v>0</v>
      </c>
      <c r="K812" t="n">
        <v>0</v>
      </c>
      <c r="L812" t="n">
        <v>0</v>
      </c>
      <c r="M812" t="n">
        <v>0</v>
      </c>
      <c r="N812" t="n">
        <v>0</v>
      </c>
      <c r="O812" t="n">
        <v>0</v>
      </c>
      <c r="P812" t="n">
        <v>0</v>
      </c>
      <c r="Q812" t="n">
        <v>0</v>
      </c>
      <c r="R812" s="2" t="inlineStr"/>
    </row>
    <row r="813" ht="15" customHeight="1">
      <c r="A813" t="inlineStr">
        <is>
          <t>A 29849-2023</t>
        </is>
      </c>
      <c r="B813" s="1" t="n">
        <v>45107</v>
      </c>
      <c r="C813" s="1" t="n">
        <v>46019</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60105-2022</t>
        </is>
      </c>
      <c r="B814" s="1" t="n">
        <v>44902</v>
      </c>
      <c r="C814" s="1" t="n">
        <v>46019</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15094-2025</t>
        </is>
      </c>
      <c r="B815" s="1" t="n">
        <v>45744.32981481482</v>
      </c>
      <c r="C815" s="1" t="n">
        <v>46019</v>
      </c>
      <c r="D815" t="inlineStr">
        <is>
          <t>ÖREBRO LÄN</t>
        </is>
      </c>
      <c r="E815" t="inlineStr">
        <is>
          <t>LINDESBERG</t>
        </is>
      </c>
      <c r="G815" t="n">
        <v>1.2</v>
      </c>
      <c r="H815" t="n">
        <v>0</v>
      </c>
      <c r="I815" t="n">
        <v>0</v>
      </c>
      <c r="J815" t="n">
        <v>0</v>
      </c>
      <c r="K815" t="n">
        <v>0</v>
      </c>
      <c r="L815" t="n">
        <v>0</v>
      </c>
      <c r="M815" t="n">
        <v>0</v>
      </c>
      <c r="N815" t="n">
        <v>0</v>
      </c>
      <c r="O815" t="n">
        <v>0</v>
      </c>
      <c r="P815" t="n">
        <v>0</v>
      </c>
      <c r="Q815" t="n">
        <v>0</v>
      </c>
      <c r="R815" s="2" t="inlineStr"/>
    </row>
    <row r="816" ht="15" customHeight="1">
      <c r="A816" t="inlineStr">
        <is>
          <t>A 33427-2024</t>
        </is>
      </c>
      <c r="B816" s="1" t="n">
        <v>45519.52232638889</v>
      </c>
      <c r="C816" s="1" t="n">
        <v>46019</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29894-2023</t>
        </is>
      </c>
      <c r="B817" s="1" t="n">
        <v>45107</v>
      </c>
      <c r="C817" s="1" t="n">
        <v>46019</v>
      </c>
      <c r="D817" t="inlineStr">
        <is>
          <t>ÖREBRO LÄN</t>
        </is>
      </c>
      <c r="E817" t="inlineStr">
        <is>
          <t>LINDESBERG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40306-2022</t>
        </is>
      </c>
      <c r="B818" s="1" t="n">
        <v>44822</v>
      </c>
      <c r="C818" s="1" t="n">
        <v>46019</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63668-2023</t>
        </is>
      </c>
      <c r="B819" s="1" t="n">
        <v>45274</v>
      </c>
      <c r="C819" s="1" t="n">
        <v>46019</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46019</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46019</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46019</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46019</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46019</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46019</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46019</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46019</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46019</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46019</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46019</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46019</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46019</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46019</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46019</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46019</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46019</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46019</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46019</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46019</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46019</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46019</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46019</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46019</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46019</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46019</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46019</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18610-2021</t>
        </is>
      </c>
      <c r="B847" s="1" t="n">
        <v>44306.6371412037</v>
      </c>
      <c r="C847" s="1" t="n">
        <v>46019</v>
      </c>
      <c r="D847" t="inlineStr">
        <is>
          <t>ÖREBRO LÄN</t>
        </is>
      </c>
      <c r="E847" t="inlineStr">
        <is>
          <t>LINDESBERG</t>
        </is>
      </c>
      <c r="G847" t="n">
        <v>3</v>
      </c>
      <c r="H847" t="n">
        <v>0</v>
      </c>
      <c r="I847" t="n">
        <v>0</v>
      </c>
      <c r="J847" t="n">
        <v>0</v>
      </c>
      <c r="K847" t="n">
        <v>0</v>
      </c>
      <c r="L847" t="n">
        <v>0</v>
      </c>
      <c r="M847" t="n">
        <v>0</v>
      </c>
      <c r="N847" t="n">
        <v>0</v>
      </c>
      <c r="O847" t="n">
        <v>0</v>
      </c>
      <c r="P847" t="n">
        <v>0</v>
      </c>
      <c r="Q847" t="n">
        <v>0</v>
      </c>
      <c r="R847" s="2" t="inlineStr"/>
    </row>
    <row r="848" ht="15" customHeight="1">
      <c r="A848" t="inlineStr">
        <is>
          <t>A 40038-2024</t>
        </is>
      </c>
      <c r="B848" s="1" t="n">
        <v>45553</v>
      </c>
      <c r="C848" s="1" t="n">
        <v>46019</v>
      </c>
      <c r="D848" t="inlineStr">
        <is>
          <t>ÖREBRO LÄN</t>
        </is>
      </c>
      <c r="E848" t="inlineStr">
        <is>
          <t>LINDESBERG</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61360-2024</t>
        </is>
      </c>
      <c r="B849" s="1" t="n">
        <v>45646</v>
      </c>
      <c r="C849" s="1" t="n">
        <v>46019</v>
      </c>
      <c r="D849" t="inlineStr">
        <is>
          <t>ÖREBRO LÄN</t>
        </is>
      </c>
      <c r="E849" t="inlineStr">
        <is>
          <t>LINDESBERG</t>
        </is>
      </c>
      <c r="F849" t="inlineStr">
        <is>
          <t>Sveaskog</t>
        </is>
      </c>
      <c r="G849" t="n">
        <v>6.5</v>
      </c>
      <c r="H849" t="n">
        <v>0</v>
      </c>
      <c r="I849" t="n">
        <v>0</v>
      </c>
      <c r="J849" t="n">
        <v>0</v>
      </c>
      <c r="K849" t="n">
        <v>0</v>
      </c>
      <c r="L849" t="n">
        <v>0</v>
      </c>
      <c r="M849" t="n">
        <v>0</v>
      </c>
      <c r="N849" t="n">
        <v>0</v>
      </c>
      <c r="O849" t="n">
        <v>0</v>
      </c>
      <c r="P849" t="n">
        <v>0</v>
      </c>
      <c r="Q849" t="n">
        <v>0</v>
      </c>
      <c r="R849" s="2" t="inlineStr"/>
    </row>
    <row r="850" ht="15" customHeight="1">
      <c r="A850" t="inlineStr">
        <is>
          <t>A 12276-2025</t>
        </is>
      </c>
      <c r="B850" s="1" t="n">
        <v>45729.65061342593</v>
      </c>
      <c r="C850" s="1" t="n">
        <v>46019</v>
      </c>
      <c r="D850" t="inlineStr">
        <is>
          <t>ÖREBRO LÄN</t>
        </is>
      </c>
      <c r="E850" t="inlineStr">
        <is>
          <t>LINDESBERG</t>
        </is>
      </c>
      <c r="G850" t="n">
        <v>7.6</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46019</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31024-2023</t>
        </is>
      </c>
      <c r="B852" s="1" t="n">
        <v>45113</v>
      </c>
      <c r="C852" s="1" t="n">
        <v>46019</v>
      </c>
      <c r="D852" t="inlineStr">
        <is>
          <t>ÖREBRO LÄN</t>
        </is>
      </c>
      <c r="E852" t="inlineStr">
        <is>
          <t>LINDESBERG</t>
        </is>
      </c>
      <c r="G852" t="n">
        <v>5.1</v>
      </c>
      <c r="H852" t="n">
        <v>0</v>
      </c>
      <c r="I852" t="n">
        <v>0</v>
      </c>
      <c r="J852" t="n">
        <v>0</v>
      </c>
      <c r="K852" t="n">
        <v>0</v>
      </c>
      <c r="L852" t="n">
        <v>0</v>
      </c>
      <c r="M852" t="n">
        <v>0</v>
      </c>
      <c r="N852" t="n">
        <v>0</v>
      </c>
      <c r="O852" t="n">
        <v>0</v>
      </c>
      <c r="P852" t="n">
        <v>0</v>
      </c>
      <c r="Q852" t="n">
        <v>0</v>
      </c>
      <c r="R852" s="2" t="inlineStr"/>
    </row>
    <row r="853" ht="15" customHeight="1">
      <c r="A853" t="inlineStr">
        <is>
          <t>A 27052-2023</t>
        </is>
      </c>
      <c r="B853" s="1" t="n">
        <v>45095</v>
      </c>
      <c r="C853" s="1" t="n">
        <v>46019</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12053-2024</t>
        </is>
      </c>
      <c r="B854" s="1" t="n">
        <v>45377.48265046296</v>
      </c>
      <c r="C854" s="1" t="n">
        <v>46019</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25229-2021</t>
        </is>
      </c>
      <c r="B855" s="1" t="n">
        <v>44342.39703703704</v>
      </c>
      <c r="C855" s="1" t="n">
        <v>46019</v>
      </c>
      <c r="D855" t="inlineStr">
        <is>
          <t>ÖREBRO LÄN</t>
        </is>
      </c>
      <c r="E855" t="inlineStr">
        <is>
          <t>LINDESBERG</t>
        </is>
      </c>
      <c r="F855" t="inlineStr">
        <is>
          <t>Kyrkan</t>
        </is>
      </c>
      <c r="G855" t="n">
        <v>1.5</v>
      </c>
      <c r="H855" t="n">
        <v>0</v>
      </c>
      <c r="I855" t="n">
        <v>0</v>
      </c>
      <c r="J855" t="n">
        <v>0</v>
      </c>
      <c r="K855" t="n">
        <v>0</v>
      </c>
      <c r="L855" t="n">
        <v>0</v>
      </c>
      <c r="M855" t="n">
        <v>0</v>
      </c>
      <c r="N855" t="n">
        <v>0</v>
      </c>
      <c r="O855" t="n">
        <v>0</v>
      </c>
      <c r="P855" t="n">
        <v>0</v>
      </c>
      <c r="Q855" t="n">
        <v>0</v>
      </c>
      <c r="R855" s="2" t="inlineStr"/>
    </row>
    <row r="856" ht="15" customHeight="1">
      <c r="A856" t="inlineStr">
        <is>
          <t>A 626-2025</t>
        </is>
      </c>
      <c r="B856" s="1" t="n">
        <v>45664</v>
      </c>
      <c r="C856" s="1" t="n">
        <v>46019</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13573-2025</t>
        </is>
      </c>
      <c r="B857" s="1" t="n">
        <v>45736</v>
      </c>
      <c r="C857" s="1" t="n">
        <v>46019</v>
      </c>
      <c r="D857" t="inlineStr">
        <is>
          <t>ÖREBRO LÄN</t>
        </is>
      </c>
      <c r="E857" t="inlineStr">
        <is>
          <t>LINDESBERG</t>
        </is>
      </c>
      <c r="G857" t="n">
        <v>11.7</v>
      </c>
      <c r="H857" t="n">
        <v>0</v>
      </c>
      <c r="I857" t="n">
        <v>0</v>
      </c>
      <c r="J857" t="n">
        <v>0</v>
      </c>
      <c r="K857" t="n">
        <v>0</v>
      </c>
      <c r="L857" t="n">
        <v>0</v>
      </c>
      <c r="M857" t="n">
        <v>0</v>
      </c>
      <c r="N857" t="n">
        <v>0</v>
      </c>
      <c r="O857" t="n">
        <v>0</v>
      </c>
      <c r="P857" t="n">
        <v>0</v>
      </c>
      <c r="Q857" t="n">
        <v>0</v>
      </c>
      <c r="R857" s="2" t="inlineStr"/>
    </row>
    <row r="858" ht="15" customHeight="1">
      <c r="A858" t="inlineStr">
        <is>
          <t>A 63686-2023</t>
        </is>
      </c>
      <c r="B858" s="1" t="n">
        <v>45274</v>
      </c>
      <c r="C858" s="1" t="n">
        <v>46019</v>
      </c>
      <c r="D858" t="inlineStr">
        <is>
          <t>ÖREBRO LÄN</t>
        </is>
      </c>
      <c r="E858" t="inlineStr">
        <is>
          <t>LINDESBERG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64365-2023</t>
        </is>
      </c>
      <c r="B859" s="1" t="n">
        <v>45280</v>
      </c>
      <c r="C859" s="1" t="n">
        <v>46019</v>
      </c>
      <c r="D859" t="inlineStr">
        <is>
          <t>ÖREBRO LÄN</t>
        </is>
      </c>
      <c r="E859" t="inlineStr">
        <is>
          <t>LINDESBERG</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12562-2021</t>
        </is>
      </c>
      <c r="B860" s="1" t="n">
        <v>44267</v>
      </c>
      <c r="C860" s="1" t="n">
        <v>46019</v>
      </c>
      <c r="D860" t="inlineStr">
        <is>
          <t>ÖREBRO LÄN</t>
        </is>
      </c>
      <c r="E860" t="inlineStr">
        <is>
          <t>LINDESBERG</t>
        </is>
      </c>
      <c r="G860" t="n">
        <v>30.1</v>
      </c>
      <c r="H860" t="n">
        <v>0</v>
      </c>
      <c r="I860" t="n">
        <v>0</v>
      </c>
      <c r="J860" t="n">
        <v>0</v>
      </c>
      <c r="K860" t="n">
        <v>0</v>
      </c>
      <c r="L860" t="n">
        <v>0</v>
      </c>
      <c r="M860" t="n">
        <v>0</v>
      </c>
      <c r="N860" t="n">
        <v>0</v>
      </c>
      <c r="O860" t="n">
        <v>0</v>
      </c>
      <c r="P860" t="n">
        <v>0</v>
      </c>
      <c r="Q860" t="n">
        <v>0</v>
      </c>
      <c r="R860" s="2" t="inlineStr"/>
    </row>
    <row r="861" ht="15" customHeight="1">
      <c r="A861" t="inlineStr">
        <is>
          <t>A 56217-2022</t>
        </is>
      </c>
      <c r="B861" s="1" t="n">
        <v>44890.46174768519</v>
      </c>
      <c r="C861" s="1" t="n">
        <v>46019</v>
      </c>
      <c r="D861" t="inlineStr">
        <is>
          <t>ÖREBRO LÄN</t>
        </is>
      </c>
      <c r="E861" t="inlineStr">
        <is>
          <t>LINDESBERG</t>
        </is>
      </c>
      <c r="G861" t="n">
        <v>6.9</v>
      </c>
      <c r="H861" t="n">
        <v>0</v>
      </c>
      <c r="I861" t="n">
        <v>0</v>
      </c>
      <c r="J861" t="n">
        <v>0</v>
      </c>
      <c r="K861" t="n">
        <v>0</v>
      </c>
      <c r="L861" t="n">
        <v>0</v>
      </c>
      <c r="M861" t="n">
        <v>0</v>
      </c>
      <c r="N861" t="n">
        <v>0</v>
      </c>
      <c r="O861" t="n">
        <v>0</v>
      </c>
      <c r="P861" t="n">
        <v>0</v>
      </c>
      <c r="Q861" t="n">
        <v>0</v>
      </c>
      <c r="R861" s="2" t="inlineStr"/>
    </row>
    <row r="862" ht="15" customHeight="1">
      <c r="A862" t="inlineStr">
        <is>
          <t>A 5550-2024</t>
        </is>
      </c>
      <c r="B862" s="1" t="n">
        <v>45334</v>
      </c>
      <c r="C862" s="1" t="n">
        <v>46019</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32829-2024</t>
        </is>
      </c>
      <c r="B863" s="1" t="n">
        <v>45516.59447916667</v>
      </c>
      <c r="C863" s="1" t="n">
        <v>46019</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13823-2021</t>
        </is>
      </c>
      <c r="B864" s="1" t="n">
        <v>44276</v>
      </c>
      <c r="C864" s="1" t="n">
        <v>46019</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29350-2022</t>
        </is>
      </c>
      <c r="B865" s="1" t="n">
        <v>44753</v>
      </c>
      <c r="C865" s="1" t="n">
        <v>46019</v>
      </c>
      <c r="D865" t="inlineStr">
        <is>
          <t>ÖREBRO LÄN</t>
        </is>
      </c>
      <c r="E865" t="inlineStr">
        <is>
          <t>LINDESBERG</t>
        </is>
      </c>
      <c r="G865" t="n">
        <v>7.7</v>
      </c>
      <c r="H865" t="n">
        <v>0</v>
      </c>
      <c r="I865" t="n">
        <v>0</v>
      </c>
      <c r="J865" t="n">
        <v>0</v>
      </c>
      <c r="K865" t="n">
        <v>0</v>
      </c>
      <c r="L865" t="n">
        <v>0</v>
      </c>
      <c r="M865" t="n">
        <v>0</v>
      </c>
      <c r="N865" t="n">
        <v>0</v>
      </c>
      <c r="O865" t="n">
        <v>0</v>
      </c>
      <c r="P865" t="n">
        <v>0</v>
      </c>
      <c r="Q865" t="n">
        <v>0</v>
      </c>
      <c r="R865" s="2" t="inlineStr"/>
    </row>
    <row r="866" ht="15" customHeight="1">
      <c r="A866" t="inlineStr">
        <is>
          <t>A 53510-2024</t>
        </is>
      </c>
      <c r="B866" s="1" t="n">
        <v>45614.5968287037</v>
      </c>
      <c r="C866" s="1" t="n">
        <v>46019</v>
      </c>
      <c r="D866" t="inlineStr">
        <is>
          <t>ÖREBRO LÄN</t>
        </is>
      </c>
      <c r="E866" t="inlineStr">
        <is>
          <t>LINDESBERG</t>
        </is>
      </c>
      <c r="G866" t="n">
        <v>1</v>
      </c>
      <c r="H866" t="n">
        <v>0</v>
      </c>
      <c r="I866" t="n">
        <v>0</v>
      </c>
      <c r="J866" t="n">
        <v>0</v>
      </c>
      <c r="K866" t="n">
        <v>0</v>
      </c>
      <c r="L866" t="n">
        <v>0</v>
      </c>
      <c r="M866" t="n">
        <v>0</v>
      </c>
      <c r="N866" t="n">
        <v>0</v>
      </c>
      <c r="O866" t="n">
        <v>0</v>
      </c>
      <c r="P866" t="n">
        <v>0</v>
      </c>
      <c r="Q866" t="n">
        <v>0</v>
      </c>
      <c r="R866" s="2" t="inlineStr"/>
    </row>
    <row r="867" ht="15" customHeight="1">
      <c r="A867" t="inlineStr">
        <is>
          <t>A 58710-2023</t>
        </is>
      </c>
      <c r="B867" s="1" t="n">
        <v>45251.696875</v>
      </c>
      <c r="C867" s="1" t="n">
        <v>46019</v>
      </c>
      <c r="D867" t="inlineStr">
        <is>
          <t>ÖREBRO LÄN</t>
        </is>
      </c>
      <c r="E867" t="inlineStr">
        <is>
          <t>LINDESBERG</t>
        </is>
      </c>
      <c r="G867" t="n">
        <v>6.3</v>
      </c>
      <c r="H867" t="n">
        <v>0</v>
      </c>
      <c r="I867" t="n">
        <v>0</v>
      </c>
      <c r="J867" t="n">
        <v>0</v>
      </c>
      <c r="K867" t="n">
        <v>0</v>
      </c>
      <c r="L867" t="n">
        <v>0</v>
      </c>
      <c r="M867" t="n">
        <v>0</v>
      </c>
      <c r="N867" t="n">
        <v>0</v>
      </c>
      <c r="O867" t="n">
        <v>0</v>
      </c>
      <c r="P867" t="n">
        <v>0</v>
      </c>
      <c r="Q867" t="n">
        <v>0</v>
      </c>
      <c r="R867" s="2" t="inlineStr"/>
    </row>
    <row r="868" ht="15" customHeight="1">
      <c r="A868" t="inlineStr">
        <is>
          <t>A 60449-2024</t>
        </is>
      </c>
      <c r="B868" s="1" t="n">
        <v>45643</v>
      </c>
      <c r="C868" s="1" t="n">
        <v>46019</v>
      </c>
      <c r="D868" t="inlineStr">
        <is>
          <t>ÖREBRO LÄN</t>
        </is>
      </c>
      <c r="E868" t="inlineStr">
        <is>
          <t>LINDESBERG</t>
        </is>
      </c>
      <c r="G868" t="n">
        <v>1.2</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46019</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43529-2024</t>
        </is>
      </c>
      <c r="B870" s="1" t="n">
        <v>45569.35209490741</v>
      </c>
      <c r="C870" s="1" t="n">
        <v>46019</v>
      </c>
      <c r="D870" t="inlineStr">
        <is>
          <t>ÖREBRO LÄN</t>
        </is>
      </c>
      <c r="E870" t="inlineStr">
        <is>
          <t>LINDESBERG</t>
        </is>
      </c>
      <c r="G870" t="n">
        <v>2.8</v>
      </c>
      <c r="H870" t="n">
        <v>0</v>
      </c>
      <c r="I870" t="n">
        <v>0</v>
      </c>
      <c r="J870" t="n">
        <v>0</v>
      </c>
      <c r="K870" t="n">
        <v>0</v>
      </c>
      <c r="L870" t="n">
        <v>0</v>
      </c>
      <c r="M870" t="n">
        <v>0</v>
      </c>
      <c r="N870" t="n">
        <v>0</v>
      </c>
      <c r="O870" t="n">
        <v>0</v>
      </c>
      <c r="P870" t="n">
        <v>0</v>
      </c>
      <c r="Q870" t="n">
        <v>0</v>
      </c>
      <c r="R870" s="2" t="inlineStr"/>
    </row>
    <row r="871" ht="15" customHeight="1">
      <c r="A871" t="inlineStr">
        <is>
          <t>A 54864-2024</t>
        </is>
      </c>
      <c r="B871" s="1" t="n">
        <v>45618.59456018519</v>
      </c>
      <c r="C871" s="1" t="n">
        <v>46019</v>
      </c>
      <c r="D871" t="inlineStr">
        <is>
          <t>ÖREBRO LÄN</t>
        </is>
      </c>
      <c r="E871" t="inlineStr">
        <is>
          <t>LINDESBERG</t>
        </is>
      </c>
      <c r="F871" t="inlineStr">
        <is>
          <t>Sveaskog</t>
        </is>
      </c>
      <c r="G871" t="n">
        <v>4.4</v>
      </c>
      <c r="H871" t="n">
        <v>0</v>
      </c>
      <c r="I871" t="n">
        <v>0</v>
      </c>
      <c r="J871" t="n">
        <v>0</v>
      </c>
      <c r="K871" t="n">
        <v>0</v>
      </c>
      <c r="L871" t="n">
        <v>0</v>
      </c>
      <c r="M871" t="n">
        <v>0</v>
      </c>
      <c r="N871" t="n">
        <v>0</v>
      </c>
      <c r="O871" t="n">
        <v>0</v>
      </c>
      <c r="P871" t="n">
        <v>0</v>
      </c>
      <c r="Q871" t="n">
        <v>0</v>
      </c>
      <c r="R871" s="2" t="inlineStr"/>
    </row>
    <row r="872" ht="15" customHeight="1">
      <c r="A872" t="inlineStr">
        <is>
          <t>A 32009-2023</t>
        </is>
      </c>
      <c r="B872" s="1" t="n">
        <v>45119</v>
      </c>
      <c r="C872" s="1" t="n">
        <v>46019</v>
      </c>
      <c r="D872" t="inlineStr">
        <is>
          <t>ÖREBRO LÄN</t>
        </is>
      </c>
      <c r="E872" t="inlineStr">
        <is>
          <t>LINDESBERG</t>
        </is>
      </c>
      <c r="F872" t="inlineStr">
        <is>
          <t>Kyrkan</t>
        </is>
      </c>
      <c r="G872" t="n">
        <v>0.8</v>
      </c>
      <c r="H872" t="n">
        <v>0</v>
      </c>
      <c r="I872" t="n">
        <v>0</v>
      </c>
      <c r="J872" t="n">
        <v>0</v>
      </c>
      <c r="K872" t="n">
        <v>0</v>
      </c>
      <c r="L872" t="n">
        <v>0</v>
      </c>
      <c r="M872" t="n">
        <v>0</v>
      </c>
      <c r="N872" t="n">
        <v>0</v>
      </c>
      <c r="O872" t="n">
        <v>0</v>
      </c>
      <c r="P872" t="n">
        <v>0</v>
      </c>
      <c r="Q872" t="n">
        <v>0</v>
      </c>
      <c r="R872" s="2" t="inlineStr"/>
    </row>
    <row r="873" ht="15" customHeight="1">
      <c r="A873" t="inlineStr">
        <is>
          <t>A 3148-2023</t>
        </is>
      </c>
      <c r="B873" s="1" t="n">
        <v>44946.54424768518</v>
      </c>
      <c r="C873" s="1" t="n">
        <v>46019</v>
      </c>
      <c r="D873" t="inlineStr">
        <is>
          <t>ÖREBRO LÄN</t>
        </is>
      </c>
      <c r="E873" t="inlineStr">
        <is>
          <t>LINDESBERG</t>
        </is>
      </c>
      <c r="G873" t="n">
        <v>5.5</v>
      </c>
      <c r="H873" t="n">
        <v>0</v>
      </c>
      <c r="I873" t="n">
        <v>0</v>
      </c>
      <c r="J873" t="n">
        <v>0</v>
      </c>
      <c r="K873" t="n">
        <v>0</v>
      </c>
      <c r="L873" t="n">
        <v>0</v>
      </c>
      <c r="M873" t="n">
        <v>0</v>
      </c>
      <c r="N873" t="n">
        <v>0</v>
      </c>
      <c r="O873" t="n">
        <v>0</v>
      </c>
      <c r="P873" t="n">
        <v>0</v>
      </c>
      <c r="Q873" t="n">
        <v>0</v>
      </c>
      <c r="R873" s="2" t="inlineStr"/>
    </row>
    <row r="874" ht="15" customHeight="1">
      <c r="A874" t="inlineStr">
        <is>
          <t>A 54855-2024</t>
        </is>
      </c>
      <c r="B874" s="1" t="n">
        <v>45618.58622685185</v>
      </c>
      <c r="C874" s="1" t="n">
        <v>46019</v>
      </c>
      <c r="D874" t="inlineStr">
        <is>
          <t>ÖREBRO LÄN</t>
        </is>
      </c>
      <c r="E874" t="inlineStr">
        <is>
          <t>LINDESBERG</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37432-2022</t>
        </is>
      </c>
      <c r="B875" s="1" t="n">
        <v>44809</v>
      </c>
      <c r="C875" s="1" t="n">
        <v>46019</v>
      </c>
      <c r="D875" t="inlineStr">
        <is>
          <t>ÖREBRO LÄN</t>
        </is>
      </c>
      <c r="E875" t="inlineStr">
        <is>
          <t>LINDESBERG</t>
        </is>
      </c>
      <c r="G875" t="n">
        <v>3.6</v>
      </c>
      <c r="H875" t="n">
        <v>0</v>
      </c>
      <c r="I875" t="n">
        <v>0</v>
      </c>
      <c r="J875" t="n">
        <v>0</v>
      </c>
      <c r="K875" t="n">
        <v>0</v>
      </c>
      <c r="L875" t="n">
        <v>0</v>
      </c>
      <c r="M875" t="n">
        <v>0</v>
      </c>
      <c r="N875" t="n">
        <v>0</v>
      </c>
      <c r="O875" t="n">
        <v>0</v>
      </c>
      <c r="P875" t="n">
        <v>0</v>
      </c>
      <c r="Q875" t="n">
        <v>0</v>
      </c>
      <c r="R875" s="2" t="inlineStr"/>
    </row>
    <row r="876" ht="15" customHeight="1">
      <c r="A876" t="inlineStr">
        <is>
          <t>A 61202-2023</t>
        </is>
      </c>
      <c r="B876" s="1" t="n">
        <v>45264.38084490741</v>
      </c>
      <c r="C876" s="1" t="n">
        <v>46019</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7120-2025</t>
        </is>
      </c>
      <c r="B877" s="1" t="n">
        <v>45702</v>
      </c>
      <c r="C877" s="1" t="n">
        <v>46019</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195-2022</t>
        </is>
      </c>
      <c r="B878" s="1" t="n">
        <v>44564</v>
      </c>
      <c r="C878" s="1" t="n">
        <v>46019</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51379-2023</t>
        </is>
      </c>
      <c r="B879" s="1" t="n">
        <v>45219</v>
      </c>
      <c r="C879" s="1" t="n">
        <v>46019</v>
      </c>
      <c r="D879" t="inlineStr">
        <is>
          <t>ÖREBRO LÄN</t>
        </is>
      </c>
      <c r="E879" t="inlineStr">
        <is>
          <t>LINDESBERG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16054-2022</t>
        </is>
      </c>
      <c r="B880" s="1" t="n">
        <v>44665</v>
      </c>
      <c r="C880" s="1" t="n">
        <v>46019</v>
      </c>
      <c r="D880" t="inlineStr">
        <is>
          <t>ÖREBRO LÄN</t>
        </is>
      </c>
      <c r="E880" t="inlineStr">
        <is>
          <t>LINDESBERG</t>
        </is>
      </c>
      <c r="G880" t="n">
        <v>6.9</v>
      </c>
      <c r="H880" t="n">
        <v>0</v>
      </c>
      <c r="I880" t="n">
        <v>0</v>
      </c>
      <c r="J880" t="n">
        <v>0</v>
      </c>
      <c r="K880" t="n">
        <v>0</v>
      </c>
      <c r="L880" t="n">
        <v>0</v>
      </c>
      <c r="M880" t="n">
        <v>0</v>
      </c>
      <c r="N880" t="n">
        <v>0</v>
      </c>
      <c r="O880" t="n">
        <v>0</v>
      </c>
      <c r="P880" t="n">
        <v>0</v>
      </c>
      <c r="Q880" t="n">
        <v>0</v>
      </c>
      <c r="R880" s="2" t="inlineStr"/>
    </row>
    <row r="881" ht="15" customHeight="1">
      <c r="A881" t="inlineStr">
        <is>
          <t>A 49544-2023</t>
        </is>
      </c>
      <c r="B881" s="1" t="n">
        <v>45211</v>
      </c>
      <c r="C881" s="1" t="n">
        <v>46019</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48756-2024</t>
        </is>
      </c>
      <c r="B882" s="1" t="n">
        <v>45593.59681712963</v>
      </c>
      <c r="C882" s="1" t="n">
        <v>46019</v>
      </c>
      <c r="D882" t="inlineStr">
        <is>
          <t>ÖREBRO LÄN</t>
        </is>
      </c>
      <c r="E882" t="inlineStr">
        <is>
          <t>LINDESBERG</t>
        </is>
      </c>
      <c r="G882" t="n">
        <v>1.6</v>
      </c>
      <c r="H882" t="n">
        <v>0</v>
      </c>
      <c r="I882" t="n">
        <v>0</v>
      </c>
      <c r="J882" t="n">
        <v>0</v>
      </c>
      <c r="K882" t="n">
        <v>0</v>
      </c>
      <c r="L882" t="n">
        <v>0</v>
      </c>
      <c r="M882" t="n">
        <v>0</v>
      </c>
      <c r="N882" t="n">
        <v>0</v>
      </c>
      <c r="O882" t="n">
        <v>0</v>
      </c>
      <c r="P882" t="n">
        <v>0</v>
      </c>
      <c r="Q882" t="n">
        <v>0</v>
      </c>
      <c r="R882" s="2" t="inlineStr"/>
    </row>
    <row r="883" ht="15" customHeight="1">
      <c r="A883" t="inlineStr">
        <is>
          <t>A 15892-2025</t>
        </is>
      </c>
      <c r="B883" s="1" t="n">
        <v>45749</v>
      </c>
      <c r="C883" s="1" t="n">
        <v>46019</v>
      </c>
      <c r="D883" t="inlineStr">
        <is>
          <t>ÖREBRO LÄN</t>
        </is>
      </c>
      <c r="E883" t="inlineStr">
        <is>
          <t>LINDESBERG</t>
        </is>
      </c>
      <c r="G883" t="n">
        <v>0.8</v>
      </c>
      <c r="H883" t="n">
        <v>0</v>
      </c>
      <c r="I883" t="n">
        <v>0</v>
      </c>
      <c r="J883" t="n">
        <v>0</v>
      </c>
      <c r="K883" t="n">
        <v>0</v>
      </c>
      <c r="L883" t="n">
        <v>0</v>
      </c>
      <c r="M883" t="n">
        <v>0</v>
      </c>
      <c r="N883" t="n">
        <v>0</v>
      </c>
      <c r="O883" t="n">
        <v>0</v>
      </c>
      <c r="P883" t="n">
        <v>0</v>
      </c>
      <c r="Q883" t="n">
        <v>0</v>
      </c>
      <c r="R883" s="2" t="inlineStr"/>
    </row>
    <row r="884" ht="15" customHeight="1">
      <c r="A884" t="inlineStr">
        <is>
          <t>A 23260-2024</t>
        </is>
      </c>
      <c r="B884" s="1" t="n">
        <v>45453.36664351852</v>
      </c>
      <c r="C884" s="1" t="n">
        <v>46019</v>
      </c>
      <c r="D884" t="inlineStr">
        <is>
          <t>ÖREBRO LÄN</t>
        </is>
      </c>
      <c r="E884" t="inlineStr">
        <is>
          <t>LINDESBERG</t>
        </is>
      </c>
      <c r="F884" t="inlineStr">
        <is>
          <t>Sveaskog</t>
        </is>
      </c>
      <c r="G884" t="n">
        <v>0.3</v>
      </c>
      <c r="H884" t="n">
        <v>0</v>
      </c>
      <c r="I884" t="n">
        <v>0</v>
      </c>
      <c r="J884" t="n">
        <v>0</v>
      </c>
      <c r="K884" t="n">
        <v>0</v>
      </c>
      <c r="L884" t="n">
        <v>0</v>
      </c>
      <c r="M884" t="n">
        <v>0</v>
      </c>
      <c r="N884" t="n">
        <v>0</v>
      </c>
      <c r="O884" t="n">
        <v>0</v>
      </c>
      <c r="P884" t="n">
        <v>0</v>
      </c>
      <c r="Q884" t="n">
        <v>0</v>
      </c>
      <c r="R884" s="2" t="inlineStr"/>
    </row>
    <row r="885" ht="15" customHeight="1">
      <c r="A885" t="inlineStr">
        <is>
          <t>A 46607-2021</t>
        </is>
      </c>
      <c r="B885" s="1" t="n">
        <v>44445.55690972223</v>
      </c>
      <c r="C885" s="1" t="n">
        <v>46019</v>
      </c>
      <c r="D885" t="inlineStr">
        <is>
          <t>ÖREBRO LÄN</t>
        </is>
      </c>
      <c r="E885" t="inlineStr">
        <is>
          <t>LINDESBERG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20930-2025</t>
        </is>
      </c>
      <c r="B886" s="1" t="n">
        <v>45777.42628472222</v>
      </c>
      <c r="C886" s="1" t="n">
        <v>46019</v>
      </c>
      <c r="D886" t="inlineStr">
        <is>
          <t>ÖREBRO LÄN</t>
        </is>
      </c>
      <c r="E886" t="inlineStr">
        <is>
          <t>LINDESBERG</t>
        </is>
      </c>
      <c r="F886" t="inlineStr">
        <is>
          <t>Sveaskog</t>
        </is>
      </c>
      <c r="G886" t="n">
        <v>3.9</v>
      </c>
      <c r="H886" t="n">
        <v>0</v>
      </c>
      <c r="I886" t="n">
        <v>0</v>
      </c>
      <c r="J886" t="n">
        <v>0</v>
      </c>
      <c r="K886" t="n">
        <v>0</v>
      </c>
      <c r="L886" t="n">
        <v>0</v>
      </c>
      <c r="M886" t="n">
        <v>0</v>
      </c>
      <c r="N886" t="n">
        <v>0</v>
      </c>
      <c r="O886" t="n">
        <v>0</v>
      </c>
      <c r="P886" t="n">
        <v>0</v>
      </c>
      <c r="Q886" t="n">
        <v>0</v>
      </c>
      <c r="R886" s="2" t="inlineStr"/>
    </row>
    <row r="887" ht="15" customHeight="1">
      <c r="A887" t="inlineStr">
        <is>
          <t>A 20923-2025</t>
        </is>
      </c>
      <c r="B887" s="1" t="n">
        <v>45777.41673611111</v>
      </c>
      <c r="C887" s="1" t="n">
        <v>46019</v>
      </c>
      <c r="D887" t="inlineStr">
        <is>
          <t>ÖREBRO LÄN</t>
        </is>
      </c>
      <c r="E887" t="inlineStr">
        <is>
          <t>LINDESBERG</t>
        </is>
      </c>
      <c r="F887" t="inlineStr">
        <is>
          <t>Sveaskog</t>
        </is>
      </c>
      <c r="G887" t="n">
        <v>10.3</v>
      </c>
      <c r="H887" t="n">
        <v>0</v>
      </c>
      <c r="I887" t="n">
        <v>0</v>
      </c>
      <c r="J887" t="n">
        <v>0</v>
      </c>
      <c r="K887" t="n">
        <v>0</v>
      </c>
      <c r="L887" t="n">
        <v>0</v>
      </c>
      <c r="M887" t="n">
        <v>0</v>
      </c>
      <c r="N887" t="n">
        <v>0</v>
      </c>
      <c r="O887" t="n">
        <v>0</v>
      </c>
      <c r="P887" t="n">
        <v>0</v>
      </c>
      <c r="Q887" t="n">
        <v>0</v>
      </c>
      <c r="R887" s="2" t="inlineStr"/>
    </row>
    <row r="888" ht="15" customHeight="1">
      <c r="A888" t="inlineStr">
        <is>
          <t>A 12795-2025</t>
        </is>
      </c>
      <c r="B888" s="1" t="n">
        <v>45733.60959490741</v>
      </c>
      <c r="C888" s="1" t="n">
        <v>46019</v>
      </c>
      <c r="D888" t="inlineStr">
        <is>
          <t>ÖREBRO LÄN</t>
        </is>
      </c>
      <c r="E888" t="inlineStr">
        <is>
          <t>LINDESBERG</t>
        </is>
      </c>
      <c r="G888" t="n">
        <v>10.8</v>
      </c>
      <c r="H888" t="n">
        <v>0</v>
      </c>
      <c r="I888" t="n">
        <v>0</v>
      </c>
      <c r="J888" t="n">
        <v>0</v>
      </c>
      <c r="K888" t="n">
        <v>0</v>
      </c>
      <c r="L888" t="n">
        <v>0</v>
      </c>
      <c r="M888" t="n">
        <v>0</v>
      </c>
      <c r="N888" t="n">
        <v>0</v>
      </c>
      <c r="O888" t="n">
        <v>0</v>
      </c>
      <c r="P888" t="n">
        <v>0</v>
      </c>
      <c r="Q888" t="n">
        <v>0</v>
      </c>
      <c r="R888" s="2" t="inlineStr"/>
    </row>
    <row r="889" ht="15" customHeight="1">
      <c r="A889" t="inlineStr">
        <is>
          <t>A 20944-2025</t>
        </is>
      </c>
      <c r="B889" s="1" t="n">
        <v>45777</v>
      </c>
      <c r="C889" s="1" t="n">
        <v>46019</v>
      </c>
      <c r="D889" t="inlineStr">
        <is>
          <t>ÖREBRO LÄN</t>
        </is>
      </c>
      <c r="E889" t="inlineStr">
        <is>
          <t>LINDESBERG</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20950-2025</t>
        </is>
      </c>
      <c r="B890" s="1" t="n">
        <v>45777.43878472222</v>
      </c>
      <c r="C890" s="1" t="n">
        <v>46019</v>
      </c>
      <c r="D890" t="inlineStr">
        <is>
          <t>ÖREBRO LÄN</t>
        </is>
      </c>
      <c r="E890" t="inlineStr">
        <is>
          <t>LINDESBERG</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20804-2025</t>
        </is>
      </c>
      <c r="B891" s="1" t="n">
        <v>45776.65518518518</v>
      </c>
      <c r="C891" s="1" t="n">
        <v>46019</v>
      </c>
      <c r="D891" t="inlineStr">
        <is>
          <t>ÖREBRO LÄN</t>
        </is>
      </c>
      <c r="E891" t="inlineStr">
        <is>
          <t>LINDESBERG</t>
        </is>
      </c>
      <c r="G891" t="n">
        <v>3.2</v>
      </c>
      <c r="H891" t="n">
        <v>0</v>
      </c>
      <c r="I891" t="n">
        <v>0</v>
      </c>
      <c r="J891" t="n">
        <v>0</v>
      </c>
      <c r="K891" t="n">
        <v>0</v>
      </c>
      <c r="L891" t="n">
        <v>0</v>
      </c>
      <c r="M891" t="n">
        <v>0</v>
      </c>
      <c r="N891" t="n">
        <v>0</v>
      </c>
      <c r="O891" t="n">
        <v>0</v>
      </c>
      <c r="P891" t="n">
        <v>0</v>
      </c>
      <c r="Q891" t="n">
        <v>0</v>
      </c>
      <c r="R891" s="2" t="inlineStr"/>
    </row>
    <row r="892" ht="15" customHeight="1">
      <c r="A892" t="inlineStr">
        <is>
          <t>A 21812-2025</t>
        </is>
      </c>
      <c r="B892" s="1" t="n">
        <v>45783.71833333333</v>
      </c>
      <c r="C892" s="1" t="n">
        <v>46019</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43195-2024</t>
        </is>
      </c>
      <c r="B893" s="1" t="n">
        <v>45567.68003472222</v>
      </c>
      <c r="C893" s="1" t="n">
        <v>46019</v>
      </c>
      <c r="D893" t="inlineStr">
        <is>
          <t>ÖREBRO LÄN</t>
        </is>
      </c>
      <c r="E893" t="inlineStr">
        <is>
          <t>LINDESBERG</t>
        </is>
      </c>
      <c r="G893" t="n">
        <v>27.8</v>
      </c>
      <c r="H893" t="n">
        <v>0</v>
      </c>
      <c r="I893" t="n">
        <v>0</v>
      </c>
      <c r="J893" t="n">
        <v>0</v>
      </c>
      <c r="K893" t="n">
        <v>0</v>
      </c>
      <c r="L893" t="n">
        <v>0</v>
      </c>
      <c r="M893" t="n">
        <v>0</v>
      </c>
      <c r="N893" t="n">
        <v>0</v>
      </c>
      <c r="O893" t="n">
        <v>0</v>
      </c>
      <c r="P893" t="n">
        <v>0</v>
      </c>
      <c r="Q893" t="n">
        <v>0</v>
      </c>
      <c r="R893" s="2" t="inlineStr"/>
    </row>
    <row r="894" ht="15" customHeight="1">
      <c r="A894" t="inlineStr">
        <is>
          <t>A 31861-2024</t>
        </is>
      </c>
      <c r="B894" s="1" t="n">
        <v>45509.73383101852</v>
      </c>
      <c r="C894" s="1" t="n">
        <v>46019</v>
      </c>
      <c r="D894" t="inlineStr">
        <is>
          <t>ÖREBRO LÄN</t>
        </is>
      </c>
      <c r="E894" t="inlineStr">
        <is>
          <t>LINDESBERG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24583-2024</t>
        </is>
      </c>
      <c r="B895" s="1" t="n">
        <v>45460.46358796296</v>
      </c>
      <c r="C895" s="1" t="n">
        <v>46019</v>
      </c>
      <c r="D895" t="inlineStr">
        <is>
          <t>ÖREBRO LÄN</t>
        </is>
      </c>
      <c r="E895" t="inlineStr">
        <is>
          <t>LINDESBERG</t>
        </is>
      </c>
      <c r="G895" t="n">
        <v>13.7</v>
      </c>
      <c r="H895" t="n">
        <v>0</v>
      </c>
      <c r="I895" t="n">
        <v>0</v>
      </c>
      <c r="J895" t="n">
        <v>0</v>
      </c>
      <c r="K895" t="n">
        <v>0</v>
      </c>
      <c r="L895" t="n">
        <v>0</v>
      </c>
      <c r="M895" t="n">
        <v>0</v>
      </c>
      <c r="N895" t="n">
        <v>0</v>
      </c>
      <c r="O895" t="n">
        <v>0</v>
      </c>
      <c r="P895" t="n">
        <v>0</v>
      </c>
      <c r="Q895" t="n">
        <v>0</v>
      </c>
      <c r="R895" s="2" t="inlineStr"/>
    </row>
    <row r="896" ht="15" customHeight="1">
      <c r="A896" t="inlineStr">
        <is>
          <t>A 43532-2024</t>
        </is>
      </c>
      <c r="B896" s="1" t="n">
        <v>45569.3533912037</v>
      </c>
      <c r="C896" s="1" t="n">
        <v>46019</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59282-2023</t>
        </is>
      </c>
      <c r="B897" s="1" t="n">
        <v>45253</v>
      </c>
      <c r="C897" s="1" t="n">
        <v>46019</v>
      </c>
      <c r="D897" t="inlineStr">
        <is>
          <t>ÖREBRO LÄN</t>
        </is>
      </c>
      <c r="E897" t="inlineStr">
        <is>
          <t>LINDESBERG</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47601-2023</t>
        </is>
      </c>
      <c r="B898" s="1" t="n">
        <v>45203.45681712963</v>
      </c>
      <c r="C898" s="1" t="n">
        <v>46019</v>
      </c>
      <c r="D898" t="inlineStr">
        <is>
          <t>ÖREBRO LÄN</t>
        </is>
      </c>
      <c r="E898" t="inlineStr">
        <is>
          <t>LINDESBERG</t>
        </is>
      </c>
      <c r="G898" t="n">
        <v>37.6</v>
      </c>
      <c r="H898" t="n">
        <v>0</v>
      </c>
      <c r="I898" t="n">
        <v>0</v>
      </c>
      <c r="J898" t="n">
        <v>0</v>
      </c>
      <c r="K898" t="n">
        <v>0</v>
      </c>
      <c r="L898" t="n">
        <v>0</v>
      </c>
      <c r="M898" t="n">
        <v>0</v>
      </c>
      <c r="N898" t="n">
        <v>0</v>
      </c>
      <c r="O898" t="n">
        <v>0</v>
      </c>
      <c r="P898" t="n">
        <v>0</v>
      </c>
      <c r="Q898" t="n">
        <v>0</v>
      </c>
      <c r="R898" s="2" t="inlineStr"/>
    </row>
    <row r="899" ht="15" customHeight="1">
      <c r="A899" t="inlineStr">
        <is>
          <t>A 22078-2025</t>
        </is>
      </c>
      <c r="B899" s="1" t="n">
        <v>45785.4253125</v>
      </c>
      <c r="C899" s="1" t="n">
        <v>46019</v>
      </c>
      <c r="D899" t="inlineStr">
        <is>
          <t>ÖREBRO LÄN</t>
        </is>
      </c>
      <c r="E899" t="inlineStr">
        <is>
          <t>LINDESBERG</t>
        </is>
      </c>
      <c r="G899" t="n">
        <v>2.4</v>
      </c>
      <c r="H899" t="n">
        <v>0</v>
      </c>
      <c r="I899" t="n">
        <v>0</v>
      </c>
      <c r="J899" t="n">
        <v>0</v>
      </c>
      <c r="K899" t="n">
        <v>0</v>
      </c>
      <c r="L899" t="n">
        <v>0</v>
      </c>
      <c r="M899" t="n">
        <v>0</v>
      </c>
      <c r="N899" t="n">
        <v>0</v>
      </c>
      <c r="O899" t="n">
        <v>0</v>
      </c>
      <c r="P899" t="n">
        <v>0</v>
      </c>
      <c r="Q899" t="n">
        <v>0</v>
      </c>
      <c r="R899" s="2" t="inlineStr"/>
    </row>
    <row r="900" ht="15" customHeight="1">
      <c r="A900" t="inlineStr">
        <is>
          <t>A 53355-2023</t>
        </is>
      </c>
      <c r="B900" s="1" t="n">
        <v>45229.66430555555</v>
      </c>
      <c r="C900" s="1" t="n">
        <v>46019</v>
      </c>
      <c r="D900" t="inlineStr">
        <is>
          <t>ÖREBRO LÄN</t>
        </is>
      </c>
      <c r="E900" t="inlineStr">
        <is>
          <t>LINDESBERG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62308-2023</t>
        </is>
      </c>
      <c r="B901" s="1" t="n">
        <v>45267.69052083333</v>
      </c>
      <c r="C901" s="1" t="n">
        <v>46019</v>
      </c>
      <c r="D901" t="inlineStr">
        <is>
          <t>ÖREBRO LÄN</t>
        </is>
      </c>
      <c r="E901" t="inlineStr">
        <is>
          <t>LINDESBERG</t>
        </is>
      </c>
      <c r="F901" t="inlineStr">
        <is>
          <t>Naturvårdsverket</t>
        </is>
      </c>
      <c r="G901" t="n">
        <v>3.1</v>
      </c>
      <c r="H901" t="n">
        <v>0</v>
      </c>
      <c r="I901" t="n">
        <v>0</v>
      </c>
      <c r="J901" t="n">
        <v>0</v>
      </c>
      <c r="K901" t="n">
        <v>0</v>
      </c>
      <c r="L901" t="n">
        <v>0</v>
      </c>
      <c r="M901" t="n">
        <v>0</v>
      </c>
      <c r="N901" t="n">
        <v>0</v>
      </c>
      <c r="O901" t="n">
        <v>0</v>
      </c>
      <c r="P901" t="n">
        <v>0</v>
      </c>
      <c r="Q901" t="n">
        <v>0</v>
      </c>
      <c r="R901" s="2" t="inlineStr"/>
    </row>
    <row r="902" ht="15" customHeight="1">
      <c r="A902" t="inlineStr">
        <is>
          <t>A 36680-2024</t>
        </is>
      </c>
      <c r="B902" s="1" t="n">
        <v>45537.65305555556</v>
      </c>
      <c r="C902" s="1" t="n">
        <v>46019</v>
      </c>
      <c r="D902" t="inlineStr">
        <is>
          <t>ÖREBRO LÄN</t>
        </is>
      </c>
      <c r="E902" t="inlineStr">
        <is>
          <t>LINDESBERG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22543-2025</t>
        </is>
      </c>
      <c r="B903" s="1" t="n">
        <v>45788.42467592593</v>
      </c>
      <c r="C903" s="1" t="n">
        <v>46019</v>
      </c>
      <c r="D903" t="inlineStr">
        <is>
          <t>ÖREBRO LÄN</t>
        </is>
      </c>
      <c r="E903" t="inlineStr">
        <is>
          <t>LINDESBERG</t>
        </is>
      </c>
      <c r="G903" t="n">
        <v>6.7</v>
      </c>
      <c r="H903" t="n">
        <v>0</v>
      </c>
      <c r="I903" t="n">
        <v>0</v>
      </c>
      <c r="J903" t="n">
        <v>0</v>
      </c>
      <c r="K903" t="n">
        <v>0</v>
      </c>
      <c r="L903" t="n">
        <v>0</v>
      </c>
      <c r="M903" t="n">
        <v>0</v>
      </c>
      <c r="N903" t="n">
        <v>0</v>
      </c>
      <c r="O903" t="n">
        <v>0</v>
      </c>
      <c r="P903" t="n">
        <v>0</v>
      </c>
      <c r="Q903" t="n">
        <v>0</v>
      </c>
      <c r="R903" s="2" t="inlineStr"/>
    </row>
    <row r="904" ht="15" customHeight="1">
      <c r="A904" t="inlineStr">
        <is>
          <t>A 36686-2024</t>
        </is>
      </c>
      <c r="B904" s="1" t="n">
        <v>45537.665</v>
      </c>
      <c r="C904" s="1" t="n">
        <v>46019</v>
      </c>
      <c r="D904" t="inlineStr">
        <is>
          <t>ÖREBRO LÄN</t>
        </is>
      </c>
      <c r="E904" t="inlineStr">
        <is>
          <t>LINDESBERG</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28776-2023</t>
        </is>
      </c>
      <c r="B905" s="1" t="n">
        <v>45104.34107638889</v>
      </c>
      <c r="C905" s="1" t="n">
        <v>46019</v>
      </c>
      <c r="D905" t="inlineStr">
        <is>
          <t>ÖREBRO LÄN</t>
        </is>
      </c>
      <c r="E905" t="inlineStr">
        <is>
          <t>LINDESBERG</t>
        </is>
      </c>
      <c r="F905" t="inlineStr">
        <is>
          <t>Sveaskog</t>
        </is>
      </c>
      <c r="G905" t="n">
        <v>4.1</v>
      </c>
      <c r="H905" t="n">
        <v>0</v>
      </c>
      <c r="I905" t="n">
        <v>0</v>
      </c>
      <c r="J905" t="n">
        <v>0</v>
      </c>
      <c r="K905" t="n">
        <v>0</v>
      </c>
      <c r="L905" t="n">
        <v>0</v>
      </c>
      <c r="M905" t="n">
        <v>0</v>
      </c>
      <c r="N905" t="n">
        <v>0</v>
      </c>
      <c r="O905" t="n">
        <v>0</v>
      </c>
      <c r="P905" t="n">
        <v>0</v>
      </c>
      <c r="Q905" t="n">
        <v>0</v>
      </c>
      <c r="R905" s="2" t="inlineStr"/>
    </row>
    <row r="906">
      <c r="A906" t="inlineStr">
        <is>
          <t>A 22438-2025</t>
        </is>
      </c>
      <c r="B906" s="1" t="n">
        <v>45786</v>
      </c>
      <c r="C906" s="1" t="n">
        <v>46019</v>
      </c>
      <c r="D906" t="inlineStr">
        <is>
          <t>ÖREBRO LÄN</t>
        </is>
      </c>
      <c r="E906" t="inlineStr">
        <is>
          <t>LINDESBERG</t>
        </is>
      </c>
      <c r="F906" t="inlineStr">
        <is>
          <t>Sveaskog</t>
        </is>
      </c>
      <c r="G906" t="n">
        <v>6.1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2025-12-28T09:26:12Z</dcterms:created>
  <dcterms:modified xmlns:dcterms="http://purl.org/dc/terms/" xmlns:xsi="http://www.w3.org/2001/XMLSchema-instance" xsi:type="dcterms:W3CDTF">2025-12-28T09:26:13Z</dcterms:modified>
</cp:coreProperties>
</file>