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46040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46040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46040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46040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46040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46040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46040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46040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46040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46040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46040</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46040</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46040</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46040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46040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46040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46040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50989-2023</t>
        </is>
      </c>
      <c r="B19" s="1" t="n">
        <v>45218</v>
      </c>
      <c r="C19" s="1" t="n">
        <v>46040</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39193-2025</t>
        </is>
      </c>
      <c r="B20" s="1" t="n">
        <v>45888.67765046296</v>
      </c>
      <c r="C20" s="1" t="n">
        <v>46040</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46040</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46040</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49945-2025</t>
        </is>
      </c>
      <c r="B23" s="1" t="n">
        <v>45940.69754629629</v>
      </c>
      <c r="C23" s="1" t="n">
        <v>46040</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28035-2023</t>
        </is>
      </c>
      <c r="B24" s="1" t="n">
        <v>45099</v>
      </c>
      <c r="C24" s="1" t="n">
        <v>46040</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46040</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46040</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46040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1475-2025</t>
        </is>
      </c>
      <c r="B28" s="1" t="n">
        <v>45670</v>
      </c>
      <c r="C28" s="1" t="n">
        <v>46040</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33574-2022</t>
        </is>
      </c>
      <c r="B29" s="1" t="n">
        <v>44789</v>
      </c>
      <c r="C29" s="1" t="n">
        <v>46040</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57319-2025</t>
        </is>
      </c>
      <c r="B30" s="1" t="n">
        <v>45980.01497685185</v>
      </c>
      <c r="C30" s="1" t="n">
        <v>46040</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42629-2025</t>
        </is>
      </c>
      <c r="B31" s="1" t="n">
        <v>45905.88938657408</v>
      </c>
      <c r="C31" s="1" t="n">
        <v>46040</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53686-2024</t>
        </is>
      </c>
      <c r="B32" s="1" t="n">
        <v>45615</v>
      </c>
      <c r="C32" s="1" t="n">
        <v>46040</v>
      </c>
      <c r="D32" t="inlineStr">
        <is>
          <t>ÖREBRO LÄN</t>
        </is>
      </c>
      <c r="E32" t="inlineStr">
        <is>
          <t>LINDESBERG</t>
        </is>
      </c>
      <c r="G32" t="n">
        <v>9.1</v>
      </c>
      <c r="H32" t="n">
        <v>0</v>
      </c>
      <c r="I32" t="n">
        <v>1</v>
      </c>
      <c r="J32" t="n">
        <v>1</v>
      </c>
      <c r="K32" t="n">
        <v>0</v>
      </c>
      <c r="L32" t="n">
        <v>0</v>
      </c>
      <c r="M32" t="n">
        <v>0</v>
      </c>
      <c r="N32" t="n">
        <v>0</v>
      </c>
      <c r="O32" t="n">
        <v>1</v>
      </c>
      <c r="P32" t="n">
        <v>0</v>
      </c>
      <c r="Q32" t="n">
        <v>2</v>
      </c>
      <c r="R32" s="2" t="inlineStr">
        <is>
          <t>Dofttaggsvamp
Vedticka</t>
        </is>
      </c>
      <c r="S32">
        <f>HYPERLINK("https://klasma.github.io/Logging_1885/artfynd/A 53686-2024 artfynd.xlsx", "A 53686-2024")</f>
        <v/>
      </c>
      <c r="T32">
        <f>HYPERLINK("https://klasma.github.io/Logging_1885/kartor/A 53686-2024 karta.png", "A 53686-2024")</f>
        <v/>
      </c>
      <c r="V32">
        <f>HYPERLINK("https://klasma.github.io/Logging_1885/klagomål/A 53686-2024 FSC-klagomål.docx", "A 53686-2024")</f>
        <v/>
      </c>
      <c r="W32">
        <f>HYPERLINK("https://klasma.github.io/Logging_1885/klagomålsmail/A 53686-2024 FSC-klagomål mail.docx", "A 53686-2024")</f>
        <v/>
      </c>
      <c r="X32">
        <f>HYPERLINK("https://klasma.github.io/Logging_1885/tillsyn/A 53686-2024 tillsynsbegäran.docx", "A 53686-2024")</f>
        <v/>
      </c>
      <c r="Y32">
        <f>HYPERLINK("https://klasma.github.io/Logging_1885/tillsynsmail/A 53686-2024 tillsynsbegäran mail.docx", "A 53686-2024")</f>
        <v/>
      </c>
    </row>
    <row r="33" ht="15" customHeight="1">
      <c r="A33" t="inlineStr">
        <is>
          <t>A 51851-2025</t>
        </is>
      </c>
      <c r="B33" s="1" t="n">
        <v>45952.35611111111</v>
      </c>
      <c r="C33" s="1" t="n">
        <v>46040</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46040</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46040</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46040</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46040</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46040</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46040</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46040</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46040</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46040</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46040</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46040</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37834-2025</t>
        </is>
      </c>
      <c r="B45" s="1" t="n">
        <v>45881.42446759259</v>
      </c>
      <c r="C45" s="1" t="n">
        <v>46040</v>
      </c>
      <c r="D45" t="inlineStr">
        <is>
          <t>ÖREBRO LÄN</t>
        </is>
      </c>
      <c r="E45" t="inlineStr">
        <is>
          <t>LINDESBERG</t>
        </is>
      </c>
      <c r="G45" t="n">
        <v>3.1</v>
      </c>
      <c r="H45" t="n">
        <v>0</v>
      </c>
      <c r="I45" t="n">
        <v>0</v>
      </c>
      <c r="J45" t="n">
        <v>1</v>
      </c>
      <c r="K45" t="n">
        <v>0</v>
      </c>
      <c r="L45" t="n">
        <v>0</v>
      </c>
      <c r="M45" t="n">
        <v>0</v>
      </c>
      <c r="N45" t="n">
        <v>0</v>
      </c>
      <c r="O45" t="n">
        <v>1</v>
      </c>
      <c r="P45" t="n">
        <v>0</v>
      </c>
      <c r="Q45" t="n">
        <v>1</v>
      </c>
      <c r="R45" s="2" t="inlineStr">
        <is>
          <t>Svart taggsvamp</t>
        </is>
      </c>
      <c r="S45">
        <f>HYPERLINK("https://klasma.github.io/Logging_1885/artfynd/A 37834-2025 artfynd.xlsx", "A 37834-2025")</f>
        <v/>
      </c>
      <c r="T45">
        <f>HYPERLINK("https://klasma.github.io/Logging_1885/kartor/A 37834-2025 karta.png", "A 37834-2025")</f>
        <v/>
      </c>
      <c r="V45">
        <f>HYPERLINK("https://klasma.github.io/Logging_1885/klagomål/A 37834-2025 FSC-klagomål.docx", "A 37834-2025")</f>
        <v/>
      </c>
      <c r="W45">
        <f>HYPERLINK("https://klasma.github.io/Logging_1885/klagomålsmail/A 37834-2025 FSC-klagomål mail.docx", "A 37834-2025")</f>
        <v/>
      </c>
      <c r="X45">
        <f>HYPERLINK("https://klasma.github.io/Logging_1885/tillsyn/A 37834-2025 tillsynsbegäran.docx", "A 37834-2025")</f>
        <v/>
      </c>
      <c r="Y45">
        <f>HYPERLINK("https://klasma.github.io/Logging_1885/tillsynsmail/A 37834-2025 tillsynsbegäran mail.docx", "A 37834-2025")</f>
        <v/>
      </c>
    </row>
    <row r="46" ht="15" customHeight="1">
      <c r="A46" t="inlineStr">
        <is>
          <t>A 57362-2025</t>
        </is>
      </c>
      <c r="B46" s="1" t="n">
        <v>45980.37108796297</v>
      </c>
      <c r="C46" s="1" t="n">
        <v>46040</v>
      </c>
      <c r="D46" t="inlineStr">
        <is>
          <t>ÖREBRO LÄN</t>
        </is>
      </c>
      <c r="E46" t="inlineStr">
        <is>
          <t>LINDESBERG</t>
        </is>
      </c>
      <c r="F46" t="inlineStr">
        <is>
          <t>Sveaskog</t>
        </is>
      </c>
      <c r="G46" t="n">
        <v>1.2</v>
      </c>
      <c r="H46" t="n">
        <v>0</v>
      </c>
      <c r="I46" t="n">
        <v>1</v>
      </c>
      <c r="J46" t="n">
        <v>0</v>
      </c>
      <c r="K46" t="n">
        <v>0</v>
      </c>
      <c r="L46" t="n">
        <v>0</v>
      </c>
      <c r="M46" t="n">
        <v>0</v>
      </c>
      <c r="N46" t="n">
        <v>0</v>
      </c>
      <c r="O46" t="n">
        <v>0</v>
      </c>
      <c r="P46" t="n">
        <v>0</v>
      </c>
      <c r="Q46" t="n">
        <v>1</v>
      </c>
      <c r="R46" s="2" t="inlineStr">
        <is>
          <t>Svart trolldruva</t>
        </is>
      </c>
      <c r="S46">
        <f>HYPERLINK("https://klasma.github.io/Logging_1885/artfynd/A 57362-2025 artfynd.xlsx", "A 57362-2025")</f>
        <v/>
      </c>
      <c r="T46">
        <f>HYPERLINK("https://klasma.github.io/Logging_1885/kartor/A 57362-2025 karta.png", "A 57362-2025")</f>
        <v/>
      </c>
      <c r="V46">
        <f>HYPERLINK("https://klasma.github.io/Logging_1885/klagomål/A 57362-2025 FSC-klagomål.docx", "A 57362-2025")</f>
        <v/>
      </c>
      <c r="W46">
        <f>HYPERLINK("https://klasma.github.io/Logging_1885/klagomålsmail/A 57362-2025 FSC-klagomål mail.docx", "A 57362-2025")</f>
        <v/>
      </c>
      <c r="X46">
        <f>HYPERLINK("https://klasma.github.io/Logging_1885/tillsyn/A 57362-2025 tillsynsbegäran.docx", "A 57362-2025")</f>
        <v/>
      </c>
      <c r="Y46">
        <f>HYPERLINK("https://klasma.github.io/Logging_1885/tillsynsmail/A 57362-2025 tillsynsbegäran mail.docx", "A 57362-2025")</f>
        <v/>
      </c>
    </row>
    <row r="47" ht="15" customHeight="1">
      <c r="A47" t="inlineStr">
        <is>
          <t>A 57355-2025</t>
        </is>
      </c>
      <c r="B47" s="1" t="n">
        <v>45980.3659375</v>
      </c>
      <c r="C47" s="1" t="n">
        <v>46040</v>
      </c>
      <c r="D47" t="inlineStr">
        <is>
          <t>ÖREBRO LÄN</t>
        </is>
      </c>
      <c r="E47" t="inlineStr">
        <is>
          <t>LINDESBERG</t>
        </is>
      </c>
      <c r="F47" t="inlineStr">
        <is>
          <t>Sveaskog</t>
        </is>
      </c>
      <c r="G47" t="n">
        <v>2.7</v>
      </c>
      <c r="H47" t="n">
        <v>0</v>
      </c>
      <c r="I47" t="n">
        <v>0</v>
      </c>
      <c r="J47" t="n">
        <v>1</v>
      </c>
      <c r="K47" t="n">
        <v>0</v>
      </c>
      <c r="L47" t="n">
        <v>0</v>
      </c>
      <c r="M47" t="n">
        <v>0</v>
      </c>
      <c r="N47" t="n">
        <v>0</v>
      </c>
      <c r="O47" t="n">
        <v>1</v>
      </c>
      <c r="P47" t="n">
        <v>0</v>
      </c>
      <c r="Q47" t="n">
        <v>1</v>
      </c>
      <c r="R47" s="2" t="inlineStr">
        <is>
          <t>Orange taggsvamp</t>
        </is>
      </c>
      <c r="S47">
        <f>HYPERLINK("https://klasma.github.io/Logging_1885/artfynd/A 57355-2025 artfynd.xlsx", "A 57355-2025")</f>
        <v/>
      </c>
      <c r="T47">
        <f>HYPERLINK("https://klasma.github.io/Logging_1885/kartor/A 57355-2025 karta.png", "A 57355-2025")</f>
        <v/>
      </c>
      <c r="V47">
        <f>HYPERLINK("https://klasma.github.io/Logging_1885/klagomål/A 57355-2025 FSC-klagomål.docx", "A 57355-2025")</f>
        <v/>
      </c>
      <c r="W47">
        <f>HYPERLINK("https://klasma.github.io/Logging_1885/klagomålsmail/A 57355-2025 FSC-klagomål mail.docx", "A 57355-2025")</f>
        <v/>
      </c>
      <c r="X47">
        <f>HYPERLINK("https://klasma.github.io/Logging_1885/tillsyn/A 57355-2025 tillsynsbegäran.docx", "A 57355-2025")</f>
        <v/>
      </c>
      <c r="Y47">
        <f>HYPERLINK("https://klasma.github.io/Logging_1885/tillsynsmail/A 57355-2025 tillsynsbegäran mail.docx", "A 57355-2025")</f>
        <v/>
      </c>
    </row>
    <row r="48" ht="15" customHeight="1">
      <c r="A48" t="inlineStr">
        <is>
          <t>A 30347-2025</t>
        </is>
      </c>
      <c r="B48" s="1" t="n">
        <v>45827.53077546296</v>
      </c>
      <c r="C48" s="1" t="n">
        <v>46040</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6192-2025</t>
        </is>
      </c>
      <c r="B49" s="1" t="n">
        <v>45698.46697916667</v>
      </c>
      <c r="C49" s="1" t="n">
        <v>46040</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46040</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28787-2023</t>
        </is>
      </c>
      <c r="B51" s="1" t="n">
        <v>45104.3483912037</v>
      </c>
      <c r="C51" s="1" t="n">
        <v>46040</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27900-2024</t>
        </is>
      </c>
      <c r="B52" s="1" t="n">
        <v>45475.92849537037</v>
      </c>
      <c r="C52" s="1" t="n">
        <v>46040</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45467-2025</t>
        </is>
      </c>
      <c r="B53" s="1" t="n">
        <v>45922.49990740741</v>
      </c>
      <c r="C53" s="1" t="n">
        <v>46040</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2829-2026</t>
        </is>
      </c>
      <c r="B54" s="1" t="n">
        <v>46038.45296296296</v>
      </c>
      <c r="C54" s="1" t="n">
        <v>46040</v>
      </c>
      <c r="D54" t="inlineStr">
        <is>
          <t>ÖREBRO LÄN</t>
        </is>
      </c>
      <c r="E54" t="inlineStr">
        <is>
          <t>LINDESBERG</t>
        </is>
      </c>
      <c r="G54" t="n">
        <v>6.3</v>
      </c>
      <c r="H54" t="n">
        <v>0</v>
      </c>
      <c r="I54" t="n">
        <v>1</v>
      </c>
      <c r="J54" t="n">
        <v>0</v>
      </c>
      <c r="K54" t="n">
        <v>0</v>
      </c>
      <c r="L54" t="n">
        <v>0</v>
      </c>
      <c r="M54" t="n">
        <v>0</v>
      </c>
      <c r="N54" t="n">
        <v>0</v>
      </c>
      <c r="O54" t="n">
        <v>0</v>
      </c>
      <c r="P54" t="n">
        <v>0</v>
      </c>
      <c r="Q54" t="n">
        <v>1</v>
      </c>
      <c r="R54" s="2" t="inlineStr">
        <is>
          <t>Vedticka</t>
        </is>
      </c>
      <c r="S54">
        <f>HYPERLINK("https://klasma.github.io/Logging_1885/artfynd/A 2829-2026 artfynd.xlsx", "A 2829-2026")</f>
        <v/>
      </c>
      <c r="T54">
        <f>HYPERLINK("https://klasma.github.io/Logging_1885/kartor/A 2829-2026 karta.png", "A 2829-2026")</f>
        <v/>
      </c>
      <c r="U54">
        <f>HYPERLINK("https://klasma.github.io/Logging_1885/knärot/A 2829-2026 karta knärot.png", "A 2829-2026")</f>
        <v/>
      </c>
      <c r="V54">
        <f>HYPERLINK("https://klasma.github.io/Logging_1885/klagomål/A 2829-2026 FSC-klagomål.docx", "A 2829-2026")</f>
        <v/>
      </c>
      <c r="W54">
        <f>HYPERLINK("https://klasma.github.io/Logging_1885/klagomålsmail/A 2829-2026 FSC-klagomål mail.docx", "A 2829-2026")</f>
        <v/>
      </c>
      <c r="X54">
        <f>HYPERLINK("https://klasma.github.io/Logging_1885/tillsyn/A 2829-2026 tillsynsbegäran.docx", "A 2829-2026")</f>
        <v/>
      </c>
      <c r="Y54">
        <f>HYPERLINK("https://klasma.github.io/Logging_1885/tillsynsmail/A 2829-2026 tillsynsbegäran mail.docx", "A 2829-2026")</f>
        <v/>
      </c>
    </row>
    <row r="55" ht="15" customHeight="1">
      <c r="A55" t="inlineStr">
        <is>
          <t>A 53598-2024</t>
        </is>
      </c>
      <c r="B55" s="1" t="n">
        <v>45614.68287037037</v>
      </c>
      <c r="C55" s="1" t="n">
        <v>46040</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70466-2021</t>
        </is>
      </c>
      <c r="B56" s="1" t="n">
        <v>44536</v>
      </c>
      <c r="C56" s="1" t="n">
        <v>46040</v>
      </c>
      <c r="D56" t="inlineStr">
        <is>
          <t>ÖREBRO LÄN</t>
        </is>
      </c>
      <c r="E56" t="inlineStr">
        <is>
          <t>LINDESBERG</t>
        </is>
      </c>
      <c r="G56" t="n">
        <v>4.4</v>
      </c>
      <c r="H56" t="n">
        <v>1</v>
      </c>
      <c r="I56" t="n">
        <v>0</v>
      </c>
      <c r="J56" t="n">
        <v>0</v>
      </c>
      <c r="K56" t="n">
        <v>1</v>
      </c>
      <c r="L56" t="n">
        <v>0</v>
      </c>
      <c r="M56" t="n">
        <v>0</v>
      </c>
      <c r="N56" t="n">
        <v>0</v>
      </c>
      <c r="O56" t="n">
        <v>1</v>
      </c>
      <c r="P56" t="n">
        <v>1</v>
      </c>
      <c r="Q56" t="n">
        <v>1</v>
      </c>
      <c r="R56" s="2" t="inlineStr">
        <is>
          <t>Knärot</t>
        </is>
      </c>
      <c r="S56">
        <f>HYPERLINK("https://klasma.github.io/Logging_1885/artfynd/A 70466-2021 artfynd.xlsx", "A 70466-2021")</f>
        <v/>
      </c>
      <c r="T56">
        <f>HYPERLINK("https://klasma.github.io/Logging_1885/kartor/A 70466-2021 karta.png", "A 70466-2021")</f>
        <v/>
      </c>
      <c r="U56">
        <f>HYPERLINK("https://klasma.github.io/Logging_1885/knärot/A 70466-2021 karta knärot.png", "A 70466-2021")</f>
        <v/>
      </c>
      <c r="V56">
        <f>HYPERLINK("https://klasma.github.io/Logging_1885/klagomål/A 70466-2021 FSC-klagomål.docx", "A 70466-2021")</f>
        <v/>
      </c>
      <c r="W56">
        <f>HYPERLINK("https://klasma.github.io/Logging_1885/klagomålsmail/A 70466-2021 FSC-klagomål mail.docx", "A 70466-2021")</f>
        <v/>
      </c>
      <c r="X56">
        <f>HYPERLINK("https://klasma.github.io/Logging_1885/tillsyn/A 70466-2021 tillsynsbegäran.docx", "A 70466-2021")</f>
        <v/>
      </c>
      <c r="Y56">
        <f>HYPERLINK("https://klasma.github.io/Logging_1885/tillsynsmail/A 70466-2021 tillsynsbegäran mail.docx", "A 70466-2021")</f>
        <v/>
      </c>
    </row>
    <row r="57" ht="15" customHeight="1">
      <c r="A57" t="inlineStr">
        <is>
          <t>A 48956-2025</t>
        </is>
      </c>
      <c r="B57" s="1" t="n">
        <v>45937.54982638889</v>
      </c>
      <c r="C57" s="1" t="n">
        <v>46040</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53600-2024</t>
        </is>
      </c>
      <c r="B58" s="1" t="n">
        <v>45614.68596064814</v>
      </c>
      <c r="C58" s="1" t="n">
        <v>46040</v>
      </c>
      <c r="D58" t="inlineStr">
        <is>
          <t>ÖREBRO LÄN</t>
        </is>
      </c>
      <c r="E58" t="inlineStr">
        <is>
          <t>LINDESBERG</t>
        </is>
      </c>
      <c r="G58" t="n">
        <v>2.2</v>
      </c>
      <c r="H58" t="n">
        <v>1</v>
      </c>
      <c r="I58" t="n">
        <v>0</v>
      </c>
      <c r="J58" t="n">
        <v>0</v>
      </c>
      <c r="K58" t="n">
        <v>0</v>
      </c>
      <c r="L58" t="n">
        <v>1</v>
      </c>
      <c r="M58" t="n">
        <v>0</v>
      </c>
      <c r="N58" t="n">
        <v>0</v>
      </c>
      <c r="O58" t="n">
        <v>1</v>
      </c>
      <c r="P58" t="n">
        <v>1</v>
      </c>
      <c r="Q58" t="n">
        <v>1</v>
      </c>
      <c r="R58" s="2" t="inlineStr">
        <is>
          <t>Asknätfjäril</t>
        </is>
      </c>
      <c r="S58">
        <f>HYPERLINK("https://klasma.github.io/Logging_1885/artfynd/A 53600-2024 artfynd.xlsx", "A 53600-2024")</f>
        <v/>
      </c>
      <c r="T58">
        <f>HYPERLINK("https://klasma.github.io/Logging_1885/kartor/A 53600-2024 karta.png", "A 53600-2024")</f>
        <v/>
      </c>
      <c r="V58">
        <f>HYPERLINK("https://klasma.github.io/Logging_1885/klagomål/A 53600-2024 FSC-klagomål.docx", "A 53600-2024")</f>
        <v/>
      </c>
      <c r="W58">
        <f>HYPERLINK("https://klasma.github.io/Logging_1885/klagomålsmail/A 53600-2024 FSC-klagomål mail.docx", "A 53600-2024")</f>
        <v/>
      </c>
      <c r="X58">
        <f>HYPERLINK("https://klasma.github.io/Logging_1885/tillsyn/A 53600-2024 tillsynsbegäran.docx", "A 53600-2024")</f>
        <v/>
      </c>
      <c r="Y58">
        <f>HYPERLINK("https://klasma.github.io/Logging_1885/tillsynsmail/A 53600-2024 tillsynsbegäran mail.docx", "A 53600-2024")</f>
        <v/>
      </c>
    </row>
    <row r="59" ht="15" customHeight="1">
      <c r="A59" t="inlineStr">
        <is>
          <t>A 50766-2025</t>
        </is>
      </c>
      <c r="B59" s="1" t="n">
        <v>45946.44423611111</v>
      </c>
      <c r="C59" s="1" t="n">
        <v>46040</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50777-2025</t>
        </is>
      </c>
      <c r="B60" s="1" t="n">
        <v>45946.45171296296</v>
      </c>
      <c r="C60" s="1" t="n">
        <v>46040</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50768-2025</t>
        </is>
      </c>
      <c r="B61" s="1" t="n">
        <v>45946.44790509259</v>
      </c>
      <c r="C61" s="1" t="n">
        <v>46040</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46040</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46040</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46040</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33286-2024</t>
        </is>
      </c>
      <c r="B65" s="1" t="n">
        <v>45518</v>
      </c>
      <c r="C65" s="1" t="n">
        <v>46040</v>
      </c>
      <c r="D65" t="inlineStr">
        <is>
          <t>ÖREBRO LÄN</t>
        </is>
      </c>
      <c r="E65" t="inlineStr">
        <is>
          <t>LINDESBERG</t>
        </is>
      </c>
      <c r="F65" t="inlineStr">
        <is>
          <t>Sveaskog</t>
        </is>
      </c>
      <c r="G65" t="n">
        <v>2.1</v>
      </c>
      <c r="H65" t="n">
        <v>0</v>
      </c>
      <c r="I65" t="n">
        <v>1</v>
      </c>
      <c r="J65" t="n">
        <v>0</v>
      </c>
      <c r="K65" t="n">
        <v>0</v>
      </c>
      <c r="L65" t="n">
        <v>0</v>
      </c>
      <c r="M65" t="n">
        <v>0</v>
      </c>
      <c r="N65" t="n">
        <v>0</v>
      </c>
      <c r="O65" t="n">
        <v>0</v>
      </c>
      <c r="P65" t="n">
        <v>0</v>
      </c>
      <c r="Q65" t="n">
        <v>1</v>
      </c>
      <c r="R65" s="2" t="inlineStr">
        <is>
          <t>Vedticka</t>
        </is>
      </c>
      <c r="S65">
        <f>HYPERLINK("https://klasma.github.io/Logging_1885/artfynd/A 33286-2024 artfynd.xlsx", "A 33286-2024")</f>
        <v/>
      </c>
      <c r="T65">
        <f>HYPERLINK("https://klasma.github.io/Logging_1885/kartor/A 33286-2024 karta.png", "A 33286-2024")</f>
        <v/>
      </c>
      <c r="V65">
        <f>HYPERLINK("https://klasma.github.io/Logging_1885/klagomål/A 33286-2024 FSC-klagomål.docx", "A 33286-2024")</f>
        <v/>
      </c>
      <c r="W65">
        <f>HYPERLINK("https://klasma.github.io/Logging_1885/klagomålsmail/A 33286-2024 FSC-klagomål mail.docx", "A 33286-2024")</f>
        <v/>
      </c>
      <c r="X65">
        <f>HYPERLINK("https://klasma.github.io/Logging_1885/tillsyn/A 33286-2024 tillsynsbegäran.docx", "A 33286-2024")</f>
        <v/>
      </c>
      <c r="Y65">
        <f>HYPERLINK("https://klasma.github.io/Logging_1885/tillsynsmail/A 33286-2024 tillsynsbegäran mail.docx", "A 33286-2024")</f>
        <v/>
      </c>
    </row>
    <row r="66" ht="15" customHeight="1">
      <c r="A66" t="inlineStr">
        <is>
          <t>A 3729-2023</t>
        </is>
      </c>
      <c r="B66" s="1" t="n">
        <v>44949</v>
      </c>
      <c r="C66" s="1" t="n">
        <v>46040</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45051-2024</t>
        </is>
      </c>
      <c r="B67" s="1" t="n">
        <v>45575.54934027778</v>
      </c>
      <c r="C67" s="1" t="n">
        <v>46040</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46040</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46040</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46040</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46040</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46040</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46040</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46040</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46040</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31052-2025</t>
        </is>
      </c>
      <c r="B76" s="1" t="n">
        <v>45832.56153935185</v>
      </c>
      <c r="C76" s="1" t="n">
        <v>46040</v>
      </c>
      <c r="D76" t="inlineStr">
        <is>
          <t>ÖREBRO LÄN</t>
        </is>
      </c>
      <c r="E76" t="inlineStr">
        <is>
          <t>LINDESBERG</t>
        </is>
      </c>
      <c r="F76" t="inlineStr">
        <is>
          <t>Sveaskog</t>
        </is>
      </c>
      <c r="G76" t="n">
        <v>1.1</v>
      </c>
      <c r="H76" t="n">
        <v>1</v>
      </c>
      <c r="I76" t="n">
        <v>0</v>
      </c>
      <c r="J76" t="n">
        <v>0</v>
      </c>
      <c r="K76" t="n">
        <v>0</v>
      </c>
      <c r="L76" t="n">
        <v>0</v>
      </c>
      <c r="M76" t="n">
        <v>0</v>
      </c>
      <c r="N76" t="n">
        <v>0</v>
      </c>
      <c r="O76" t="n">
        <v>0</v>
      </c>
      <c r="P76" t="n">
        <v>0</v>
      </c>
      <c r="Q76" t="n">
        <v>1</v>
      </c>
      <c r="R76" s="2" t="inlineStr">
        <is>
          <t>Fläcknycklar</t>
        </is>
      </c>
      <c r="S76">
        <f>HYPERLINK("https://klasma.github.io/Logging_1885/artfynd/A 31052-2025 artfynd.xlsx", "A 31052-2025")</f>
        <v/>
      </c>
      <c r="T76">
        <f>HYPERLINK("https://klasma.github.io/Logging_1885/kartor/A 31052-2025 karta.png", "A 31052-2025")</f>
        <v/>
      </c>
      <c r="V76">
        <f>HYPERLINK("https://klasma.github.io/Logging_1885/klagomål/A 31052-2025 FSC-klagomål.docx", "A 31052-2025")</f>
        <v/>
      </c>
      <c r="W76">
        <f>HYPERLINK("https://klasma.github.io/Logging_1885/klagomålsmail/A 31052-2025 FSC-klagomål mail.docx", "A 31052-2025")</f>
        <v/>
      </c>
      <c r="X76">
        <f>HYPERLINK("https://klasma.github.io/Logging_1885/tillsyn/A 31052-2025 tillsynsbegäran.docx", "A 31052-2025")</f>
        <v/>
      </c>
      <c r="Y76">
        <f>HYPERLINK("https://klasma.github.io/Logging_1885/tillsynsmail/A 31052-2025 tillsynsbegäran mail.docx", "A 31052-2025")</f>
        <v/>
      </c>
    </row>
    <row r="77" ht="15" customHeight="1">
      <c r="A77" t="inlineStr">
        <is>
          <t>A 36669-2024</t>
        </is>
      </c>
      <c r="B77" s="1" t="n">
        <v>45537.64484953704</v>
      </c>
      <c r="C77" s="1" t="n">
        <v>46040</v>
      </c>
      <c r="D77" t="inlineStr">
        <is>
          <t>ÖREBRO LÄN</t>
        </is>
      </c>
      <c r="E77" t="inlineStr">
        <is>
          <t>LINDESBERG</t>
        </is>
      </c>
      <c r="F77" t="inlineStr">
        <is>
          <t>Sveaskog</t>
        </is>
      </c>
      <c r="G77" t="n">
        <v>2</v>
      </c>
      <c r="H77" t="n">
        <v>0</v>
      </c>
      <c r="I77" t="n">
        <v>0</v>
      </c>
      <c r="J77" t="n">
        <v>1</v>
      </c>
      <c r="K77" t="n">
        <v>0</v>
      </c>
      <c r="L77" t="n">
        <v>0</v>
      </c>
      <c r="M77" t="n">
        <v>0</v>
      </c>
      <c r="N77" t="n">
        <v>0</v>
      </c>
      <c r="O77" t="n">
        <v>1</v>
      </c>
      <c r="P77" t="n">
        <v>0</v>
      </c>
      <c r="Q77" t="n">
        <v>1</v>
      </c>
      <c r="R77" s="2" t="inlineStr">
        <is>
          <t>Garnlav</t>
        </is>
      </c>
      <c r="S77">
        <f>HYPERLINK("https://klasma.github.io/Logging_1885/artfynd/A 36669-2024 artfynd.xlsx", "A 36669-2024")</f>
        <v/>
      </c>
      <c r="T77">
        <f>HYPERLINK("https://klasma.github.io/Logging_1885/kartor/A 36669-2024 karta.png", "A 36669-2024")</f>
        <v/>
      </c>
      <c r="V77">
        <f>HYPERLINK("https://klasma.github.io/Logging_1885/klagomål/A 36669-2024 FSC-klagomål.docx", "A 36669-2024")</f>
        <v/>
      </c>
      <c r="W77">
        <f>HYPERLINK("https://klasma.github.io/Logging_1885/klagomålsmail/A 36669-2024 FSC-klagomål mail.docx", "A 36669-2024")</f>
        <v/>
      </c>
      <c r="X77">
        <f>HYPERLINK("https://klasma.github.io/Logging_1885/tillsyn/A 36669-2024 tillsynsbegäran.docx", "A 36669-2024")</f>
        <v/>
      </c>
      <c r="Y77">
        <f>HYPERLINK("https://klasma.github.io/Logging_1885/tillsynsmail/A 36669-2024 tillsynsbegäran mail.docx", "A 36669-2024")</f>
        <v/>
      </c>
    </row>
    <row r="78" ht="15" customHeight="1">
      <c r="A78" t="inlineStr">
        <is>
          <t>A 7738-2021</t>
        </is>
      </c>
      <c r="B78" s="1" t="n">
        <v>44242</v>
      </c>
      <c r="C78" s="1" t="n">
        <v>46040</v>
      </c>
      <c r="D78" t="inlineStr">
        <is>
          <t>ÖREBRO LÄN</t>
        </is>
      </c>
      <c r="E78" t="inlineStr">
        <is>
          <t>LINDESBERG</t>
        </is>
      </c>
      <c r="G78" t="n">
        <v>1.1</v>
      </c>
      <c r="H78" t="n">
        <v>0</v>
      </c>
      <c r="I78" t="n">
        <v>0</v>
      </c>
      <c r="J78" t="n">
        <v>0</v>
      </c>
      <c r="K78" t="n">
        <v>0</v>
      </c>
      <c r="L78" t="n">
        <v>0</v>
      </c>
      <c r="M78" t="n">
        <v>0</v>
      </c>
      <c r="N78" t="n">
        <v>0</v>
      </c>
      <c r="O78" t="n">
        <v>0</v>
      </c>
      <c r="P78" t="n">
        <v>0</v>
      </c>
      <c r="Q78" t="n">
        <v>0</v>
      </c>
      <c r="R78" s="2" t="inlineStr"/>
    </row>
    <row r="79" ht="15" customHeight="1">
      <c r="A79" t="inlineStr">
        <is>
          <t>A 10963-2021</t>
        </is>
      </c>
      <c r="B79" s="1" t="n">
        <v>44260.30453703704</v>
      </c>
      <c r="C79" s="1" t="n">
        <v>46040</v>
      </c>
      <c r="D79" t="inlineStr">
        <is>
          <t>ÖREBRO LÄN</t>
        </is>
      </c>
      <c r="E79" t="inlineStr">
        <is>
          <t>LINDESBERG</t>
        </is>
      </c>
      <c r="G79" t="n">
        <v>5</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46040</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46040</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46040</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46040</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46040</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46040</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60302-2021</t>
        </is>
      </c>
      <c r="B86" s="1" t="n">
        <v>44495.87667824074</v>
      </c>
      <c r="C86" s="1" t="n">
        <v>46040</v>
      </c>
      <c r="D86" t="inlineStr">
        <is>
          <t>ÖREBRO LÄN</t>
        </is>
      </c>
      <c r="E86" t="inlineStr">
        <is>
          <t>LINDESBERG</t>
        </is>
      </c>
      <c r="G86" t="n">
        <v>3.2</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46040</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4982-2021</t>
        </is>
      </c>
      <c r="B88" s="1" t="n">
        <v>44228</v>
      </c>
      <c r="C88" s="1" t="n">
        <v>46040</v>
      </c>
      <c r="D88" t="inlineStr">
        <is>
          <t>ÖREBRO LÄN</t>
        </is>
      </c>
      <c r="E88" t="inlineStr">
        <is>
          <t>LINDESBERG</t>
        </is>
      </c>
      <c r="G88" t="n">
        <v>1.3</v>
      </c>
      <c r="H88" t="n">
        <v>0</v>
      </c>
      <c r="I88" t="n">
        <v>0</v>
      </c>
      <c r="J88" t="n">
        <v>0</v>
      </c>
      <c r="K88" t="n">
        <v>0</v>
      </c>
      <c r="L88" t="n">
        <v>0</v>
      </c>
      <c r="M88" t="n">
        <v>0</v>
      </c>
      <c r="N88" t="n">
        <v>0</v>
      </c>
      <c r="O88" t="n">
        <v>0</v>
      </c>
      <c r="P88" t="n">
        <v>0</v>
      </c>
      <c r="Q88" t="n">
        <v>0</v>
      </c>
      <c r="R88" s="2" t="inlineStr"/>
    </row>
    <row r="89" ht="15" customHeight="1">
      <c r="A89" t="inlineStr">
        <is>
          <t>A 46570-2021</t>
        </is>
      </c>
      <c r="B89" s="1" t="n">
        <v>44445.4953587963</v>
      </c>
      <c r="C89" s="1" t="n">
        <v>46040</v>
      </c>
      <c r="D89" t="inlineStr">
        <is>
          <t>ÖREBRO LÄN</t>
        </is>
      </c>
      <c r="E89" t="inlineStr">
        <is>
          <t>LINDESBERG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57817-2021</t>
        </is>
      </c>
      <c r="B90" s="1" t="n">
        <v>44484</v>
      </c>
      <c r="C90" s="1" t="n">
        <v>46040</v>
      </c>
      <c r="D90" t="inlineStr">
        <is>
          <t>ÖREBRO LÄN</t>
        </is>
      </c>
      <c r="E90" t="inlineStr">
        <is>
          <t>LINDESBERG</t>
        </is>
      </c>
      <c r="G90" t="n">
        <v>2.3</v>
      </c>
      <c r="H90" t="n">
        <v>0</v>
      </c>
      <c r="I90" t="n">
        <v>0</v>
      </c>
      <c r="J90" t="n">
        <v>0</v>
      </c>
      <c r="K90" t="n">
        <v>0</v>
      </c>
      <c r="L90" t="n">
        <v>0</v>
      </c>
      <c r="M90" t="n">
        <v>0</v>
      </c>
      <c r="N90" t="n">
        <v>0</v>
      </c>
      <c r="O90" t="n">
        <v>0</v>
      </c>
      <c r="P90" t="n">
        <v>0</v>
      </c>
      <c r="Q90" t="n">
        <v>0</v>
      </c>
      <c r="R90" s="2" t="inlineStr"/>
    </row>
    <row r="91" ht="15" customHeight="1">
      <c r="A91" t="inlineStr">
        <is>
          <t>A 63285-2021</t>
        </is>
      </c>
      <c r="B91" s="1" t="n">
        <v>44508</v>
      </c>
      <c r="C91" s="1" t="n">
        <v>46040</v>
      </c>
      <c r="D91" t="inlineStr">
        <is>
          <t>ÖREBRO LÄN</t>
        </is>
      </c>
      <c r="E91" t="inlineStr">
        <is>
          <t>LINDESBERG</t>
        </is>
      </c>
      <c r="G91" t="n">
        <v>0.9</v>
      </c>
      <c r="H91" t="n">
        <v>0</v>
      </c>
      <c r="I91" t="n">
        <v>0</v>
      </c>
      <c r="J91" t="n">
        <v>0</v>
      </c>
      <c r="K91" t="n">
        <v>0</v>
      </c>
      <c r="L91" t="n">
        <v>0</v>
      </c>
      <c r="M91" t="n">
        <v>0</v>
      </c>
      <c r="N91" t="n">
        <v>0</v>
      </c>
      <c r="O91" t="n">
        <v>0</v>
      </c>
      <c r="P91" t="n">
        <v>0</v>
      </c>
      <c r="Q91" t="n">
        <v>0</v>
      </c>
      <c r="R91" s="2" t="inlineStr"/>
    </row>
    <row r="92" ht="15" customHeight="1">
      <c r="A92" t="inlineStr">
        <is>
          <t>A 15348-2021</t>
        </is>
      </c>
      <c r="B92" s="1" t="n">
        <v>44284.70511574074</v>
      </c>
      <c r="C92" s="1" t="n">
        <v>46040</v>
      </c>
      <c r="D92" t="inlineStr">
        <is>
          <t>ÖREBRO LÄN</t>
        </is>
      </c>
      <c r="E92" t="inlineStr">
        <is>
          <t>LINDESBERG</t>
        </is>
      </c>
      <c r="G92" t="n">
        <v>5.1</v>
      </c>
      <c r="H92" t="n">
        <v>0</v>
      </c>
      <c r="I92" t="n">
        <v>0</v>
      </c>
      <c r="J92" t="n">
        <v>0</v>
      </c>
      <c r="K92" t="n">
        <v>0</v>
      </c>
      <c r="L92" t="n">
        <v>0</v>
      </c>
      <c r="M92" t="n">
        <v>0</v>
      </c>
      <c r="N92" t="n">
        <v>0</v>
      </c>
      <c r="O92" t="n">
        <v>0</v>
      </c>
      <c r="P92" t="n">
        <v>0</v>
      </c>
      <c r="Q92" t="n">
        <v>0</v>
      </c>
      <c r="R92" s="2" t="inlineStr"/>
    </row>
    <row r="93" ht="15" customHeight="1">
      <c r="A93" t="inlineStr">
        <is>
          <t>A 12948-2021</t>
        </is>
      </c>
      <c r="B93" s="1" t="n">
        <v>44271</v>
      </c>
      <c r="C93" s="1" t="n">
        <v>46040</v>
      </c>
      <c r="D93" t="inlineStr">
        <is>
          <t>ÖREBRO LÄN</t>
        </is>
      </c>
      <c r="E93" t="inlineStr">
        <is>
          <t>LINDESBERG</t>
        </is>
      </c>
      <c r="G93" t="n">
        <v>1.8</v>
      </c>
      <c r="H93" t="n">
        <v>0</v>
      </c>
      <c r="I93" t="n">
        <v>0</v>
      </c>
      <c r="J93" t="n">
        <v>0</v>
      </c>
      <c r="K93" t="n">
        <v>0</v>
      </c>
      <c r="L93" t="n">
        <v>0</v>
      </c>
      <c r="M93" t="n">
        <v>0</v>
      </c>
      <c r="N93" t="n">
        <v>0</v>
      </c>
      <c r="O93" t="n">
        <v>0</v>
      </c>
      <c r="P93" t="n">
        <v>0</v>
      </c>
      <c r="Q93" t="n">
        <v>0</v>
      </c>
      <c r="R93" s="2" t="inlineStr"/>
    </row>
    <row r="94" ht="15" customHeight="1">
      <c r="A94" t="inlineStr">
        <is>
          <t>A 22605-2021</t>
        </is>
      </c>
      <c r="B94" s="1" t="n">
        <v>44327</v>
      </c>
      <c r="C94" s="1" t="n">
        <v>46040</v>
      </c>
      <c r="D94" t="inlineStr">
        <is>
          <t>ÖREBRO LÄN</t>
        </is>
      </c>
      <c r="E94" t="inlineStr">
        <is>
          <t>LINDESBERG</t>
        </is>
      </c>
      <c r="F94" t="inlineStr">
        <is>
          <t>Kommuner</t>
        </is>
      </c>
      <c r="G94" t="n">
        <v>2</v>
      </c>
      <c r="H94" t="n">
        <v>0</v>
      </c>
      <c r="I94" t="n">
        <v>0</v>
      </c>
      <c r="J94" t="n">
        <v>0</v>
      </c>
      <c r="K94" t="n">
        <v>0</v>
      </c>
      <c r="L94" t="n">
        <v>0</v>
      </c>
      <c r="M94" t="n">
        <v>0</v>
      </c>
      <c r="N94" t="n">
        <v>0</v>
      </c>
      <c r="O94" t="n">
        <v>0</v>
      </c>
      <c r="P94" t="n">
        <v>0</v>
      </c>
      <c r="Q94" t="n">
        <v>0</v>
      </c>
      <c r="R94" s="2" t="inlineStr"/>
    </row>
    <row r="95" ht="15" customHeight="1">
      <c r="A95" t="inlineStr">
        <is>
          <t>A 62586-2021</t>
        </is>
      </c>
      <c r="B95" s="1" t="n">
        <v>44503</v>
      </c>
      <c r="C95" s="1" t="n">
        <v>46040</v>
      </c>
      <c r="D95" t="inlineStr">
        <is>
          <t>ÖREBRO LÄN</t>
        </is>
      </c>
      <c r="E95" t="inlineStr">
        <is>
          <t>LINDESBERG</t>
        </is>
      </c>
      <c r="G95" t="n">
        <v>3.9</v>
      </c>
      <c r="H95" t="n">
        <v>0</v>
      </c>
      <c r="I95" t="n">
        <v>0</v>
      </c>
      <c r="J95" t="n">
        <v>0</v>
      </c>
      <c r="K95" t="n">
        <v>0</v>
      </c>
      <c r="L95" t="n">
        <v>0</v>
      </c>
      <c r="M95" t="n">
        <v>0</v>
      </c>
      <c r="N95" t="n">
        <v>0</v>
      </c>
      <c r="O95" t="n">
        <v>0</v>
      </c>
      <c r="P95" t="n">
        <v>0</v>
      </c>
      <c r="Q95" t="n">
        <v>0</v>
      </c>
      <c r="R95" s="2" t="inlineStr"/>
    </row>
    <row r="96" ht="15" customHeight="1">
      <c r="A96" t="inlineStr">
        <is>
          <t>A 51468-2021</t>
        </is>
      </c>
      <c r="B96" s="1" t="n">
        <v>44462</v>
      </c>
      <c r="C96" s="1" t="n">
        <v>46040</v>
      </c>
      <c r="D96" t="inlineStr">
        <is>
          <t>ÖREBRO LÄN</t>
        </is>
      </c>
      <c r="E96" t="inlineStr">
        <is>
          <t>LINDESBERG</t>
        </is>
      </c>
      <c r="F96" t="inlineStr">
        <is>
          <t>Kyrkan</t>
        </is>
      </c>
      <c r="G96" t="n">
        <v>0.8</v>
      </c>
      <c r="H96" t="n">
        <v>0</v>
      </c>
      <c r="I96" t="n">
        <v>0</v>
      </c>
      <c r="J96" t="n">
        <v>0</v>
      </c>
      <c r="K96" t="n">
        <v>0</v>
      </c>
      <c r="L96" t="n">
        <v>0</v>
      </c>
      <c r="M96" t="n">
        <v>0</v>
      </c>
      <c r="N96" t="n">
        <v>0</v>
      </c>
      <c r="O96" t="n">
        <v>0</v>
      </c>
      <c r="P96" t="n">
        <v>0</v>
      </c>
      <c r="Q96" t="n">
        <v>0</v>
      </c>
      <c r="R96" s="2" t="inlineStr"/>
    </row>
    <row r="97" ht="15" customHeight="1">
      <c r="A97" t="inlineStr">
        <is>
          <t>A 8555-2022</t>
        </is>
      </c>
      <c r="B97" s="1" t="n">
        <v>44613</v>
      </c>
      <c r="C97" s="1" t="n">
        <v>46040</v>
      </c>
      <c r="D97" t="inlineStr">
        <is>
          <t>ÖREBRO LÄN</t>
        </is>
      </c>
      <c r="E97" t="inlineStr">
        <is>
          <t>LINDESBERG</t>
        </is>
      </c>
      <c r="G97" t="n">
        <v>8.1</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46040</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46040</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46040</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46040</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46040</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46040</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46040</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46040</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46040</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46040</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46040</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46040</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46040</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46040</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46040</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46040</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46040</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46040</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46040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46040</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46040</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46040</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46040</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46040</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46040</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46040</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33760-2022</t>
        </is>
      </c>
      <c r="B124" s="1" t="n">
        <v>44790</v>
      </c>
      <c r="C124" s="1" t="n">
        <v>46040</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46040</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46040</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16939-2022</t>
        </is>
      </c>
      <c r="B127" s="1" t="n">
        <v>44676</v>
      </c>
      <c r="C127" s="1" t="n">
        <v>46040</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46040</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46040</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46040</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46040</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46040</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46040</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46040</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46040</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46040</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46040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46040</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46040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46040</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46040</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46040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46040</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46040</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46040</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46040</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46040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46040</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46040</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46040</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46040</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46040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46040</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46040</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46040</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46040</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46040</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46040</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46040</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46040</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46040</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46040</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46040</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46040</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46040</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46040</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46040</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46040</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46040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46040</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46040</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46040</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46040</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46040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46040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46040</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46040</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46040</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46040</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46040</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46040</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46040</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46040</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46040</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46040</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46040</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46040</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46040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46040</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46040</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46040</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46040</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46040</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35222-2021</t>
        </is>
      </c>
      <c r="B194" s="1" t="n">
        <v>44384.56912037037</v>
      </c>
      <c r="C194" s="1" t="n">
        <v>46040</v>
      </c>
      <c r="D194" t="inlineStr">
        <is>
          <t>ÖREBRO LÄN</t>
        </is>
      </c>
      <c r="E194" t="inlineStr">
        <is>
          <t>LINDESBERG</t>
        </is>
      </c>
      <c r="G194" t="n">
        <v>10.5</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46040</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46040</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46040</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46040</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46040</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46040</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46040</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46040</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46040</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46040</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46040</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46040</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46040</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46040</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46040</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46040</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45173-2024</t>
        </is>
      </c>
      <c r="B211" s="1" t="n">
        <v>45575.65721064815</v>
      </c>
      <c r="C211" s="1" t="n">
        <v>46040</v>
      </c>
      <c r="D211" t="inlineStr">
        <is>
          <t>ÖREBRO LÄN</t>
        </is>
      </c>
      <c r="E211" t="inlineStr">
        <is>
          <t>LINDESBERG</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46040</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46040</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19077-2025</t>
        </is>
      </c>
      <c r="B214" s="1" t="n">
        <v>45766.33309027777</v>
      </c>
      <c r="C214" s="1" t="n">
        <v>46040</v>
      </c>
      <c r="D214" t="inlineStr">
        <is>
          <t>ÖREBRO LÄN</t>
        </is>
      </c>
      <c r="E214" t="inlineStr">
        <is>
          <t>LINDESBERG</t>
        </is>
      </c>
      <c r="G214" t="n">
        <v>0</v>
      </c>
      <c r="H214" t="n">
        <v>0</v>
      </c>
      <c r="I214" t="n">
        <v>0</v>
      </c>
      <c r="J214" t="n">
        <v>0</v>
      </c>
      <c r="K214" t="n">
        <v>0</v>
      </c>
      <c r="L214" t="n">
        <v>0</v>
      </c>
      <c r="M214" t="n">
        <v>0</v>
      </c>
      <c r="N214" t="n">
        <v>0</v>
      </c>
      <c r="O214" t="n">
        <v>0</v>
      </c>
      <c r="P214" t="n">
        <v>0</v>
      </c>
      <c r="Q214" t="n">
        <v>0</v>
      </c>
      <c r="R214" s="2" t="inlineStr"/>
    </row>
    <row r="215" ht="15" customHeight="1">
      <c r="A215" t="inlineStr">
        <is>
          <t>A 30514-2025</t>
        </is>
      </c>
      <c r="B215" s="1" t="n">
        <v>45831</v>
      </c>
      <c r="C215" s="1" t="n">
        <v>46040</v>
      </c>
      <c r="D215" t="inlineStr">
        <is>
          <t>ÖREBRO LÄN</t>
        </is>
      </c>
      <c r="E215" t="inlineStr">
        <is>
          <t>LINDESBERG</t>
        </is>
      </c>
      <c r="G215" t="n">
        <v>1.6</v>
      </c>
      <c r="H215" t="n">
        <v>0</v>
      </c>
      <c r="I215" t="n">
        <v>0</v>
      </c>
      <c r="J215" t="n">
        <v>0</v>
      </c>
      <c r="K215" t="n">
        <v>0</v>
      </c>
      <c r="L215" t="n">
        <v>0</v>
      </c>
      <c r="M215" t="n">
        <v>0</v>
      </c>
      <c r="N215" t="n">
        <v>0</v>
      </c>
      <c r="O215" t="n">
        <v>0</v>
      </c>
      <c r="P215" t="n">
        <v>0</v>
      </c>
      <c r="Q215" t="n">
        <v>0</v>
      </c>
      <c r="R215" s="2" t="inlineStr"/>
    </row>
    <row r="216" ht="15" customHeight="1">
      <c r="A216" t="inlineStr">
        <is>
          <t>A 49544-2023</t>
        </is>
      </c>
      <c r="B216" s="1" t="n">
        <v>45211</v>
      </c>
      <c r="C216" s="1" t="n">
        <v>46040</v>
      </c>
      <c r="D216" t="inlineStr">
        <is>
          <t>ÖREBRO LÄN</t>
        </is>
      </c>
      <c r="E216" t="inlineStr">
        <is>
          <t>LINDESBERG</t>
        </is>
      </c>
      <c r="G216" t="n">
        <v>0.5</v>
      </c>
      <c r="H216" t="n">
        <v>0</v>
      </c>
      <c r="I216" t="n">
        <v>0</v>
      </c>
      <c r="J216" t="n">
        <v>0</v>
      </c>
      <c r="K216" t="n">
        <v>0</v>
      </c>
      <c r="L216" t="n">
        <v>0</v>
      </c>
      <c r="M216" t="n">
        <v>0</v>
      </c>
      <c r="N216" t="n">
        <v>0</v>
      </c>
      <c r="O216" t="n">
        <v>0</v>
      </c>
      <c r="P216" t="n">
        <v>0</v>
      </c>
      <c r="Q216" t="n">
        <v>0</v>
      </c>
      <c r="R216" s="2" t="inlineStr"/>
    </row>
    <row r="217" ht="15" customHeight="1">
      <c r="A217" t="inlineStr">
        <is>
          <t>A 36253-2024</t>
        </is>
      </c>
      <c r="B217" s="1" t="n">
        <v>45534.54032407407</v>
      </c>
      <c r="C217" s="1" t="n">
        <v>46040</v>
      </c>
      <c r="D217" t="inlineStr">
        <is>
          <t>ÖREBRO LÄN</t>
        </is>
      </c>
      <c r="E217" t="inlineStr">
        <is>
          <t>LINDESBERG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30512-2025</t>
        </is>
      </c>
      <c r="B218" s="1" t="n">
        <v>45831</v>
      </c>
      <c r="C218" s="1" t="n">
        <v>46040</v>
      </c>
      <c r="D218" t="inlineStr">
        <is>
          <t>ÖREBRO LÄN</t>
        </is>
      </c>
      <c r="E218" t="inlineStr">
        <is>
          <t>LINDESBERG</t>
        </is>
      </c>
      <c r="G218" t="n">
        <v>4.5</v>
      </c>
      <c r="H218" t="n">
        <v>0</v>
      </c>
      <c r="I218" t="n">
        <v>0</v>
      </c>
      <c r="J218" t="n">
        <v>0</v>
      </c>
      <c r="K218" t="n">
        <v>0</v>
      </c>
      <c r="L218" t="n">
        <v>0</v>
      </c>
      <c r="M218" t="n">
        <v>0</v>
      </c>
      <c r="N218" t="n">
        <v>0</v>
      </c>
      <c r="O218" t="n">
        <v>0</v>
      </c>
      <c r="P218" t="n">
        <v>0</v>
      </c>
      <c r="Q218" t="n">
        <v>0</v>
      </c>
      <c r="R218" s="2" t="inlineStr"/>
    </row>
    <row r="219" ht="15" customHeight="1">
      <c r="A219" t="inlineStr">
        <is>
          <t>A 36572-2025</t>
        </is>
      </c>
      <c r="B219" s="1" t="n">
        <v>45870</v>
      </c>
      <c r="C219" s="1" t="n">
        <v>46040</v>
      </c>
      <c r="D219" t="inlineStr">
        <is>
          <t>ÖREBRO LÄN</t>
        </is>
      </c>
      <c r="E219" t="inlineStr">
        <is>
          <t>LINDESBERG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36577-2025</t>
        </is>
      </c>
      <c r="B220" s="1" t="n">
        <v>45870</v>
      </c>
      <c r="C220" s="1" t="n">
        <v>46040</v>
      </c>
      <c r="D220" t="inlineStr">
        <is>
          <t>ÖREBRO LÄN</t>
        </is>
      </c>
      <c r="E220" t="inlineStr">
        <is>
          <t>LINDESBERG</t>
        </is>
      </c>
      <c r="G220" t="n">
        <v>3.7</v>
      </c>
      <c r="H220" t="n">
        <v>0</v>
      </c>
      <c r="I220" t="n">
        <v>0</v>
      </c>
      <c r="J220" t="n">
        <v>0</v>
      </c>
      <c r="K220" t="n">
        <v>0</v>
      </c>
      <c r="L220" t="n">
        <v>0</v>
      </c>
      <c r="M220" t="n">
        <v>0</v>
      </c>
      <c r="N220" t="n">
        <v>0</v>
      </c>
      <c r="O220" t="n">
        <v>0</v>
      </c>
      <c r="P220" t="n">
        <v>0</v>
      </c>
      <c r="Q220" t="n">
        <v>0</v>
      </c>
      <c r="R220" s="2" t="inlineStr"/>
    </row>
    <row r="221" ht="15" customHeight="1">
      <c r="A221" t="inlineStr">
        <is>
          <t>A 15094-2025</t>
        </is>
      </c>
      <c r="B221" s="1" t="n">
        <v>45744.32981481482</v>
      </c>
      <c r="C221" s="1" t="n">
        <v>46040</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36574-2025</t>
        </is>
      </c>
      <c r="B222" s="1" t="n">
        <v>45870</v>
      </c>
      <c r="C222" s="1" t="n">
        <v>46040</v>
      </c>
      <c r="D222" t="inlineStr">
        <is>
          <t>ÖREBRO LÄN</t>
        </is>
      </c>
      <c r="E222" t="inlineStr">
        <is>
          <t>LINDESBERG</t>
        </is>
      </c>
      <c r="G222" t="n">
        <v>4</v>
      </c>
      <c r="H222" t="n">
        <v>0</v>
      </c>
      <c r="I222" t="n">
        <v>0</v>
      </c>
      <c r="J222" t="n">
        <v>0</v>
      </c>
      <c r="K222" t="n">
        <v>0</v>
      </c>
      <c r="L222" t="n">
        <v>0</v>
      </c>
      <c r="M222" t="n">
        <v>0</v>
      </c>
      <c r="N222" t="n">
        <v>0</v>
      </c>
      <c r="O222" t="n">
        <v>0</v>
      </c>
      <c r="P222" t="n">
        <v>0</v>
      </c>
      <c r="Q222" t="n">
        <v>0</v>
      </c>
      <c r="R222" s="2" t="inlineStr"/>
    </row>
    <row r="223" ht="15" customHeight="1">
      <c r="A223" t="inlineStr">
        <is>
          <t>A 36579-2025</t>
        </is>
      </c>
      <c r="B223" s="1" t="n">
        <v>45870</v>
      </c>
      <c r="C223" s="1" t="n">
        <v>46040</v>
      </c>
      <c r="D223" t="inlineStr">
        <is>
          <t>ÖREBRO LÄN</t>
        </is>
      </c>
      <c r="E223" t="inlineStr">
        <is>
          <t>LINDESBERG</t>
        </is>
      </c>
      <c r="G223" t="n">
        <v>6</v>
      </c>
      <c r="H223" t="n">
        <v>0</v>
      </c>
      <c r="I223" t="n">
        <v>0</v>
      </c>
      <c r="J223" t="n">
        <v>0</v>
      </c>
      <c r="K223" t="n">
        <v>0</v>
      </c>
      <c r="L223" t="n">
        <v>0</v>
      </c>
      <c r="M223" t="n">
        <v>0</v>
      </c>
      <c r="N223" t="n">
        <v>0</v>
      </c>
      <c r="O223" t="n">
        <v>0</v>
      </c>
      <c r="P223" t="n">
        <v>0</v>
      </c>
      <c r="Q223" t="n">
        <v>0</v>
      </c>
      <c r="R223" s="2" t="inlineStr"/>
    </row>
    <row r="224" ht="15" customHeight="1">
      <c r="A224" t="inlineStr">
        <is>
          <t>A 13969-2025</t>
        </is>
      </c>
      <c r="B224" s="1" t="n">
        <v>45738.43714120371</v>
      </c>
      <c r="C224" s="1" t="n">
        <v>46040</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24352-2023</t>
        </is>
      </c>
      <c r="B225" s="1" t="n">
        <v>45082.31421296296</v>
      </c>
      <c r="C225" s="1" t="n">
        <v>46040</v>
      </c>
      <c r="D225" t="inlineStr">
        <is>
          <t>ÖREBRO LÄN</t>
        </is>
      </c>
      <c r="E225" t="inlineStr">
        <is>
          <t>LINDESBERG</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484-2022</t>
        </is>
      </c>
      <c r="B226" s="1" t="n">
        <v>44566</v>
      </c>
      <c r="C226" s="1" t="n">
        <v>46040</v>
      </c>
      <c r="D226" t="inlineStr">
        <is>
          <t>ÖREBRO LÄN</t>
        </is>
      </c>
      <c r="E226" t="inlineStr">
        <is>
          <t>LINDESBERG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36024-2021</t>
        </is>
      </c>
      <c r="B227" s="1" t="n">
        <v>44389</v>
      </c>
      <c r="C227" s="1" t="n">
        <v>46040</v>
      </c>
      <c r="D227" t="inlineStr">
        <is>
          <t>ÖREBRO LÄN</t>
        </is>
      </c>
      <c r="E227" t="inlineStr">
        <is>
          <t>LINDESBERG</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10823-2023</t>
        </is>
      </c>
      <c r="B228" s="1" t="n">
        <v>44990</v>
      </c>
      <c r="C228" s="1" t="n">
        <v>46040</v>
      </c>
      <c r="D228" t="inlineStr">
        <is>
          <t>ÖREBRO LÄN</t>
        </is>
      </c>
      <c r="E228" t="inlineStr">
        <is>
          <t>LINDESBERG</t>
        </is>
      </c>
      <c r="G228" t="n">
        <v>1.8</v>
      </c>
      <c r="H228" t="n">
        <v>0</v>
      </c>
      <c r="I228" t="n">
        <v>0</v>
      </c>
      <c r="J228" t="n">
        <v>0</v>
      </c>
      <c r="K228" t="n">
        <v>0</v>
      </c>
      <c r="L228" t="n">
        <v>0</v>
      </c>
      <c r="M228" t="n">
        <v>0</v>
      </c>
      <c r="N228" t="n">
        <v>0</v>
      </c>
      <c r="O228" t="n">
        <v>0</v>
      </c>
      <c r="P228" t="n">
        <v>0</v>
      </c>
      <c r="Q228" t="n">
        <v>0</v>
      </c>
      <c r="R228" s="2" t="inlineStr"/>
    </row>
    <row r="229" ht="15" customHeight="1">
      <c r="A229" t="inlineStr">
        <is>
          <t>A 38534-2025</t>
        </is>
      </c>
      <c r="B229" s="1" t="n">
        <v>45884</v>
      </c>
      <c r="C229" s="1" t="n">
        <v>46040</v>
      </c>
      <c r="D229" t="inlineStr">
        <is>
          <t>ÖREBRO LÄN</t>
        </is>
      </c>
      <c r="E229" t="inlineStr">
        <is>
          <t>LINDESBERG</t>
        </is>
      </c>
      <c r="G229" t="n">
        <v>4.9</v>
      </c>
      <c r="H229" t="n">
        <v>0</v>
      </c>
      <c r="I229" t="n">
        <v>0</v>
      </c>
      <c r="J229" t="n">
        <v>0</v>
      </c>
      <c r="K229" t="n">
        <v>0</v>
      </c>
      <c r="L229" t="n">
        <v>0</v>
      </c>
      <c r="M229" t="n">
        <v>0</v>
      </c>
      <c r="N229" t="n">
        <v>0</v>
      </c>
      <c r="O229" t="n">
        <v>0</v>
      </c>
      <c r="P229" t="n">
        <v>0</v>
      </c>
      <c r="Q229" t="n">
        <v>0</v>
      </c>
      <c r="R229" s="2" t="inlineStr"/>
    </row>
    <row r="230" ht="15" customHeight="1">
      <c r="A230" t="inlineStr">
        <is>
          <t>A 36859-2025</t>
        </is>
      </c>
      <c r="B230" s="1" t="n">
        <v>45874.40503472222</v>
      </c>
      <c r="C230" s="1" t="n">
        <v>46040</v>
      </c>
      <c r="D230" t="inlineStr">
        <is>
          <t>ÖREBRO LÄN</t>
        </is>
      </c>
      <c r="E230" t="inlineStr">
        <is>
          <t>LINDESBERG</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30122-2021</t>
        </is>
      </c>
      <c r="B231" s="1" t="n">
        <v>44363</v>
      </c>
      <c r="C231" s="1" t="n">
        <v>46040</v>
      </c>
      <c r="D231" t="inlineStr">
        <is>
          <t>ÖREBRO LÄN</t>
        </is>
      </c>
      <c r="E231" t="inlineStr">
        <is>
          <t>LINDESBERG</t>
        </is>
      </c>
      <c r="G231" t="n">
        <v>3.3</v>
      </c>
      <c r="H231" t="n">
        <v>0</v>
      </c>
      <c r="I231" t="n">
        <v>0</v>
      </c>
      <c r="J231" t="n">
        <v>0</v>
      </c>
      <c r="K231" t="n">
        <v>0</v>
      </c>
      <c r="L231" t="n">
        <v>0</v>
      </c>
      <c r="M231" t="n">
        <v>0</v>
      </c>
      <c r="N231" t="n">
        <v>0</v>
      </c>
      <c r="O231" t="n">
        <v>0</v>
      </c>
      <c r="P231" t="n">
        <v>0</v>
      </c>
      <c r="Q231" t="n">
        <v>0</v>
      </c>
      <c r="R231" s="2" t="inlineStr"/>
    </row>
    <row r="232" ht="15" customHeight="1">
      <c r="A232" t="inlineStr">
        <is>
          <t>A 64372-2021</t>
        </is>
      </c>
      <c r="B232" s="1" t="n">
        <v>44511.39611111111</v>
      </c>
      <c r="C232" s="1" t="n">
        <v>46040</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37301-2025</t>
        </is>
      </c>
      <c r="B233" s="1" t="n">
        <v>45876.59166666667</v>
      </c>
      <c r="C233" s="1" t="n">
        <v>46040</v>
      </c>
      <c r="D233" t="inlineStr">
        <is>
          <t>ÖREBRO LÄN</t>
        </is>
      </c>
      <c r="E233" t="inlineStr">
        <is>
          <t>LINDESBERG</t>
        </is>
      </c>
      <c r="G233" t="n">
        <v>1.4</v>
      </c>
      <c r="H233" t="n">
        <v>0</v>
      </c>
      <c r="I233" t="n">
        <v>0</v>
      </c>
      <c r="J233" t="n">
        <v>0</v>
      </c>
      <c r="K233" t="n">
        <v>0</v>
      </c>
      <c r="L233" t="n">
        <v>0</v>
      </c>
      <c r="M233" t="n">
        <v>0</v>
      </c>
      <c r="N233" t="n">
        <v>0</v>
      </c>
      <c r="O233" t="n">
        <v>0</v>
      </c>
      <c r="P233" t="n">
        <v>0</v>
      </c>
      <c r="Q233" t="n">
        <v>0</v>
      </c>
      <c r="R233" s="2" t="inlineStr"/>
    </row>
    <row r="234" ht="15" customHeight="1">
      <c r="A234" t="inlineStr">
        <is>
          <t>A 37500-2025</t>
        </is>
      </c>
      <c r="B234" s="1" t="n">
        <v>45877.64776620371</v>
      </c>
      <c r="C234" s="1" t="n">
        <v>46040</v>
      </c>
      <c r="D234" t="inlineStr">
        <is>
          <t>ÖREBRO LÄN</t>
        </is>
      </c>
      <c r="E234" t="inlineStr">
        <is>
          <t>LINDESBERG</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37503-2025</t>
        </is>
      </c>
      <c r="B235" s="1" t="n">
        <v>45877.65075231482</v>
      </c>
      <c r="C235" s="1" t="n">
        <v>46040</v>
      </c>
      <c r="D235" t="inlineStr">
        <is>
          <t>ÖREBRO LÄN</t>
        </is>
      </c>
      <c r="E235" t="inlineStr">
        <is>
          <t>LINDESBERG</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37501-2025</t>
        </is>
      </c>
      <c r="B236" s="1" t="n">
        <v>45877.64847222222</v>
      </c>
      <c r="C236" s="1" t="n">
        <v>46040</v>
      </c>
      <c r="D236" t="inlineStr">
        <is>
          <t>ÖREBRO LÄN</t>
        </is>
      </c>
      <c r="E236" t="inlineStr">
        <is>
          <t>LINDESBERG</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37552-2025</t>
        </is>
      </c>
      <c r="B237" s="1" t="n">
        <v>45880.28673611111</v>
      </c>
      <c r="C237" s="1" t="n">
        <v>46040</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58603-2023</t>
        </is>
      </c>
      <c r="B238" s="1" t="n">
        <v>45251</v>
      </c>
      <c r="C238" s="1" t="n">
        <v>46040</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13417-2025</t>
        </is>
      </c>
      <c r="B239" s="1" t="n">
        <v>45736.30940972222</v>
      </c>
      <c r="C239" s="1" t="n">
        <v>46040</v>
      </c>
      <c r="D239" t="inlineStr">
        <is>
          <t>ÖREBRO LÄN</t>
        </is>
      </c>
      <c r="E239" t="inlineStr">
        <is>
          <t>LINDESBERG</t>
        </is>
      </c>
      <c r="G239" t="n">
        <v>2.2</v>
      </c>
      <c r="H239" t="n">
        <v>0</v>
      </c>
      <c r="I239" t="n">
        <v>0</v>
      </c>
      <c r="J239" t="n">
        <v>0</v>
      </c>
      <c r="K239" t="n">
        <v>0</v>
      </c>
      <c r="L239" t="n">
        <v>0</v>
      </c>
      <c r="M239" t="n">
        <v>0</v>
      </c>
      <c r="N239" t="n">
        <v>0</v>
      </c>
      <c r="O239" t="n">
        <v>0</v>
      </c>
      <c r="P239" t="n">
        <v>0</v>
      </c>
      <c r="Q239" t="n">
        <v>0</v>
      </c>
      <c r="R239" s="2" t="inlineStr"/>
    </row>
    <row r="240" ht="15" customHeight="1">
      <c r="A240" t="inlineStr">
        <is>
          <t>A 43066-2021</t>
        </is>
      </c>
      <c r="B240" s="1" t="n">
        <v>44431</v>
      </c>
      <c r="C240" s="1" t="n">
        <v>46040</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23603-2023</t>
        </is>
      </c>
      <c r="B241" s="1" t="n">
        <v>45077</v>
      </c>
      <c r="C241" s="1" t="n">
        <v>46040</v>
      </c>
      <c r="D241" t="inlineStr">
        <is>
          <t>ÖREBRO LÄN</t>
        </is>
      </c>
      <c r="E241" t="inlineStr">
        <is>
          <t>LINDESBERG</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23607-2023</t>
        </is>
      </c>
      <c r="B242" s="1" t="n">
        <v>45077</v>
      </c>
      <c r="C242" s="1" t="n">
        <v>46040</v>
      </c>
      <c r="D242" t="inlineStr">
        <is>
          <t>ÖREBRO LÄN</t>
        </is>
      </c>
      <c r="E242" t="inlineStr">
        <is>
          <t>LINDESBERG</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23612-2023</t>
        </is>
      </c>
      <c r="B243" s="1" t="n">
        <v>45077</v>
      </c>
      <c r="C243" s="1" t="n">
        <v>46040</v>
      </c>
      <c r="D243" t="inlineStr">
        <is>
          <t>ÖREBRO LÄN</t>
        </is>
      </c>
      <c r="E243" t="inlineStr">
        <is>
          <t>LINDESBERG</t>
        </is>
      </c>
      <c r="F243" t="inlineStr">
        <is>
          <t>Sveaskog</t>
        </is>
      </c>
      <c r="G243" t="n">
        <v>1.5</v>
      </c>
      <c r="H243" t="n">
        <v>0</v>
      </c>
      <c r="I243" t="n">
        <v>0</v>
      </c>
      <c r="J243" t="n">
        <v>0</v>
      </c>
      <c r="K243" t="n">
        <v>0</v>
      </c>
      <c r="L243" t="n">
        <v>0</v>
      </c>
      <c r="M243" t="n">
        <v>0</v>
      </c>
      <c r="N243" t="n">
        <v>0</v>
      </c>
      <c r="O243" t="n">
        <v>0</v>
      </c>
      <c r="P243" t="n">
        <v>0</v>
      </c>
      <c r="Q243" t="n">
        <v>0</v>
      </c>
      <c r="R243" s="2" t="inlineStr"/>
    </row>
    <row r="244" ht="15" customHeight="1">
      <c r="A244" t="inlineStr">
        <is>
          <t>A 37491-2025</t>
        </is>
      </c>
      <c r="B244" s="1" t="n">
        <v>45877.64144675926</v>
      </c>
      <c r="C244" s="1" t="n">
        <v>46040</v>
      </c>
      <c r="D244" t="inlineStr">
        <is>
          <t>ÖREBRO LÄN</t>
        </is>
      </c>
      <c r="E244" t="inlineStr">
        <is>
          <t>LINDESBERG</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37499-2025</t>
        </is>
      </c>
      <c r="B245" s="1" t="n">
        <v>45877.64605324074</v>
      </c>
      <c r="C245" s="1" t="n">
        <v>46040</v>
      </c>
      <c r="D245" t="inlineStr">
        <is>
          <t>ÖREBRO LÄN</t>
        </is>
      </c>
      <c r="E245" t="inlineStr">
        <is>
          <t>LINDESBERG</t>
        </is>
      </c>
      <c r="F245" t="inlineStr">
        <is>
          <t>Sveaskog</t>
        </is>
      </c>
      <c r="G245" t="n">
        <v>4</v>
      </c>
      <c r="H245" t="n">
        <v>0</v>
      </c>
      <c r="I245" t="n">
        <v>0</v>
      </c>
      <c r="J245" t="n">
        <v>0</v>
      </c>
      <c r="K245" t="n">
        <v>0</v>
      </c>
      <c r="L245" t="n">
        <v>0</v>
      </c>
      <c r="M245" t="n">
        <v>0</v>
      </c>
      <c r="N245" t="n">
        <v>0</v>
      </c>
      <c r="O245" t="n">
        <v>0</v>
      </c>
      <c r="P245" t="n">
        <v>0</v>
      </c>
      <c r="Q245" t="n">
        <v>0</v>
      </c>
      <c r="R245" s="2" t="inlineStr"/>
    </row>
    <row r="246" ht="15" customHeight="1">
      <c r="A246" t="inlineStr">
        <is>
          <t>A 59006-2021</t>
        </is>
      </c>
      <c r="B246" s="1" t="n">
        <v>44490</v>
      </c>
      <c r="C246" s="1" t="n">
        <v>46040</v>
      </c>
      <c r="D246" t="inlineStr">
        <is>
          <t>ÖREBRO LÄN</t>
        </is>
      </c>
      <c r="E246" t="inlineStr">
        <is>
          <t>LINDESBERG</t>
        </is>
      </c>
      <c r="G246" t="n">
        <v>5.6</v>
      </c>
      <c r="H246" t="n">
        <v>0</v>
      </c>
      <c r="I246" t="n">
        <v>0</v>
      </c>
      <c r="J246" t="n">
        <v>0</v>
      </c>
      <c r="K246" t="n">
        <v>0</v>
      </c>
      <c r="L246" t="n">
        <v>0</v>
      </c>
      <c r="M246" t="n">
        <v>0</v>
      </c>
      <c r="N246" t="n">
        <v>0</v>
      </c>
      <c r="O246" t="n">
        <v>0</v>
      </c>
      <c r="P246" t="n">
        <v>0</v>
      </c>
      <c r="Q246" t="n">
        <v>0</v>
      </c>
      <c r="R246" s="2" t="inlineStr"/>
    </row>
    <row r="247" ht="15" customHeight="1">
      <c r="A247" t="inlineStr">
        <is>
          <t>A 37602-2025</t>
        </is>
      </c>
      <c r="B247" s="1" t="n">
        <v>45880</v>
      </c>
      <c r="C247" s="1" t="n">
        <v>46040</v>
      </c>
      <c r="D247" t="inlineStr">
        <is>
          <t>ÖREBRO LÄN</t>
        </is>
      </c>
      <c r="E247" t="inlineStr">
        <is>
          <t>LINDESBERG</t>
        </is>
      </c>
      <c r="G247" t="n">
        <v>1</v>
      </c>
      <c r="H247" t="n">
        <v>0</v>
      </c>
      <c r="I247" t="n">
        <v>0</v>
      </c>
      <c r="J247" t="n">
        <v>0</v>
      </c>
      <c r="K247" t="n">
        <v>0</v>
      </c>
      <c r="L247" t="n">
        <v>0</v>
      </c>
      <c r="M247" t="n">
        <v>0</v>
      </c>
      <c r="N247" t="n">
        <v>0</v>
      </c>
      <c r="O247" t="n">
        <v>0</v>
      </c>
      <c r="P247" t="n">
        <v>0</v>
      </c>
      <c r="Q247" t="n">
        <v>0</v>
      </c>
      <c r="R247" s="2" t="inlineStr"/>
    </row>
    <row r="248" ht="15" customHeight="1">
      <c r="A248" t="inlineStr">
        <is>
          <t>A 37625-2025</t>
        </is>
      </c>
      <c r="B248" s="1" t="n">
        <v>45880.46056712963</v>
      </c>
      <c r="C248" s="1" t="n">
        <v>46040</v>
      </c>
      <c r="D248" t="inlineStr">
        <is>
          <t>ÖREBRO LÄN</t>
        </is>
      </c>
      <c r="E248" t="inlineStr">
        <is>
          <t>LINDESBERG</t>
        </is>
      </c>
      <c r="G248" t="n">
        <v>12.5</v>
      </c>
      <c r="H248" t="n">
        <v>0</v>
      </c>
      <c r="I248" t="n">
        <v>0</v>
      </c>
      <c r="J248" t="n">
        <v>0</v>
      </c>
      <c r="K248" t="n">
        <v>0</v>
      </c>
      <c r="L248" t="n">
        <v>0</v>
      </c>
      <c r="M248" t="n">
        <v>0</v>
      </c>
      <c r="N248" t="n">
        <v>0</v>
      </c>
      <c r="O248" t="n">
        <v>0</v>
      </c>
      <c r="P248" t="n">
        <v>0</v>
      </c>
      <c r="Q248" t="n">
        <v>0</v>
      </c>
      <c r="R248" s="2" t="inlineStr"/>
    </row>
    <row r="249" ht="15" customHeight="1">
      <c r="A249" t="inlineStr">
        <is>
          <t>A 37553-2025</t>
        </is>
      </c>
      <c r="B249" s="1" t="n">
        <v>45880.3172337963</v>
      </c>
      <c r="C249" s="1" t="n">
        <v>46040</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20238-2022</t>
        </is>
      </c>
      <c r="B250" s="1" t="n">
        <v>44698.62354166667</v>
      </c>
      <c r="C250" s="1" t="n">
        <v>46040</v>
      </c>
      <c r="D250" t="inlineStr">
        <is>
          <t>ÖREBRO LÄN</t>
        </is>
      </c>
      <c r="E250" t="inlineStr">
        <is>
          <t>LINDESBERG</t>
        </is>
      </c>
      <c r="F250" t="inlineStr">
        <is>
          <t>Naturvårdsverket</t>
        </is>
      </c>
      <c r="G250" t="n">
        <v>2.9</v>
      </c>
      <c r="H250" t="n">
        <v>0</v>
      </c>
      <c r="I250" t="n">
        <v>0</v>
      </c>
      <c r="J250" t="n">
        <v>0</v>
      </c>
      <c r="K250" t="n">
        <v>0</v>
      </c>
      <c r="L250" t="n">
        <v>0</v>
      </c>
      <c r="M250" t="n">
        <v>0</v>
      </c>
      <c r="N250" t="n">
        <v>0</v>
      </c>
      <c r="O250" t="n">
        <v>0</v>
      </c>
      <c r="P250" t="n">
        <v>0</v>
      </c>
      <c r="Q250" t="n">
        <v>0</v>
      </c>
      <c r="R250" s="2" t="inlineStr"/>
    </row>
    <row r="251" ht="15" customHeight="1">
      <c r="A251" t="inlineStr">
        <is>
          <t>A 38861-2025</t>
        </is>
      </c>
      <c r="B251" s="1" t="n">
        <v>45887.56101851852</v>
      </c>
      <c r="C251" s="1" t="n">
        <v>46040</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23102-2023</t>
        </is>
      </c>
      <c r="B252" s="1" t="n">
        <v>45075.44152777778</v>
      </c>
      <c r="C252" s="1" t="n">
        <v>46040</v>
      </c>
      <c r="D252" t="inlineStr">
        <is>
          <t>ÖREBRO LÄN</t>
        </is>
      </c>
      <c r="E252" t="inlineStr">
        <is>
          <t>LINDESBERG</t>
        </is>
      </c>
      <c r="F252" t="inlineStr">
        <is>
          <t>Sveaskog</t>
        </is>
      </c>
      <c r="G252" t="n">
        <v>2.7</v>
      </c>
      <c r="H252" t="n">
        <v>0</v>
      </c>
      <c r="I252" t="n">
        <v>0</v>
      </c>
      <c r="J252" t="n">
        <v>0</v>
      </c>
      <c r="K252" t="n">
        <v>0</v>
      </c>
      <c r="L252" t="n">
        <v>0</v>
      </c>
      <c r="M252" t="n">
        <v>0</v>
      </c>
      <c r="N252" t="n">
        <v>0</v>
      </c>
      <c r="O252" t="n">
        <v>0</v>
      </c>
      <c r="P252" t="n">
        <v>0</v>
      </c>
      <c r="Q252" t="n">
        <v>0</v>
      </c>
      <c r="R252" s="2" t="inlineStr"/>
    </row>
    <row r="253" ht="15" customHeight="1">
      <c r="A253" t="inlineStr">
        <is>
          <t>A 37497-2025</t>
        </is>
      </c>
      <c r="B253" s="1" t="n">
        <v>45877.64431712963</v>
      </c>
      <c r="C253" s="1" t="n">
        <v>46040</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32818-2022</t>
        </is>
      </c>
      <c r="B254" s="1" t="n">
        <v>44784.38697916667</v>
      </c>
      <c r="C254" s="1" t="n">
        <v>46040</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15212-2025</t>
        </is>
      </c>
      <c r="B255" s="1" t="n">
        <v>45744.57673611111</v>
      </c>
      <c r="C255" s="1" t="n">
        <v>46040</v>
      </c>
      <c r="D255" t="inlineStr">
        <is>
          <t>ÖREBRO LÄN</t>
        </is>
      </c>
      <c r="E255" t="inlineStr">
        <is>
          <t>LINDESBERG</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37492-2025</t>
        </is>
      </c>
      <c r="B256" s="1" t="n">
        <v>45877.64230324074</v>
      </c>
      <c r="C256" s="1" t="n">
        <v>46040</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37490-2025</t>
        </is>
      </c>
      <c r="B257" s="1" t="n">
        <v>45877.63989583333</v>
      </c>
      <c r="C257" s="1" t="n">
        <v>46040</v>
      </c>
      <c r="D257" t="inlineStr">
        <is>
          <t>ÖREBRO LÄN</t>
        </is>
      </c>
      <c r="E257" t="inlineStr">
        <is>
          <t>LINDESBERG</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3148-2023</t>
        </is>
      </c>
      <c r="B258" s="1" t="n">
        <v>44946.54424768518</v>
      </c>
      <c r="C258" s="1" t="n">
        <v>46040</v>
      </c>
      <c r="D258" t="inlineStr">
        <is>
          <t>ÖREBRO LÄN</t>
        </is>
      </c>
      <c r="E258" t="inlineStr">
        <is>
          <t>LINDESBERG</t>
        </is>
      </c>
      <c r="G258" t="n">
        <v>5.5</v>
      </c>
      <c r="H258" t="n">
        <v>0</v>
      </c>
      <c r="I258" t="n">
        <v>0</v>
      </c>
      <c r="J258" t="n">
        <v>0</v>
      </c>
      <c r="K258" t="n">
        <v>0</v>
      </c>
      <c r="L258" t="n">
        <v>0</v>
      </c>
      <c r="M258" t="n">
        <v>0</v>
      </c>
      <c r="N258" t="n">
        <v>0</v>
      </c>
      <c r="O258" t="n">
        <v>0</v>
      </c>
      <c r="P258" t="n">
        <v>0</v>
      </c>
      <c r="Q258" t="n">
        <v>0</v>
      </c>
      <c r="R258" s="2" t="inlineStr"/>
    </row>
    <row r="259" ht="15" customHeight="1">
      <c r="A259" t="inlineStr">
        <is>
          <t>A 37935-2025</t>
        </is>
      </c>
      <c r="B259" s="1" t="n">
        <v>45881.59550925926</v>
      </c>
      <c r="C259" s="1" t="n">
        <v>46040</v>
      </c>
      <c r="D259" t="inlineStr">
        <is>
          <t>ÖREBRO LÄN</t>
        </is>
      </c>
      <c r="E259" t="inlineStr">
        <is>
          <t>LINDESBERG</t>
        </is>
      </c>
      <c r="G259" t="n">
        <v>5.1</v>
      </c>
      <c r="H259" t="n">
        <v>0</v>
      </c>
      <c r="I259" t="n">
        <v>0</v>
      </c>
      <c r="J259" t="n">
        <v>0</v>
      </c>
      <c r="K259" t="n">
        <v>0</v>
      </c>
      <c r="L259" t="n">
        <v>0</v>
      </c>
      <c r="M259" t="n">
        <v>0</v>
      </c>
      <c r="N259" t="n">
        <v>0</v>
      </c>
      <c r="O259" t="n">
        <v>0</v>
      </c>
      <c r="P259" t="n">
        <v>0</v>
      </c>
      <c r="Q259" t="n">
        <v>0</v>
      </c>
      <c r="R259" s="2" t="inlineStr"/>
    </row>
    <row r="260" ht="15" customHeight="1">
      <c r="A260" t="inlineStr">
        <is>
          <t>A 37837-2025</t>
        </is>
      </c>
      <c r="B260" s="1" t="n">
        <v>45881.42791666667</v>
      </c>
      <c r="C260" s="1" t="n">
        <v>46040</v>
      </c>
      <c r="D260" t="inlineStr">
        <is>
          <t>ÖREBRO LÄN</t>
        </is>
      </c>
      <c r="E260" t="inlineStr">
        <is>
          <t>LINDESBERG</t>
        </is>
      </c>
      <c r="G260" t="n">
        <v>1.3</v>
      </c>
      <c r="H260" t="n">
        <v>0</v>
      </c>
      <c r="I260" t="n">
        <v>0</v>
      </c>
      <c r="J260" t="n">
        <v>0</v>
      </c>
      <c r="K260" t="n">
        <v>0</v>
      </c>
      <c r="L260" t="n">
        <v>0</v>
      </c>
      <c r="M260" t="n">
        <v>0</v>
      </c>
      <c r="N260" t="n">
        <v>0</v>
      </c>
      <c r="O260" t="n">
        <v>0</v>
      </c>
      <c r="P260" t="n">
        <v>0</v>
      </c>
      <c r="Q260" t="n">
        <v>0</v>
      </c>
      <c r="R260" s="2" t="inlineStr"/>
    </row>
    <row r="261" ht="15" customHeight="1">
      <c r="A261" t="inlineStr">
        <is>
          <t>A 50225-2021</t>
        </is>
      </c>
      <c r="B261" s="1" t="n">
        <v>44457</v>
      </c>
      <c r="C261" s="1" t="n">
        <v>46040</v>
      </c>
      <c r="D261" t="inlineStr">
        <is>
          <t>ÖREBRO LÄN</t>
        </is>
      </c>
      <c r="E261" t="inlineStr">
        <is>
          <t>LINDESBERG</t>
        </is>
      </c>
      <c r="G261" t="n">
        <v>2.5</v>
      </c>
      <c r="H261" t="n">
        <v>0</v>
      </c>
      <c r="I261" t="n">
        <v>0</v>
      </c>
      <c r="J261" t="n">
        <v>0</v>
      </c>
      <c r="K261" t="n">
        <v>0</v>
      </c>
      <c r="L261" t="n">
        <v>0</v>
      </c>
      <c r="M261" t="n">
        <v>0</v>
      </c>
      <c r="N261" t="n">
        <v>0</v>
      </c>
      <c r="O261" t="n">
        <v>0</v>
      </c>
      <c r="P261" t="n">
        <v>0</v>
      </c>
      <c r="Q261" t="n">
        <v>0</v>
      </c>
      <c r="R261" s="2" t="inlineStr"/>
    </row>
    <row r="262" ht="15" customHeight="1">
      <c r="A262" t="inlineStr">
        <is>
          <t>A 36001-2021</t>
        </is>
      </c>
      <c r="B262" s="1" t="n">
        <v>44389</v>
      </c>
      <c r="C262" s="1" t="n">
        <v>46040</v>
      </c>
      <c r="D262" t="inlineStr">
        <is>
          <t>ÖREBRO LÄN</t>
        </is>
      </c>
      <c r="E262" t="inlineStr">
        <is>
          <t>LINDESBERG</t>
        </is>
      </c>
      <c r="F262" t="inlineStr">
        <is>
          <t>Sveaskog</t>
        </is>
      </c>
      <c r="G262" t="n">
        <v>1</v>
      </c>
      <c r="H262" t="n">
        <v>0</v>
      </c>
      <c r="I262" t="n">
        <v>0</v>
      </c>
      <c r="J262" t="n">
        <v>0</v>
      </c>
      <c r="K262" t="n">
        <v>0</v>
      </c>
      <c r="L262" t="n">
        <v>0</v>
      </c>
      <c r="M262" t="n">
        <v>0</v>
      </c>
      <c r="N262" t="n">
        <v>0</v>
      </c>
      <c r="O262" t="n">
        <v>0</v>
      </c>
      <c r="P262" t="n">
        <v>0</v>
      </c>
      <c r="Q262" t="n">
        <v>0</v>
      </c>
      <c r="R262" s="2" t="inlineStr"/>
    </row>
    <row r="263" ht="15" customHeight="1">
      <c r="A263" t="inlineStr">
        <is>
          <t>A 61202-2023</t>
        </is>
      </c>
      <c r="B263" s="1" t="n">
        <v>45264.38084490741</v>
      </c>
      <c r="C263" s="1" t="n">
        <v>46040</v>
      </c>
      <c r="D263" t="inlineStr">
        <is>
          <t>ÖREBRO LÄN</t>
        </is>
      </c>
      <c r="E263" t="inlineStr">
        <is>
          <t>LINDESBERG</t>
        </is>
      </c>
      <c r="G263" t="n">
        <v>0.9</v>
      </c>
      <c r="H263" t="n">
        <v>0</v>
      </c>
      <c r="I263" t="n">
        <v>0</v>
      </c>
      <c r="J263" t="n">
        <v>0</v>
      </c>
      <c r="K263" t="n">
        <v>0</v>
      </c>
      <c r="L263" t="n">
        <v>0</v>
      </c>
      <c r="M263" t="n">
        <v>0</v>
      </c>
      <c r="N263" t="n">
        <v>0</v>
      </c>
      <c r="O263" t="n">
        <v>0</v>
      </c>
      <c r="P263" t="n">
        <v>0</v>
      </c>
      <c r="Q263" t="n">
        <v>0</v>
      </c>
      <c r="R263" s="2" t="inlineStr"/>
    </row>
    <row r="264" ht="15" customHeight="1">
      <c r="A264" t="inlineStr">
        <is>
          <t>A 14187-2024</t>
        </is>
      </c>
      <c r="B264" s="1" t="n">
        <v>45393.35787037037</v>
      </c>
      <c r="C264" s="1" t="n">
        <v>46040</v>
      </c>
      <c r="D264" t="inlineStr">
        <is>
          <t>ÖREBRO LÄN</t>
        </is>
      </c>
      <c r="E264" t="inlineStr">
        <is>
          <t>LINDESBERG</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39424-2025</t>
        </is>
      </c>
      <c r="B265" s="1" t="n">
        <v>45889.67290509259</v>
      </c>
      <c r="C265" s="1" t="n">
        <v>46040</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39429-2025</t>
        </is>
      </c>
      <c r="B266" s="1" t="n">
        <v>45889.67577546297</v>
      </c>
      <c r="C266" s="1" t="n">
        <v>46040</v>
      </c>
      <c r="D266" t="inlineStr">
        <is>
          <t>ÖREBRO LÄN</t>
        </is>
      </c>
      <c r="E266" t="inlineStr">
        <is>
          <t>LINDESBERG</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38509-2025</t>
        </is>
      </c>
      <c r="B267" s="1" t="n">
        <v>45884.38858796296</v>
      </c>
      <c r="C267" s="1" t="n">
        <v>46040</v>
      </c>
      <c r="D267" t="inlineStr">
        <is>
          <t>ÖREBRO LÄN</t>
        </is>
      </c>
      <c r="E267" t="inlineStr">
        <is>
          <t>LINDESBERG</t>
        </is>
      </c>
      <c r="G267" t="n">
        <v>14.9</v>
      </c>
      <c r="H267" t="n">
        <v>0</v>
      </c>
      <c r="I267" t="n">
        <v>0</v>
      </c>
      <c r="J267" t="n">
        <v>0</v>
      </c>
      <c r="K267" t="n">
        <v>0</v>
      </c>
      <c r="L267" t="n">
        <v>0</v>
      </c>
      <c r="M267" t="n">
        <v>0</v>
      </c>
      <c r="N267" t="n">
        <v>0</v>
      </c>
      <c r="O267" t="n">
        <v>0</v>
      </c>
      <c r="P267" t="n">
        <v>0</v>
      </c>
      <c r="Q267" t="n">
        <v>0</v>
      </c>
      <c r="R267" s="2" t="inlineStr"/>
    </row>
    <row r="268" ht="15" customHeight="1">
      <c r="A268" t="inlineStr">
        <is>
          <t>A 195-2022</t>
        </is>
      </c>
      <c r="B268" s="1" t="n">
        <v>44564</v>
      </c>
      <c r="C268" s="1" t="n">
        <v>46040</v>
      </c>
      <c r="D268" t="inlineStr">
        <is>
          <t>ÖREBRO LÄN</t>
        </is>
      </c>
      <c r="E268" t="inlineStr">
        <is>
          <t>LINDESBERG</t>
        </is>
      </c>
      <c r="G268" t="n">
        <v>4.7</v>
      </c>
      <c r="H268" t="n">
        <v>0</v>
      </c>
      <c r="I268" t="n">
        <v>0</v>
      </c>
      <c r="J268" t="n">
        <v>0</v>
      </c>
      <c r="K268" t="n">
        <v>0</v>
      </c>
      <c r="L268" t="n">
        <v>0</v>
      </c>
      <c r="M268" t="n">
        <v>0</v>
      </c>
      <c r="N268" t="n">
        <v>0</v>
      </c>
      <c r="O268" t="n">
        <v>0</v>
      </c>
      <c r="P268" t="n">
        <v>0</v>
      </c>
      <c r="Q268" t="n">
        <v>0</v>
      </c>
      <c r="R268" s="2" t="inlineStr"/>
    </row>
    <row r="269" ht="15" customHeight="1">
      <c r="A269" t="inlineStr">
        <is>
          <t>A 6470-2024</t>
        </is>
      </c>
      <c r="B269" s="1" t="n">
        <v>45338</v>
      </c>
      <c r="C269" s="1" t="n">
        <v>46040</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39421-2025</t>
        </is>
      </c>
      <c r="B270" s="1" t="n">
        <v>45889.66935185185</v>
      </c>
      <c r="C270" s="1" t="n">
        <v>46040</v>
      </c>
      <c r="D270" t="inlineStr">
        <is>
          <t>ÖREBRO LÄN</t>
        </is>
      </c>
      <c r="E270" t="inlineStr">
        <is>
          <t>LINDESBERG</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29500-2023</t>
        </is>
      </c>
      <c r="B271" s="1" t="n">
        <v>45106</v>
      </c>
      <c r="C271" s="1" t="n">
        <v>46040</v>
      </c>
      <c r="D271" t="inlineStr">
        <is>
          <t>ÖREBRO LÄN</t>
        </is>
      </c>
      <c r="E271" t="inlineStr">
        <is>
          <t>LINDESBERG</t>
        </is>
      </c>
      <c r="G271" t="n">
        <v>1.6</v>
      </c>
      <c r="H271" t="n">
        <v>0</v>
      </c>
      <c r="I271" t="n">
        <v>0</v>
      </c>
      <c r="J271" t="n">
        <v>0</v>
      </c>
      <c r="K271" t="n">
        <v>0</v>
      </c>
      <c r="L271" t="n">
        <v>0</v>
      </c>
      <c r="M271" t="n">
        <v>0</v>
      </c>
      <c r="N271" t="n">
        <v>0</v>
      </c>
      <c r="O271" t="n">
        <v>0</v>
      </c>
      <c r="P271" t="n">
        <v>0</v>
      </c>
      <c r="Q271" t="n">
        <v>0</v>
      </c>
      <c r="R271" s="2" t="inlineStr"/>
    </row>
    <row r="272" ht="15" customHeight="1">
      <c r="A272" t="inlineStr">
        <is>
          <t>A 39140-2024</t>
        </is>
      </c>
      <c r="B272" s="1" t="n">
        <v>45548</v>
      </c>
      <c r="C272" s="1" t="n">
        <v>46040</v>
      </c>
      <c r="D272" t="inlineStr">
        <is>
          <t>ÖREBRO LÄN</t>
        </is>
      </c>
      <c r="E272" t="inlineStr">
        <is>
          <t>LINDESBERG</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265-2023</t>
        </is>
      </c>
      <c r="B273" s="1" t="n">
        <v>44928</v>
      </c>
      <c r="C273" s="1" t="n">
        <v>46040</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41582-2021</t>
        </is>
      </c>
      <c r="B274" s="1" t="n">
        <v>44425.40297453704</v>
      </c>
      <c r="C274" s="1" t="n">
        <v>46040</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19392-2025</t>
        </is>
      </c>
      <c r="B275" s="1" t="n">
        <v>45769.66260416667</v>
      </c>
      <c r="C275" s="1" t="n">
        <v>46040</v>
      </c>
      <c r="D275" t="inlineStr">
        <is>
          <t>ÖREBRO LÄN</t>
        </is>
      </c>
      <c r="E275" t="inlineStr">
        <is>
          <t>LINDESBERG</t>
        </is>
      </c>
      <c r="G275" t="n">
        <v>6.5</v>
      </c>
      <c r="H275" t="n">
        <v>0</v>
      </c>
      <c r="I275" t="n">
        <v>0</v>
      </c>
      <c r="J275" t="n">
        <v>0</v>
      </c>
      <c r="K275" t="n">
        <v>0</v>
      </c>
      <c r="L275" t="n">
        <v>0</v>
      </c>
      <c r="M275" t="n">
        <v>0</v>
      </c>
      <c r="N275" t="n">
        <v>0</v>
      </c>
      <c r="O275" t="n">
        <v>0</v>
      </c>
      <c r="P275" t="n">
        <v>0</v>
      </c>
      <c r="Q275" t="n">
        <v>0</v>
      </c>
      <c r="R275" s="2" t="inlineStr"/>
    </row>
    <row r="276" ht="15" customHeight="1">
      <c r="A276" t="inlineStr">
        <is>
          <t>A 37604-2025</t>
        </is>
      </c>
      <c r="B276" s="1" t="n">
        <v>45880</v>
      </c>
      <c r="C276" s="1" t="n">
        <v>46040</v>
      </c>
      <c r="D276" t="inlineStr">
        <is>
          <t>ÖREBRO LÄN</t>
        </is>
      </c>
      <c r="E276" t="inlineStr">
        <is>
          <t>LINDESBERG</t>
        </is>
      </c>
      <c r="G276" t="n">
        <v>6.3</v>
      </c>
      <c r="H276" t="n">
        <v>0</v>
      </c>
      <c r="I276" t="n">
        <v>0</v>
      </c>
      <c r="J276" t="n">
        <v>0</v>
      </c>
      <c r="K276" t="n">
        <v>0</v>
      </c>
      <c r="L276" t="n">
        <v>0</v>
      </c>
      <c r="M276" t="n">
        <v>0</v>
      </c>
      <c r="N276" t="n">
        <v>0</v>
      </c>
      <c r="O276" t="n">
        <v>0</v>
      </c>
      <c r="P276" t="n">
        <v>0</v>
      </c>
      <c r="Q276" t="n">
        <v>0</v>
      </c>
      <c r="R276" s="2" t="inlineStr"/>
    </row>
    <row r="277" ht="15" customHeight="1">
      <c r="A277" t="inlineStr">
        <is>
          <t>A 59052-2023</t>
        </is>
      </c>
      <c r="B277" s="1" t="n">
        <v>45252.78021990741</v>
      </c>
      <c r="C277" s="1" t="n">
        <v>46040</v>
      </c>
      <c r="D277" t="inlineStr">
        <is>
          <t>ÖREBRO LÄN</t>
        </is>
      </c>
      <c r="E277" t="inlineStr">
        <is>
          <t>LINDESBERG</t>
        </is>
      </c>
      <c r="G277" t="n">
        <v>4.2</v>
      </c>
      <c r="H277" t="n">
        <v>0</v>
      </c>
      <c r="I277" t="n">
        <v>0</v>
      </c>
      <c r="J277" t="n">
        <v>0</v>
      </c>
      <c r="K277" t="n">
        <v>0</v>
      </c>
      <c r="L277" t="n">
        <v>0</v>
      </c>
      <c r="M277" t="n">
        <v>0</v>
      </c>
      <c r="N277" t="n">
        <v>0</v>
      </c>
      <c r="O277" t="n">
        <v>0</v>
      </c>
      <c r="P277" t="n">
        <v>0</v>
      </c>
      <c r="Q277" t="n">
        <v>0</v>
      </c>
      <c r="R277" s="2" t="inlineStr"/>
    </row>
    <row r="278" ht="15" customHeight="1">
      <c r="A278" t="inlineStr">
        <is>
          <t>A 6-2023</t>
        </is>
      </c>
      <c r="B278" s="1" t="n">
        <v>44927.72487268518</v>
      </c>
      <c r="C278" s="1" t="n">
        <v>46040</v>
      </c>
      <c r="D278" t="inlineStr">
        <is>
          <t>ÖREBRO LÄN</t>
        </is>
      </c>
      <c r="E278" t="inlineStr">
        <is>
          <t>LINDESBERG</t>
        </is>
      </c>
      <c r="G278" t="n">
        <v>2.8</v>
      </c>
      <c r="H278" t="n">
        <v>0</v>
      </c>
      <c r="I278" t="n">
        <v>0</v>
      </c>
      <c r="J278" t="n">
        <v>0</v>
      </c>
      <c r="K278" t="n">
        <v>0</v>
      </c>
      <c r="L278" t="n">
        <v>0</v>
      </c>
      <c r="M278" t="n">
        <v>0</v>
      </c>
      <c r="N278" t="n">
        <v>0</v>
      </c>
      <c r="O278" t="n">
        <v>0</v>
      </c>
      <c r="P278" t="n">
        <v>0</v>
      </c>
      <c r="Q278" t="n">
        <v>0</v>
      </c>
      <c r="R278" s="2" t="inlineStr"/>
    </row>
    <row r="279" ht="15" customHeight="1">
      <c r="A279" t="inlineStr">
        <is>
          <t>A 54864-2024</t>
        </is>
      </c>
      <c r="B279" s="1" t="n">
        <v>45618.59456018519</v>
      </c>
      <c r="C279" s="1" t="n">
        <v>46040</v>
      </c>
      <c r="D279" t="inlineStr">
        <is>
          <t>ÖREBRO LÄN</t>
        </is>
      </c>
      <c r="E279" t="inlineStr">
        <is>
          <t>LINDESBERG</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45481-2023</t>
        </is>
      </c>
      <c r="B280" s="1" t="n">
        <v>45194</v>
      </c>
      <c r="C280" s="1" t="n">
        <v>46040</v>
      </c>
      <c r="D280" t="inlineStr">
        <is>
          <t>ÖREBRO LÄN</t>
        </is>
      </c>
      <c r="E280" t="inlineStr">
        <is>
          <t>LINDESBERG</t>
        </is>
      </c>
      <c r="G280" t="n">
        <v>2.1</v>
      </c>
      <c r="H280" t="n">
        <v>0</v>
      </c>
      <c r="I280" t="n">
        <v>0</v>
      </c>
      <c r="J280" t="n">
        <v>0</v>
      </c>
      <c r="K280" t="n">
        <v>0</v>
      </c>
      <c r="L280" t="n">
        <v>0</v>
      </c>
      <c r="M280" t="n">
        <v>0</v>
      </c>
      <c r="N280" t="n">
        <v>0</v>
      </c>
      <c r="O280" t="n">
        <v>0</v>
      </c>
      <c r="P280" t="n">
        <v>0</v>
      </c>
      <c r="Q280" t="n">
        <v>0</v>
      </c>
      <c r="R280" s="2" t="inlineStr"/>
    </row>
    <row r="281" ht="15" customHeight="1">
      <c r="A281" t="inlineStr">
        <is>
          <t>A 33707-2021</t>
        </is>
      </c>
      <c r="B281" s="1" t="n">
        <v>44378.46403935185</v>
      </c>
      <c r="C281" s="1" t="n">
        <v>46040</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40366-2025</t>
        </is>
      </c>
      <c r="B282" s="1" t="n">
        <v>45895.49994212963</v>
      </c>
      <c r="C282" s="1" t="n">
        <v>46040</v>
      </c>
      <c r="D282" t="inlineStr">
        <is>
          <t>ÖREBRO LÄN</t>
        </is>
      </c>
      <c r="E282" t="inlineStr">
        <is>
          <t>LINDESBERG</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40357-2025</t>
        </is>
      </c>
      <c r="B283" s="1" t="n">
        <v>45895.48927083334</v>
      </c>
      <c r="C283" s="1" t="n">
        <v>46040</v>
      </c>
      <c r="D283" t="inlineStr">
        <is>
          <t>ÖREBRO LÄN</t>
        </is>
      </c>
      <c r="E283" t="inlineStr">
        <is>
          <t>LINDESBERG</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40351-2025</t>
        </is>
      </c>
      <c r="B284" s="1" t="n">
        <v>45895.48394675926</v>
      </c>
      <c r="C284" s="1" t="n">
        <v>46040</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40347-2025</t>
        </is>
      </c>
      <c r="B285" s="1" t="n">
        <v>45895.4790625</v>
      </c>
      <c r="C285" s="1" t="n">
        <v>46040</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40346-2025</t>
        </is>
      </c>
      <c r="B286" s="1" t="n">
        <v>45895.47704861111</v>
      </c>
      <c r="C286" s="1" t="n">
        <v>46040</v>
      </c>
      <c r="D286" t="inlineStr">
        <is>
          <t>ÖREBRO LÄN</t>
        </is>
      </c>
      <c r="E286" t="inlineStr">
        <is>
          <t>LINDESBERG</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7211-2024</t>
        </is>
      </c>
      <c r="B287" s="1" t="n">
        <v>45344.623125</v>
      </c>
      <c r="C287" s="1" t="n">
        <v>46040</v>
      </c>
      <c r="D287" t="inlineStr">
        <is>
          <t>ÖREBRO LÄN</t>
        </is>
      </c>
      <c r="E287" t="inlineStr">
        <is>
          <t>LINDESBERG</t>
        </is>
      </c>
      <c r="G287" t="n">
        <v>1.4</v>
      </c>
      <c r="H287" t="n">
        <v>0</v>
      </c>
      <c r="I287" t="n">
        <v>0</v>
      </c>
      <c r="J287" t="n">
        <v>0</v>
      </c>
      <c r="K287" t="n">
        <v>0</v>
      </c>
      <c r="L287" t="n">
        <v>0</v>
      </c>
      <c r="M287" t="n">
        <v>0</v>
      </c>
      <c r="N287" t="n">
        <v>0</v>
      </c>
      <c r="O287" t="n">
        <v>0</v>
      </c>
      <c r="P287" t="n">
        <v>0</v>
      </c>
      <c r="Q287" t="n">
        <v>0</v>
      </c>
      <c r="R287" s="2" t="inlineStr"/>
    </row>
    <row r="288" ht="15" customHeight="1">
      <c r="A288" t="inlineStr">
        <is>
          <t>A 15899-2025</t>
        </is>
      </c>
      <c r="B288" s="1" t="n">
        <v>45749.42258101852</v>
      </c>
      <c r="C288" s="1" t="n">
        <v>46040</v>
      </c>
      <c r="D288" t="inlineStr">
        <is>
          <t>ÖREBRO LÄN</t>
        </is>
      </c>
      <c r="E288" t="inlineStr">
        <is>
          <t>LINDESBERG</t>
        </is>
      </c>
      <c r="G288" t="n">
        <v>6.6</v>
      </c>
      <c r="H288" t="n">
        <v>0</v>
      </c>
      <c r="I288" t="n">
        <v>0</v>
      </c>
      <c r="J288" t="n">
        <v>0</v>
      </c>
      <c r="K288" t="n">
        <v>0</v>
      </c>
      <c r="L288" t="n">
        <v>0</v>
      </c>
      <c r="M288" t="n">
        <v>0</v>
      </c>
      <c r="N288" t="n">
        <v>0</v>
      </c>
      <c r="O288" t="n">
        <v>0</v>
      </c>
      <c r="P288" t="n">
        <v>0</v>
      </c>
      <c r="Q288" t="n">
        <v>0</v>
      </c>
      <c r="R288" s="2" t="inlineStr"/>
    </row>
    <row r="289" ht="15" customHeight="1">
      <c r="A289" t="inlineStr">
        <is>
          <t>A 50275-2024</t>
        </is>
      </c>
      <c r="B289" s="1" t="n">
        <v>45600.60071759259</v>
      </c>
      <c r="C289" s="1" t="n">
        <v>46040</v>
      </c>
      <c r="D289" t="inlineStr">
        <is>
          <t>ÖREBRO LÄN</t>
        </is>
      </c>
      <c r="E289" t="inlineStr">
        <is>
          <t>LINDESBERG</t>
        </is>
      </c>
      <c r="G289" t="n">
        <v>4.3</v>
      </c>
      <c r="H289" t="n">
        <v>0</v>
      </c>
      <c r="I289" t="n">
        <v>0</v>
      </c>
      <c r="J289" t="n">
        <v>0</v>
      </c>
      <c r="K289" t="n">
        <v>0</v>
      </c>
      <c r="L289" t="n">
        <v>0</v>
      </c>
      <c r="M289" t="n">
        <v>0</v>
      </c>
      <c r="N289" t="n">
        <v>0</v>
      </c>
      <c r="O289" t="n">
        <v>0</v>
      </c>
      <c r="P289" t="n">
        <v>0</v>
      </c>
      <c r="Q289" t="n">
        <v>0</v>
      </c>
      <c r="R289" s="2" t="inlineStr"/>
    </row>
    <row r="290" ht="15" customHeight="1">
      <c r="A290" t="inlineStr">
        <is>
          <t>A 7992-2025</t>
        </is>
      </c>
      <c r="B290" s="1" t="n">
        <v>45707</v>
      </c>
      <c r="C290" s="1" t="n">
        <v>46040</v>
      </c>
      <c r="D290" t="inlineStr">
        <is>
          <t>ÖREBRO LÄN</t>
        </is>
      </c>
      <c r="E290" t="inlineStr">
        <is>
          <t>LINDESBERG</t>
        </is>
      </c>
      <c r="G290" t="n">
        <v>4.8</v>
      </c>
      <c r="H290" t="n">
        <v>0</v>
      </c>
      <c r="I290" t="n">
        <v>0</v>
      </c>
      <c r="J290" t="n">
        <v>0</v>
      </c>
      <c r="K290" t="n">
        <v>0</v>
      </c>
      <c r="L290" t="n">
        <v>0</v>
      </c>
      <c r="M290" t="n">
        <v>0</v>
      </c>
      <c r="N290" t="n">
        <v>0</v>
      </c>
      <c r="O290" t="n">
        <v>0</v>
      </c>
      <c r="P290" t="n">
        <v>0</v>
      </c>
      <c r="Q290" t="n">
        <v>0</v>
      </c>
      <c r="R290" s="2" t="inlineStr"/>
    </row>
    <row r="291" ht="15" customHeight="1">
      <c r="A291" t="inlineStr">
        <is>
          <t>A 57361-2025</t>
        </is>
      </c>
      <c r="B291" s="1" t="n">
        <v>45980.36988425926</v>
      </c>
      <c r="C291" s="1" t="n">
        <v>46040</v>
      </c>
      <c r="D291" t="inlineStr">
        <is>
          <t>ÖREBRO LÄN</t>
        </is>
      </c>
      <c r="E291" t="inlineStr">
        <is>
          <t>LINDESBERG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57299-2025</t>
        </is>
      </c>
      <c r="B292" s="1" t="n">
        <v>45979.81347222222</v>
      </c>
      <c r="C292" s="1" t="n">
        <v>46040</v>
      </c>
      <c r="D292" t="inlineStr">
        <is>
          <t>ÖREBRO LÄN</t>
        </is>
      </c>
      <c r="E292" t="inlineStr">
        <is>
          <t>LINDESBERG</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57359-2025</t>
        </is>
      </c>
      <c r="B293" s="1" t="n">
        <v>45980.36866898148</v>
      </c>
      <c r="C293" s="1" t="n">
        <v>46040</v>
      </c>
      <c r="D293" t="inlineStr">
        <is>
          <t>ÖREBRO LÄN</t>
        </is>
      </c>
      <c r="E293" t="inlineStr">
        <is>
          <t>LINDESBERG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3294-2024</t>
        </is>
      </c>
      <c r="B294" s="1" t="n">
        <v>45316</v>
      </c>
      <c r="C294" s="1" t="n">
        <v>46040</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41027-2025</t>
        </is>
      </c>
      <c r="B295" s="1" t="n">
        <v>45898.37138888889</v>
      </c>
      <c r="C295" s="1" t="n">
        <v>46040</v>
      </c>
      <c r="D295" t="inlineStr">
        <is>
          <t>ÖREBRO LÄN</t>
        </is>
      </c>
      <c r="E295" t="inlineStr">
        <is>
          <t>LINDESBERG</t>
        </is>
      </c>
      <c r="G295" t="n">
        <v>4.7</v>
      </c>
      <c r="H295" t="n">
        <v>0</v>
      </c>
      <c r="I295" t="n">
        <v>0</v>
      </c>
      <c r="J295" t="n">
        <v>0</v>
      </c>
      <c r="K295" t="n">
        <v>0</v>
      </c>
      <c r="L295" t="n">
        <v>0</v>
      </c>
      <c r="M295" t="n">
        <v>0</v>
      </c>
      <c r="N295" t="n">
        <v>0</v>
      </c>
      <c r="O295" t="n">
        <v>0</v>
      </c>
      <c r="P295" t="n">
        <v>0</v>
      </c>
      <c r="Q295" t="n">
        <v>0</v>
      </c>
      <c r="R295" s="2" t="inlineStr"/>
    </row>
    <row r="296" ht="15" customHeight="1">
      <c r="A296" t="inlineStr">
        <is>
          <t>A 57300-2025</t>
        </is>
      </c>
      <c r="B296" s="1" t="n">
        <v>45979.81403935186</v>
      </c>
      <c r="C296" s="1" t="n">
        <v>46040</v>
      </c>
      <c r="D296" t="inlineStr">
        <is>
          <t>ÖREBRO LÄN</t>
        </is>
      </c>
      <c r="E296" t="inlineStr">
        <is>
          <t>LINDESBERG</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57358-2025</t>
        </is>
      </c>
      <c r="B297" s="1" t="n">
        <v>45980.36679398148</v>
      </c>
      <c r="C297" s="1" t="n">
        <v>46040</v>
      </c>
      <c r="D297" t="inlineStr">
        <is>
          <t>ÖREBRO LÄN</t>
        </is>
      </c>
      <c r="E297" t="inlineStr">
        <is>
          <t>LINDESBERG</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46040</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57313-2025</t>
        </is>
      </c>
      <c r="B299" s="1" t="n">
        <v>45979.97458333334</v>
      </c>
      <c r="C299" s="1" t="n">
        <v>46040</v>
      </c>
      <c r="D299" t="inlineStr">
        <is>
          <t>ÖREBRO LÄN</t>
        </is>
      </c>
      <c r="E299" t="inlineStr">
        <is>
          <t>LINDESBERG</t>
        </is>
      </c>
      <c r="F299" t="inlineStr">
        <is>
          <t>Sveaskog</t>
        </is>
      </c>
      <c r="G299" t="n">
        <v>9.1</v>
      </c>
      <c r="H299" t="n">
        <v>0</v>
      </c>
      <c r="I299" t="n">
        <v>0</v>
      </c>
      <c r="J299" t="n">
        <v>0</v>
      </c>
      <c r="K299" t="n">
        <v>0</v>
      </c>
      <c r="L299" t="n">
        <v>0</v>
      </c>
      <c r="M299" t="n">
        <v>0</v>
      </c>
      <c r="N299" t="n">
        <v>0</v>
      </c>
      <c r="O299" t="n">
        <v>0</v>
      </c>
      <c r="P299" t="n">
        <v>0</v>
      </c>
      <c r="Q299" t="n">
        <v>0</v>
      </c>
      <c r="R299" s="2" t="inlineStr"/>
    </row>
    <row r="300" ht="15" customHeight="1">
      <c r="A300" t="inlineStr">
        <is>
          <t>A 57314-2025</t>
        </is>
      </c>
      <c r="B300" s="1" t="n">
        <v>45980.00710648148</v>
      </c>
      <c r="C300" s="1" t="n">
        <v>46040</v>
      </c>
      <c r="D300" t="inlineStr">
        <is>
          <t>ÖREBRO LÄN</t>
        </is>
      </c>
      <c r="E300" t="inlineStr">
        <is>
          <t>LINDESBERG</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57315-2025</t>
        </is>
      </c>
      <c r="B301" s="1" t="n">
        <v>45980.00753472222</v>
      </c>
      <c r="C301" s="1" t="n">
        <v>46040</v>
      </c>
      <c r="D301" t="inlineStr">
        <is>
          <t>ÖREBRO LÄN</t>
        </is>
      </c>
      <c r="E301" t="inlineStr">
        <is>
          <t>LINDESBERG</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57316-2025</t>
        </is>
      </c>
      <c r="B302" s="1" t="n">
        <v>45980.0115625</v>
      </c>
      <c r="C302" s="1" t="n">
        <v>46040</v>
      </c>
      <c r="D302" t="inlineStr">
        <is>
          <t>ÖREBRO LÄN</t>
        </is>
      </c>
      <c r="E302" t="inlineStr">
        <is>
          <t>LINDESBERG</t>
        </is>
      </c>
      <c r="F302" t="inlineStr">
        <is>
          <t>Sveaskog</t>
        </is>
      </c>
      <c r="G302" t="n">
        <v>6.5</v>
      </c>
      <c r="H302" t="n">
        <v>0</v>
      </c>
      <c r="I302" t="n">
        <v>0</v>
      </c>
      <c r="J302" t="n">
        <v>0</v>
      </c>
      <c r="K302" t="n">
        <v>0</v>
      </c>
      <c r="L302" t="n">
        <v>0</v>
      </c>
      <c r="M302" t="n">
        <v>0</v>
      </c>
      <c r="N302" t="n">
        <v>0</v>
      </c>
      <c r="O302" t="n">
        <v>0</v>
      </c>
      <c r="P302" t="n">
        <v>0</v>
      </c>
      <c r="Q302" t="n">
        <v>0</v>
      </c>
      <c r="R302" s="2" t="inlineStr"/>
    </row>
    <row r="303" ht="15" customHeight="1">
      <c r="A303" t="inlineStr">
        <is>
          <t>A 57320-2025</t>
        </is>
      </c>
      <c r="B303" s="1" t="n">
        <v>45980.01553240741</v>
      </c>
      <c r="C303" s="1" t="n">
        <v>46040</v>
      </c>
      <c r="D303" t="inlineStr">
        <is>
          <t>ÖREBRO LÄN</t>
        </is>
      </c>
      <c r="E303" t="inlineStr">
        <is>
          <t>LINDESBERG</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16447-2025</t>
        </is>
      </c>
      <c r="B304" s="1" t="n">
        <v>45751.50498842593</v>
      </c>
      <c r="C304" s="1" t="n">
        <v>46040</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46040</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16448-2025</t>
        </is>
      </c>
      <c r="B306" s="1" t="n">
        <v>45751.5056712963</v>
      </c>
      <c r="C306" s="1" t="n">
        <v>46040</v>
      </c>
      <c r="D306" t="inlineStr">
        <is>
          <t>ÖREBRO LÄN</t>
        </is>
      </c>
      <c r="E306" t="inlineStr">
        <is>
          <t>LINDESBERG</t>
        </is>
      </c>
      <c r="G306" t="n">
        <v>20.1</v>
      </c>
      <c r="H306" t="n">
        <v>0</v>
      </c>
      <c r="I306" t="n">
        <v>0</v>
      </c>
      <c r="J306" t="n">
        <v>0</v>
      </c>
      <c r="K306" t="n">
        <v>0</v>
      </c>
      <c r="L306" t="n">
        <v>0</v>
      </c>
      <c r="M306" t="n">
        <v>0</v>
      </c>
      <c r="N306" t="n">
        <v>0</v>
      </c>
      <c r="O306" t="n">
        <v>0</v>
      </c>
      <c r="P306" t="n">
        <v>0</v>
      </c>
      <c r="Q306" t="n">
        <v>0</v>
      </c>
      <c r="R306" s="2" t="inlineStr"/>
    </row>
    <row r="307" ht="15" customHeight="1">
      <c r="A307" t="inlineStr">
        <is>
          <t>A 57363-2025</t>
        </is>
      </c>
      <c r="B307" s="1" t="n">
        <v>45980.3716087963</v>
      </c>
      <c r="C307" s="1" t="n">
        <v>46040</v>
      </c>
      <c r="D307" t="inlineStr">
        <is>
          <t>ÖREBRO LÄN</t>
        </is>
      </c>
      <c r="E307" t="inlineStr">
        <is>
          <t>LINDESBERG</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7126-2025</t>
        </is>
      </c>
      <c r="B308" s="1" t="n">
        <v>45702</v>
      </c>
      <c r="C308" s="1" t="n">
        <v>46040</v>
      </c>
      <c r="D308" t="inlineStr">
        <is>
          <t>ÖREBRO LÄN</t>
        </is>
      </c>
      <c r="E308" t="inlineStr">
        <is>
          <t>LINDESBERG</t>
        </is>
      </c>
      <c r="G308" t="n">
        <v>1.3</v>
      </c>
      <c r="H308" t="n">
        <v>0</v>
      </c>
      <c r="I308" t="n">
        <v>0</v>
      </c>
      <c r="J308" t="n">
        <v>0</v>
      </c>
      <c r="K308" t="n">
        <v>0</v>
      </c>
      <c r="L308" t="n">
        <v>0</v>
      </c>
      <c r="M308" t="n">
        <v>0</v>
      </c>
      <c r="N308" t="n">
        <v>0</v>
      </c>
      <c r="O308" t="n">
        <v>0</v>
      </c>
      <c r="P308" t="n">
        <v>0</v>
      </c>
      <c r="Q308" t="n">
        <v>0</v>
      </c>
      <c r="R308" s="2" t="inlineStr"/>
    </row>
    <row r="309" ht="15" customHeight="1">
      <c r="A309" t="inlineStr">
        <is>
          <t>A 57317-2025</t>
        </is>
      </c>
      <c r="B309" s="1" t="n">
        <v>45980.01226851852</v>
      </c>
      <c r="C309" s="1" t="n">
        <v>46040</v>
      </c>
      <c r="D309" t="inlineStr">
        <is>
          <t>ÖREBRO LÄN</t>
        </is>
      </c>
      <c r="E309" t="inlineStr">
        <is>
          <t>LINDESBERG</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57356-2025</t>
        </is>
      </c>
      <c r="B310" s="1" t="n">
        <v>45980.36633101852</v>
      </c>
      <c r="C310" s="1" t="n">
        <v>46040</v>
      </c>
      <c r="D310" t="inlineStr">
        <is>
          <t>ÖREBRO LÄN</t>
        </is>
      </c>
      <c r="E310" t="inlineStr">
        <is>
          <t>LINDESBERG</t>
        </is>
      </c>
      <c r="F310" t="inlineStr">
        <is>
          <t>Sveaskog</t>
        </is>
      </c>
      <c r="G310" t="n">
        <v>3.4</v>
      </c>
      <c r="H310" t="n">
        <v>0</v>
      </c>
      <c r="I310" t="n">
        <v>0</v>
      </c>
      <c r="J310" t="n">
        <v>0</v>
      </c>
      <c r="K310" t="n">
        <v>0</v>
      </c>
      <c r="L310" t="n">
        <v>0</v>
      </c>
      <c r="M310" t="n">
        <v>0</v>
      </c>
      <c r="N310" t="n">
        <v>0</v>
      </c>
      <c r="O310" t="n">
        <v>0</v>
      </c>
      <c r="P310" t="n">
        <v>0</v>
      </c>
      <c r="Q310" t="n">
        <v>0</v>
      </c>
      <c r="R310" s="2" t="inlineStr"/>
    </row>
    <row r="311" ht="15" customHeight="1">
      <c r="A311" t="inlineStr">
        <is>
          <t>A 41653-2025</t>
        </is>
      </c>
      <c r="B311" s="1" t="n">
        <v>45902.3406712963</v>
      </c>
      <c r="C311" s="1" t="n">
        <v>46040</v>
      </c>
      <c r="D311" t="inlineStr">
        <is>
          <t>ÖREBRO LÄN</t>
        </is>
      </c>
      <c r="E311" t="inlineStr">
        <is>
          <t>LINDESBERG</t>
        </is>
      </c>
      <c r="G311" t="n">
        <v>1.5</v>
      </c>
      <c r="H311" t="n">
        <v>0</v>
      </c>
      <c r="I311" t="n">
        <v>0</v>
      </c>
      <c r="J311" t="n">
        <v>0</v>
      </c>
      <c r="K311" t="n">
        <v>0</v>
      </c>
      <c r="L311" t="n">
        <v>0</v>
      </c>
      <c r="M311" t="n">
        <v>0</v>
      </c>
      <c r="N311" t="n">
        <v>0</v>
      </c>
      <c r="O311" t="n">
        <v>0</v>
      </c>
      <c r="P311" t="n">
        <v>0</v>
      </c>
      <c r="Q311" t="n">
        <v>0</v>
      </c>
      <c r="R311" s="2" t="inlineStr"/>
    </row>
    <row r="312" ht="15" customHeight="1">
      <c r="A312" t="inlineStr">
        <is>
          <t>A 41340-2025</t>
        </is>
      </c>
      <c r="B312" s="1" t="n">
        <v>45899.38057870371</v>
      </c>
      <c r="C312" s="1" t="n">
        <v>46040</v>
      </c>
      <c r="D312" t="inlineStr">
        <is>
          <t>ÖREBRO LÄN</t>
        </is>
      </c>
      <c r="E312" t="inlineStr">
        <is>
          <t>LINDESBERG</t>
        </is>
      </c>
      <c r="G312" t="n">
        <v>16.5</v>
      </c>
      <c r="H312" t="n">
        <v>0</v>
      </c>
      <c r="I312" t="n">
        <v>0</v>
      </c>
      <c r="J312" t="n">
        <v>0</v>
      </c>
      <c r="K312" t="n">
        <v>0</v>
      </c>
      <c r="L312" t="n">
        <v>0</v>
      </c>
      <c r="M312" t="n">
        <v>0</v>
      </c>
      <c r="N312" t="n">
        <v>0</v>
      </c>
      <c r="O312" t="n">
        <v>0</v>
      </c>
      <c r="P312" t="n">
        <v>0</v>
      </c>
      <c r="Q312" t="n">
        <v>0</v>
      </c>
      <c r="R312" s="2" t="inlineStr"/>
    </row>
    <row r="313" ht="15" customHeight="1">
      <c r="A313" t="inlineStr">
        <is>
          <t>A 63686-2023</t>
        </is>
      </c>
      <c r="B313" s="1" t="n">
        <v>45274</v>
      </c>
      <c r="C313" s="1" t="n">
        <v>46040</v>
      </c>
      <c r="D313" t="inlineStr">
        <is>
          <t>ÖREBRO LÄN</t>
        </is>
      </c>
      <c r="E313" t="inlineStr">
        <is>
          <t>LINDESBERG</t>
        </is>
      </c>
      <c r="G313" t="n">
        <v>0.9</v>
      </c>
      <c r="H313" t="n">
        <v>0</v>
      </c>
      <c r="I313" t="n">
        <v>0</v>
      </c>
      <c r="J313" t="n">
        <v>0</v>
      </c>
      <c r="K313" t="n">
        <v>0</v>
      </c>
      <c r="L313" t="n">
        <v>0</v>
      </c>
      <c r="M313" t="n">
        <v>0</v>
      </c>
      <c r="N313" t="n">
        <v>0</v>
      </c>
      <c r="O313" t="n">
        <v>0</v>
      </c>
      <c r="P313" t="n">
        <v>0</v>
      </c>
      <c r="Q313" t="n">
        <v>0</v>
      </c>
      <c r="R313" s="2" t="inlineStr"/>
    </row>
    <row r="314" ht="15" customHeight="1">
      <c r="A314" t="inlineStr">
        <is>
          <t>A 58050-2025</t>
        </is>
      </c>
      <c r="B314" s="1" t="n">
        <v>45982</v>
      </c>
      <c r="C314" s="1" t="n">
        <v>46040</v>
      </c>
      <c r="D314" t="inlineStr">
        <is>
          <t>ÖREBRO LÄN</t>
        </is>
      </c>
      <c r="E314" t="inlineStr">
        <is>
          <t>LINDESBERG</t>
        </is>
      </c>
      <c r="G314" t="n">
        <v>0.6</v>
      </c>
      <c r="H314" t="n">
        <v>0</v>
      </c>
      <c r="I314" t="n">
        <v>0</v>
      </c>
      <c r="J314" t="n">
        <v>0</v>
      </c>
      <c r="K314" t="n">
        <v>0</v>
      </c>
      <c r="L314" t="n">
        <v>0</v>
      </c>
      <c r="M314" t="n">
        <v>0</v>
      </c>
      <c r="N314" t="n">
        <v>0</v>
      </c>
      <c r="O314" t="n">
        <v>0</v>
      </c>
      <c r="P314" t="n">
        <v>0</v>
      </c>
      <c r="Q314" t="n">
        <v>0</v>
      </c>
      <c r="R314" s="2" t="inlineStr"/>
    </row>
    <row r="315" ht="15" customHeight="1">
      <c r="A315" t="inlineStr">
        <is>
          <t>A 58166-2025</t>
        </is>
      </c>
      <c r="B315" s="1" t="n">
        <v>45982.71017361111</v>
      </c>
      <c r="C315" s="1" t="n">
        <v>46040</v>
      </c>
      <c r="D315" t="inlineStr">
        <is>
          <t>ÖREBRO LÄN</t>
        </is>
      </c>
      <c r="E315" t="inlineStr">
        <is>
          <t>LINDESBERG</t>
        </is>
      </c>
      <c r="G315" t="n">
        <v>2.5</v>
      </c>
      <c r="H315" t="n">
        <v>0</v>
      </c>
      <c r="I315" t="n">
        <v>0</v>
      </c>
      <c r="J315" t="n">
        <v>0</v>
      </c>
      <c r="K315" t="n">
        <v>0</v>
      </c>
      <c r="L315" t="n">
        <v>0</v>
      </c>
      <c r="M315" t="n">
        <v>0</v>
      </c>
      <c r="N315" t="n">
        <v>0</v>
      </c>
      <c r="O315" t="n">
        <v>0</v>
      </c>
      <c r="P315" t="n">
        <v>0</v>
      </c>
      <c r="Q315" t="n">
        <v>0</v>
      </c>
      <c r="R315" s="2" t="inlineStr"/>
    </row>
    <row r="316" ht="15" customHeight="1">
      <c r="A316" t="inlineStr">
        <is>
          <t>A 8612-2024</t>
        </is>
      </c>
      <c r="B316" s="1" t="n">
        <v>45355.70009259259</v>
      </c>
      <c r="C316" s="1" t="n">
        <v>46040</v>
      </c>
      <c r="D316" t="inlineStr">
        <is>
          <t>ÖREBRO LÄN</t>
        </is>
      </c>
      <c r="E316" t="inlineStr">
        <is>
          <t>LINDESBERG</t>
        </is>
      </c>
      <c r="G316" t="n">
        <v>4.5</v>
      </c>
      <c r="H316" t="n">
        <v>0</v>
      </c>
      <c r="I316" t="n">
        <v>0</v>
      </c>
      <c r="J316" t="n">
        <v>0</v>
      </c>
      <c r="K316" t="n">
        <v>0</v>
      </c>
      <c r="L316" t="n">
        <v>0</v>
      </c>
      <c r="M316" t="n">
        <v>0</v>
      </c>
      <c r="N316" t="n">
        <v>0</v>
      </c>
      <c r="O316" t="n">
        <v>0</v>
      </c>
      <c r="P316" t="n">
        <v>0</v>
      </c>
      <c r="Q316" t="n">
        <v>0</v>
      </c>
      <c r="R316" s="2" t="inlineStr"/>
    </row>
    <row r="317" ht="15" customHeight="1">
      <c r="A317" t="inlineStr">
        <is>
          <t>A 40085-2023</t>
        </is>
      </c>
      <c r="B317" s="1" t="n">
        <v>45168.92155092592</v>
      </c>
      <c r="C317" s="1" t="n">
        <v>46040</v>
      </c>
      <c r="D317" t="inlineStr">
        <is>
          <t>ÖREBRO LÄN</t>
        </is>
      </c>
      <c r="E317" t="inlineStr">
        <is>
          <t>LINDESBERG</t>
        </is>
      </c>
      <c r="G317" t="n">
        <v>6.1</v>
      </c>
      <c r="H317" t="n">
        <v>0</v>
      </c>
      <c r="I317" t="n">
        <v>0</v>
      </c>
      <c r="J317" t="n">
        <v>0</v>
      </c>
      <c r="K317" t="n">
        <v>0</v>
      </c>
      <c r="L317" t="n">
        <v>0</v>
      </c>
      <c r="M317" t="n">
        <v>0</v>
      </c>
      <c r="N317" t="n">
        <v>0</v>
      </c>
      <c r="O317" t="n">
        <v>0</v>
      </c>
      <c r="P317" t="n">
        <v>0</v>
      </c>
      <c r="Q317" t="n">
        <v>0</v>
      </c>
      <c r="R317" s="2" t="inlineStr"/>
    </row>
    <row r="318" ht="15" customHeight="1">
      <c r="A318" t="inlineStr">
        <is>
          <t>A 17104-2024</t>
        </is>
      </c>
      <c r="B318" s="1" t="n">
        <v>45412.54541666667</v>
      </c>
      <c r="C318" s="1" t="n">
        <v>46040</v>
      </c>
      <c r="D318" t="inlineStr">
        <is>
          <t>ÖREBRO LÄN</t>
        </is>
      </c>
      <c r="E318" t="inlineStr">
        <is>
          <t>LINDESBERG</t>
        </is>
      </c>
      <c r="G318" t="n">
        <v>2.2</v>
      </c>
      <c r="H318" t="n">
        <v>0</v>
      </c>
      <c r="I318" t="n">
        <v>0</v>
      </c>
      <c r="J318" t="n">
        <v>0</v>
      </c>
      <c r="K318" t="n">
        <v>0</v>
      </c>
      <c r="L318" t="n">
        <v>0</v>
      </c>
      <c r="M318" t="n">
        <v>0</v>
      </c>
      <c r="N318" t="n">
        <v>0</v>
      </c>
      <c r="O318" t="n">
        <v>0</v>
      </c>
      <c r="P318" t="n">
        <v>0</v>
      </c>
      <c r="Q318" t="n">
        <v>0</v>
      </c>
      <c r="R318" s="2" t="inlineStr"/>
    </row>
    <row r="319" ht="15" customHeight="1">
      <c r="A319" t="inlineStr">
        <is>
          <t>A 28470-2023</t>
        </is>
      </c>
      <c r="B319" s="1" t="n">
        <v>45103</v>
      </c>
      <c r="C319" s="1" t="n">
        <v>46040</v>
      </c>
      <c r="D319" t="inlineStr">
        <is>
          <t>ÖREBRO LÄN</t>
        </is>
      </c>
      <c r="E319" t="inlineStr">
        <is>
          <t>LINDESBERG</t>
        </is>
      </c>
      <c r="G319" t="n">
        <v>6.7</v>
      </c>
      <c r="H319" t="n">
        <v>0</v>
      </c>
      <c r="I319" t="n">
        <v>0</v>
      </c>
      <c r="J319" t="n">
        <v>0</v>
      </c>
      <c r="K319" t="n">
        <v>0</v>
      </c>
      <c r="L319" t="n">
        <v>0</v>
      </c>
      <c r="M319" t="n">
        <v>0</v>
      </c>
      <c r="N319" t="n">
        <v>0</v>
      </c>
      <c r="O319" t="n">
        <v>0</v>
      </c>
      <c r="P319" t="n">
        <v>0</v>
      </c>
      <c r="Q319" t="n">
        <v>0</v>
      </c>
      <c r="R319" s="2" t="inlineStr"/>
    </row>
    <row r="320" ht="15" customHeight="1">
      <c r="A320" t="inlineStr">
        <is>
          <t>A 58056-2025</t>
        </is>
      </c>
      <c r="B320" s="1" t="n">
        <v>45982</v>
      </c>
      <c r="C320" s="1" t="n">
        <v>46040</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41889-2025</t>
        </is>
      </c>
      <c r="B321" s="1" t="n">
        <v>45903.37475694445</v>
      </c>
      <c r="C321" s="1" t="n">
        <v>46040</v>
      </c>
      <c r="D321" t="inlineStr">
        <is>
          <t>ÖREBRO LÄN</t>
        </is>
      </c>
      <c r="E321" t="inlineStr">
        <is>
          <t>LINDESBERG</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32002-2023</t>
        </is>
      </c>
      <c r="B322" s="1" t="n">
        <v>45119.46452546296</v>
      </c>
      <c r="C322" s="1" t="n">
        <v>46040</v>
      </c>
      <c r="D322" t="inlineStr">
        <is>
          <t>ÖREBRO LÄN</t>
        </is>
      </c>
      <c r="E322" t="inlineStr">
        <is>
          <t>LINDESBERG</t>
        </is>
      </c>
      <c r="F322" t="inlineStr">
        <is>
          <t>Kyrkan</t>
        </is>
      </c>
      <c r="G322" t="n">
        <v>0.6</v>
      </c>
      <c r="H322" t="n">
        <v>0</v>
      </c>
      <c r="I322" t="n">
        <v>0</v>
      </c>
      <c r="J322" t="n">
        <v>0</v>
      </c>
      <c r="K322" t="n">
        <v>0</v>
      </c>
      <c r="L322" t="n">
        <v>0</v>
      </c>
      <c r="M322" t="n">
        <v>0</v>
      </c>
      <c r="N322" t="n">
        <v>0</v>
      </c>
      <c r="O322" t="n">
        <v>0</v>
      </c>
      <c r="P322" t="n">
        <v>0</v>
      </c>
      <c r="Q322" t="n">
        <v>0</v>
      </c>
      <c r="R322" s="2" t="inlineStr"/>
    </row>
    <row r="323" ht="15" customHeight="1">
      <c r="A323" t="inlineStr">
        <is>
          <t>A 26093-2023</t>
        </is>
      </c>
      <c r="B323" s="1" t="n">
        <v>45091.39362268519</v>
      </c>
      <c r="C323" s="1" t="n">
        <v>46040</v>
      </c>
      <c r="D323" t="inlineStr">
        <is>
          <t>ÖREBRO LÄN</t>
        </is>
      </c>
      <c r="E323" t="inlineStr">
        <is>
          <t>LINDESBERG</t>
        </is>
      </c>
      <c r="G323" t="n">
        <v>0.4</v>
      </c>
      <c r="H323" t="n">
        <v>0</v>
      </c>
      <c r="I323" t="n">
        <v>0</v>
      </c>
      <c r="J323" t="n">
        <v>0</v>
      </c>
      <c r="K323" t="n">
        <v>0</v>
      </c>
      <c r="L323" t="n">
        <v>0</v>
      </c>
      <c r="M323" t="n">
        <v>0</v>
      </c>
      <c r="N323" t="n">
        <v>0</v>
      </c>
      <c r="O323" t="n">
        <v>0</v>
      </c>
      <c r="P323" t="n">
        <v>0</v>
      </c>
      <c r="Q323" t="n">
        <v>0</v>
      </c>
      <c r="R323" s="2" t="inlineStr"/>
    </row>
    <row r="324" ht="15" customHeight="1">
      <c r="A324" t="inlineStr">
        <is>
          <t>A 17823-2021</t>
        </is>
      </c>
      <c r="B324" s="1" t="n">
        <v>44300</v>
      </c>
      <c r="C324" s="1" t="n">
        <v>46040</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29849-2023</t>
        </is>
      </c>
      <c r="B325" s="1" t="n">
        <v>45107</v>
      </c>
      <c r="C325" s="1" t="n">
        <v>46040</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21084-2021</t>
        </is>
      </c>
      <c r="B326" s="1" t="n">
        <v>44319</v>
      </c>
      <c r="C326" s="1" t="n">
        <v>46040</v>
      </c>
      <c r="D326" t="inlineStr">
        <is>
          <t>ÖREBRO LÄN</t>
        </is>
      </c>
      <c r="E326" t="inlineStr">
        <is>
          <t>LINDESBERG</t>
        </is>
      </c>
      <c r="G326" t="n">
        <v>3.1</v>
      </c>
      <c r="H326" t="n">
        <v>0</v>
      </c>
      <c r="I326" t="n">
        <v>0</v>
      </c>
      <c r="J326" t="n">
        <v>0</v>
      </c>
      <c r="K326" t="n">
        <v>0</v>
      </c>
      <c r="L326" t="n">
        <v>0</v>
      </c>
      <c r="M326" t="n">
        <v>0</v>
      </c>
      <c r="N326" t="n">
        <v>0</v>
      </c>
      <c r="O326" t="n">
        <v>0</v>
      </c>
      <c r="P326" t="n">
        <v>0</v>
      </c>
      <c r="Q326" t="n">
        <v>0</v>
      </c>
      <c r="R326" s="2" t="inlineStr"/>
    </row>
    <row r="327" ht="15" customHeight="1">
      <c r="A327" t="inlineStr">
        <is>
          <t>A 6161-2025</t>
        </is>
      </c>
      <c r="B327" s="1" t="n">
        <v>45698</v>
      </c>
      <c r="C327" s="1" t="n">
        <v>46040</v>
      </c>
      <c r="D327" t="inlineStr">
        <is>
          <t>ÖREBRO LÄN</t>
        </is>
      </c>
      <c r="E327" t="inlineStr">
        <is>
          <t>LINDESBERG</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6165-2025</t>
        </is>
      </c>
      <c r="B328" s="1" t="n">
        <v>45698</v>
      </c>
      <c r="C328" s="1" t="n">
        <v>46040</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5784-2025</t>
        </is>
      </c>
      <c r="B329" s="1" t="n">
        <v>45694</v>
      </c>
      <c r="C329" s="1" t="n">
        <v>46040</v>
      </c>
      <c r="D329" t="inlineStr">
        <is>
          <t>ÖREBRO LÄN</t>
        </is>
      </c>
      <c r="E329" t="inlineStr">
        <is>
          <t>LINDESBERG</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6181-2025</t>
        </is>
      </c>
      <c r="B330" s="1" t="n">
        <v>45698</v>
      </c>
      <c r="C330" s="1" t="n">
        <v>46040</v>
      </c>
      <c r="D330" t="inlineStr">
        <is>
          <t>ÖREBRO LÄN</t>
        </is>
      </c>
      <c r="E330" t="inlineStr">
        <is>
          <t>LINDESBERG</t>
        </is>
      </c>
      <c r="G330" t="n">
        <v>2.8</v>
      </c>
      <c r="H330" t="n">
        <v>0</v>
      </c>
      <c r="I330" t="n">
        <v>0</v>
      </c>
      <c r="J330" t="n">
        <v>0</v>
      </c>
      <c r="K330" t="n">
        <v>0</v>
      </c>
      <c r="L330" t="n">
        <v>0</v>
      </c>
      <c r="M330" t="n">
        <v>0</v>
      </c>
      <c r="N330" t="n">
        <v>0</v>
      </c>
      <c r="O330" t="n">
        <v>0</v>
      </c>
      <c r="P330" t="n">
        <v>0</v>
      </c>
      <c r="Q330" t="n">
        <v>0</v>
      </c>
      <c r="R330" s="2" t="inlineStr"/>
    </row>
    <row r="331" ht="15" customHeight="1">
      <c r="A331" t="inlineStr">
        <is>
          <t>A 42630-2025</t>
        </is>
      </c>
      <c r="B331" s="1" t="n">
        <v>45905.89143518519</v>
      </c>
      <c r="C331" s="1" t="n">
        <v>46040</v>
      </c>
      <c r="D331" t="inlineStr">
        <is>
          <t>ÖREBRO LÄN</t>
        </is>
      </c>
      <c r="E331" t="inlineStr">
        <is>
          <t>LINDESBERG</t>
        </is>
      </c>
      <c r="F331" t="inlineStr">
        <is>
          <t>Sveaskog</t>
        </is>
      </c>
      <c r="G331" t="n">
        <v>9.9</v>
      </c>
      <c r="H331" t="n">
        <v>0</v>
      </c>
      <c r="I331" t="n">
        <v>0</v>
      </c>
      <c r="J331" t="n">
        <v>0</v>
      </c>
      <c r="K331" t="n">
        <v>0</v>
      </c>
      <c r="L331" t="n">
        <v>0</v>
      </c>
      <c r="M331" t="n">
        <v>0</v>
      </c>
      <c r="N331" t="n">
        <v>0</v>
      </c>
      <c r="O331" t="n">
        <v>0</v>
      </c>
      <c r="P331" t="n">
        <v>0</v>
      </c>
      <c r="Q331" t="n">
        <v>0</v>
      </c>
      <c r="R331" s="2" t="inlineStr"/>
    </row>
    <row r="332" ht="15" customHeight="1">
      <c r="A332" t="inlineStr">
        <is>
          <t>A 17995-2021</t>
        </is>
      </c>
      <c r="B332" s="1" t="n">
        <v>44301</v>
      </c>
      <c r="C332" s="1" t="n">
        <v>46040</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42631-2025</t>
        </is>
      </c>
      <c r="B333" s="1" t="n">
        <v>45905.89236111111</v>
      </c>
      <c r="C333" s="1" t="n">
        <v>46040</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42632-2025</t>
        </is>
      </c>
      <c r="B334" s="1" t="n">
        <v>45905.89329861111</v>
      </c>
      <c r="C334" s="1" t="n">
        <v>46040</v>
      </c>
      <c r="D334" t="inlineStr">
        <is>
          <t>ÖREBRO LÄN</t>
        </is>
      </c>
      <c r="E334" t="inlineStr">
        <is>
          <t>LINDESBERG</t>
        </is>
      </c>
      <c r="F334" t="inlineStr">
        <is>
          <t>Sveaskog</t>
        </is>
      </c>
      <c r="G334" t="n">
        <v>6.7</v>
      </c>
      <c r="H334" t="n">
        <v>0</v>
      </c>
      <c r="I334" t="n">
        <v>0</v>
      </c>
      <c r="J334" t="n">
        <v>0</v>
      </c>
      <c r="K334" t="n">
        <v>0</v>
      </c>
      <c r="L334" t="n">
        <v>0</v>
      </c>
      <c r="M334" t="n">
        <v>0</v>
      </c>
      <c r="N334" t="n">
        <v>0</v>
      </c>
      <c r="O334" t="n">
        <v>0</v>
      </c>
      <c r="P334" t="n">
        <v>0</v>
      </c>
      <c r="Q334" t="n">
        <v>0</v>
      </c>
      <c r="R334" s="2" t="inlineStr"/>
    </row>
    <row r="335" ht="15" customHeight="1">
      <c r="A335" t="inlineStr">
        <is>
          <t>A 58963-2025</t>
        </is>
      </c>
      <c r="B335" s="1" t="n">
        <v>45987.60012731481</v>
      </c>
      <c r="C335" s="1" t="n">
        <v>46040</v>
      </c>
      <c r="D335" t="inlineStr">
        <is>
          <t>ÖREBRO LÄN</t>
        </is>
      </c>
      <c r="E335" t="inlineStr">
        <is>
          <t>LINDESBERG</t>
        </is>
      </c>
      <c r="G335" t="n">
        <v>0.8</v>
      </c>
      <c r="H335" t="n">
        <v>0</v>
      </c>
      <c r="I335" t="n">
        <v>0</v>
      </c>
      <c r="J335" t="n">
        <v>0</v>
      </c>
      <c r="K335" t="n">
        <v>0</v>
      </c>
      <c r="L335" t="n">
        <v>0</v>
      </c>
      <c r="M335" t="n">
        <v>0</v>
      </c>
      <c r="N335" t="n">
        <v>0</v>
      </c>
      <c r="O335" t="n">
        <v>0</v>
      </c>
      <c r="P335" t="n">
        <v>0</v>
      </c>
      <c r="Q335" t="n">
        <v>0</v>
      </c>
      <c r="R335" s="2" t="inlineStr"/>
    </row>
    <row r="336" ht="15" customHeight="1">
      <c r="A336" t="inlineStr">
        <is>
          <t>A 911-2026</t>
        </is>
      </c>
      <c r="B336" s="1" t="n">
        <v>46030.47725694445</v>
      </c>
      <c r="C336" s="1" t="n">
        <v>46040</v>
      </c>
      <c r="D336" t="inlineStr">
        <is>
          <t>ÖREBRO LÄN</t>
        </is>
      </c>
      <c r="E336" t="inlineStr">
        <is>
          <t>LINDESBERG</t>
        </is>
      </c>
      <c r="G336" t="n">
        <v>1.6</v>
      </c>
      <c r="H336" t="n">
        <v>0</v>
      </c>
      <c r="I336" t="n">
        <v>0</v>
      </c>
      <c r="J336" t="n">
        <v>0</v>
      </c>
      <c r="K336" t="n">
        <v>0</v>
      </c>
      <c r="L336" t="n">
        <v>0</v>
      </c>
      <c r="M336" t="n">
        <v>0</v>
      </c>
      <c r="N336" t="n">
        <v>0</v>
      </c>
      <c r="O336" t="n">
        <v>0</v>
      </c>
      <c r="P336" t="n">
        <v>0</v>
      </c>
      <c r="Q336" t="n">
        <v>0</v>
      </c>
      <c r="R336" s="2" t="inlineStr"/>
    </row>
    <row r="337" ht="15" customHeight="1">
      <c r="A337" t="inlineStr">
        <is>
          <t>A 69208-2021</t>
        </is>
      </c>
      <c r="B337" s="1" t="n">
        <v>44531.3575</v>
      </c>
      <c r="C337" s="1" t="n">
        <v>46040</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51656-2023</t>
        </is>
      </c>
      <c r="B338" s="1" t="n">
        <v>45222</v>
      </c>
      <c r="C338" s="1" t="n">
        <v>46040</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19914-2024</t>
        </is>
      </c>
      <c r="B339" s="1" t="n">
        <v>45433.58099537037</v>
      </c>
      <c r="C339" s="1" t="n">
        <v>46040</v>
      </c>
      <c r="D339" t="inlineStr">
        <is>
          <t>ÖREBRO LÄN</t>
        </is>
      </c>
      <c r="E339" t="inlineStr">
        <is>
          <t>LINDESBERG</t>
        </is>
      </c>
      <c r="G339" t="n">
        <v>1.1</v>
      </c>
      <c r="H339" t="n">
        <v>0</v>
      </c>
      <c r="I339" t="n">
        <v>0</v>
      </c>
      <c r="J339" t="n">
        <v>0</v>
      </c>
      <c r="K339" t="n">
        <v>0</v>
      </c>
      <c r="L339" t="n">
        <v>0</v>
      </c>
      <c r="M339" t="n">
        <v>0</v>
      </c>
      <c r="N339" t="n">
        <v>0</v>
      </c>
      <c r="O339" t="n">
        <v>0</v>
      </c>
      <c r="P339" t="n">
        <v>0</v>
      </c>
      <c r="Q339" t="n">
        <v>0</v>
      </c>
      <c r="R339" s="2" t="inlineStr"/>
    </row>
    <row r="340" ht="15" customHeight="1">
      <c r="A340" t="inlineStr">
        <is>
          <t>A 12739-2024</t>
        </is>
      </c>
      <c r="B340" s="1" t="n">
        <v>45384</v>
      </c>
      <c r="C340" s="1" t="n">
        <v>46040</v>
      </c>
      <c r="D340" t="inlineStr">
        <is>
          <t>ÖREBRO LÄN</t>
        </is>
      </c>
      <c r="E340" t="inlineStr">
        <is>
          <t>LINDESBERG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56561-2023</t>
        </is>
      </c>
      <c r="B341" s="1" t="n">
        <v>45243</v>
      </c>
      <c r="C341" s="1" t="n">
        <v>46040</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56579-2023</t>
        </is>
      </c>
      <c r="B342" s="1" t="n">
        <v>45243.62420138889</v>
      </c>
      <c r="C342" s="1" t="n">
        <v>46040</v>
      </c>
      <c r="D342" t="inlineStr">
        <is>
          <t>ÖREBRO LÄN</t>
        </is>
      </c>
      <c r="E342" t="inlineStr">
        <is>
          <t>LINDESBERG</t>
        </is>
      </c>
      <c r="F342" t="inlineStr">
        <is>
          <t>Naturvårdsverket</t>
        </is>
      </c>
      <c r="G342" t="n">
        <v>1.6</v>
      </c>
      <c r="H342" t="n">
        <v>0</v>
      </c>
      <c r="I342" t="n">
        <v>0</v>
      </c>
      <c r="J342" t="n">
        <v>0</v>
      </c>
      <c r="K342" t="n">
        <v>0</v>
      </c>
      <c r="L342" t="n">
        <v>0</v>
      </c>
      <c r="M342" t="n">
        <v>0</v>
      </c>
      <c r="N342" t="n">
        <v>0</v>
      </c>
      <c r="O342" t="n">
        <v>0</v>
      </c>
      <c r="P342" t="n">
        <v>0</v>
      </c>
      <c r="Q342" t="n">
        <v>0</v>
      </c>
      <c r="R342" s="2" t="inlineStr"/>
    </row>
    <row r="343" ht="15" customHeight="1">
      <c r="A343" t="inlineStr">
        <is>
          <t>A 56582-2023</t>
        </is>
      </c>
      <c r="B343" s="1" t="n">
        <v>45243</v>
      </c>
      <c r="C343" s="1" t="n">
        <v>46040</v>
      </c>
      <c r="D343" t="inlineStr">
        <is>
          <t>ÖREBRO LÄN</t>
        </is>
      </c>
      <c r="E343" t="inlineStr">
        <is>
          <t>LINDESBERG</t>
        </is>
      </c>
      <c r="F343" t="inlineStr">
        <is>
          <t>Naturvårdsverket</t>
        </is>
      </c>
      <c r="G343" t="n">
        <v>2.3</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46040</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56217-2022</t>
        </is>
      </c>
      <c r="B345" s="1" t="n">
        <v>44890.46174768519</v>
      </c>
      <c r="C345" s="1" t="n">
        <v>46040</v>
      </c>
      <c r="D345" t="inlineStr">
        <is>
          <t>ÖREBRO LÄN</t>
        </is>
      </c>
      <c r="E345" t="inlineStr">
        <is>
          <t>LINDESBERG</t>
        </is>
      </c>
      <c r="G345" t="n">
        <v>6.9</v>
      </c>
      <c r="H345" t="n">
        <v>0</v>
      </c>
      <c r="I345" t="n">
        <v>0</v>
      </c>
      <c r="J345" t="n">
        <v>0</v>
      </c>
      <c r="K345" t="n">
        <v>0</v>
      </c>
      <c r="L345" t="n">
        <v>0</v>
      </c>
      <c r="M345" t="n">
        <v>0</v>
      </c>
      <c r="N345" t="n">
        <v>0</v>
      </c>
      <c r="O345" t="n">
        <v>0</v>
      </c>
      <c r="P345" t="n">
        <v>0</v>
      </c>
      <c r="Q345" t="n">
        <v>0</v>
      </c>
      <c r="R345" s="2" t="inlineStr"/>
    </row>
    <row r="346" ht="15" customHeight="1">
      <c r="A346" t="inlineStr">
        <is>
          <t>A 40305-2024</t>
        </is>
      </c>
      <c r="B346" s="1" t="n">
        <v>45554.71863425926</v>
      </c>
      <c r="C346" s="1" t="n">
        <v>46040</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27134-2024</t>
        </is>
      </c>
      <c r="B347" s="1" t="n">
        <v>45471.52878472222</v>
      </c>
      <c r="C347" s="1" t="n">
        <v>46040</v>
      </c>
      <c r="D347" t="inlineStr">
        <is>
          <t>ÖREBRO LÄN</t>
        </is>
      </c>
      <c r="E347" t="inlineStr">
        <is>
          <t>LINDESBERG</t>
        </is>
      </c>
      <c r="G347" t="n">
        <v>0.7</v>
      </c>
      <c r="H347" t="n">
        <v>0</v>
      </c>
      <c r="I347" t="n">
        <v>0</v>
      </c>
      <c r="J347" t="n">
        <v>0</v>
      </c>
      <c r="K347" t="n">
        <v>0</v>
      </c>
      <c r="L347" t="n">
        <v>0</v>
      </c>
      <c r="M347" t="n">
        <v>0</v>
      </c>
      <c r="N347" t="n">
        <v>0</v>
      </c>
      <c r="O347" t="n">
        <v>0</v>
      </c>
      <c r="P347" t="n">
        <v>0</v>
      </c>
      <c r="Q347" t="n">
        <v>0</v>
      </c>
      <c r="R347" s="2" t="inlineStr"/>
    </row>
    <row r="348" ht="15" customHeight="1">
      <c r="A348" t="inlineStr">
        <is>
          <t>A 878-2026</t>
        </is>
      </c>
      <c r="B348" s="1" t="n">
        <v>46030.44277777777</v>
      </c>
      <c r="C348" s="1" t="n">
        <v>46040</v>
      </c>
      <c r="D348" t="inlineStr">
        <is>
          <t>ÖREBRO LÄN</t>
        </is>
      </c>
      <c r="E348" t="inlineStr">
        <is>
          <t>LINDESBERG</t>
        </is>
      </c>
      <c r="G348" t="n">
        <v>2.2</v>
      </c>
      <c r="H348" t="n">
        <v>0</v>
      </c>
      <c r="I348" t="n">
        <v>0</v>
      </c>
      <c r="J348" t="n">
        <v>0</v>
      </c>
      <c r="K348" t="n">
        <v>0</v>
      </c>
      <c r="L348" t="n">
        <v>0</v>
      </c>
      <c r="M348" t="n">
        <v>0</v>
      </c>
      <c r="N348" t="n">
        <v>0</v>
      </c>
      <c r="O348" t="n">
        <v>0</v>
      </c>
      <c r="P348" t="n">
        <v>0</v>
      </c>
      <c r="Q348" t="n">
        <v>0</v>
      </c>
      <c r="R348" s="2" t="inlineStr"/>
    </row>
    <row r="349" ht="15" customHeight="1">
      <c r="A349" t="inlineStr">
        <is>
          <t>A 45038-2024</t>
        </is>
      </c>
      <c r="B349" s="1" t="n">
        <v>45575.53331018519</v>
      </c>
      <c r="C349" s="1" t="n">
        <v>46040</v>
      </c>
      <c r="D349" t="inlineStr">
        <is>
          <t>ÖREBRO LÄN</t>
        </is>
      </c>
      <c r="E349" t="inlineStr">
        <is>
          <t>LINDESBERG</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45046-2024</t>
        </is>
      </c>
      <c r="B350" s="1" t="n">
        <v>45575.54489583334</v>
      </c>
      <c r="C350" s="1" t="n">
        <v>46040</v>
      </c>
      <c r="D350" t="inlineStr">
        <is>
          <t>ÖREBRO LÄN</t>
        </is>
      </c>
      <c r="E350" t="inlineStr">
        <is>
          <t>LINDESBERG</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38552-2023</t>
        </is>
      </c>
      <c r="B351" s="1" t="n">
        <v>45162.5978125</v>
      </c>
      <c r="C351" s="1" t="n">
        <v>46040</v>
      </c>
      <c r="D351" t="inlineStr">
        <is>
          <t>ÖREBRO LÄN</t>
        </is>
      </c>
      <c r="E351" t="inlineStr">
        <is>
          <t>LINDESBERG</t>
        </is>
      </c>
      <c r="G351" t="n">
        <v>10.4</v>
      </c>
      <c r="H351" t="n">
        <v>0</v>
      </c>
      <c r="I351" t="n">
        <v>0</v>
      </c>
      <c r="J351" t="n">
        <v>0</v>
      </c>
      <c r="K351" t="n">
        <v>0</v>
      </c>
      <c r="L351" t="n">
        <v>0</v>
      </c>
      <c r="M351" t="n">
        <v>0</v>
      </c>
      <c r="N351" t="n">
        <v>0</v>
      </c>
      <c r="O351" t="n">
        <v>0</v>
      </c>
      <c r="P351" t="n">
        <v>0</v>
      </c>
      <c r="Q351" t="n">
        <v>0</v>
      </c>
      <c r="R351" s="2" t="inlineStr"/>
    </row>
    <row r="352" ht="15" customHeight="1">
      <c r="A352" t="inlineStr">
        <is>
          <t>A 33280-2024</t>
        </is>
      </c>
      <c r="B352" s="1" t="n">
        <v>45518.71048611111</v>
      </c>
      <c r="C352" s="1" t="n">
        <v>46040</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64084-2023</t>
        </is>
      </c>
      <c r="B353" s="1" t="n">
        <v>45279</v>
      </c>
      <c r="C353" s="1" t="n">
        <v>46040</v>
      </c>
      <c r="D353" t="inlineStr">
        <is>
          <t>ÖREBRO LÄN</t>
        </is>
      </c>
      <c r="E353" t="inlineStr">
        <is>
          <t>LINDESBERG</t>
        </is>
      </c>
      <c r="G353" t="n">
        <v>2.1</v>
      </c>
      <c r="H353" t="n">
        <v>0</v>
      </c>
      <c r="I353" t="n">
        <v>0</v>
      </c>
      <c r="J353" t="n">
        <v>0</v>
      </c>
      <c r="K353" t="n">
        <v>0</v>
      </c>
      <c r="L353" t="n">
        <v>0</v>
      </c>
      <c r="M353" t="n">
        <v>0</v>
      </c>
      <c r="N353" t="n">
        <v>0</v>
      </c>
      <c r="O353" t="n">
        <v>0</v>
      </c>
      <c r="P353" t="n">
        <v>0</v>
      </c>
      <c r="Q353" t="n">
        <v>0</v>
      </c>
      <c r="R353" s="2" t="inlineStr"/>
    </row>
    <row r="354" ht="15" customHeight="1">
      <c r="A354" t="inlineStr">
        <is>
          <t>A 21012-2023</t>
        </is>
      </c>
      <c r="B354" s="1" t="n">
        <v>45061.52474537037</v>
      </c>
      <c r="C354" s="1" t="n">
        <v>46040</v>
      </c>
      <c r="D354" t="inlineStr">
        <is>
          <t>ÖREBRO LÄN</t>
        </is>
      </c>
      <c r="E354" t="inlineStr">
        <is>
          <t>LINDESBERG</t>
        </is>
      </c>
      <c r="G354" t="n">
        <v>0.5</v>
      </c>
      <c r="H354" t="n">
        <v>0</v>
      </c>
      <c r="I354" t="n">
        <v>0</v>
      </c>
      <c r="J354" t="n">
        <v>0</v>
      </c>
      <c r="K354" t="n">
        <v>0</v>
      </c>
      <c r="L354" t="n">
        <v>0</v>
      </c>
      <c r="M354" t="n">
        <v>0</v>
      </c>
      <c r="N354" t="n">
        <v>0</v>
      </c>
      <c r="O354" t="n">
        <v>0</v>
      </c>
      <c r="P354" t="n">
        <v>0</v>
      </c>
      <c r="Q354" t="n">
        <v>0</v>
      </c>
      <c r="R354" s="2" t="inlineStr"/>
    </row>
    <row r="355" ht="15" customHeight="1">
      <c r="A355" t="inlineStr">
        <is>
          <t>A 33424-2024</t>
        </is>
      </c>
      <c r="B355" s="1" t="n">
        <v>45519.51627314815</v>
      </c>
      <c r="C355" s="1" t="n">
        <v>46040</v>
      </c>
      <c r="D355" t="inlineStr">
        <is>
          <t>ÖREBRO LÄN</t>
        </is>
      </c>
      <c r="E355" t="inlineStr">
        <is>
          <t>LINDESBERG</t>
        </is>
      </c>
      <c r="F355" t="inlineStr">
        <is>
          <t>Sveaskog</t>
        </is>
      </c>
      <c r="G355" t="n">
        <v>0.1</v>
      </c>
      <c r="H355" t="n">
        <v>0</v>
      </c>
      <c r="I355" t="n">
        <v>0</v>
      </c>
      <c r="J355" t="n">
        <v>0</v>
      </c>
      <c r="K355" t="n">
        <v>0</v>
      </c>
      <c r="L355" t="n">
        <v>0</v>
      </c>
      <c r="M355" t="n">
        <v>0</v>
      </c>
      <c r="N355" t="n">
        <v>0</v>
      </c>
      <c r="O355" t="n">
        <v>0</v>
      </c>
      <c r="P355" t="n">
        <v>0</v>
      </c>
      <c r="Q355" t="n">
        <v>0</v>
      </c>
      <c r="R355" s="2" t="inlineStr"/>
    </row>
    <row r="356" ht="15" customHeight="1">
      <c r="A356" t="inlineStr">
        <is>
          <t>A 33427-2024</t>
        </is>
      </c>
      <c r="B356" s="1" t="n">
        <v>45519.52232638889</v>
      </c>
      <c r="C356" s="1" t="n">
        <v>46040</v>
      </c>
      <c r="D356" t="inlineStr">
        <is>
          <t>ÖREBRO LÄN</t>
        </is>
      </c>
      <c r="E356" t="inlineStr">
        <is>
          <t>LINDESBERG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36509-2024</t>
        </is>
      </c>
      <c r="B357" s="1" t="n">
        <v>45537.42240740741</v>
      </c>
      <c r="C357" s="1" t="n">
        <v>46040</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24944-2024</t>
        </is>
      </c>
      <c r="B358" s="1" t="n">
        <v>45461.62924768519</v>
      </c>
      <c r="C358" s="1" t="n">
        <v>46040</v>
      </c>
      <c r="D358" t="inlineStr">
        <is>
          <t>ÖREBRO LÄN</t>
        </is>
      </c>
      <c r="E358" t="inlineStr">
        <is>
          <t>LINDESBERG</t>
        </is>
      </c>
      <c r="F358" t="inlineStr">
        <is>
          <t>Kyrkan</t>
        </is>
      </c>
      <c r="G358" t="n">
        <v>13.7</v>
      </c>
      <c r="H358" t="n">
        <v>0</v>
      </c>
      <c r="I358" t="n">
        <v>0</v>
      </c>
      <c r="J358" t="n">
        <v>0</v>
      </c>
      <c r="K358" t="n">
        <v>0</v>
      </c>
      <c r="L358" t="n">
        <v>0</v>
      </c>
      <c r="M358" t="n">
        <v>0</v>
      </c>
      <c r="N358" t="n">
        <v>0</v>
      </c>
      <c r="O358" t="n">
        <v>0</v>
      </c>
      <c r="P358" t="n">
        <v>0</v>
      </c>
      <c r="Q358" t="n">
        <v>0</v>
      </c>
      <c r="R358" s="2" t="inlineStr"/>
    </row>
    <row r="359" ht="15" customHeight="1">
      <c r="A359" t="inlineStr">
        <is>
          <t>A 37432-2022</t>
        </is>
      </c>
      <c r="B359" s="1" t="n">
        <v>44809</v>
      </c>
      <c r="C359" s="1" t="n">
        <v>46040</v>
      </c>
      <c r="D359" t="inlineStr">
        <is>
          <t>ÖREBRO LÄN</t>
        </is>
      </c>
      <c r="E359" t="inlineStr">
        <is>
          <t>LINDESBERG</t>
        </is>
      </c>
      <c r="G359" t="n">
        <v>3.6</v>
      </c>
      <c r="H359" t="n">
        <v>0</v>
      </c>
      <c r="I359" t="n">
        <v>0</v>
      </c>
      <c r="J359" t="n">
        <v>0</v>
      </c>
      <c r="K359" t="n">
        <v>0</v>
      </c>
      <c r="L359" t="n">
        <v>0</v>
      </c>
      <c r="M359" t="n">
        <v>0</v>
      </c>
      <c r="N359" t="n">
        <v>0</v>
      </c>
      <c r="O359" t="n">
        <v>0</v>
      </c>
      <c r="P359" t="n">
        <v>0</v>
      </c>
      <c r="Q359" t="n">
        <v>0</v>
      </c>
      <c r="R359" s="2" t="inlineStr"/>
    </row>
    <row r="360" ht="15" customHeight="1">
      <c r="A360" t="inlineStr">
        <is>
          <t>A 53054-2022</t>
        </is>
      </c>
      <c r="B360" s="1" t="n">
        <v>44876.35706018518</v>
      </c>
      <c r="C360" s="1" t="n">
        <v>46040</v>
      </c>
      <c r="D360" t="inlineStr">
        <is>
          <t>ÖREBRO LÄN</t>
        </is>
      </c>
      <c r="E360" t="inlineStr">
        <is>
          <t>LINDESBERG</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29894-2023</t>
        </is>
      </c>
      <c r="B361" s="1" t="n">
        <v>45107</v>
      </c>
      <c r="C361" s="1" t="n">
        <v>46040</v>
      </c>
      <c r="D361" t="inlineStr">
        <is>
          <t>ÖREBRO LÄN</t>
        </is>
      </c>
      <c r="E361" t="inlineStr">
        <is>
          <t>LINDESBERG</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50619-2022</t>
        </is>
      </c>
      <c r="B362" s="1" t="n">
        <v>44866.79668981482</v>
      </c>
      <c r="C362" s="1" t="n">
        <v>46040</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11559-2024</t>
        </is>
      </c>
      <c r="B363" s="1" t="n">
        <v>45373.30434027778</v>
      </c>
      <c r="C363" s="1" t="n">
        <v>46040</v>
      </c>
      <c r="D363" t="inlineStr">
        <is>
          <t>ÖREBRO LÄN</t>
        </is>
      </c>
      <c r="E363" t="inlineStr">
        <is>
          <t>LINDESBERG</t>
        </is>
      </c>
      <c r="F363" t="inlineStr">
        <is>
          <t>BillerudKorsnäs AB</t>
        </is>
      </c>
      <c r="G363" t="n">
        <v>1.9</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46040</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43847-2025</t>
        </is>
      </c>
      <c r="B365" s="1" t="n">
        <v>45912.63751157407</v>
      </c>
      <c r="C365" s="1" t="n">
        <v>46040</v>
      </c>
      <c r="D365" t="inlineStr">
        <is>
          <t>ÖREBRO LÄN</t>
        </is>
      </c>
      <c r="E365" t="inlineStr">
        <is>
          <t>LINDESBERG</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43836-2025</t>
        </is>
      </c>
      <c r="B366" s="1" t="n">
        <v>45912.63359953704</v>
      </c>
      <c r="C366" s="1" t="n">
        <v>46040</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13472-2023</t>
        </is>
      </c>
      <c r="B367" s="1" t="n">
        <v>45005</v>
      </c>
      <c r="C367" s="1" t="n">
        <v>46040</v>
      </c>
      <c r="D367" t="inlineStr">
        <is>
          <t>ÖREBRO LÄN</t>
        </is>
      </c>
      <c r="E367" t="inlineStr">
        <is>
          <t>LINDESBERG</t>
        </is>
      </c>
      <c r="G367" t="n">
        <v>2.5</v>
      </c>
      <c r="H367" t="n">
        <v>0</v>
      </c>
      <c r="I367" t="n">
        <v>0</v>
      </c>
      <c r="J367" t="n">
        <v>0</v>
      </c>
      <c r="K367" t="n">
        <v>0</v>
      </c>
      <c r="L367" t="n">
        <v>0</v>
      </c>
      <c r="M367" t="n">
        <v>0</v>
      </c>
      <c r="N367" t="n">
        <v>0</v>
      </c>
      <c r="O367" t="n">
        <v>0</v>
      </c>
      <c r="P367" t="n">
        <v>0</v>
      </c>
      <c r="Q367" t="n">
        <v>0</v>
      </c>
      <c r="R367" s="2" t="inlineStr"/>
    </row>
    <row r="368" ht="15" customHeight="1">
      <c r="A368" t="inlineStr">
        <is>
          <t>A 52284-2024</t>
        </is>
      </c>
      <c r="B368" s="1" t="n">
        <v>45608</v>
      </c>
      <c r="C368" s="1" t="n">
        <v>46040</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1160-2026</t>
        </is>
      </c>
      <c r="B369" s="1" t="n">
        <v>46031</v>
      </c>
      <c r="C369" s="1" t="n">
        <v>46040</v>
      </c>
      <c r="D369" t="inlineStr">
        <is>
          <t>ÖREBRO LÄN</t>
        </is>
      </c>
      <c r="E369" t="inlineStr">
        <is>
          <t>LINDESBERG</t>
        </is>
      </c>
      <c r="G369" t="n">
        <v>12.2</v>
      </c>
      <c r="H369" t="n">
        <v>0</v>
      </c>
      <c r="I369" t="n">
        <v>0</v>
      </c>
      <c r="J369" t="n">
        <v>0</v>
      </c>
      <c r="K369" t="n">
        <v>0</v>
      </c>
      <c r="L369" t="n">
        <v>0</v>
      </c>
      <c r="M369" t="n">
        <v>0</v>
      </c>
      <c r="N369" t="n">
        <v>0</v>
      </c>
      <c r="O369" t="n">
        <v>0</v>
      </c>
      <c r="P369" t="n">
        <v>0</v>
      </c>
      <c r="Q369" t="n">
        <v>0</v>
      </c>
      <c r="R369" s="2" t="inlineStr"/>
    </row>
    <row r="370" ht="15" customHeight="1">
      <c r="A370" t="inlineStr">
        <is>
          <t>A 38613-2024</t>
        </is>
      </c>
      <c r="B370" s="1" t="n">
        <v>45546.68743055555</v>
      </c>
      <c r="C370" s="1" t="n">
        <v>46040</v>
      </c>
      <c r="D370" t="inlineStr">
        <is>
          <t>ÖREBRO LÄN</t>
        </is>
      </c>
      <c r="E370" t="inlineStr">
        <is>
          <t>LINDESBERG</t>
        </is>
      </c>
      <c r="F370" t="inlineStr">
        <is>
          <t>Kyrkan</t>
        </is>
      </c>
      <c r="G370" t="n">
        <v>1.6</v>
      </c>
      <c r="H370" t="n">
        <v>0</v>
      </c>
      <c r="I370" t="n">
        <v>0</v>
      </c>
      <c r="J370" t="n">
        <v>0</v>
      </c>
      <c r="K370" t="n">
        <v>0</v>
      </c>
      <c r="L370" t="n">
        <v>0</v>
      </c>
      <c r="M370" t="n">
        <v>0</v>
      </c>
      <c r="N370" t="n">
        <v>0</v>
      </c>
      <c r="O370" t="n">
        <v>0</v>
      </c>
      <c r="P370" t="n">
        <v>0</v>
      </c>
      <c r="Q370" t="n">
        <v>0</v>
      </c>
      <c r="R370" s="2" t="inlineStr"/>
    </row>
    <row r="371" ht="15" customHeight="1">
      <c r="A371" t="inlineStr">
        <is>
          <t>A 44041-2025</t>
        </is>
      </c>
      <c r="B371" s="1" t="n">
        <v>45915.49238425926</v>
      </c>
      <c r="C371" s="1" t="n">
        <v>46040</v>
      </c>
      <c r="D371" t="inlineStr">
        <is>
          <t>ÖREBRO LÄN</t>
        </is>
      </c>
      <c r="E371" t="inlineStr">
        <is>
          <t>LINDESBERG</t>
        </is>
      </c>
      <c r="G371" t="n">
        <v>0.6</v>
      </c>
      <c r="H371" t="n">
        <v>0</v>
      </c>
      <c r="I371" t="n">
        <v>0</v>
      </c>
      <c r="J371" t="n">
        <v>0</v>
      </c>
      <c r="K371" t="n">
        <v>0</v>
      </c>
      <c r="L371" t="n">
        <v>0</v>
      </c>
      <c r="M371" t="n">
        <v>0</v>
      </c>
      <c r="N371" t="n">
        <v>0</v>
      </c>
      <c r="O371" t="n">
        <v>0</v>
      </c>
      <c r="P371" t="n">
        <v>0</v>
      </c>
      <c r="Q371" t="n">
        <v>0</v>
      </c>
      <c r="R371" s="2" t="inlineStr"/>
    </row>
    <row r="372" ht="15" customHeight="1">
      <c r="A372" t="inlineStr">
        <is>
          <t>A 44077-2025</t>
        </is>
      </c>
      <c r="B372" s="1" t="n">
        <v>45915.54983796296</v>
      </c>
      <c r="C372" s="1" t="n">
        <v>46040</v>
      </c>
      <c r="D372" t="inlineStr">
        <is>
          <t>ÖREBRO LÄN</t>
        </is>
      </c>
      <c r="E372" t="inlineStr">
        <is>
          <t>LINDESBERG</t>
        </is>
      </c>
      <c r="G372" t="n">
        <v>4.2</v>
      </c>
      <c r="H372" t="n">
        <v>0</v>
      </c>
      <c r="I372" t="n">
        <v>0</v>
      </c>
      <c r="J372" t="n">
        <v>0</v>
      </c>
      <c r="K372" t="n">
        <v>0</v>
      </c>
      <c r="L372" t="n">
        <v>0</v>
      </c>
      <c r="M372" t="n">
        <v>0</v>
      </c>
      <c r="N372" t="n">
        <v>0</v>
      </c>
      <c r="O372" t="n">
        <v>0</v>
      </c>
      <c r="P372" t="n">
        <v>0</v>
      </c>
      <c r="Q372" t="n">
        <v>0</v>
      </c>
      <c r="R372" s="2" t="inlineStr"/>
    </row>
    <row r="373" ht="15" customHeight="1">
      <c r="A373" t="inlineStr">
        <is>
          <t>A 46603-2021</t>
        </is>
      </c>
      <c r="B373" s="1" t="n">
        <v>44445</v>
      </c>
      <c r="C373" s="1" t="n">
        <v>46040</v>
      </c>
      <c r="D373" t="inlineStr">
        <is>
          <t>ÖREBRO LÄN</t>
        </is>
      </c>
      <c r="E373" t="inlineStr">
        <is>
          <t>LINDESBERG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73500-2021</t>
        </is>
      </c>
      <c r="B374" s="1" t="n">
        <v>44551</v>
      </c>
      <c r="C374" s="1" t="n">
        <v>46040</v>
      </c>
      <c r="D374" t="inlineStr">
        <is>
          <t>ÖREBRO LÄN</t>
        </is>
      </c>
      <c r="E374" t="inlineStr">
        <is>
          <t>LINDESBERG</t>
        </is>
      </c>
      <c r="G374" t="n">
        <v>1.1</v>
      </c>
      <c r="H374" t="n">
        <v>0</v>
      </c>
      <c r="I374" t="n">
        <v>0</v>
      </c>
      <c r="J374" t="n">
        <v>0</v>
      </c>
      <c r="K374" t="n">
        <v>0</v>
      </c>
      <c r="L374" t="n">
        <v>0</v>
      </c>
      <c r="M374" t="n">
        <v>0</v>
      </c>
      <c r="N374" t="n">
        <v>0</v>
      </c>
      <c r="O374" t="n">
        <v>0</v>
      </c>
      <c r="P374" t="n">
        <v>0</v>
      </c>
      <c r="Q374" t="n">
        <v>0</v>
      </c>
      <c r="R374" s="2" t="inlineStr"/>
    </row>
    <row r="375" ht="15" customHeight="1">
      <c r="A375" t="inlineStr">
        <is>
          <t>A 56507-2021</t>
        </is>
      </c>
      <c r="B375" s="1" t="n">
        <v>44480.58034722223</v>
      </c>
      <c r="C375" s="1" t="n">
        <v>46040</v>
      </c>
      <c r="D375" t="inlineStr">
        <is>
          <t>ÖREBRO LÄN</t>
        </is>
      </c>
      <c r="E375" t="inlineStr">
        <is>
          <t>LINDESBERG</t>
        </is>
      </c>
      <c r="G375" t="n">
        <v>2.3</v>
      </c>
      <c r="H375" t="n">
        <v>0</v>
      </c>
      <c r="I375" t="n">
        <v>0</v>
      </c>
      <c r="J375" t="n">
        <v>0</v>
      </c>
      <c r="K375" t="n">
        <v>0</v>
      </c>
      <c r="L375" t="n">
        <v>0</v>
      </c>
      <c r="M375" t="n">
        <v>0</v>
      </c>
      <c r="N375" t="n">
        <v>0</v>
      </c>
      <c r="O375" t="n">
        <v>0</v>
      </c>
      <c r="P375" t="n">
        <v>0</v>
      </c>
      <c r="Q375" t="n">
        <v>0</v>
      </c>
      <c r="R375" s="2" t="inlineStr"/>
    </row>
    <row r="376" ht="15" customHeight="1">
      <c r="A376" t="inlineStr">
        <is>
          <t>A 65194-2023</t>
        </is>
      </c>
      <c r="B376" s="1" t="n">
        <v>45289</v>
      </c>
      <c r="C376" s="1" t="n">
        <v>46040</v>
      </c>
      <c r="D376" t="inlineStr">
        <is>
          <t>ÖREBRO LÄN</t>
        </is>
      </c>
      <c r="E376" t="inlineStr">
        <is>
          <t>LINDESBERG</t>
        </is>
      </c>
      <c r="G376" t="n">
        <v>1</v>
      </c>
      <c r="H376" t="n">
        <v>0</v>
      </c>
      <c r="I376" t="n">
        <v>0</v>
      </c>
      <c r="J376" t="n">
        <v>0</v>
      </c>
      <c r="K376" t="n">
        <v>0</v>
      </c>
      <c r="L376" t="n">
        <v>0</v>
      </c>
      <c r="M376" t="n">
        <v>0</v>
      </c>
      <c r="N376" t="n">
        <v>0</v>
      </c>
      <c r="O376" t="n">
        <v>0</v>
      </c>
      <c r="P376" t="n">
        <v>0</v>
      </c>
      <c r="Q376" t="n">
        <v>0</v>
      </c>
      <c r="R376" s="2" t="inlineStr"/>
    </row>
    <row r="377" ht="15" customHeight="1">
      <c r="A377" t="inlineStr">
        <is>
          <t>A 9436-2023</t>
        </is>
      </c>
      <c r="B377" s="1" t="n">
        <v>44981</v>
      </c>
      <c r="C377" s="1" t="n">
        <v>46040</v>
      </c>
      <c r="D377" t="inlineStr">
        <is>
          <t>ÖREBRO LÄN</t>
        </is>
      </c>
      <c r="E377" t="inlineStr">
        <is>
          <t>LINDESBERG</t>
        </is>
      </c>
      <c r="G377" t="n">
        <v>2.8</v>
      </c>
      <c r="H377" t="n">
        <v>0</v>
      </c>
      <c r="I377" t="n">
        <v>0</v>
      </c>
      <c r="J377" t="n">
        <v>0</v>
      </c>
      <c r="K377" t="n">
        <v>0</v>
      </c>
      <c r="L377" t="n">
        <v>0</v>
      </c>
      <c r="M377" t="n">
        <v>0</v>
      </c>
      <c r="N377" t="n">
        <v>0</v>
      </c>
      <c r="O377" t="n">
        <v>0</v>
      </c>
      <c r="P377" t="n">
        <v>0</v>
      </c>
      <c r="Q377" t="n">
        <v>0</v>
      </c>
      <c r="R377" s="2" t="inlineStr"/>
    </row>
    <row r="378" ht="15" customHeight="1">
      <c r="A378" t="inlineStr">
        <is>
          <t>A 41343-2021</t>
        </is>
      </c>
      <c r="B378" s="1" t="n">
        <v>44424.61709490741</v>
      </c>
      <c r="C378" s="1" t="n">
        <v>46040</v>
      </c>
      <c r="D378" t="inlineStr">
        <is>
          <t>ÖREBRO LÄN</t>
        </is>
      </c>
      <c r="E378" t="inlineStr">
        <is>
          <t>LINDESBERG</t>
        </is>
      </c>
      <c r="G378" t="n">
        <v>8.9</v>
      </c>
      <c r="H378" t="n">
        <v>0</v>
      </c>
      <c r="I378" t="n">
        <v>0</v>
      </c>
      <c r="J378" t="n">
        <v>0</v>
      </c>
      <c r="K378" t="n">
        <v>0</v>
      </c>
      <c r="L378" t="n">
        <v>0</v>
      </c>
      <c r="M378" t="n">
        <v>0</v>
      </c>
      <c r="N378" t="n">
        <v>0</v>
      </c>
      <c r="O378" t="n">
        <v>0</v>
      </c>
      <c r="P378" t="n">
        <v>0</v>
      </c>
      <c r="Q378" t="n">
        <v>0</v>
      </c>
      <c r="R378" s="2" t="inlineStr"/>
    </row>
    <row r="379" ht="15" customHeight="1">
      <c r="A379" t="inlineStr">
        <is>
          <t>A 36121-2023</t>
        </is>
      </c>
      <c r="B379" s="1" t="n">
        <v>45148</v>
      </c>
      <c r="C379" s="1" t="n">
        <v>46040</v>
      </c>
      <c r="D379" t="inlineStr">
        <is>
          <t>ÖREBRO LÄN</t>
        </is>
      </c>
      <c r="E379" t="inlineStr">
        <is>
          <t>LINDESBERG</t>
        </is>
      </c>
      <c r="G379" t="n">
        <v>7.1</v>
      </c>
      <c r="H379" t="n">
        <v>0</v>
      </c>
      <c r="I379" t="n">
        <v>0</v>
      </c>
      <c r="J379" t="n">
        <v>0</v>
      </c>
      <c r="K379" t="n">
        <v>0</v>
      </c>
      <c r="L379" t="n">
        <v>0</v>
      </c>
      <c r="M379" t="n">
        <v>0</v>
      </c>
      <c r="N379" t="n">
        <v>0</v>
      </c>
      <c r="O379" t="n">
        <v>0</v>
      </c>
      <c r="P379" t="n">
        <v>0</v>
      </c>
      <c r="Q379" t="n">
        <v>0</v>
      </c>
      <c r="R379" s="2" t="inlineStr"/>
    </row>
    <row r="380" ht="15" customHeight="1">
      <c r="A380" t="inlineStr">
        <is>
          <t>A 23641-2024</t>
        </is>
      </c>
      <c r="B380" s="1" t="n">
        <v>45454.49679398148</v>
      </c>
      <c r="C380" s="1" t="n">
        <v>46040</v>
      </c>
      <c r="D380" t="inlineStr">
        <is>
          <t>ÖREBRO LÄN</t>
        </is>
      </c>
      <c r="E380" t="inlineStr">
        <is>
          <t>LINDESBERG</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1749-2026</t>
        </is>
      </c>
      <c r="B381" s="1" t="n">
        <v>46034.65601851852</v>
      </c>
      <c r="C381" s="1" t="n">
        <v>46040</v>
      </c>
      <c r="D381" t="inlineStr">
        <is>
          <t>ÖREBRO LÄN</t>
        </is>
      </c>
      <c r="E381" t="inlineStr">
        <is>
          <t>LINDESBERG</t>
        </is>
      </c>
      <c r="G381" t="n">
        <v>2.2</v>
      </c>
      <c r="H381" t="n">
        <v>0</v>
      </c>
      <c r="I381" t="n">
        <v>0</v>
      </c>
      <c r="J381" t="n">
        <v>0</v>
      </c>
      <c r="K381" t="n">
        <v>0</v>
      </c>
      <c r="L381" t="n">
        <v>0</v>
      </c>
      <c r="M381" t="n">
        <v>0</v>
      </c>
      <c r="N381" t="n">
        <v>0</v>
      </c>
      <c r="O381" t="n">
        <v>0</v>
      </c>
      <c r="P381" t="n">
        <v>0</v>
      </c>
      <c r="Q381" t="n">
        <v>0</v>
      </c>
      <c r="R381" s="2" t="inlineStr"/>
    </row>
    <row r="382" ht="15" customHeight="1">
      <c r="A382" t="inlineStr">
        <is>
          <t>A 34838-2023</t>
        </is>
      </c>
      <c r="B382" s="1" t="n">
        <v>45141.76530092592</v>
      </c>
      <c r="C382" s="1" t="n">
        <v>46040</v>
      </c>
      <c r="D382" t="inlineStr">
        <is>
          <t>ÖREBRO LÄN</t>
        </is>
      </c>
      <c r="E382" t="inlineStr">
        <is>
          <t>LINDESBERG</t>
        </is>
      </c>
      <c r="G382" t="n">
        <v>3</v>
      </c>
      <c r="H382" t="n">
        <v>0</v>
      </c>
      <c r="I382" t="n">
        <v>0</v>
      </c>
      <c r="J382" t="n">
        <v>0</v>
      </c>
      <c r="K382" t="n">
        <v>0</v>
      </c>
      <c r="L382" t="n">
        <v>0</v>
      </c>
      <c r="M382" t="n">
        <v>0</v>
      </c>
      <c r="N382" t="n">
        <v>0</v>
      </c>
      <c r="O382" t="n">
        <v>0</v>
      </c>
      <c r="P382" t="n">
        <v>0</v>
      </c>
      <c r="Q382" t="n">
        <v>0</v>
      </c>
      <c r="R382" s="2" t="inlineStr"/>
    </row>
    <row r="383" ht="15" customHeight="1">
      <c r="A383" t="inlineStr">
        <is>
          <t>A 44067-2025</t>
        </is>
      </c>
      <c r="B383" s="1" t="n">
        <v>45915.54439814815</v>
      </c>
      <c r="C383" s="1" t="n">
        <v>46040</v>
      </c>
      <c r="D383" t="inlineStr">
        <is>
          <t>ÖREBRO LÄN</t>
        </is>
      </c>
      <c r="E383" t="inlineStr">
        <is>
          <t>LINDESBERG</t>
        </is>
      </c>
      <c r="G383" t="n">
        <v>2.8</v>
      </c>
      <c r="H383" t="n">
        <v>0</v>
      </c>
      <c r="I383" t="n">
        <v>0</v>
      </c>
      <c r="J383" t="n">
        <v>0</v>
      </c>
      <c r="K383" t="n">
        <v>0</v>
      </c>
      <c r="L383" t="n">
        <v>0</v>
      </c>
      <c r="M383" t="n">
        <v>0</v>
      </c>
      <c r="N383" t="n">
        <v>0</v>
      </c>
      <c r="O383" t="n">
        <v>0</v>
      </c>
      <c r="P383" t="n">
        <v>0</v>
      </c>
      <c r="Q383" t="n">
        <v>0</v>
      </c>
      <c r="R383" s="2" t="inlineStr"/>
    </row>
    <row r="384" ht="15" customHeight="1">
      <c r="A384" t="inlineStr">
        <is>
          <t>A 31024-2023</t>
        </is>
      </c>
      <c r="B384" s="1" t="n">
        <v>45113</v>
      </c>
      <c r="C384" s="1" t="n">
        <v>46040</v>
      </c>
      <c r="D384" t="inlineStr">
        <is>
          <t>ÖREBRO LÄN</t>
        </is>
      </c>
      <c r="E384" t="inlineStr">
        <is>
          <t>LINDESBERG</t>
        </is>
      </c>
      <c r="G384" t="n">
        <v>5.1</v>
      </c>
      <c r="H384" t="n">
        <v>0</v>
      </c>
      <c r="I384" t="n">
        <v>0</v>
      </c>
      <c r="J384" t="n">
        <v>0</v>
      </c>
      <c r="K384" t="n">
        <v>0</v>
      </c>
      <c r="L384" t="n">
        <v>0</v>
      </c>
      <c r="M384" t="n">
        <v>0</v>
      </c>
      <c r="N384" t="n">
        <v>0</v>
      </c>
      <c r="O384" t="n">
        <v>0</v>
      </c>
      <c r="P384" t="n">
        <v>0</v>
      </c>
      <c r="Q384" t="n">
        <v>0</v>
      </c>
      <c r="R384" s="2" t="inlineStr"/>
    </row>
    <row r="385" ht="15" customHeight="1">
      <c r="A385" t="inlineStr">
        <is>
          <t>A 63526-2025</t>
        </is>
      </c>
      <c r="B385" s="1" t="n">
        <v>46013</v>
      </c>
      <c r="C385" s="1" t="n">
        <v>46040</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33281-2024</t>
        </is>
      </c>
      <c r="B386" s="1" t="n">
        <v>45518.71202546296</v>
      </c>
      <c r="C386" s="1" t="n">
        <v>46040</v>
      </c>
      <c r="D386" t="inlineStr">
        <is>
          <t>ÖREBRO LÄN</t>
        </is>
      </c>
      <c r="E386" t="inlineStr">
        <is>
          <t>LINDESBERG</t>
        </is>
      </c>
      <c r="G386" t="n">
        <v>2</v>
      </c>
      <c r="H386" t="n">
        <v>0</v>
      </c>
      <c r="I386" t="n">
        <v>0</v>
      </c>
      <c r="J386" t="n">
        <v>0</v>
      </c>
      <c r="K386" t="n">
        <v>0</v>
      </c>
      <c r="L386" t="n">
        <v>0</v>
      </c>
      <c r="M386" t="n">
        <v>0</v>
      </c>
      <c r="N386" t="n">
        <v>0</v>
      </c>
      <c r="O386" t="n">
        <v>0</v>
      </c>
      <c r="P386" t="n">
        <v>0</v>
      </c>
      <c r="Q386" t="n">
        <v>0</v>
      </c>
      <c r="R386" s="2" t="inlineStr"/>
    </row>
    <row r="387" ht="15" customHeight="1">
      <c r="A387" t="inlineStr">
        <is>
          <t>A 33283-2024</t>
        </is>
      </c>
      <c r="B387" s="1" t="n">
        <v>45518.71591435185</v>
      </c>
      <c r="C387" s="1" t="n">
        <v>46040</v>
      </c>
      <c r="D387" t="inlineStr">
        <is>
          <t>ÖREBRO LÄN</t>
        </is>
      </c>
      <c r="E387" t="inlineStr">
        <is>
          <t>LINDESBERG</t>
        </is>
      </c>
      <c r="G387" t="n">
        <v>3.9</v>
      </c>
      <c r="H387" t="n">
        <v>0</v>
      </c>
      <c r="I387" t="n">
        <v>0</v>
      </c>
      <c r="J387" t="n">
        <v>0</v>
      </c>
      <c r="K387" t="n">
        <v>0</v>
      </c>
      <c r="L387" t="n">
        <v>0</v>
      </c>
      <c r="M387" t="n">
        <v>0</v>
      </c>
      <c r="N387" t="n">
        <v>0</v>
      </c>
      <c r="O387" t="n">
        <v>0</v>
      </c>
      <c r="P387" t="n">
        <v>0</v>
      </c>
      <c r="Q387" t="n">
        <v>0</v>
      </c>
      <c r="R387" s="2" t="inlineStr"/>
    </row>
    <row r="388" ht="15" customHeight="1">
      <c r="A388" t="inlineStr">
        <is>
          <t>A 61960-2024</t>
        </is>
      </c>
      <c r="B388" s="1" t="n">
        <v>45653.53664351852</v>
      </c>
      <c r="C388" s="1" t="n">
        <v>46040</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48756-2024</t>
        </is>
      </c>
      <c r="B389" s="1" t="n">
        <v>45593.59681712963</v>
      </c>
      <c r="C389" s="1" t="n">
        <v>46040</v>
      </c>
      <c r="D389" t="inlineStr">
        <is>
          <t>ÖREBRO LÄN</t>
        </is>
      </c>
      <c r="E389" t="inlineStr">
        <is>
          <t>LINDESBERG</t>
        </is>
      </c>
      <c r="G389" t="n">
        <v>1.6</v>
      </c>
      <c r="H389" t="n">
        <v>0</v>
      </c>
      <c r="I389" t="n">
        <v>0</v>
      </c>
      <c r="J389" t="n">
        <v>0</v>
      </c>
      <c r="K389" t="n">
        <v>0</v>
      </c>
      <c r="L389" t="n">
        <v>0</v>
      </c>
      <c r="M389" t="n">
        <v>0</v>
      </c>
      <c r="N389" t="n">
        <v>0</v>
      </c>
      <c r="O389" t="n">
        <v>0</v>
      </c>
      <c r="P389" t="n">
        <v>0</v>
      </c>
      <c r="Q389" t="n">
        <v>0</v>
      </c>
      <c r="R389" s="2" t="inlineStr"/>
    </row>
    <row r="390" ht="15" customHeight="1">
      <c r="A390" t="inlineStr">
        <is>
          <t>A 60449-2024</t>
        </is>
      </c>
      <c r="B390" s="1" t="n">
        <v>45643</v>
      </c>
      <c r="C390" s="1" t="n">
        <v>46040</v>
      </c>
      <c r="D390" t="inlineStr">
        <is>
          <t>ÖREBRO LÄN</t>
        </is>
      </c>
      <c r="E390" t="inlineStr">
        <is>
          <t>LINDESBERG</t>
        </is>
      </c>
      <c r="G390" t="n">
        <v>1.2</v>
      </c>
      <c r="H390" t="n">
        <v>0</v>
      </c>
      <c r="I390" t="n">
        <v>0</v>
      </c>
      <c r="J390" t="n">
        <v>0</v>
      </c>
      <c r="K390" t="n">
        <v>0</v>
      </c>
      <c r="L390" t="n">
        <v>0</v>
      </c>
      <c r="M390" t="n">
        <v>0</v>
      </c>
      <c r="N390" t="n">
        <v>0</v>
      </c>
      <c r="O390" t="n">
        <v>0</v>
      </c>
      <c r="P390" t="n">
        <v>0</v>
      </c>
      <c r="Q390" t="n">
        <v>0</v>
      </c>
      <c r="R390" s="2" t="inlineStr"/>
    </row>
    <row r="391" ht="15" customHeight="1">
      <c r="A391" t="inlineStr">
        <is>
          <t>A 44545-2025</t>
        </is>
      </c>
      <c r="B391" s="1" t="n">
        <v>45917.31780092593</v>
      </c>
      <c r="C391" s="1" t="n">
        <v>46040</v>
      </c>
      <c r="D391" t="inlineStr">
        <is>
          <t>ÖREBRO LÄN</t>
        </is>
      </c>
      <c r="E391" t="inlineStr">
        <is>
          <t>LINDESBERG</t>
        </is>
      </c>
      <c r="F391" t="inlineStr">
        <is>
          <t>Kommuner</t>
        </is>
      </c>
      <c r="G391" t="n">
        <v>2.3</v>
      </c>
      <c r="H391" t="n">
        <v>0</v>
      </c>
      <c r="I391" t="n">
        <v>0</v>
      </c>
      <c r="J391" t="n">
        <v>0</v>
      </c>
      <c r="K391" t="n">
        <v>0</v>
      </c>
      <c r="L391" t="n">
        <v>0</v>
      </c>
      <c r="M391" t="n">
        <v>0</v>
      </c>
      <c r="N391" t="n">
        <v>0</v>
      </c>
      <c r="O391" t="n">
        <v>0</v>
      </c>
      <c r="P391" t="n">
        <v>0</v>
      </c>
      <c r="Q391" t="n">
        <v>0</v>
      </c>
      <c r="R391" s="2" t="inlineStr"/>
    </row>
    <row r="392" ht="15" customHeight="1">
      <c r="A392" t="inlineStr">
        <is>
          <t>A 15060-2024</t>
        </is>
      </c>
      <c r="B392" s="1" t="n">
        <v>45399.56596064815</v>
      </c>
      <c r="C392" s="1" t="n">
        <v>46040</v>
      </c>
      <c r="D392" t="inlineStr">
        <is>
          <t>ÖREBRO LÄN</t>
        </is>
      </c>
      <c r="E392" t="inlineStr">
        <is>
          <t>LINDESBERG</t>
        </is>
      </c>
      <c r="F392" t="inlineStr">
        <is>
          <t>Sveaskog</t>
        </is>
      </c>
      <c r="G392" t="n">
        <v>3.8</v>
      </c>
      <c r="H392" t="n">
        <v>0</v>
      </c>
      <c r="I392" t="n">
        <v>0</v>
      </c>
      <c r="J392" t="n">
        <v>0</v>
      </c>
      <c r="K392" t="n">
        <v>0</v>
      </c>
      <c r="L392" t="n">
        <v>0</v>
      </c>
      <c r="M392" t="n">
        <v>0</v>
      </c>
      <c r="N392" t="n">
        <v>0</v>
      </c>
      <c r="O392" t="n">
        <v>0</v>
      </c>
      <c r="P392" t="n">
        <v>0</v>
      </c>
      <c r="Q392" t="n">
        <v>0</v>
      </c>
      <c r="R392" s="2" t="inlineStr"/>
    </row>
    <row r="393" ht="15" customHeight="1">
      <c r="A393" t="inlineStr">
        <is>
          <t>A 53510-2024</t>
        </is>
      </c>
      <c r="B393" s="1" t="n">
        <v>45614.5968287037</v>
      </c>
      <c r="C393" s="1" t="n">
        <v>46040</v>
      </c>
      <c r="D393" t="inlineStr">
        <is>
          <t>ÖREBRO LÄN</t>
        </is>
      </c>
      <c r="E393" t="inlineStr">
        <is>
          <t>LINDESBERG</t>
        </is>
      </c>
      <c r="G393" t="n">
        <v>1</v>
      </c>
      <c r="H393" t="n">
        <v>0</v>
      </c>
      <c r="I393" t="n">
        <v>0</v>
      </c>
      <c r="J393" t="n">
        <v>0</v>
      </c>
      <c r="K393" t="n">
        <v>0</v>
      </c>
      <c r="L393" t="n">
        <v>0</v>
      </c>
      <c r="M393" t="n">
        <v>0</v>
      </c>
      <c r="N393" t="n">
        <v>0</v>
      </c>
      <c r="O393" t="n">
        <v>0</v>
      </c>
      <c r="P393" t="n">
        <v>0</v>
      </c>
      <c r="Q393" t="n">
        <v>0</v>
      </c>
      <c r="R393" s="2" t="inlineStr"/>
    </row>
    <row r="394" ht="15" customHeight="1">
      <c r="A394" t="inlineStr">
        <is>
          <t>A 63078-2025</t>
        </is>
      </c>
      <c r="B394" s="1" t="n">
        <v>46009</v>
      </c>
      <c r="C394" s="1" t="n">
        <v>46040</v>
      </c>
      <c r="D394" t="inlineStr">
        <is>
          <t>ÖREBRO LÄN</t>
        </is>
      </c>
      <c r="E394" t="inlineStr">
        <is>
          <t>LINDESBERG</t>
        </is>
      </c>
      <c r="G394" t="n">
        <v>0.9</v>
      </c>
      <c r="H394" t="n">
        <v>0</v>
      </c>
      <c r="I394" t="n">
        <v>0</v>
      </c>
      <c r="J394" t="n">
        <v>0</v>
      </c>
      <c r="K394" t="n">
        <v>0</v>
      </c>
      <c r="L394" t="n">
        <v>0</v>
      </c>
      <c r="M394" t="n">
        <v>0</v>
      </c>
      <c r="N394" t="n">
        <v>0</v>
      </c>
      <c r="O394" t="n">
        <v>0</v>
      </c>
      <c r="P394" t="n">
        <v>0</v>
      </c>
      <c r="Q394" t="n">
        <v>0</v>
      </c>
      <c r="R394" s="2" t="inlineStr"/>
    </row>
    <row r="395" ht="15" customHeight="1">
      <c r="A395" t="inlineStr">
        <is>
          <t>A 34676-2023</t>
        </is>
      </c>
      <c r="B395" s="1" t="n">
        <v>45140</v>
      </c>
      <c r="C395" s="1" t="n">
        <v>46040</v>
      </c>
      <c r="D395" t="inlineStr">
        <is>
          <t>ÖREBRO LÄN</t>
        </is>
      </c>
      <c r="E395" t="inlineStr">
        <is>
          <t>LINDESBERG</t>
        </is>
      </c>
      <c r="G395" t="n">
        <v>2.4</v>
      </c>
      <c r="H395" t="n">
        <v>0</v>
      </c>
      <c r="I395" t="n">
        <v>0</v>
      </c>
      <c r="J395" t="n">
        <v>0</v>
      </c>
      <c r="K395" t="n">
        <v>0</v>
      </c>
      <c r="L395" t="n">
        <v>0</v>
      </c>
      <c r="M395" t="n">
        <v>0</v>
      </c>
      <c r="N395" t="n">
        <v>0</v>
      </c>
      <c r="O395" t="n">
        <v>0</v>
      </c>
      <c r="P395" t="n">
        <v>0</v>
      </c>
      <c r="Q395" t="n">
        <v>0</v>
      </c>
      <c r="R395" s="2" t="inlineStr"/>
    </row>
    <row r="396" ht="15" customHeight="1">
      <c r="A396" t="inlineStr">
        <is>
          <t>A 61594-2024</t>
        </is>
      </c>
      <c r="B396" s="1" t="n">
        <v>45646.63482638889</v>
      </c>
      <c r="C396" s="1" t="n">
        <v>46040</v>
      </c>
      <c r="D396" t="inlineStr">
        <is>
          <t>ÖREBRO LÄN</t>
        </is>
      </c>
      <c r="E396" t="inlineStr">
        <is>
          <t>LINDESBERG</t>
        </is>
      </c>
      <c r="G396" t="n">
        <v>2</v>
      </c>
      <c r="H396" t="n">
        <v>0</v>
      </c>
      <c r="I396" t="n">
        <v>0</v>
      </c>
      <c r="J396" t="n">
        <v>0</v>
      </c>
      <c r="K396" t="n">
        <v>0</v>
      </c>
      <c r="L396" t="n">
        <v>0</v>
      </c>
      <c r="M396" t="n">
        <v>0</v>
      </c>
      <c r="N396" t="n">
        <v>0</v>
      </c>
      <c r="O396" t="n">
        <v>0</v>
      </c>
      <c r="P396" t="n">
        <v>0</v>
      </c>
      <c r="Q396" t="n">
        <v>0</v>
      </c>
      <c r="R396" s="2" t="inlineStr"/>
    </row>
    <row r="397" ht="15" customHeight="1">
      <c r="A397" t="inlineStr">
        <is>
          <t>A 58662-2022</t>
        </is>
      </c>
      <c r="B397" s="1" t="n">
        <v>44902</v>
      </c>
      <c r="C397" s="1" t="n">
        <v>46040</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2949-2026</t>
        </is>
      </c>
      <c r="B398" s="1" t="n">
        <v>46038.59640046296</v>
      </c>
      <c r="C398" s="1" t="n">
        <v>46040</v>
      </c>
      <c r="D398" t="inlineStr">
        <is>
          <t>ÖREBRO LÄN</t>
        </is>
      </c>
      <c r="E398" t="inlineStr">
        <is>
          <t>LINDESBERG</t>
        </is>
      </c>
      <c r="G398" t="n">
        <v>4</v>
      </c>
      <c r="H398" t="n">
        <v>0</v>
      </c>
      <c r="I398" t="n">
        <v>0</v>
      </c>
      <c r="J398" t="n">
        <v>0</v>
      </c>
      <c r="K398" t="n">
        <v>0</v>
      </c>
      <c r="L398" t="n">
        <v>0</v>
      </c>
      <c r="M398" t="n">
        <v>0</v>
      </c>
      <c r="N398" t="n">
        <v>0</v>
      </c>
      <c r="O398" t="n">
        <v>0</v>
      </c>
      <c r="P398" t="n">
        <v>0</v>
      </c>
      <c r="Q398" t="n">
        <v>0</v>
      </c>
      <c r="R398" s="2" t="inlineStr"/>
    </row>
    <row r="399" ht="15" customHeight="1">
      <c r="A399" t="inlineStr">
        <is>
          <t>A 2929-2026</t>
        </is>
      </c>
      <c r="B399" s="1" t="n">
        <v>46038.58241898148</v>
      </c>
      <c r="C399" s="1" t="n">
        <v>46040</v>
      </c>
      <c r="D399" t="inlineStr">
        <is>
          <t>ÖREBRO LÄN</t>
        </is>
      </c>
      <c r="E399" t="inlineStr">
        <is>
          <t>LINDESBERG</t>
        </is>
      </c>
      <c r="G399" t="n">
        <v>1.8</v>
      </c>
      <c r="H399" t="n">
        <v>0</v>
      </c>
      <c r="I399" t="n">
        <v>0</v>
      </c>
      <c r="J399" t="n">
        <v>0</v>
      </c>
      <c r="K399" t="n">
        <v>0</v>
      </c>
      <c r="L399" t="n">
        <v>0</v>
      </c>
      <c r="M399" t="n">
        <v>0</v>
      </c>
      <c r="N399" t="n">
        <v>0</v>
      </c>
      <c r="O399" t="n">
        <v>0</v>
      </c>
      <c r="P399" t="n">
        <v>0</v>
      </c>
      <c r="Q399" t="n">
        <v>0</v>
      </c>
      <c r="R399" s="2" t="inlineStr"/>
    </row>
    <row r="400" ht="15" customHeight="1">
      <c r="A400" t="inlineStr">
        <is>
          <t>A 2958-2026</t>
        </is>
      </c>
      <c r="B400" s="1" t="n">
        <v>46038.61067129629</v>
      </c>
      <c r="C400" s="1" t="n">
        <v>46040</v>
      </c>
      <c r="D400" t="inlineStr">
        <is>
          <t>ÖREBRO LÄN</t>
        </is>
      </c>
      <c r="E400" t="inlineStr">
        <is>
          <t>LINDESBERG</t>
        </is>
      </c>
      <c r="G400" t="n">
        <v>5.8</v>
      </c>
      <c r="H400" t="n">
        <v>0</v>
      </c>
      <c r="I400" t="n">
        <v>0</v>
      </c>
      <c r="J400" t="n">
        <v>0</v>
      </c>
      <c r="K400" t="n">
        <v>0</v>
      </c>
      <c r="L400" t="n">
        <v>0</v>
      </c>
      <c r="M400" t="n">
        <v>0</v>
      </c>
      <c r="N400" t="n">
        <v>0</v>
      </c>
      <c r="O400" t="n">
        <v>0</v>
      </c>
      <c r="P400" t="n">
        <v>0</v>
      </c>
      <c r="Q400" t="n">
        <v>0</v>
      </c>
      <c r="R400" s="2" t="inlineStr"/>
    </row>
    <row r="401" ht="15" customHeight="1">
      <c r="A401" t="inlineStr">
        <is>
          <t>A 40563-2023</t>
        </is>
      </c>
      <c r="B401" s="1" t="n">
        <v>45170.45921296296</v>
      </c>
      <c r="C401" s="1" t="n">
        <v>46040</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60400-2025</t>
        </is>
      </c>
      <c r="B402" s="1" t="n">
        <v>45995</v>
      </c>
      <c r="C402" s="1" t="n">
        <v>46040</v>
      </c>
      <c r="D402" t="inlineStr">
        <is>
          <t>ÖREBRO LÄN</t>
        </is>
      </c>
      <c r="E402" t="inlineStr">
        <is>
          <t>LINDESBERG</t>
        </is>
      </c>
      <c r="G402" t="n">
        <v>11.2</v>
      </c>
      <c r="H402" t="n">
        <v>0</v>
      </c>
      <c r="I402" t="n">
        <v>0</v>
      </c>
      <c r="J402" t="n">
        <v>0</v>
      </c>
      <c r="K402" t="n">
        <v>0</v>
      </c>
      <c r="L402" t="n">
        <v>0</v>
      </c>
      <c r="M402" t="n">
        <v>0</v>
      </c>
      <c r="N402" t="n">
        <v>0</v>
      </c>
      <c r="O402" t="n">
        <v>0</v>
      </c>
      <c r="P402" t="n">
        <v>0</v>
      </c>
      <c r="Q402" t="n">
        <v>0</v>
      </c>
      <c r="R402" s="2" t="inlineStr"/>
    </row>
    <row r="403" ht="15" customHeight="1">
      <c r="A403" t="inlineStr">
        <is>
          <t>A 60450-2025</t>
        </is>
      </c>
      <c r="B403" s="1" t="n">
        <v>45995</v>
      </c>
      <c r="C403" s="1" t="n">
        <v>46040</v>
      </c>
      <c r="D403" t="inlineStr">
        <is>
          <t>ÖREBRO LÄN</t>
        </is>
      </c>
      <c r="E403" t="inlineStr">
        <is>
          <t>LINDESBERG</t>
        </is>
      </c>
      <c r="G403" t="n">
        <v>4.1</v>
      </c>
      <c r="H403" t="n">
        <v>0</v>
      </c>
      <c r="I403" t="n">
        <v>0</v>
      </c>
      <c r="J403" t="n">
        <v>0</v>
      </c>
      <c r="K403" t="n">
        <v>0</v>
      </c>
      <c r="L403" t="n">
        <v>0</v>
      </c>
      <c r="M403" t="n">
        <v>0</v>
      </c>
      <c r="N403" t="n">
        <v>0</v>
      </c>
      <c r="O403" t="n">
        <v>0</v>
      </c>
      <c r="P403" t="n">
        <v>0</v>
      </c>
      <c r="Q403" t="n">
        <v>0</v>
      </c>
      <c r="R403" s="2" t="inlineStr"/>
    </row>
    <row r="404" ht="15" customHeight="1">
      <c r="A404" t="inlineStr">
        <is>
          <t>A 7026-2024</t>
        </is>
      </c>
      <c r="B404" s="1" t="n">
        <v>45343.58587962963</v>
      </c>
      <c r="C404" s="1" t="n">
        <v>46040</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46757-2025</t>
        </is>
      </c>
      <c r="B405" s="1" t="n">
        <v>45926.62039351852</v>
      </c>
      <c r="C405" s="1" t="n">
        <v>46040</v>
      </c>
      <c r="D405" t="inlineStr">
        <is>
          <t>ÖREBRO LÄN</t>
        </is>
      </c>
      <c r="E405" t="inlineStr">
        <is>
          <t>LINDESBERG</t>
        </is>
      </c>
      <c r="G405" t="n">
        <v>7.9</v>
      </c>
      <c r="H405" t="n">
        <v>0</v>
      </c>
      <c r="I405" t="n">
        <v>0</v>
      </c>
      <c r="J405" t="n">
        <v>0</v>
      </c>
      <c r="K405" t="n">
        <v>0</v>
      </c>
      <c r="L405" t="n">
        <v>0</v>
      </c>
      <c r="M405" t="n">
        <v>0</v>
      </c>
      <c r="N405" t="n">
        <v>0</v>
      </c>
      <c r="O405" t="n">
        <v>0</v>
      </c>
      <c r="P405" t="n">
        <v>0</v>
      </c>
      <c r="Q405" t="n">
        <v>0</v>
      </c>
      <c r="R405" s="2" t="inlineStr"/>
    </row>
    <row r="406" ht="15" customHeight="1">
      <c r="A406" t="inlineStr">
        <is>
          <t>A 46484-2025</t>
        </is>
      </c>
      <c r="B406" s="1" t="n">
        <v>45925.70290509259</v>
      </c>
      <c r="C406" s="1" t="n">
        <v>46040</v>
      </c>
      <c r="D406" t="inlineStr">
        <is>
          <t>ÖREBRO LÄN</t>
        </is>
      </c>
      <c r="E406" t="inlineStr">
        <is>
          <t>LINDESBERG</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46404-2025</t>
        </is>
      </c>
      <c r="B407" s="1" t="n">
        <v>45925.56173611111</v>
      </c>
      <c r="C407" s="1" t="n">
        <v>46040</v>
      </c>
      <c r="D407" t="inlineStr">
        <is>
          <t>ÖREBRO LÄN</t>
        </is>
      </c>
      <c r="E407" t="inlineStr">
        <is>
          <t>LINDESBERG</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2556-2026</t>
        </is>
      </c>
      <c r="B408" s="1" t="n">
        <v>46035</v>
      </c>
      <c r="C408" s="1" t="n">
        <v>46040</v>
      </c>
      <c r="D408" t="inlineStr">
        <is>
          <t>ÖREBRO LÄN</t>
        </is>
      </c>
      <c r="E408" t="inlineStr">
        <is>
          <t>LINDESBERG</t>
        </is>
      </c>
      <c r="G408" t="n">
        <v>3.4</v>
      </c>
      <c r="H408" t="n">
        <v>0</v>
      </c>
      <c r="I408" t="n">
        <v>0</v>
      </c>
      <c r="J408" t="n">
        <v>0</v>
      </c>
      <c r="K408" t="n">
        <v>0</v>
      </c>
      <c r="L408" t="n">
        <v>0</v>
      </c>
      <c r="M408" t="n">
        <v>0</v>
      </c>
      <c r="N408" t="n">
        <v>0</v>
      </c>
      <c r="O408" t="n">
        <v>0</v>
      </c>
      <c r="P408" t="n">
        <v>0</v>
      </c>
      <c r="Q408" t="n">
        <v>0</v>
      </c>
      <c r="R408" s="2" t="inlineStr"/>
    </row>
    <row r="409" ht="15" customHeight="1">
      <c r="A409" t="inlineStr">
        <is>
          <t>A 41353-2024</t>
        </is>
      </c>
      <c r="B409" s="1" t="n">
        <v>45559</v>
      </c>
      <c r="C409" s="1" t="n">
        <v>46040</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610-2026</t>
        </is>
      </c>
      <c r="B410" s="1" t="n">
        <v>46029</v>
      </c>
      <c r="C410" s="1" t="n">
        <v>46040</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2902-2026</t>
        </is>
      </c>
      <c r="B411" s="1" t="n">
        <v>46038.55849537037</v>
      </c>
      <c r="C411" s="1" t="n">
        <v>46040</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2969-2026</t>
        </is>
      </c>
      <c r="B412" s="1" t="n">
        <v>46038.61912037037</v>
      </c>
      <c r="C412" s="1" t="n">
        <v>46040</v>
      </c>
      <c r="D412" t="inlineStr">
        <is>
          <t>ÖREBRO LÄN</t>
        </is>
      </c>
      <c r="E412" t="inlineStr">
        <is>
          <t>LINDESBERG</t>
        </is>
      </c>
      <c r="G412" t="n">
        <v>2.6</v>
      </c>
      <c r="H412" t="n">
        <v>0</v>
      </c>
      <c r="I412" t="n">
        <v>0</v>
      </c>
      <c r="J412" t="n">
        <v>0</v>
      </c>
      <c r="K412" t="n">
        <v>0</v>
      </c>
      <c r="L412" t="n">
        <v>0</v>
      </c>
      <c r="M412" t="n">
        <v>0</v>
      </c>
      <c r="N412" t="n">
        <v>0</v>
      </c>
      <c r="O412" t="n">
        <v>0</v>
      </c>
      <c r="P412" t="n">
        <v>0</v>
      </c>
      <c r="Q412" t="n">
        <v>0</v>
      </c>
      <c r="R412" s="2" t="inlineStr"/>
    </row>
    <row r="413" ht="15" customHeight="1">
      <c r="A413" t="inlineStr">
        <is>
          <t>A 51379-2023</t>
        </is>
      </c>
      <c r="B413" s="1" t="n">
        <v>45219</v>
      </c>
      <c r="C413" s="1" t="n">
        <v>46040</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2859-2026</t>
        </is>
      </c>
      <c r="B414" s="1" t="n">
        <v>46038.49269675926</v>
      </c>
      <c r="C414" s="1" t="n">
        <v>46040</v>
      </c>
      <c r="D414" t="inlineStr">
        <is>
          <t>ÖREBRO LÄN</t>
        </is>
      </c>
      <c r="E414" t="inlineStr">
        <is>
          <t>LINDESBERG</t>
        </is>
      </c>
      <c r="G414" t="n">
        <v>2.1</v>
      </c>
      <c r="H414" t="n">
        <v>0</v>
      </c>
      <c r="I414" t="n">
        <v>0</v>
      </c>
      <c r="J414" t="n">
        <v>0</v>
      </c>
      <c r="K414" t="n">
        <v>0</v>
      </c>
      <c r="L414" t="n">
        <v>0</v>
      </c>
      <c r="M414" t="n">
        <v>0</v>
      </c>
      <c r="N414" t="n">
        <v>0</v>
      </c>
      <c r="O414" t="n">
        <v>0</v>
      </c>
      <c r="P414" t="n">
        <v>0</v>
      </c>
      <c r="Q414" t="n">
        <v>0</v>
      </c>
      <c r="R414" s="2" t="inlineStr"/>
    </row>
    <row r="415" ht="15" customHeight="1">
      <c r="A415" t="inlineStr">
        <is>
          <t>A 2704-2026</t>
        </is>
      </c>
      <c r="B415" s="1" t="n">
        <v>46037.69133101852</v>
      </c>
      <c r="C415" s="1" t="n">
        <v>46040</v>
      </c>
      <c r="D415" t="inlineStr">
        <is>
          <t>ÖREBRO LÄN</t>
        </is>
      </c>
      <c r="E415" t="inlineStr">
        <is>
          <t>LINDESBERG</t>
        </is>
      </c>
      <c r="G415" t="n">
        <v>1.9</v>
      </c>
      <c r="H415" t="n">
        <v>0</v>
      </c>
      <c r="I415" t="n">
        <v>0</v>
      </c>
      <c r="J415" t="n">
        <v>0</v>
      </c>
      <c r="K415" t="n">
        <v>0</v>
      </c>
      <c r="L415" t="n">
        <v>0</v>
      </c>
      <c r="M415" t="n">
        <v>0</v>
      </c>
      <c r="N415" t="n">
        <v>0</v>
      </c>
      <c r="O415" t="n">
        <v>0</v>
      </c>
      <c r="P415" t="n">
        <v>0</v>
      </c>
      <c r="Q415" t="n">
        <v>0</v>
      </c>
      <c r="R415" s="2" t="inlineStr"/>
    </row>
    <row r="416" ht="15" customHeight="1">
      <c r="A416" t="inlineStr">
        <is>
          <t>A 3026-2026</t>
        </is>
      </c>
      <c r="B416" s="1" t="n">
        <v>46038.68197916666</v>
      </c>
      <c r="C416" s="1" t="n">
        <v>46040</v>
      </c>
      <c r="D416" t="inlineStr">
        <is>
          <t>ÖREBRO LÄN</t>
        </is>
      </c>
      <c r="E416" t="inlineStr">
        <is>
          <t>LINDESBERG</t>
        </is>
      </c>
      <c r="G416" t="n">
        <v>10.3</v>
      </c>
      <c r="H416" t="n">
        <v>0</v>
      </c>
      <c r="I416" t="n">
        <v>0</v>
      </c>
      <c r="J416" t="n">
        <v>0</v>
      </c>
      <c r="K416" t="n">
        <v>0</v>
      </c>
      <c r="L416" t="n">
        <v>0</v>
      </c>
      <c r="M416" t="n">
        <v>0</v>
      </c>
      <c r="N416" t="n">
        <v>0</v>
      </c>
      <c r="O416" t="n">
        <v>0</v>
      </c>
      <c r="P416" t="n">
        <v>0</v>
      </c>
      <c r="Q416" t="n">
        <v>0</v>
      </c>
      <c r="R416" s="2" t="inlineStr"/>
    </row>
    <row r="417" ht="15" customHeight="1">
      <c r="A417" t="inlineStr">
        <is>
          <t>A 5080-2024</t>
        </is>
      </c>
      <c r="B417" s="1" t="n">
        <v>45330</v>
      </c>
      <c r="C417" s="1" t="n">
        <v>46040</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12307-2025</t>
        </is>
      </c>
      <c r="B418" s="1" t="n">
        <v>45729.76231481481</v>
      </c>
      <c r="C418" s="1" t="n">
        <v>46040</v>
      </c>
      <c r="D418" t="inlineStr">
        <is>
          <t>ÖREBRO LÄN</t>
        </is>
      </c>
      <c r="E418" t="inlineStr">
        <is>
          <t>LINDESBERG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45056-2024</t>
        </is>
      </c>
      <c r="B419" s="1" t="n">
        <v>45575.55273148148</v>
      </c>
      <c r="C419" s="1" t="n">
        <v>46040</v>
      </c>
      <c r="D419" t="inlineStr">
        <is>
          <t>ÖREBRO LÄN</t>
        </is>
      </c>
      <c r="E419" t="inlineStr">
        <is>
          <t>LINDESBERG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45058-2024</t>
        </is>
      </c>
      <c r="B420" s="1" t="n">
        <v>45575.5547337963</v>
      </c>
      <c r="C420" s="1" t="n">
        <v>46040</v>
      </c>
      <c r="D420" t="inlineStr">
        <is>
          <t>ÖREBRO LÄN</t>
        </is>
      </c>
      <c r="E420" t="inlineStr">
        <is>
          <t>LINDESBERG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45063-2024</t>
        </is>
      </c>
      <c r="B421" s="1" t="n">
        <v>45575.55684027778</v>
      </c>
      <c r="C421" s="1" t="n">
        <v>46040</v>
      </c>
      <c r="D421" t="inlineStr">
        <is>
          <t>ÖREBRO LÄN</t>
        </is>
      </c>
      <c r="E421" t="inlineStr">
        <is>
          <t>LINDESBERG</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45072-2024</t>
        </is>
      </c>
      <c r="B422" s="1" t="n">
        <v>45575.56686342593</v>
      </c>
      <c r="C422" s="1" t="n">
        <v>46040</v>
      </c>
      <c r="D422" t="inlineStr">
        <is>
          <t>ÖREBRO LÄN</t>
        </is>
      </c>
      <c r="E422" t="inlineStr">
        <is>
          <t>LINDESBERG</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45075-2024</t>
        </is>
      </c>
      <c r="B423" s="1" t="n">
        <v>45575.56820601852</v>
      </c>
      <c r="C423" s="1" t="n">
        <v>46040</v>
      </c>
      <c r="D423" t="inlineStr">
        <is>
          <t>ÖREBRO LÄN</t>
        </is>
      </c>
      <c r="E423" t="inlineStr">
        <is>
          <t>LINDESBERG</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41948-2023</t>
        </is>
      </c>
      <c r="B424" s="1" t="n">
        <v>45177.33091435185</v>
      </c>
      <c r="C424" s="1" t="n">
        <v>46040</v>
      </c>
      <c r="D424" t="inlineStr">
        <is>
          <t>ÖREBRO LÄN</t>
        </is>
      </c>
      <c r="E424" t="inlineStr">
        <is>
          <t>LINDESBERG</t>
        </is>
      </c>
      <c r="F424" t="inlineStr">
        <is>
          <t>Kyrkan</t>
        </is>
      </c>
      <c r="G424" t="n">
        <v>1.4</v>
      </c>
      <c r="H424" t="n">
        <v>0</v>
      </c>
      <c r="I424" t="n">
        <v>0</v>
      </c>
      <c r="J424" t="n">
        <v>0</v>
      </c>
      <c r="K424" t="n">
        <v>0</v>
      </c>
      <c r="L424" t="n">
        <v>0</v>
      </c>
      <c r="M424" t="n">
        <v>0</v>
      </c>
      <c r="N424" t="n">
        <v>0</v>
      </c>
      <c r="O424" t="n">
        <v>0</v>
      </c>
      <c r="P424" t="n">
        <v>0</v>
      </c>
      <c r="Q424" t="n">
        <v>0</v>
      </c>
      <c r="R424" s="2" t="inlineStr"/>
    </row>
    <row r="425" ht="15" customHeight="1">
      <c r="A425" t="inlineStr">
        <is>
          <t>A 67016-2021</t>
        </is>
      </c>
      <c r="B425" s="1" t="n">
        <v>44522</v>
      </c>
      <c r="C425" s="1" t="n">
        <v>46040</v>
      </c>
      <c r="D425" t="inlineStr">
        <is>
          <t>ÖREBRO LÄN</t>
        </is>
      </c>
      <c r="E425" t="inlineStr">
        <is>
          <t>LINDESBERG</t>
        </is>
      </c>
      <c r="G425" t="n">
        <v>8</v>
      </c>
      <c r="H425" t="n">
        <v>0</v>
      </c>
      <c r="I425" t="n">
        <v>0</v>
      </c>
      <c r="J425" t="n">
        <v>0</v>
      </c>
      <c r="K425" t="n">
        <v>0</v>
      </c>
      <c r="L425" t="n">
        <v>0</v>
      </c>
      <c r="M425" t="n">
        <v>0</v>
      </c>
      <c r="N425" t="n">
        <v>0</v>
      </c>
      <c r="O425" t="n">
        <v>0</v>
      </c>
      <c r="P425" t="n">
        <v>0</v>
      </c>
      <c r="Q425" t="n">
        <v>0</v>
      </c>
      <c r="R425" s="2" t="inlineStr"/>
    </row>
    <row r="426" ht="15" customHeight="1">
      <c r="A426" t="inlineStr">
        <is>
          <t>A 48061-2025</t>
        </is>
      </c>
      <c r="B426" s="1" t="n">
        <v>45932.68006944445</v>
      </c>
      <c r="C426" s="1" t="n">
        <v>46040</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47678-2025</t>
        </is>
      </c>
      <c r="B427" s="1" t="n">
        <v>45931.57967592592</v>
      </c>
      <c r="C427" s="1" t="n">
        <v>46040</v>
      </c>
      <c r="D427" t="inlineStr">
        <is>
          <t>ÖREBRO LÄN</t>
        </is>
      </c>
      <c r="E427" t="inlineStr">
        <is>
          <t>LINDESBERG</t>
        </is>
      </c>
      <c r="G427" t="n">
        <v>0.6</v>
      </c>
      <c r="H427" t="n">
        <v>0</v>
      </c>
      <c r="I427" t="n">
        <v>0</v>
      </c>
      <c r="J427" t="n">
        <v>0</v>
      </c>
      <c r="K427" t="n">
        <v>0</v>
      </c>
      <c r="L427" t="n">
        <v>0</v>
      </c>
      <c r="M427" t="n">
        <v>0</v>
      </c>
      <c r="N427" t="n">
        <v>0</v>
      </c>
      <c r="O427" t="n">
        <v>0</v>
      </c>
      <c r="P427" t="n">
        <v>0</v>
      </c>
      <c r="Q427" t="n">
        <v>0</v>
      </c>
      <c r="R427" s="2" t="inlineStr"/>
    </row>
    <row r="428" ht="15" customHeight="1">
      <c r="A428" t="inlineStr">
        <is>
          <t>A 10111-2022</t>
        </is>
      </c>
      <c r="B428" s="1" t="n">
        <v>44621.85737268518</v>
      </c>
      <c r="C428" s="1" t="n">
        <v>46040</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47676-2025</t>
        </is>
      </c>
      <c r="B429" s="1" t="n">
        <v>45931.57756944445</v>
      </c>
      <c r="C429" s="1" t="n">
        <v>46040</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19960-2023</t>
        </is>
      </c>
      <c r="B430" s="1" t="n">
        <v>45054</v>
      </c>
      <c r="C430" s="1" t="n">
        <v>46040</v>
      </c>
      <c r="D430" t="inlineStr">
        <is>
          <t>ÖREBRO LÄN</t>
        </is>
      </c>
      <c r="E430" t="inlineStr">
        <is>
          <t>LINDESBERG</t>
        </is>
      </c>
      <c r="G430" t="n">
        <v>6.2</v>
      </c>
      <c r="H430" t="n">
        <v>0</v>
      </c>
      <c r="I430" t="n">
        <v>0</v>
      </c>
      <c r="J430" t="n">
        <v>0</v>
      </c>
      <c r="K430" t="n">
        <v>0</v>
      </c>
      <c r="L430" t="n">
        <v>0</v>
      </c>
      <c r="M430" t="n">
        <v>0</v>
      </c>
      <c r="N430" t="n">
        <v>0</v>
      </c>
      <c r="O430" t="n">
        <v>0</v>
      </c>
      <c r="P430" t="n">
        <v>0</v>
      </c>
      <c r="Q430" t="n">
        <v>0</v>
      </c>
      <c r="R430" s="2" t="inlineStr"/>
    </row>
    <row r="431" ht="15" customHeight="1">
      <c r="A431" t="inlineStr">
        <is>
          <t>A 48489-2025</t>
        </is>
      </c>
      <c r="B431" s="1" t="n">
        <v>45936.36637731481</v>
      </c>
      <c r="C431" s="1" t="n">
        <v>46040</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50972-2023</t>
        </is>
      </c>
      <c r="B432" s="1" t="n">
        <v>45218</v>
      </c>
      <c r="C432" s="1" t="n">
        <v>46040</v>
      </c>
      <c r="D432" t="inlineStr">
        <is>
          <t>ÖREBRO LÄN</t>
        </is>
      </c>
      <c r="E432" t="inlineStr">
        <is>
          <t>LINDESBERG</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28032-2023</t>
        </is>
      </c>
      <c r="B433" s="1" t="n">
        <v>45099</v>
      </c>
      <c r="C433" s="1" t="n">
        <v>46040</v>
      </c>
      <c r="D433" t="inlineStr">
        <is>
          <t>ÖREBRO LÄN</t>
        </is>
      </c>
      <c r="E433" t="inlineStr">
        <is>
          <t>LINDESBERG</t>
        </is>
      </c>
      <c r="F433" t="inlineStr">
        <is>
          <t>Kyrkan</t>
        </is>
      </c>
      <c r="G433" t="n">
        <v>0.7</v>
      </c>
      <c r="H433" t="n">
        <v>0</v>
      </c>
      <c r="I433" t="n">
        <v>0</v>
      </c>
      <c r="J433" t="n">
        <v>0</v>
      </c>
      <c r="K433" t="n">
        <v>0</v>
      </c>
      <c r="L433" t="n">
        <v>0</v>
      </c>
      <c r="M433" t="n">
        <v>0</v>
      </c>
      <c r="N433" t="n">
        <v>0</v>
      </c>
      <c r="O433" t="n">
        <v>0</v>
      </c>
      <c r="P433" t="n">
        <v>0</v>
      </c>
      <c r="Q433" t="n">
        <v>0</v>
      </c>
      <c r="R433" s="2" t="inlineStr"/>
    </row>
    <row r="434" ht="15" customHeight="1">
      <c r="A434" t="inlineStr">
        <is>
          <t>A 48750-2025</t>
        </is>
      </c>
      <c r="B434" s="1" t="n">
        <v>45936.68452546297</v>
      </c>
      <c r="C434" s="1" t="n">
        <v>46040</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48495-2025</t>
        </is>
      </c>
      <c r="B435" s="1" t="n">
        <v>45936.37237268518</v>
      </c>
      <c r="C435" s="1" t="n">
        <v>46040</v>
      </c>
      <c r="D435" t="inlineStr">
        <is>
          <t>ÖREBRO LÄN</t>
        </is>
      </c>
      <c r="E435" t="inlineStr">
        <is>
          <t>LINDESBERG</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48618-2025</t>
        </is>
      </c>
      <c r="B436" s="1" t="n">
        <v>45936.49026620371</v>
      </c>
      <c r="C436" s="1" t="n">
        <v>46040</v>
      </c>
      <c r="D436" t="inlineStr">
        <is>
          <t>ÖREBRO LÄN</t>
        </is>
      </c>
      <c r="E436" t="inlineStr">
        <is>
          <t>LINDESBERG</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48497-2025</t>
        </is>
      </c>
      <c r="B437" s="1" t="n">
        <v>45936.37523148148</v>
      </c>
      <c r="C437" s="1" t="n">
        <v>46040</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4067-2024</t>
        </is>
      </c>
      <c r="B438" s="1" t="n">
        <v>45323</v>
      </c>
      <c r="C438" s="1" t="n">
        <v>46040</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48620-2025</t>
        </is>
      </c>
      <c r="B439" s="1" t="n">
        <v>45936.49210648148</v>
      </c>
      <c r="C439" s="1" t="n">
        <v>46040</v>
      </c>
      <c r="D439" t="inlineStr">
        <is>
          <t>ÖREBRO LÄN</t>
        </is>
      </c>
      <c r="E439" t="inlineStr">
        <is>
          <t>LINDESBERG</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48953-2025</t>
        </is>
      </c>
      <c r="B440" s="1" t="n">
        <v>45937.54697916667</v>
      </c>
      <c r="C440" s="1" t="n">
        <v>46040</v>
      </c>
      <c r="D440" t="inlineStr">
        <is>
          <t>ÖREBRO LÄN</t>
        </is>
      </c>
      <c r="E440" t="inlineStr">
        <is>
          <t>LINDESBERG</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48971-2025</t>
        </is>
      </c>
      <c r="B441" s="1" t="n">
        <v>45937.56420138889</v>
      </c>
      <c r="C441" s="1" t="n">
        <v>46040</v>
      </c>
      <c r="D441" t="inlineStr">
        <is>
          <t>ÖREBRO LÄN</t>
        </is>
      </c>
      <c r="E441" t="inlineStr">
        <is>
          <t>LINDESBERG</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48975-2025</t>
        </is>
      </c>
      <c r="B442" s="1" t="n">
        <v>45937.56798611111</v>
      </c>
      <c r="C442" s="1" t="n">
        <v>46040</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48993-2025</t>
        </is>
      </c>
      <c r="B443" s="1" t="n">
        <v>45937.58590277778</v>
      </c>
      <c r="C443" s="1" t="n">
        <v>46040</v>
      </c>
      <c r="D443" t="inlineStr">
        <is>
          <t>ÖREBRO LÄN</t>
        </is>
      </c>
      <c r="E443" t="inlineStr">
        <is>
          <t>LINDESBERG</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49183-2025</t>
        </is>
      </c>
      <c r="B444" s="1" t="n">
        <v>45938.39741898148</v>
      </c>
      <c r="C444" s="1" t="n">
        <v>46040</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49100-2025</t>
        </is>
      </c>
      <c r="B445" s="1" t="n">
        <v>45937.71556712963</v>
      </c>
      <c r="C445" s="1" t="n">
        <v>46040</v>
      </c>
      <c r="D445" t="inlineStr">
        <is>
          <t>ÖREBRO LÄN</t>
        </is>
      </c>
      <c r="E445" t="inlineStr">
        <is>
          <t>LINDESBERG</t>
        </is>
      </c>
      <c r="G445" t="n">
        <v>2.2</v>
      </c>
      <c r="H445" t="n">
        <v>0</v>
      </c>
      <c r="I445" t="n">
        <v>0</v>
      </c>
      <c r="J445" t="n">
        <v>0</v>
      </c>
      <c r="K445" t="n">
        <v>0</v>
      </c>
      <c r="L445" t="n">
        <v>0</v>
      </c>
      <c r="M445" t="n">
        <v>0</v>
      </c>
      <c r="N445" t="n">
        <v>0</v>
      </c>
      <c r="O445" t="n">
        <v>0</v>
      </c>
      <c r="P445" t="n">
        <v>0</v>
      </c>
      <c r="Q445" t="n">
        <v>0</v>
      </c>
      <c r="R445" s="2" t="inlineStr"/>
    </row>
    <row r="446" ht="15" customHeight="1">
      <c r="A446" t="inlineStr">
        <is>
          <t>A 33507-2023</t>
        </is>
      </c>
      <c r="B446" s="1" t="n">
        <v>45131</v>
      </c>
      <c r="C446" s="1" t="n">
        <v>46040</v>
      </c>
      <c r="D446" t="inlineStr">
        <is>
          <t>ÖREBRO LÄN</t>
        </is>
      </c>
      <c r="E446" t="inlineStr">
        <is>
          <t>LINDESBERG</t>
        </is>
      </c>
      <c r="G446" t="n">
        <v>3.2</v>
      </c>
      <c r="H446" t="n">
        <v>0</v>
      </c>
      <c r="I446" t="n">
        <v>0</v>
      </c>
      <c r="J446" t="n">
        <v>0</v>
      </c>
      <c r="K446" t="n">
        <v>0</v>
      </c>
      <c r="L446" t="n">
        <v>0</v>
      </c>
      <c r="M446" t="n">
        <v>0</v>
      </c>
      <c r="N446" t="n">
        <v>0</v>
      </c>
      <c r="O446" t="n">
        <v>0</v>
      </c>
      <c r="P446" t="n">
        <v>0</v>
      </c>
      <c r="Q446" t="n">
        <v>0</v>
      </c>
      <c r="R446" s="2" t="inlineStr"/>
    </row>
    <row r="447" ht="15" customHeight="1">
      <c r="A447" t="inlineStr">
        <is>
          <t>A 2406-2024</t>
        </is>
      </c>
      <c r="B447" s="1" t="n">
        <v>45310</v>
      </c>
      <c r="C447" s="1" t="n">
        <v>46040</v>
      </c>
      <c r="D447" t="inlineStr">
        <is>
          <t>ÖREBRO LÄN</t>
        </is>
      </c>
      <c r="E447" t="inlineStr">
        <is>
          <t>LINDESBERG</t>
        </is>
      </c>
      <c r="G447" t="n">
        <v>16.1</v>
      </c>
      <c r="H447" t="n">
        <v>0</v>
      </c>
      <c r="I447" t="n">
        <v>0</v>
      </c>
      <c r="J447" t="n">
        <v>0</v>
      </c>
      <c r="K447" t="n">
        <v>0</v>
      </c>
      <c r="L447" t="n">
        <v>0</v>
      </c>
      <c r="M447" t="n">
        <v>0</v>
      </c>
      <c r="N447" t="n">
        <v>0</v>
      </c>
      <c r="O447" t="n">
        <v>0</v>
      </c>
      <c r="P447" t="n">
        <v>0</v>
      </c>
      <c r="Q447" t="n">
        <v>0</v>
      </c>
      <c r="R447" s="2" t="inlineStr"/>
    </row>
    <row r="448" ht="15" customHeight="1">
      <c r="A448" t="inlineStr">
        <is>
          <t>A 17895-2022</t>
        </is>
      </c>
      <c r="B448" s="1" t="n">
        <v>44683</v>
      </c>
      <c r="C448" s="1" t="n">
        <v>46040</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27702-2025</t>
        </is>
      </c>
      <c r="B449" s="1" t="n">
        <v>45813</v>
      </c>
      <c r="C449" s="1" t="n">
        <v>46040</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48867-2025</t>
        </is>
      </c>
      <c r="B450" s="1" t="n">
        <v>45937.4484837963</v>
      </c>
      <c r="C450" s="1" t="n">
        <v>46040</v>
      </c>
      <c r="D450" t="inlineStr">
        <is>
          <t>ÖREBRO LÄN</t>
        </is>
      </c>
      <c r="E450" t="inlineStr">
        <is>
          <t>LINDESBERG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49133-2025</t>
        </is>
      </c>
      <c r="B451" s="1" t="n">
        <v>45937.92319444445</v>
      </c>
      <c r="C451" s="1" t="n">
        <v>46040</v>
      </c>
      <c r="D451" t="inlineStr">
        <is>
          <t>ÖREBRO LÄN</t>
        </is>
      </c>
      <c r="E451" t="inlineStr">
        <is>
          <t>LINDESBERG</t>
        </is>
      </c>
      <c r="G451" t="n">
        <v>5</v>
      </c>
      <c r="H451" t="n">
        <v>0</v>
      </c>
      <c r="I451" t="n">
        <v>0</v>
      </c>
      <c r="J451" t="n">
        <v>0</v>
      </c>
      <c r="K451" t="n">
        <v>0</v>
      </c>
      <c r="L451" t="n">
        <v>0</v>
      </c>
      <c r="M451" t="n">
        <v>0</v>
      </c>
      <c r="N451" t="n">
        <v>0</v>
      </c>
      <c r="O451" t="n">
        <v>0</v>
      </c>
      <c r="P451" t="n">
        <v>0</v>
      </c>
      <c r="Q451" t="n">
        <v>0</v>
      </c>
      <c r="R451" s="2" t="inlineStr"/>
    </row>
    <row r="452" ht="15" customHeight="1">
      <c r="A452" t="inlineStr">
        <is>
          <t>A 1395-2025</t>
        </is>
      </c>
      <c r="B452" s="1" t="n">
        <v>45667</v>
      </c>
      <c r="C452" s="1" t="n">
        <v>46040</v>
      </c>
      <c r="D452" t="inlineStr">
        <is>
          <t>ÖREBRO LÄN</t>
        </is>
      </c>
      <c r="E452" t="inlineStr">
        <is>
          <t>LINDESBERG</t>
        </is>
      </c>
      <c r="G452" t="n">
        <v>4.6</v>
      </c>
      <c r="H452" t="n">
        <v>0</v>
      </c>
      <c r="I452" t="n">
        <v>0</v>
      </c>
      <c r="J452" t="n">
        <v>0</v>
      </c>
      <c r="K452" t="n">
        <v>0</v>
      </c>
      <c r="L452" t="n">
        <v>0</v>
      </c>
      <c r="M452" t="n">
        <v>0</v>
      </c>
      <c r="N452" t="n">
        <v>0</v>
      </c>
      <c r="O452" t="n">
        <v>0</v>
      </c>
      <c r="P452" t="n">
        <v>0</v>
      </c>
      <c r="Q452" t="n">
        <v>0</v>
      </c>
      <c r="R452" s="2" t="inlineStr"/>
    </row>
    <row r="453" ht="15" customHeight="1">
      <c r="A453" t="inlineStr">
        <is>
          <t>A 52928-2024</t>
        </is>
      </c>
      <c r="B453" s="1" t="n">
        <v>45610</v>
      </c>
      <c r="C453" s="1" t="n">
        <v>46040</v>
      </c>
      <c r="D453" t="inlineStr">
        <is>
          <t>ÖREBRO LÄN</t>
        </is>
      </c>
      <c r="E453" t="inlineStr">
        <is>
          <t>LINDESBERG</t>
        </is>
      </c>
      <c r="G453" t="n">
        <v>8.6</v>
      </c>
      <c r="H453" t="n">
        <v>0</v>
      </c>
      <c r="I453" t="n">
        <v>0</v>
      </c>
      <c r="J453" t="n">
        <v>0</v>
      </c>
      <c r="K453" t="n">
        <v>0</v>
      </c>
      <c r="L453" t="n">
        <v>0</v>
      </c>
      <c r="M453" t="n">
        <v>0</v>
      </c>
      <c r="N453" t="n">
        <v>0</v>
      </c>
      <c r="O453" t="n">
        <v>0</v>
      </c>
      <c r="P453" t="n">
        <v>0</v>
      </c>
      <c r="Q453" t="n">
        <v>0</v>
      </c>
      <c r="R453" s="2" t="inlineStr"/>
    </row>
    <row r="454" ht="15" customHeight="1">
      <c r="A454" t="inlineStr">
        <is>
          <t>A 49707-2025</t>
        </is>
      </c>
      <c r="B454" s="1" t="n">
        <v>45939.67951388889</v>
      </c>
      <c r="C454" s="1" t="n">
        <v>46040</v>
      </c>
      <c r="D454" t="inlineStr">
        <is>
          <t>ÖREBRO LÄN</t>
        </is>
      </c>
      <c r="E454" t="inlineStr">
        <is>
          <t>LINDESBERG</t>
        </is>
      </c>
      <c r="F454" t="inlineStr">
        <is>
          <t>Kommuner</t>
        </is>
      </c>
      <c r="G454" t="n">
        <v>0.6</v>
      </c>
      <c r="H454" t="n">
        <v>0</v>
      </c>
      <c r="I454" t="n">
        <v>0</v>
      </c>
      <c r="J454" t="n">
        <v>0</v>
      </c>
      <c r="K454" t="n">
        <v>0</v>
      </c>
      <c r="L454" t="n">
        <v>0</v>
      </c>
      <c r="M454" t="n">
        <v>0</v>
      </c>
      <c r="N454" t="n">
        <v>0</v>
      </c>
      <c r="O454" t="n">
        <v>0</v>
      </c>
      <c r="P454" t="n">
        <v>0</v>
      </c>
      <c r="Q454" t="n">
        <v>0</v>
      </c>
      <c r="R454" s="2" t="inlineStr"/>
    </row>
    <row r="455" ht="15" customHeight="1">
      <c r="A455" t="inlineStr">
        <is>
          <t>A 33716-2021</t>
        </is>
      </c>
      <c r="B455" s="1" t="n">
        <v>44378.46857638889</v>
      </c>
      <c r="C455" s="1" t="n">
        <v>46040</v>
      </c>
      <c r="D455" t="inlineStr">
        <is>
          <t>ÖREBRO LÄN</t>
        </is>
      </c>
      <c r="E455" t="inlineStr">
        <is>
          <t>LINDESBERG</t>
        </is>
      </c>
      <c r="G455" t="n">
        <v>4.6</v>
      </c>
      <c r="H455" t="n">
        <v>0</v>
      </c>
      <c r="I455" t="n">
        <v>0</v>
      </c>
      <c r="J455" t="n">
        <v>0</v>
      </c>
      <c r="K455" t="n">
        <v>0</v>
      </c>
      <c r="L455" t="n">
        <v>0</v>
      </c>
      <c r="M455" t="n">
        <v>0</v>
      </c>
      <c r="N455" t="n">
        <v>0</v>
      </c>
      <c r="O455" t="n">
        <v>0</v>
      </c>
      <c r="P455" t="n">
        <v>0</v>
      </c>
      <c r="Q455" t="n">
        <v>0</v>
      </c>
      <c r="R455" s="2" t="inlineStr"/>
    </row>
    <row r="456" ht="15" customHeight="1">
      <c r="A456" t="inlineStr">
        <is>
          <t>A 40970-2023</t>
        </is>
      </c>
      <c r="B456" s="1" t="n">
        <v>45173</v>
      </c>
      <c r="C456" s="1" t="n">
        <v>46040</v>
      </c>
      <c r="D456" t="inlineStr">
        <is>
          <t>ÖREBRO LÄN</t>
        </is>
      </c>
      <c r="E456" t="inlineStr">
        <is>
          <t>LINDESBERG</t>
        </is>
      </c>
      <c r="G456" t="n">
        <v>2.1</v>
      </c>
      <c r="H456" t="n">
        <v>0</v>
      </c>
      <c r="I456" t="n">
        <v>0</v>
      </c>
      <c r="J456" t="n">
        <v>0</v>
      </c>
      <c r="K456" t="n">
        <v>0</v>
      </c>
      <c r="L456" t="n">
        <v>0</v>
      </c>
      <c r="M456" t="n">
        <v>0</v>
      </c>
      <c r="N456" t="n">
        <v>0</v>
      </c>
      <c r="O456" t="n">
        <v>0</v>
      </c>
      <c r="P456" t="n">
        <v>0</v>
      </c>
      <c r="Q456" t="n">
        <v>0</v>
      </c>
      <c r="R456" s="2" t="inlineStr"/>
    </row>
    <row r="457" ht="15" customHeight="1">
      <c r="A457" t="inlineStr">
        <is>
          <t>A 49946-2025</t>
        </is>
      </c>
      <c r="B457" s="1" t="n">
        <v>45940.69862268519</v>
      </c>
      <c r="C457" s="1" t="n">
        <v>46040</v>
      </c>
      <c r="D457" t="inlineStr">
        <is>
          <t>ÖREBRO LÄN</t>
        </is>
      </c>
      <c r="E457" t="inlineStr">
        <is>
          <t>LINDESBERG</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49944-2025</t>
        </is>
      </c>
      <c r="B458" s="1" t="n">
        <v>45940.69643518519</v>
      </c>
      <c r="C458" s="1" t="n">
        <v>46040</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49947-2025</t>
        </is>
      </c>
      <c r="B459" s="1" t="n">
        <v>45940.70018518518</v>
      </c>
      <c r="C459" s="1" t="n">
        <v>46040</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13729-2025</t>
        </is>
      </c>
      <c r="B460" s="1" t="n">
        <v>45737.3846412037</v>
      </c>
      <c r="C460" s="1" t="n">
        <v>46040</v>
      </c>
      <c r="D460" t="inlineStr">
        <is>
          <t>ÖREBRO LÄN</t>
        </is>
      </c>
      <c r="E460" t="inlineStr">
        <is>
          <t>LINDESBERG</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49943-2025</t>
        </is>
      </c>
      <c r="B461" s="1" t="n">
        <v>45940.69521990741</v>
      </c>
      <c r="C461" s="1" t="n">
        <v>46040</v>
      </c>
      <c r="D461" t="inlineStr">
        <is>
          <t>ÖREBRO LÄN</t>
        </is>
      </c>
      <c r="E461" t="inlineStr">
        <is>
          <t>LINDESBERG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60492-2024</t>
        </is>
      </c>
      <c r="B462" s="1" t="n">
        <v>45642</v>
      </c>
      <c r="C462" s="1" t="n">
        <v>46040</v>
      </c>
      <c r="D462" t="inlineStr">
        <is>
          <t>ÖREBRO LÄN</t>
        </is>
      </c>
      <c r="E462" t="inlineStr">
        <is>
          <t>LINDESBERG</t>
        </is>
      </c>
      <c r="G462" t="n">
        <v>2.6</v>
      </c>
      <c r="H462" t="n">
        <v>0</v>
      </c>
      <c r="I462" t="n">
        <v>0</v>
      </c>
      <c r="J462" t="n">
        <v>0</v>
      </c>
      <c r="K462" t="n">
        <v>0</v>
      </c>
      <c r="L462" t="n">
        <v>0</v>
      </c>
      <c r="M462" t="n">
        <v>0</v>
      </c>
      <c r="N462" t="n">
        <v>0</v>
      </c>
      <c r="O462" t="n">
        <v>0</v>
      </c>
      <c r="P462" t="n">
        <v>0</v>
      </c>
      <c r="Q462" t="n">
        <v>0</v>
      </c>
      <c r="R462" s="2" t="inlineStr"/>
    </row>
    <row r="463" ht="15" customHeight="1">
      <c r="A463" t="inlineStr">
        <is>
          <t>A 40117-2023</t>
        </is>
      </c>
      <c r="B463" s="1" t="n">
        <v>45168.94197916667</v>
      </c>
      <c r="C463" s="1" t="n">
        <v>46040</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11366-2024</t>
        </is>
      </c>
      <c r="B464" s="1" t="n">
        <v>45372.40246527778</v>
      </c>
      <c r="C464" s="1" t="n">
        <v>46040</v>
      </c>
      <c r="D464" t="inlineStr">
        <is>
          <t>ÖREBRO LÄN</t>
        </is>
      </c>
      <c r="E464" t="inlineStr">
        <is>
          <t>LINDESBERG</t>
        </is>
      </c>
      <c r="G464" t="n">
        <v>4.4</v>
      </c>
      <c r="H464" t="n">
        <v>0</v>
      </c>
      <c r="I464" t="n">
        <v>0</v>
      </c>
      <c r="J464" t="n">
        <v>0</v>
      </c>
      <c r="K464" t="n">
        <v>0</v>
      </c>
      <c r="L464" t="n">
        <v>0</v>
      </c>
      <c r="M464" t="n">
        <v>0</v>
      </c>
      <c r="N464" t="n">
        <v>0</v>
      </c>
      <c r="O464" t="n">
        <v>0</v>
      </c>
      <c r="P464" t="n">
        <v>0</v>
      </c>
      <c r="Q464" t="n">
        <v>0</v>
      </c>
      <c r="R464" s="2" t="inlineStr"/>
    </row>
    <row r="465" ht="15" customHeight="1">
      <c r="A465" t="inlineStr">
        <is>
          <t>A 30767-2023</t>
        </is>
      </c>
      <c r="B465" s="1" t="n">
        <v>45112.67952546296</v>
      </c>
      <c r="C465" s="1" t="n">
        <v>46040</v>
      </c>
      <c r="D465" t="inlineStr">
        <is>
          <t>ÖREBRO LÄN</t>
        </is>
      </c>
      <c r="E465" t="inlineStr">
        <is>
          <t>LINDESBERG</t>
        </is>
      </c>
      <c r="G465" t="n">
        <v>3.9</v>
      </c>
      <c r="H465" t="n">
        <v>0</v>
      </c>
      <c r="I465" t="n">
        <v>0</v>
      </c>
      <c r="J465" t="n">
        <v>0</v>
      </c>
      <c r="K465" t="n">
        <v>0</v>
      </c>
      <c r="L465" t="n">
        <v>0</v>
      </c>
      <c r="M465" t="n">
        <v>0</v>
      </c>
      <c r="N465" t="n">
        <v>0</v>
      </c>
      <c r="O465" t="n">
        <v>0</v>
      </c>
      <c r="P465" t="n">
        <v>0</v>
      </c>
      <c r="Q465" t="n">
        <v>0</v>
      </c>
      <c r="R465" s="2" t="inlineStr"/>
    </row>
    <row r="466" ht="15" customHeight="1">
      <c r="A466" t="inlineStr">
        <is>
          <t>A 60943-2024</t>
        </is>
      </c>
      <c r="B466" s="1" t="n">
        <v>45645.3737962963</v>
      </c>
      <c r="C466" s="1" t="n">
        <v>46040</v>
      </c>
      <c r="D466" t="inlineStr">
        <is>
          <t>ÖREBRO LÄN</t>
        </is>
      </c>
      <c r="E466" t="inlineStr">
        <is>
          <t>LINDESBERG</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50072-2025</t>
        </is>
      </c>
      <c r="B467" s="1" t="n">
        <v>45943.45966435185</v>
      </c>
      <c r="C467" s="1" t="n">
        <v>46040</v>
      </c>
      <c r="D467" t="inlineStr">
        <is>
          <t>ÖREBRO LÄN</t>
        </is>
      </c>
      <c r="E467" t="inlineStr">
        <is>
          <t>LINDESBERG</t>
        </is>
      </c>
      <c r="G467" t="n">
        <v>1.5</v>
      </c>
      <c r="H467" t="n">
        <v>0</v>
      </c>
      <c r="I467" t="n">
        <v>0</v>
      </c>
      <c r="J467" t="n">
        <v>0</v>
      </c>
      <c r="K467" t="n">
        <v>0</v>
      </c>
      <c r="L467" t="n">
        <v>0</v>
      </c>
      <c r="M467" t="n">
        <v>0</v>
      </c>
      <c r="N467" t="n">
        <v>0</v>
      </c>
      <c r="O467" t="n">
        <v>0</v>
      </c>
      <c r="P467" t="n">
        <v>0</v>
      </c>
      <c r="Q467" t="n">
        <v>0</v>
      </c>
      <c r="R467" s="2" t="inlineStr"/>
    </row>
    <row r="468" ht="15" customHeight="1">
      <c r="A468" t="inlineStr">
        <is>
          <t>A 50086-2025</t>
        </is>
      </c>
      <c r="B468" s="1" t="n">
        <v>45943.47649305555</v>
      </c>
      <c r="C468" s="1" t="n">
        <v>46040</v>
      </c>
      <c r="D468" t="inlineStr">
        <is>
          <t>ÖREBRO LÄN</t>
        </is>
      </c>
      <c r="E468" t="inlineStr">
        <is>
          <t>LINDESBERG</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50073-2025</t>
        </is>
      </c>
      <c r="B469" s="1" t="n">
        <v>45943.4603125</v>
      </c>
      <c r="C469" s="1" t="n">
        <v>46040</v>
      </c>
      <c r="D469" t="inlineStr">
        <is>
          <t>ÖREBRO LÄN</t>
        </is>
      </c>
      <c r="E469" t="inlineStr">
        <is>
          <t>LINDESBERG</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63508-2023</t>
        </is>
      </c>
      <c r="B470" s="1" t="n">
        <v>45274</v>
      </c>
      <c r="C470" s="1" t="n">
        <v>46040</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56912-2024</t>
        </is>
      </c>
      <c r="B471" s="1" t="n">
        <v>45628.59233796296</v>
      </c>
      <c r="C471" s="1" t="n">
        <v>46040</v>
      </c>
      <c r="D471" t="inlineStr">
        <is>
          <t>ÖREBRO LÄN</t>
        </is>
      </c>
      <c r="E471" t="inlineStr">
        <is>
          <t>LINDESBERG</t>
        </is>
      </c>
      <c r="G471" t="n">
        <v>1</v>
      </c>
      <c r="H471" t="n">
        <v>0</v>
      </c>
      <c r="I471" t="n">
        <v>0</v>
      </c>
      <c r="J471" t="n">
        <v>0</v>
      </c>
      <c r="K471" t="n">
        <v>0</v>
      </c>
      <c r="L471" t="n">
        <v>0</v>
      </c>
      <c r="M471" t="n">
        <v>0</v>
      </c>
      <c r="N471" t="n">
        <v>0</v>
      </c>
      <c r="O471" t="n">
        <v>0</v>
      </c>
      <c r="P471" t="n">
        <v>0</v>
      </c>
      <c r="Q471" t="n">
        <v>0</v>
      </c>
      <c r="R471" s="2" t="inlineStr"/>
    </row>
    <row r="472" ht="15" customHeight="1">
      <c r="A472" t="inlineStr">
        <is>
          <t>A 50936-2025</t>
        </is>
      </c>
      <c r="B472" s="1" t="n">
        <v>45946.69616898148</v>
      </c>
      <c r="C472" s="1" t="n">
        <v>46040</v>
      </c>
      <c r="D472" t="inlineStr">
        <is>
          <t>ÖREBRO LÄN</t>
        </is>
      </c>
      <c r="E472" t="inlineStr">
        <is>
          <t>LINDESBERG</t>
        </is>
      </c>
      <c r="G472" t="n">
        <v>2.9</v>
      </c>
      <c r="H472" t="n">
        <v>0</v>
      </c>
      <c r="I472" t="n">
        <v>0</v>
      </c>
      <c r="J472" t="n">
        <v>0</v>
      </c>
      <c r="K472" t="n">
        <v>0</v>
      </c>
      <c r="L472" t="n">
        <v>0</v>
      </c>
      <c r="M472" t="n">
        <v>0</v>
      </c>
      <c r="N472" t="n">
        <v>0</v>
      </c>
      <c r="O472" t="n">
        <v>0</v>
      </c>
      <c r="P472" t="n">
        <v>0</v>
      </c>
      <c r="Q472" t="n">
        <v>0</v>
      </c>
      <c r="R472" s="2" t="inlineStr"/>
    </row>
    <row r="473" ht="15" customHeight="1">
      <c r="A473" t="inlineStr">
        <is>
          <t>A 47620-2023</t>
        </is>
      </c>
      <c r="B473" s="1" t="n">
        <v>45203.510625</v>
      </c>
      <c r="C473" s="1" t="n">
        <v>46040</v>
      </c>
      <c r="D473" t="inlineStr">
        <is>
          <t>ÖREBRO LÄN</t>
        </is>
      </c>
      <c r="E473" t="inlineStr">
        <is>
          <t>LINDESBERG</t>
        </is>
      </c>
      <c r="G473" t="n">
        <v>2.7</v>
      </c>
      <c r="H473" t="n">
        <v>0</v>
      </c>
      <c r="I473" t="n">
        <v>0</v>
      </c>
      <c r="J473" t="n">
        <v>0</v>
      </c>
      <c r="K473" t="n">
        <v>0</v>
      </c>
      <c r="L473" t="n">
        <v>0</v>
      </c>
      <c r="M473" t="n">
        <v>0</v>
      </c>
      <c r="N473" t="n">
        <v>0</v>
      </c>
      <c r="O473" t="n">
        <v>0</v>
      </c>
      <c r="P473" t="n">
        <v>0</v>
      </c>
      <c r="Q473" t="n">
        <v>0</v>
      </c>
      <c r="R473" s="2" t="inlineStr"/>
    </row>
    <row r="474" ht="15" customHeight="1">
      <c r="A474" t="inlineStr">
        <is>
          <t>A 36280-2023</t>
        </is>
      </c>
      <c r="B474" s="1" t="n">
        <v>45152.34586805556</v>
      </c>
      <c r="C474" s="1" t="n">
        <v>46040</v>
      </c>
      <c r="D474" t="inlineStr">
        <is>
          <t>ÖREBRO LÄN</t>
        </is>
      </c>
      <c r="E474" t="inlineStr">
        <is>
          <t>LINDESBERG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44010-2023</t>
        </is>
      </c>
      <c r="B475" s="1" t="n">
        <v>45188</v>
      </c>
      <c r="C475" s="1" t="n">
        <v>46040</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33284-2024</t>
        </is>
      </c>
      <c r="B476" s="1" t="n">
        <v>45518.71721064814</v>
      </c>
      <c r="C476" s="1" t="n">
        <v>46040</v>
      </c>
      <c r="D476" t="inlineStr">
        <is>
          <t>ÖREBRO LÄN</t>
        </is>
      </c>
      <c r="E476" t="inlineStr">
        <is>
          <t>LINDESBERG</t>
        </is>
      </c>
      <c r="G476" t="n">
        <v>1.7</v>
      </c>
      <c r="H476" t="n">
        <v>0</v>
      </c>
      <c r="I476" t="n">
        <v>0</v>
      </c>
      <c r="J476" t="n">
        <v>0</v>
      </c>
      <c r="K476" t="n">
        <v>0</v>
      </c>
      <c r="L476" t="n">
        <v>0</v>
      </c>
      <c r="M476" t="n">
        <v>0</v>
      </c>
      <c r="N476" t="n">
        <v>0</v>
      </c>
      <c r="O476" t="n">
        <v>0</v>
      </c>
      <c r="P476" t="n">
        <v>0</v>
      </c>
      <c r="Q476" t="n">
        <v>0</v>
      </c>
      <c r="R476" s="2" t="inlineStr"/>
    </row>
    <row r="477" ht="15" customHeight="1">
      <c r="A477" t="inlineStr">
        <is>
          <t>A 33978-2023</t>
        </is>
      </c>
      <c r="B477" s="1" t="n">
        <v>45134.68158564815</v>
      </c>
      <c r="C477" s="1" t="n">
        <v>46040</v>
      </c>
      <c r="D477" t="inlineStr">
        <is>
          <t>ÖREBRO LÄN</t>
        </is>
      </c>
      <c r="E477" t="inlineStr">
        <is>
          <t>LINDESBERG</t>
        </is>
      </c>
      <c r="G477" t="n">
        <v>4.1</v>
      </c>
      <c r="H477" t="n">
        <v>0</v>
      </c>
      <c r="I477" t="n">
        <v>0</v>
      </c>
      <c r="J477" t="n">
        <v>0</v>
      </c>
      <c r="K477" t="n">
        <v>0</v>
      </c>
      <c r="L477" t="n">
        <v>0</v>
      </c>
      <c r="M477" t="n">
        <v>0</v>
      </c>
      <c r="N477" t="n">
        <v>0</v>
      </c>
      <c r="O477" t="n">
        <v>0</v>
      </c>
      <c r="P477" t="n">
        <v>0</v>
      </c>
      <c r="Q477" t="n">
        <v>0</v>
      </c>
      <c r="R477" s="2" t="inlineStr"/>
    </row>
    <row r="478" ht="15" customHeight="1">
      <c r="A478" t="inlineStr">
        <is>
          <t>A 50765-2025</t>
        </is>
      </c>
      <c r="B478" s="1" t="n">
        <v>45946.44216435185</v>
      </c>
      <c r="C478" s="1" t="n">
        <v>46040</v>
      </c>
      <c r="D478" t="inlineStr">
        <is>
          <t>ÖREBRO LÄN</t>
        </is>
      </c>
      <c r="E478" t="inlineStr">
        <is>
          <t>LINDESBERG</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50933-2025</t>
        </is>
      </c>
      <c r="B479" s="1" t="n">
        <v>45946.68859953704</v>
      </c>
      <c r="C479" s="1" t="n">
        <v>46040</v>
      </c>
      <c r="D479" t="inlineStr">
        <is>
          <t>ÖREBRO LÄN</t>
        </is>
      </c>
      <c r="E479" t="inlineStr">
        <is>
          <t>LINDESBERG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51030-2025</t>
        </is>
      </c>
      <c r="B480" s="1" t="n">
        <v>45947.40105324074</v>
      </c>
      <c r="C480" s="1" t="n">
        <v>46040</v>
      </c>
      <c r="D480" t="inlineStr">
        <is>
          <t>ÖREBRO LÄN</t>
        </is>
      </c>
      <c r="E480" t="inlineStr">
        <is>
          <t>LINDESBERG</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38762-2021</t>
        </is>
      </c>
      <c r="B481" s="1" t="n">
        <v>44410.61837962963</v>
      </c>
      <c r="C481" s="1" t="n">
        <v>46040</v>
      </c>
      <c r="D481" t="inlineStr">
        <is>
          <t>ÖREBRO LÄN</t>
        </is>
      </c>
      <c r="E481" t="inlineStr">
        <is>
          <t>LINDESBERG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51186-2025</t>
        </is>
      </c>
      <c r="B482" s="1" t="n">
        <v>45947.62353009259</v>
      </c>
      <c r="C482" s="1" t="n">
        <v>46040</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2107-2022</t>
        </is>
      </c>
      <c r="B483" s="1" t="n">
        <v>44577.83484953704</v>
      </c>
      <c r="C483" s="1" t="n">
        <v>46040</v>
      </c>
      <c r="D483" t="inlineStr">
        <is>
          <t>ÖREBRO LÄN</t>
        </is>
      </c>
      <c r="E483" t="inlineStr">
        <is>
          <t>LINDESBERG</t>
        </is>
      </c>
      <c r="G483" t="n">
        <v>2.9</v>
      </c>
      <c r="H483" t="n">
        <v>0</v>
      </c>
      <c r="I483" t="n">
        <v>0</v>
      </c>
      <c r="J483" t="n">
        <v>0</v>
      </c>
      <c r="K483" t="n">
        <v>0</v>
      </c>
      <c r="L483" t="n">
        <v>0</v>
      </c>
      <c r="M483" t="n">
        <v>0</v>
      </c>
      <c r="N483" t="n">
        <v>0</v>
      </c>
      <c r="O483" t="n">
        <v>0</v>
      </c>
      <c r="P483" t="n">
        <v>0</v>
      </c>
      <c r="Q483" t="n">
        <v>0</v>
      </c>
      <c r="R483" s="2" t="inlineStr"/>
    </row>
    <row r="484" ht="15" customHeight="1">
      <c r="A484" t="inlineStr">
        <is>
          <t>A 16864-2022</t>
        </is>
      </c>
      <c r="B484" s="1" t="n">
        <v>44675</v>
      </c>
      <c r="C484" s="1" t="n">
        <v>46040</v>
      </c>
      <c r="D484" t="inlineStr">
        <is>
          <t>ÖREBRO LÄN</t>
        </is>
      </c>
      <c r="E484" t="inlineStr">
        <is>
          <t>LINDESBERG</t>
        </is>
      </c>
      <c r="F484" t="inlineStr">
        <is>
          <t>Kyrkan</t>
        </is>
      </c>
      <c r="G484" t="n">
        <v>1.7</v>
      </c>
      <c r="H484" t="n">
        <v>0</v>
      </c>
      <c r="I484" t="n">
        <v>0</v>
      </c>
      <c r="J484" t="n">
        <v>0</v>
      </c>
      <c r="K484" t="n">
        <v>0</v>
      </c>
      <c r="L484" t="n">
        <v>0</v>
      </c>
      <c r="M484" t="n">
        <v>0</v>
      </c>
      <c r="N484" t="n">
        <v>0</v>
      </c>
      <c r="O484" t="n">
        <v>0</v>
      </c>
      <c r="P484" t="n">
        <v>0</v>
      </c>
      <c r="Q484" t="n">
        <v>0</v>
      </c>
      <c r="R484" s="2" t="inlineStr"/>
    </row>
    <row r="485" ht="15" customHeight="1">
      <c r="A485" t="inlineStr">
        <is>
          <t>A 51172-2025</t>
        </is>
      </c>
      <c r="B485" s="1" t="n">
        <v>45947.60508101852</v>
      </c>
      <c r="C485" s="1" t="n">
        <v>46040</v>
      </c>
      <c r="D485" t="inlineStr">
        <is>
          <t>ÖREBRO LÄN</t>
        </is>
      </c>
      <c r="E485" t="inlineStr">
        <is>
          <t>LINDESBERG</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32928-2023</t>
        </is>
      </c>
      <c r="B486" s="1" t="n">
        <v>45125.41458333333</v>
      </c>
      <c r="C486" s="1" t="n">
        <v>46040</v>
      </c>
      <c r="D486" t="inlineStr">
        <is>
          <t>ÖREBRO LÄN</t>
        </is>
      </c>
      <c r="E486" t="inlineStr">
        <is>
          <t>LINDESBERG</t>
        </is>
      </c>
      <c r="G486" t="n">
        <v>4.8</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46040</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52102-2025</t>
        </is>
      </c>
      <c r="B488" s="1" t="n">
        <v>45952.68358796297</v>
      </c>
      <c r="C488" s="1" t="n">
        <v>46040</v>
      </c>
      <c r="D488" t="inlineStr">
        <is>
          <t>ÖREBRO LÄN</t>
        </is>
      </c>
      <c r="E488" t="inlineStr">
        <is>
          <t>LINDESBERG</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52117-2025</t>
        </is>
      </c>
      <c r="B489" s="1" t="n">
        <v>45952.70765046297</v>
      </c>
      <c r="C489" s="1" t="n">
        <v>46040</v>
      </c>
      <c r="D489" t="inlineStr">
        <is>
          <t>ÖREBRO LÄN</t>
        </is>
      </c>
      <c r="E489" t="inlineStr">
        <is>
          <t>LINDESBERG</t>
        </is>
      </c>
      <c r="G489" t="n">
        <v>4.6</v>
      </c>
      <c r="H489" t="n">
        <v>0</v>
      </c>
      <c r="I489" t="n">
        <v>0</v>
      </c>
      <c r="J489" t="n">
        <v>0</v>
      </c>
      <c r="K489" t="n">
        <v>0</v>
      </c>
      <c r="L489" t="n">
        <v>0</v>
      </c>
      <c r="M489" t="n">
        <v>0</v>
      </c>
      <c r="N489" t="n">
        <v>0</v>
      </c>
      <c r="O489" t="n">
        <v>0</v>
      </c>
      <c r="P489" t="n">
        <v>0</v>
      </c>
      <c r="Q489" t="n">
        <v>0</v>
      </c>
      <c r="R489" s="2" t="inlineStr"/>
    </row>
    <row r="490" ht="15" customHeight="1">
      <c r="A490" t="inlineStr">
        <is>
          <t>A 21016-2023</t>
        </is>
      </c>
      <c r="B490" s="1" t="n">
        <v>45061.53414351852</v>
      </c>
      <c r="C490" s="1" t="n">
        <v>46040</v>
      </c>
      <c r="D490" t="inlineStr">
        <is>
          <t>ÖREBRO LÄN</t>
        </is>
      </c>
      <c r="E490" t="inlineStr">
        <is>
          <t>LINDESBERG</t>
        </is>
      </c>
      <c r="G490" t="n">
        <v>8.1</v>
      </c>
      <c r="H490" t="n">
        <v>0</v>
      </c>
      <c r="I490" t="n">
        <v>0</v>
      </c>
      <c r="J490" t="n">
        <v>0</v>
      </c>
      <c r="K490" t="n">
        <v>0</v>
      </c>
      <c r="L490" t="n">
        <v>0</v>
      </c>
      <c r="M490" t="n">
        <v>0</v>
      </c>
      <c r="N490" t="n">
        <v>0</v>
      </c>
      <c r="O490" t="n">
        <v>0</v>
      </c>
      <c r="P490" t="n">
        <v>0</v>
      </c>
      <c r="Q490" t="n">
        <v>0</v>
      </c>
      <c r="R490" s="2" t="inlineStr"/>
    </row>
    <row r="491" ht="15" customHeight="1">
      <c r="A491" t="inlineStr">
        <is>
          <t>A 54705-2022</t>
        </is>
      </c>
      <c r="B491" s="1" t="n">
        <v>44883</v>
      </c>
      <c r="C491" s="1" t="n">
        <v>46040</v>
      </c>
      <c r="D491" t="inlineStr">
        <is>
          <t>ÖREBRO LÄN</t>
        </is>
      </c>
      <c r="E491" t="inlineStr">
        <is>
          <t>LINDESBERG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40306-2022</t>
        </is>
      </c>
      <c r="B492" s="1" t="n">
        <v>44822</v>
      </c>
      <c r="C492" s="1" t="n">
        <v>46040</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52098-2025</t>
        </is>
      </c>
      <c r="B493" s="1" t="n">
        <v>45952.68001157408</v>
      </c>
      <c r="C493" s="1" t="n">
        <v>46040</v>
      </c>
      <c r="D493" t="inlineStr">
        <is>
          <t>ÖREBRO LÄN</t>
        </is>
      </c>
      <c r="E493" t="inlineStr">
        <is>
          <t>LINDESBERG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52103-2025</t>
        </is>
      </c>
      <c r="B494" s="1" t="n">
        <v>45952.68439814815</v>
      </c>
      <c r="C494" s="1" t="n">
        <v>46040</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27440-2023</t>
        </is>
      </c>
      <c r="B495" s="1" t="n">
        <v>45097.39893518519</v>
      </c>
      <c r="C495" s="1" t="n">
        <v>46040</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52101-2025</t>
        </is>
      </c>
      <c r="B496" s="1" t="n">
        <v>45952.68271990741</v>
      </c>
      <c r="C496" s="1" t="n">
        <v>46040</v>
      </c>
      <c r="D496" t="inlineStr">
        <is>
          <t>ÖREBRO LÄN</t>
        </is>
      </c>
      <c r="E496" t="inlineStr">
        <is>
          <t>LINDESBERG</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52104-2025</t>
        </is>
      </c>
      <c r="B497" s="1" t="n">
        <v>45952.68524305556</v>
      </c>
      <c r="C497" s="1" t="n">
        <v>46040</v>
      </c>
      <c r="D497" t="inlineStr">
        <is>
          <t>ÖREBRO LÄN</t>
        </is>
      </c>
      <c r="E497" t="inlineStr">
        <is>
          <t>LINDESBERG</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40905-2023</t>
        </is>
      </c>
      <c r="B498" s="1" t="n">
        <v>45173.39315972223</v>
      </c>
      <c r="C498" s="1" t="n">
        <v>46040</v>
      </c>
      <c r="D498" t="inlineStr">
        <is>
          <t>ÖREBRO LÄN</t>
        </is>
      </c>
      <c r="E498" t="inlineStr">
        <is>
          <t>LINDESBERG</t>
        </is>
      </c>
      <c r="G498" t="n">
        <v>0.5</v>
      </c>
      <c r="H498" t="n">
        <v>0</v>
      </c>
      <c r="I498" t="n">
        <v>0</v>
      </c>
      <c r="J498" t="n">
        <v>0</v>
      </c>
      <c r="K498" t="n">
        <v>0</v>
      </c>
      <c r="L498" t="n">
        <v>0</v>
      </c>
      <c r="M498" t="n">
        <v>0</v>
      </c>
      <c r="N498" t="n">
        <v>0</v>
      </c>
      <c r="O498" t="n">
        <v>0</v>
      </c>
      <c r="P498" t="n">
        <v>0</v>
      </c>
      <c r="Q498" t="n">
        <v>0</v>
      </c>
      <c r="R498" s="2" t="inlineStr"/>
    </row>
    <row r="499" ht="15" customHeight="1">
      <c r="A499" t="inlineStr">
        <is>
          <t>A 52401-2025</t>
        </is>
      </c>
      <c r="B499" s="1" t="n">
        <v>45954.35075231481</v>
      </c>
      <c r="C499" s="1" t="n">
        <v>46040</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41951-2023</t>
        </is>
      </c>
      <c r="B500" s="1" t="n">
        <v>45177.33991898148</v>
      </c>
      <c r="C500" s="1" t="n">
        <v>46040</v>
      </c>
      <c r="D500" t="inlineStr">
        <is>
          <t>ÖREBRO LÄN</t>
        </is>
      </c>
      <c r="E500" t="inlineStr">
        <is>
          <t>LINDESBERG</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4310-2025</t>
        </is>
      </c>
      <c r="B501" s="1" t="n">
        <v>45685</v>
      </c>
      <c r="C501" s="1" t="n">
        <v>46040</v>
      </c>
      <c r="D501" t="inlineStr">
        <is>
          <t>ÖREBRO LÄN</t>
        </is>
      </c>
      <c r="E501" t="inlineStr">
        <is>
          <t>LINDESBERG</t>
        </is>
      </c>
      <c r="G501" t="n">
        <v>1.2</v>
      </c>
      <c r="H501" t="n">
        <v>0</v>
      </c>
      <c r="I501" t="n">
        <v>0</v>
      </c>
      <c r="J501" t="n">
        <v>0</v>
      </c>
      <c r="K501" t="n">
        <v>0</v>
      </c>
      <c r="L501" t="n">
        <v>0</v>
      </c>
      <c r="M501" t="n">
        <v>0</v>
      </c>
      <c r="N501" t="n">
        <v>0</v>
      </c>
      <c r="O501" t="n">
        <v>0</v>
      </c>
      <c r="P501" t="n">
        <v>0</v>
      </c>
      <c r="Q501" t="n">
        <v>0</v>
      </c>
      <c r="R501" s="2" t="inlineStr"/>
    </row>
    <row r="502" ht="15" customHeight="1">
      <c r="A502" t="inlineStr">
        <is>
          <t>A 52298-2025</t>
        </is>
      </c>
      <c r="B502" s="1" t="n">
        <v>45953.61387731481</v>
      </c>
      <c r="C502" s="1" t="n">
        <v>46040</v>
      </c>
      <c r="D502" t="inlineStr">
        <is>
          <t>ÖREBRO LÄN</t>
        </is>
      </c>
      <c r="E502" t="inlineStr">
        <is>
          <t>LINDESBERG</t>
        </is>
      </c>
      <c r="G502" t="n">
        <v>18.2</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46040</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52730-2025</t>
        </is>
      </c>
      <c r="B504" s="1" t="n">
        <v>45957.36386574074</v>
      </c>
      <c r="C504" s="1" t="n">
        <v>46040</v>
      </c>
      <c r="D504" t="inlineStr">
        <is>
          <t>ÖREBRO LÄN</t>
        </is>
      </c>
      <c r="E504" t="inlineStr">
        <is>
          <t>LINDESBERG</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34025-2024</t>
        </is>
      </c>
      <c r="B505" s="1" t="n">
        <v>45523.58565972222</v>
      </c>
      <c r="C505" s="1" t="n">
        <v>46040</v>
      </c>
      <c r="D505" t="inlineStr">
        <is>
          <t>ÖREBRO LÄN</t>
        </is>
      </c>
      <c r="E505" t="inlineStr">
        <is>
          <t>LINDESBERG</t>
        </is>
      </c>
      <c r="G505" t="n">
        <v>1.3</v>
      </c>
      <c r="H505" t="n">
        <v>0</v>
      </c>
      <c r="I505" t="n">
        <v>0</v>
      </c>
      <c r="J505" t="n">
        <v>0</v>
      </c>
      <c r="K505" t="n">
        <v>0</v>
      </c>
      <c r="L505" t="n">
        <v>0</v>
      </c>
      <c r="M505" t="n">
        <v>0</v>
      </c>
      <c r="N505" t="n">
        <v>0</v>
      </c>
      <c r="O505" t="n">
        <v>0</v>
      </c>
      <c r="P505" t="n">
        <v>0</v>
      </c>
      <c r="Q505" t="n">
        <v>0</v>
      </c>
      <c r="R505" s="2" t="inlineStr"/>
    </row>
    <row r="506" ht="15" customHeight="1">
      <c r="A506" t="inlineStr">
        <is>
          <t>A 36748-2024</t>
        </is>
      </c>
      <c r="B506" s="1" t="n">
        <v>45538.34460648148</v>
      </c>
      <c r="C506" s="1" t="n">
        <v>46040</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21390-2024</t>
        </is>
      </c>
      <c r="B507" s="1" t="n">
        <v>45441.30899305556</v>
      </c>
      <c r="C507" s="1" t="n">
        <v>46040</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21392-2024</t>
        </is>
      </c>
      <c r="B508" s="1" t="n">
        <v>45441.30998842593</v>
      </c>
      <c r="C508" s="1" t="n">
        <v>46040</v>
      </c>
      <c r="D508" t="inlineStr">
        <is>
          <t>ÖREBRO LÄN</t>
        </is>
      </c>
      <c r="E508" t="inlineStr">
        <is>
          <t>LINDESBERG</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53187-2025</t>
        </is>
      </c>
      <c r="B509" s="1" t="n">
        <v>45958.55577546296</v>
      </c>
      <c r="C509" s="1" t="n">
        <v>46040</v>
      </c>
      <c r="D509" t="inlineStr">
        <is>
          <t>ÖREBRO LÄN</t>
        </is>
      </c>
      <c r="E509" t="inlineStr">
        <is>
          <t>LINDESBERG</t>
        </is>
      </c>
      <c r="F509" t="inlineStr">
        <is>
          <t>Kommuner</t>
        </is>
      </c>
      <c r="G509" t="n">
        <v>2.7</v>
      </c>
      <c r="H509" t="n">
        <v>0</v>
      </c>
      <c r="I509" t="n">
        <v>0</v>
      </c>
      <c r="J509" t="n">
        <v>0</v>
      </c>
      <c r="K509" t="n">
        <v>0</v>
      </c>
      <c r="L509" t="n">
        <v>0</v>
      </c>
      <c r="M509" t="n">
        <v>0</v>
      </c>
      <c r="N509" t="n">
        <v>0</v>
      </c>
      <c r="O509" t="n">
        <v>0</v>
      </c>
      <c r="P509" t="n">
        <v>0</v>
      </c>
      <c r="Q509" t="n">
        <v>0</v>
      </c>
      <c r="R509" s="2" t="inlineStr"/>
    </row>
    <row r="510" ht="15" customHeight="1">
      <c r="A510" t="inlineStr">
        <is>
          <t>A 10712-2021</t>
        </is>
      </c>
      <c r="B510" s="1" t="n">
        <v>44258</v>
      </c>
      <c r="C510" s="1" t="n">
        <v>46040</v>
      </c>
      <c r="D510" t="inlineStr">
        <is>
          <t>ÖREBRO LÄN</t>
        </is>
      </c>
      <c r="E510" t="inlineStr">
        <is>
          <t>LINDESBERG</t>
        </is>
      </c>
      <c r="G510" t="n">
        <v>0.7</v>
      </c>
      <c r="H510" t="n">
        <v>0</v>
      </c>
      <c r="I510" t="n">
        <v>0</v>
      </c>
      <c r="J510" t="n">
        <v>0</v>
      </c>
      <c r="K510" t="n">
        <v>0</v>
      </c>
      <c r="L510" t="n">
        <v>0</v>
      </c>
      <c r="M510" t="n">
        <v>0</v>
      </c>
      <c r="N510" t="n">
        <v>0</v>
      </c>
      <c r="O510" t="n">
        <v>0</v>
      </c>
      <c r="P510" t="n">
        <v>0</v>
      </c>
      <c r="Q510" t="n">
        <v>0</v>
      </c>
      <c r="R510" s="2" t="inlineStr"/>
    </row>
    <row r="511" ht="15" customHeight="1">
      <c r="A511" t="inlineStr">
        <is>
          <t>A 60806-2025</t>
        </is>
      </c>
      <c r="B511" s="1" t="n">
        <v>45999.43730324074</v>
      </c>
      <c r="C511" s="1" t="n">
        <v>46040</v>
      </c>
      <c r="D511" t="inlineStr">
        <is>
          <t>ÖREBRO LÄN</t>
        </is>
      </c>
      <c r="E511" t="inlineStr">
        <is>
          <t>LINDESBERG</t>
        </is>
      </c>
      <c r="G511" t="n">
        <v>7.9</v>
      </c>
      <c r="H511" t="n">
        <v>0</v>
      </c>
      <c r="I511" t="n">
        <v>0</v>
      </c>
      <c r="J511" t="n">
        <v>0</v>
      </c>
      <c r="K511" t="n">
        <v>0</v>
      </c>
      <c r="L511" t="n">
        <v>0</v>
      </c>
      <c r="M511" t="n">
        <v>0</v>
      </c>
      <c r="N511" t="n">
        <v>0</v>
      </c>
      <c r="O511" t="n">
        <v>0</v>
      </c>
      <c r="P511" t="n">
        <v>0</v>
      </c>
      <c r="Q511" t="n">
        <v>0</v>
      </c>
      <c r="R511" s="2" t="inlineStr"/>
    </row>
    <row r="512" ht="15" customHeight="1">
      <c r="A512" t="inlineStr">
        <is>
          <t>A 7990-2025</t>
        </is>
      </c>
      <c r="B512" s="1" t="n">
        <v>45707</v>
      </c>
      <c r="C512" s="1" t="n">
        <v>46040</v>
      </c>
      <c r="D512" t="inlineStr">
        <is>
          <t>ÖREBRO LÄN</t>
        </is>
      </c>
      <c r="E512" t="inlineStr">
        <is>
          <t>LINDESBERG</t>
        </is>
      </c>
      <c r="G512" t="n">
        <v>4.4</v>
      </c>
      <c r="H512" t="n">
        <v>0</v>
      </c>
      <c r="I512" t="n">
        <v>0</v>
      </c>
      <c r="J512" t="n">
        <v>0</v>
      </c>
      <c r="K512" t="n">
        <v>0</v>
      </c>
      <c r="L512" t="n">
        <v>0</v>
      </c>
      <c r="M512" t="n">
        <v>0</v>
      </c>
      <c r="N512" t="n">
        <v>0</v>
      </c>
      <c r="O512" t="n">
        <v>0</v>
      </c>
      <c r="P512" t="n">
        <v>0</v>
      </c>
      <c r="Q512" t="n">
        <v>0</v>
      </c>
      <c r="R512" s="2" t="inlineStr"/>
    </row>
    <row r="513" ht="15" customHeight="1">
      <c r="A513" t="inlineStr">
        <is>
          <t>A 52402-2025</t>
        </is>
      </c>
      <c r="B513" s="1" t="n">
        <v>45954.35387731482</v>
      </c>
      <c r="C513" s="1" t="n">
        <v>46040</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61691-2023</t>
        </is>
      </c>
      <c r="B514" s="1" t="n">
        <v>45265.64142361111</v>
      </c>
      <c r="C514" s="1" t="n">
        <v>46040</v>
      </c>
      <c r="D514" t="inlineStr">
        <is>
          <t>ÖREBRO LÄN</t>
        </is>
      </c>
      <c r="E514" t="inlineStr">
        <is>
          <t>LINDESBERG</t>
        </is>
      </c>
      <c r="G514" t="n">
        <v>2.6</v>
      </c>
      <c r="H514" t="n">
        <v>0</v>
      </c>
      <c r="I514" t="n">
        <v>0</v>
      </c>
      <c r="J514" t="n">
        <v>0</v>
      </c>
      <c r="K514" t="n">
        <v>0</v>
      </c>
      <c r="L514" t="n">
        <v>0</v>
      </c>
      <c r="M514" t="n">
        <v>0</v>
      </c>
      <c r="N514" t="n">
        <v>0</v>
      </c>
      <c r="O514" t="n">
        <v>0</v>
      </c>
      <c r="P514" t="n">
        <v>0</v>
      </c>
      <c r="Q514" t="n">
        <v>0</v>
      </c>
      <c r="R514" s="2" t="inlineStr"/>
    </row>
    <row r="515" ht="15" customHeight="1">
      <c r="A515" t="inlineStr">
        <is>
          <t>A 13305-2023</t>
        </is>
      </c>
      <c r="B515" s="1" t="n">
        <v>45005.35967592592</v>
      </c>
      <c r="C515" s="1" t="n">
        <v>46040</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13368-2023</t>
        </is>
      </c>
      <c r="B516" s="1" t="n">
        <v>45005.47820601852</v>
      </c>
      <c r="C516" s="1" t="n">
        <v>46040</v>
      </c>
      <c r="D516" t="inlineStr">
        <is>
          <t>ÖREBRO LÄN</t>
        </is>
      </c>
      <c r="E516" t="inlineStr">
        <is>
          <t>LINDESBERG</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29942-2024</t>
        </is>
      </c>
      <c r="B517" s="1" t="n">
        <v>45488.42258101852</v>
      </c>
      <c r="C517" s="1" t="n">
        <v>46040</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37507-2023</t>
        </is>
      </c>
      <c r="B518" s="1" t="n">
        <v>45158.41768518519</v>
      </c>
      <c r="C518" s="1" t="n">
        <v>46040</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8834-2023</t>
        </is>
      </c>
      <c r="B519" s="1" t="n">
        <v>44978</v>
      </c>
      <c r="C519" s="1" t="n">
        <v>46040</v>
      </c>
      <c r="D519" t="inlineStr">
        <is>
          <t>ÖREBRO LÄN</t>
        </is>
      </c>
      <c r="E519" t="inlineStr">
        <is>
          <t>LINDESBERG</t>
        </is>
      </c>
      <c r="G519" t="n">
        <v>0.5</v>
      </c>
      <c r="H519" t="n">
        <v>0</v>
      </c>
      <c r="I519" t="n">
        <v>0</v>
      </c>
      <c r="J519" t="n">
        <v>0</v>
      </c>
      <c r="K519" t="n">
        <v>0</v>
      </c>
      <c r="L519" t="n">
        <v>0</v>
      </c>
      <c r="M519" t="n">
        <v>0</v>
      </c>
      <c r="N519" t="n">
        <v>0</v>
      </c>
      <c r="O519" t="n">
        <v>0</v>
      </c>
      <c r="P519" t="n">
        <v>0</v>
      </c>
      <c r="Q519" t="n">
        <v>0</v>
      </c>
      <c r="R519" s="2" t="inlineStr"/>
    </row>
    <row r="520" ht="15" customHeight="1">
      <c r="A520" t="inlineStr">
        <is>
          <t>A 47110-2024</t>
        </is>
      </c>
      <c r="B520" s="1" t="n">
        <v>45586.55451388889</v>
      </c>
      <c r="C520" s="1" t="n">
        <v>46040</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41576-2021</t>
        </is>
      </c>
      <c r="B521" s="1" t="n">
        <v>44425</v>
      </c>
      <c r="C521" s="1" t="n">
        <v>46040</v>
      </c>
      <c r="D521" t="inlineStr">
        <is>
          <t>ÖREBRO LÄN</t>
        </is>
      </c>
      <c r="E521" t="inlineStr">
        <is>
          <t>LINDESBERG</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46675-2023</t>
        </is>
      </c>
      <c r="B522" s="1" t="n">
        <v>45194</v>
      </c>
      <c r="C522" s="1" t="n">
        <v>46040</v>
      </c>
      <c r="D522" t="inlineStr">
        <is>
          <t>ÖREBRO LÄN</t>
        </is>
      </c>
      <c r="E522" t="inlineStr">
        <is>
          <t>LINDESBERG</t>
        </is>
      </c>
      <c r="G522" t="n">
        <v>3.8</v>
      </c>
      <c r="H522" t="n">
        <v>0</v>
      </c>
      <c r="I522" t="n">
        <v>0</v>
      </c>
      <c r="J522" t="n">
        <v>0</v>
      </c>
      <c r="K522" t="n">
        <v>0</v>
      </c>
      <c r="L522" t="n">
        <v>0</v>
      </c>
      <c r="M522" t="n">
        <v>0</v>
      </c>
      <c r="N522" t="n">
        <v>0</v>
      </c>
      <c r="O522" t="n">
        <v>0</v>
      </c>
      <c r="P522" t="n">
        <v>0</v>
      </c>
      <c r="Q522" t="n">
        <v>0</v>
      </c>
      <c r="R522" s="2" t="inlineStr"/>
    </row>
    <row r="523" ht="15" customHeight="1">
      <c r="A523" t="inlineStr">
        <is>
          <t>A 21468-2024</t>
        </is>
      </c>
      <c r="B523" s="1" t="n">
        <v>45441.48670138889</v>
      </c>
      <c r="C523" s="1" t="n">
        <v>46040</v>
      </c>
      <c r="D523" t="inlineStr">
        <is>
          <t>ÖREBRO LÄN</t>
        </is>
      </c>
      <c r="E523" t="inlineStr">
        <is>
          <t>LINDESBERG</t>
        </is>
      </c>
      <c r="G523" t="n">
        <v>1</v>
      </c>
      <c r="H523" t="n">
        <v>0</v>
      </c>
      <c r="I523" t="n">
        <v>0</v>
      </c>
      <c r="J523" t="n">
        <v>0</v>
      </c>
      <c r="K523" t="n">
        <v>0</v>
      </c>
      <c r="L523" t="n">
        <v>0</v>
      </c>
      <c r="M523" t="n">
        <v>0</v>
      </c>
      <c r="N523" t="n">
        <v>0</v>
      </c>
      <c r="O523" t="n">
        <v>0</v>
      </c>
      <c r="P523" t="n">
        <v>0</v>
      </c>
      <c r="Q523" t="n">
        <v>0</v>
      </c>
      <c r="R523" s="2" t="inlineStr"/>
    </row>
    <row r="524" ht="15" customHeight="1">
      <c r="A524" t="inlineStr">
        <is>
          <t>A 34434-2023</t>
        </is>
      </c>
      <c r="B524" s="1" t="n">
        <v>45139.63480324074</v>
      </c>
      <c r="C524" s="1" t="n">
        <v>46040</v>
      </c>
      <c r="D524" t="inlineStr">
        <is>
          <t>ÖREBRO LÄN</t>
        </is>
      </c>
      <c r="E524" t="inlineStr">
        <is>
          <t>LINDESBERG</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61761-2025</t>
        </is>
      </c>
      <c r="B525" s="1" t="n">
        <v>46002.62465277778</v>
      </c>
      <c r="C525" s="1" t="n">
        <v>46040</v>
      </c>
      <c r="D525" t="inlineStr">
        <is>
          <t>ÖREBRO LÄN</t>
        </is>
      </c>
      <c r="E525" t="inlineStr">
        <is>
          <t>LINDESBERG</t>
        </is>
      </c>
      <c r="G525" t="n">
        <v>3.8</v>
      </c>
      <c r="H525" t="n">
        <v>0</v>
      </c>
      <c r="I525" t="n">
        <v>0</v>
      </c>
      <c r="J525" t="n">
        <v>0</v>
      </c>
      <c r="K525" t="n">
        <v>0</v>
      </c>
      <c r="L525" t="n">
        <v>0</v>
      </c>
      <c r="M525" t="n">
        <v>0</v>
      </c>
      <c r="N525" t="n">
        <v>0</v>
      </c>
      <c r="O525" t="n">
        <v>0</v>
      </c>
      <c r="P525" t="n">
        <v>0</v>
      </c>
      <c r="Q525" t="n">
        <v>0</v>
      </c>
      <c r="R525" s="2" t="inlineStr"/>
    </row>
    <row r="526" ht="15" customHeight="1">
      <c r="A526" t="inlineStr">
        <is>
          <t>A 54855-2024</t>
        </is>
      </c>
      <c r="B526" s="1" t="n">
        <v>45618.58622685185</v>
      </c>
      <c r="C526" s="1" t="n">
        <v>46040</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6727-2022</t>
        </is>
      </c>
      <c r="B527" s="1" t="n">
        <v>44602.45490740741</v>
      </c>
      <c r="C527" s="1" t="n">
        <v>46040</v>
      </c>
      <c r="D527" t="inlineStr">
        <is>
          <t>ÖREBRO LÄN</t>
        </is>
      </c>
      <c r="E527" t="inlineStr">
        <is>
          <t>LINDESBERG</t>
        </is>
      </c>
      <c r="G527" t="n">
        <v>0.8</v>
      </c>
      <c r="H527" t="n">
        <v>0</v>
      </c>
      <c r="I527" t="n">
        <v>0</v>
      </c>
      <c r="J527" t="n">
        <v>0</v>
      </c>
      <c r="K527" t="n">
        <v>0</v>
      </c>
      <c r="L527" t="n">
        <v>0</v>
      </c>
      <c r="M527" t="n">
        <v>0</v>
      </c>
      <c r="N527" t="n">
        <v>0</v>
      </c>
      <c r="O527" t="n">
        <v>0</v>
      </c>
      <c r="P527" t="n">
        <v>0</v>
      </c>
      <c r="Q527" t="n">
        <v>0</v>
      </c>
      <c r="R527" s="2" t="inlineStr"/>
    </row>
    <row r="528" ht="15" customHeight="1">
      <c r="A528" t="inlineStr">
        <is>
          <t>A 61758-2025</t>
        </is>
      </c>
      <c r="B528" s="1" t="n">
        <v>46002.61762731482</v>
      </c>
      <c r="C528" s="1" t="n">
        <v>46040</v>
      </c>
      <c r="D528" t="inlineStr">
        <is>
          <t>ÖREBRO LÄN</t>
        </is>
      </c>
      <c r="E528" t="inlineStr">
        <is>
          <t>LINDESBERG</t>
        </is>
      </c>
      <c r="G528" t="n">
        <v>1.8</v>
      </c>
      <c r="H528" t="n">
        <v>0</v>
      </c>
      <c r="I528" t="n">
        <v>0</v>
      </c>
      <c r="J528" t="n">
        <v>0</v>
      </c>
      <c r="K528" t="n">
        <v>0</v>
      </c>
      <c r="L528" t="n">
        <v>0</v>
      </c>
      <c r="M528" t="n">
        <v>0</v>
      </c>
      <c r="N528" t="n">
        <v>0</v>
      </c>
      <c r="O528" t="n">
        <v>0</v>
      </c>
      <c r="P528" t="n">
        <v>0</v>
      </c>
      <c r="Q528" t="n">
        <v>0</v>
      </c>
      <c r="R528" s="2" t="inlineStr"/>
    </row>
    <row r="529" ht="15" customHeight="1">
      <c r="A529" t="inlineStr">
        <is>
          <t>A 6723-2022</t>
        </is>
      </c>
      <c r="B529" s="1" t="n">
        <v>44602.45162037037</v>
      </c>
      <c r="C529" s="1" t="n">
        <v>46040</v>
      </c>
      <c r="D529" t="inlineStr">
        <is>
          <t>ÖREBRO LÄN</t>
        </is>
      </c>
      <c r="E529" t="inlineStr">
        <is>
          <t>LINDESBERG</t>
        </is>
      </c>
      <c r="G529" t="n">
        <v>4.2</v>
      </c>
      <c r="H529" t="n">
        <v>0</v>
      </c>
      <c r="I529" t="n">
        <v>0</v>
      </c>
      <c r="J529" t="n">
        <v>0</v>
      </c>
      <c r="K529" t="n">
        <v>0</v>
      </c>
      <c r="L529" t="n">
        <v>0</v>
      </c>
      <c r="M529" t="n">
        <v>0</v>
      </c>
      <c r="N529" t="n">
        <v>0</v>
      </c>
      <c r="O529" t="n">
        <v>0</v>
      </c>
      <c r="P529" t="n">
        <v>0</v>
      </c>
      <c r="Q529" t="n">
        <v>0</v>
      </c>
      <c r="R529" s="2" t="inlineStr"/>
    </row>
    <row r="530" ht="15" customHeight="1">
      <c r="A530" t="inlineStr">
        <is>
          <t>A 54432-2023</t>
        </is>
      </c>
      <c r="B530" s="1" t="n">
        <v>45233.42121527778</v>
      </c>
      <c r="C530" s="1" t="n">
        <v>46040</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15933-2025</t>
        </is>
      </c>
      <c r="B531" s="1" t="n">
        <v>45749.47251157407</v>
      </c>
      <c r="C531" s="1" t="n">
        <v>46040</v>
      </c>
      <c r="D531" t="inlineStr">
        <is>
          <t>ÖREBRO LÄN</t>
        </is>
      </c>
      <c r="E531" t="inlineStr">
        <is>
          <t>LINDESBERG</t>
        </is>
      </c>
      <c r="G531" t="n">
        <v>6.1</v>
      </c>
      <c r="H531" t="n">
        <v>0</v>
      </c>
      <c r="I531" t="n">
        <v>0</v>
      </c>
      <c r="J531" t="n">
        <v>0</v>
      </c>
      <c r="K531" t="n">
        <v>0</v>
      </c>
      <c r="L531" t="n">
        <v>0</v>
      </c>
      <c r="M531" t="n">
        <v>0</v>
      </c>
      <c r="N531" t="n">
        <v>0</v>
      </c>
      <c r="O531" t="n">
        <v>0</v>
      </c>
      <c r="P531" t="n">
        <v>0</v>
      </c>
      <c r="Q531" t="n">
        <v>0</v>
      </c>
      <c r="R531" s="2" t="inlineStr"/>
    </row>
    <row r="532" ht="15" customHeight="1">
      <c r="A532" t="inlineStr">
        <is>
          <t>A 15936-2025</t>
        </is>
      </c>
      <c r="B532" s="1" t="n">
        <v>45749.4737962963</v>
      </c>
      <c r="C532" s="1" t="n">
        <v>46040</v>
      </c>
      <c r="D532" t="inlineStr">
        <is>
          <t>ÖREBRO LÄN</t>
        </is>
      </c>
      <c r="E532" t="inlineStr">
        <is>
          <t>LINDESBERG</t>
        </is>
      </c>
      <c r="G532" t="n">
        <v>22.3</v>
      </c>
      <c r="H532" t="n">
        <v>0</v>
      </c>
      <c r="I532" t="n">
        <v>0</v>
      </c>
      <c r="J532" t="n">
        <v>0</v>
      </c>
      <c r="K532" t="n">
        <v>0</v>
      </c>
      <c r="L532" t="n">
        <v>0</v>
      </c>
      <c r="M532" t="n">
        <v>0</v>
      </c>
      <c r="N532" t="n">
        <v>0</v>
      </c>
      <c r="O532" t="n">
        <v>0</v>
      </c>
      <c r="P532" t="n">
        <v>0</v>
      </c>
      <c r="Q532" t="n">
        <v>0</v>
      </c>
      <c r="R532" s="2" t="inlineStr"/>
    </row>
    <row r="533" ht="15" customHeight="1">
      <c r="A533" t="inlineStr">
        <is>
          <t>A 1490-2024</t>
        </is>
      </c>
      <c r="B533" s="1" t="n">
        <v>45305</v>
      </c>
      <c r="C533" s="1" t="n">
        <v>46040</v>
      </c>
      <c r="D533" t="inlineStr">
        <is>
          <t>ÖREBRO LÄN</t>
        </is>
      </c>
      <c r="E533" t="inlineStr">
        <is>
          <t>LINDESBERG</t>
        </is>
      </c>
      <c r="G533" t="n">
        <v>17.6</v>
      </c>
      <c r="H533" t="n">
        <v>0</v>
      </c>
      <c r="I533" t="n">
        <v>0</v>
      </c>
      <c r="J533" t="n">
        <v>0</v>
      </c>
      <c r="K533" t="n">
        <v>0</v>
      </c>
      <c r="L533" t="n">
        <v>0</v>
      </c>
      <c r="M533" t="n">
        <v>0</v>
      </c>
      <c r="N533" t="n">
        <v>0</v>
      </c>
      <c r="O533" t="n">
        <v>0</v>
      </c>
      <c r="P533" t="n">
        <v>0</v>
      </c>
      <c r="Q533" t="n">
        <v>0</v>
      </c>
      <c r="R533" s="2" t="inlineStr"/>
    </row>
    <row r="534" ht="15" customHeight="1">
      <c r="A534" t="inlineStr">
        <is>
          <t>A 53723-2025</t>
        </is>
      </c>
      <c r="B534" s="1" t="n">
        <v>45960.62986111111</v>
      </c>
      <c r="C534" s="1" t="n">
        <v>46040</v>
      </c>
      <c r="D534" t="inlineStr">
        <is>
          <t>ÖREBRO LÄN</t>
        </is>
      </c>
      <c r="E534" t="inlineStr">
        <is>
          <t>LINDESBERG</t>
        </is>
      </c>
      <c r="G534" t="n">
        <v>1.4</v>
      </c>
      <c r="H534" t="n">
        <v>0</v>
      </c>
      <c r="I534" t="n">
        <v>0</v>
      </c>
      <c r="J534" t="n">
        <v>0</v>
      </c>
      <c r="K534" t="n">
        <v>0</v>
      </c>
      <c r="L534" t="n">
        <v>0</v>
      </c>
      <c r="M534" t="n">
        <v>0</v>
      </c>
      <c r="N534" t="n">
        <v>0</v>
      </c>
      <c r="O534" t="n">
        <v>0</v>
      </c>
      <c r="P534" t="n">
        <v>0</v>
      </c>
      <c r="Q534" t="n">
        <v>0</v>
      </c>
      <c r="R534" s="2" t="inlineStr"/>
    </row>
    <row r="535" ht="15" customHeight="1">
      <c r="A535" t="inlineStr">
        <is>
          <t>A 11581-2024</t>
        </is>
      </c>
      <c r="B535" s="1" t="n">
        <v>45373.34383101852</v>
      </c>
      <c r="C535" s="1" t="n">
        <v>46040</v>
      </c>
      <c r="D535" t="inlineStr">
        <is>
          <t>ÖREBRO LÄN</t>
        </is>
      </c>
      <c r="E535" t="inlineStr">
        <is>
          <t>LINDESBERG</t>
        </is>
      </c>
      <c r="F535" t="inlineStr">
        <is>
          <t>BillerudKorsnäs AB</t>
        </is>
      </c>
      <c r="G535" t="n">
        <v>3.9</v>
      </c>
      <c r="H535" t="n">
        <v>0</v>
      </c>
      <c r="I535" t="n">
        <v>0</v>
      </c>
      <c r="J535" t="n">
        <v>0</v>
      </c>
      <c r="K535" t="n">
        <v>0</v>
      </c>
      <c r="L535" t="n">
        <v>0</v>
      </c>
      <c r="M535" t="n">
        <v>0</v>
      </c>
      <c r="N535" t="n">
        <v>0</v>
      </c>
      <c r="O535" t="n">
        <v>0</v>
      </c>
      <c r="P535" t="n">
        <v>0</v>
      </c>
      <c r="Q535" t="n">
        <v>0</v>
      </c>
      <c r="R535" s="2" t="inlineStr"/>
    </row>
    <row r="536" ht="15" customHeight="1">
      <c r="A536" t="inlineStr">
        <is>
          <t>A 61745-2025</t>
        </is>
      </c>
      <c r="B536" s="1" t="n">
        <v>46002.60324074074</v>
      </c>
      <c r="C536" s="1" t="n">
        <v>46040</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53288-2025</t>
        </is>
      </c>
      <c r="B537" s="1" t="n">
        <v>45958.79287037037</v>
      </c>
      <c r="C537" s="1" t="n">
        <v>46040</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53721-2025</t>
        </is>
      </c>
      <c r="B538" s="1" t="n">
        <v>45960</v>
      </c>
      <c r="C538" s="1" t="n">
        <v>46040</v>
      </c>
      <c r="D538" t="inlineStr">
        <is>
          <t>ÖREBRO LÄN</t>
        </is>
      </c>
      <c r="E538" t="inlineStr">
        <is>
          <t>LINDESBERG</t>
        </is>
      </c>
      <c r="G538" t="n">
        <v>3.3</v>
      </c>
      <c r="H538" t="n">
        <v>0</v>
      </c>
      <c r="I538" t="n">
        <v>0</v>
      </c>
      <c r="J538" t="n">
        <v>0</v>
      </c>
      <c r="K538" t="n">
        <v>0</v>
      </c>
      <c r="L538" t="n">
        <v>0</v>
      </c>
      <c r="M538" t="n">
        <v>0</v>
      </c>
      <c r="N538" t="n">
        <v>0</v>
      </c>
      <c r="O538" t="n">
        <v>0</v>
      </c>
      <c r="P538" t="n">
        <v>0</v>
      </c>
      <c r="Q538" t="n">
        <v>0</v>
      </c>
      <c r="R538" s="2" t="inlineStr"/>
    </row>
    <row r="539" ht="15" customHeight="1">
      <c r="A539" t="inlineStr">
        <is>
          <t>A 4997-2024</t>
        </is>
      </c>
      <c r="B539" s="1" t="n">
        <v>45329</v>
      </c>
      <c r="C539" s="1" t="n">
        <v>46040</v>
      </c>
      <c r="D539" t="inlineStr">
        <is>
          <t>ÖREBRO LÄN</t>
        </is>
      </c>
      <c r="E539" t="inlineStr">
        <is>
          <t>LINDESBERG</t>
        </is>
      </c>
      <c r="F539" t="inlineStr">
        <is>
          <t>BillerudKorsnäs AB</t>
        </is>
      </c>
      <c r="G539" t="n">
        <v>3</v>
      </c>
      <c r="H539" t="n">
        <v>0</v>
      </c>
      <c r="I539" t="n">
        <v>0</v>
      </c>
      <c r="J539" t="n">
        <v>0</v>
      </c>
      <c r="K539" t="n">
        <v>0</v>
      </c>
      <c r="L539" t="n">
        <v>0</v>
      </c>
      <c r="M539" t="n">
        <v>0</v>
      </c>
      <c r="N539" t="n">
        <v>0</v>
      </c>
      <c r="O539" t="n">
        <v>0</v>
      </c>
      <c r="P539" t="n">
        <v>0</v>
      </c>
      <c r="Q539" t="n">
        <v>0</v>
      </c>
      <c r="R539" s="2" t="inlineStr"/>
    </row>
    <row r="540" ht="15" customHeight="1">
      <c r="A540" t="inlineStr">
        <is>
          <t>A 53168-2023</t>
        </is>
      </c>
      <c r="B540" s="1" t="n">
        <v>45229</v>
      </c>
      <c r="C540" s="1" t="n">
        <v>46040</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54070-2025</t>
        </is>
      </c>
      <c r="B541" s="1" t="n">
        <v>45964.34680555556</v>
      </c>
      <c r="C541" s="1" t="n">
        <v>46040</v>
      </c>
      <c r="D541" t="inlineStr">
        <is>
          <t>ÖREBRO LÄN</t>
        </is>
      </c>
      <c r="E541" t="inlineStr">
        <is>
          <t>LINDESBERG</t>
        </is>
      </c>
      <c r="G541" t="n">
        <v>0.5</v>
      </c>
      <c r="H541" t="n">
        <v>0</v>
      </c>
      <c r="I541" t="n">
        <v>0</v>
      </c>
      <c r="J541" t="n">
        <v>0</v>
      </c>
      <c r="K541" t="n">
        <v>0</v>
      </c>
      <c r="L541" t="n">
        <v>0</v>
      </c>
      <c r="M541" t="n">
        <v>0</v>
      </c>
      <c r="N541" t="n">
        <v>0</v>
      </c>
      <c r="O541" t="n">
        <v>0</v>
      </c>
      <c r="P541" t="n">
        <v>0</v>
      </c>
      <c r="Q541" t="n">
        <v>0</v>
      </c>
      <c r="R541" s="2" t="inlineStr"/>
    </row>
    <row r="542" ht="15" customHeight="1">
      <c r="A542" t="inlineStr">
        <is>
          <t>A 17242-2025</t>
        </is>
      </c>
      <c r="B542" s="1" t="n">
        <v>45756.49009259259</v>
      </c>
      <c r="C542" s="1" t="n">
        <v>46040</v>
      </c>
      <c r="D542" t="inlineStr">
        <is>
          <t>ÖREBRO LÄN</t>
        </is>
      </c>
      <c r="E542" t="inlineStr">
        <is>
          <t>LINDESBERG</t>
        </is>
      </c>
      <c r="G542" t="n">
        <v>7.3</v>
      </c>
      <c r="H542" t="n">
        <v>0</v>
      </c>
      <c r="I542" t="n">
        <v>0</v>
      </c>
      <c r="J542" t="n">
        <v>0</v>
      </c>
      <c r="K542" t="n">
        <v>0</v>
      </c>
      <c r="L542" t="n">
        <v>0</v>
      </c>
      <c r="M542" t="n">
        <v>0</v>
      </c>
      <c r="N542" t="n">
        <v>0</v>
      </c>
      <c r="O542" t="n">
        <v>0</v>
      </c>
      <c r="P542" t="n">
        <v>0</v>
      </c>
      <c r="Q542" t="n">
        <v>0</v>
      </c>
      <c r="R542" s="2" t="inlineStr"/>
    </row>
    <row r="543" ht="15" customHeight="1">
      <c r="A543" t="inlineStr">
        <is>
          <t>A 62246-2025</t>
        </is>
      </c>
      <c r="B543" s="1" t="n">
        <v>46006.60633101852</v>
      </c>
      <c r="C543" s="1" t="n">
        <v>46040</v>
      </c>
      <c r="D543" t="inlineStr">
        <is>
          <t>ÖREBRO LÄN</t>
        </is>
      </c>
      <c r="E543" t="inlineStr">
        <is>
          <t>LINDESBERG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54250-2025</t>
        </is>
      </c>
      <c r="B544" s="1" t="n">
        <v>45964.64709490741</v>
      </c>
      <c r="C544" s="1" t="n">
        <v>46040</v>
      </c>
      <c r="D544" t="inlineStr">
        <is>
          <t>ÖREBRO LÄN</t>
        </is>
      </c>
      <c r="E544" t="inlineStr">
        <is>
          <t>LINDESBERG</t>
        </is>
      </c>
      <c r="F544" t="inlineStr">
        <is>
          <t>Sveaskog</t>
        </is>
      </c>
      <c r="G544" t="n">
        <v>4.5</v>
      </c>
      <c r="H544" t="n">
        <v>0</v>
      </c>
      <c r="I544" t="n">
        <v>0</v>
      </c>
      <c r="J544" t="n">
        <v>0</v>
      </c>
      <c r="K544" t="n">
        <v>0</v>
      </c>
      <c r="L544" t="n">
        <v>0</v>
      </c>
      <c r="M544" t="n">
        <v>0</v>
      </c>
      <c r="N544" t="n">
        <v>0</v>
      </c>
      <c r="O544" t="n">
        <v>0</v>
      </c>
      <c r="P544" t="n">
        <v>0</v>
      </c>
      <c r="Q544" t="n">
        <v>0</v>
      </c>
      <c r="R544" s="2" t="inlineStr"/>
    </row>
    <row r="545" ht="15" customHeight="1">
      <c r="A545" t="inlineStr">
        <is>
          <t>A 54251-2025</t>
        </is>
      </c>
      <c r="B545" s="1" t="n">
        <v>45964.64778935185</v>
      </c>
      <c r="C545" s="1" t="n">
        <v>46040</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36893-2024</t>
        </is>
      </c>
      <c r="B546" s="1" t="n">
        <v>45538</v>
      </c>
      <c r="C546" s="1" t="n">
        <v>46040</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4603-2024</t>
        </is>
      </c>
      <c r="B547" s="1" t="n">
        <v>45328</v>
      </c>
      <c r="C547" s="1" t="n">
        <v>46040</v>
      </c>
      <c r="D547" t="inlineStr">
        <is>
          <t>ÖREBRO LÄN</t>
        </is>
      </c>
      <c r="E547" t="inlineStr">
        <is>
          <t>LINDESBERG</t>
        </is>
      </c>
      <c r="F547" t="inlineStr">
        <is>
          <t>BillerudKorsnäs AB</t>
        </is>
      </c>
      <c r="G547" t="n">
        <v>4.3</v>
      </c>
      <c r="H547" t="n">
        <v>0</v>
      </c>
      <c r="I547" t="n">
        <v>0</v>
      </c>
      <c r="J547" t="n">
        <v>0</v>
      </c>
      <c r="K547" t="n">
        <v>0</v>
      </c>
      <c r="L547" t="n">
        <v>0</v>
      </c>
      <c r="M547" t="n">
        <v>0</v>
      </c>
      <c r="N547" t="n">
        <v>0</v>
      </c>
      <c r="O547" t="n">
        <v>0</v>
      </c>
      <c r="P547" t="n">
        <v>0</v>
      </c>
      <c r="Q547" t="n">
        <v>0</v>
      </c>
      <c r="R547" s="2" t="inlineStr"/>
    </row>
    <row r="548" ht="15" customHeight="1">
      <c r="A548" t="inlineStr">
        <is>
          <t>A 54240-2025</t>
        </is>
      </c>
      <c r="B548" s="1" t="n">
        <v>45964.62796296296</v>
      </c>
      <c r="C548" s="1" t="n">
        <v>46040</v>
      </c>
      <c r="D548" t="inlineStr">
        <is>
          <t>ÖREBRO LÄN</t>
        </is>
      </c>
      <c r="E548" t="inlineStr">
        <is>
          <t>LINDESBERG</t>
        </is>
      </c>
      <c r="G548" t="n">
        <v>3.9</v>
      </c>
      <c r="H548" t="n">
        <v>0</v>
      </c>
      <c r="I548" t="n">
        <v>0</v>
      </c>
      <c r="J548" t="n">
        <v>0</v>
      </c>
      <c r="K548" t="n">
        <v>0</v>
      </c>
      <c r="L548" t="n">
        <v>0</v>
      </c>
      <c r="M548" t="n">
        <v>0</v>
      </c>
      <c r="N548" t="n">
        <v>0</v>
      </c>
      <c r="O548" t="n">
        <v>0</v>
      </c>
      <c r="P548" t="n">
        <v>0</v>
      </c>
      <c r="Q548" t="n">
        <v>0</v>
      </c>
      <c r="R548" s="2" t="inlineStr"/>
    </row>
    <row r="549" ht="15" customHeight="1">
      <c r="A549" t="inlineStr">
        <is>
          <t>A 53062-2023</t>
        </is>
      </c>
      <c r="B549" s="1" t="n">
        <v>45227.31859953704</v>
      </c>
      <c r="C549" s="1" t="n">
        <v>46040</v>
      </c>
      <c r="D549" t="inlineStr">
        <is>
          <t>ÖREBRO LÄN</t>
        </is>
      </c>
      <c r="E549" t="inlineStr">
        <is>
          <t>LINDESBERG</t>
        </is>
      </c>
      <c r="G549" t="n">
        <v>3.1</v>
      </c>
      <c r="H549" t="n">
        <v>0</v>
      </c>
      <c r="I549" t="n">
        <v>0</v>
      </c>
      <c r="J549" t="n">
        <v>0</v>
      </c>
      <c r="K549" t="n">
        <v>0</v>
      </c>
      <c r="L549" t="n">
        <v>0</v>
      </c>
      <c r="M549" t="n">
        <v>0</v>
      </c>
      <c r="N549" t="n">
        <v>0</v>
      </c>
      <c r="O549" t="n">
        <v>0</v>
      </c>
      <c r="P549" t="n">
        <v>0</v>
      </c>
      <c r="Q549" t="n">
        <v>0</v>
      </c>
      <c r="R549" s="2" t="inlineStr"/>
    </row>
    <row r="550" ht="15" customHeight="1">
      <c r="A550" t="inlineStr">
        <is>
          <t>A 8902-2024</t>
        </is>
      </c>
      <c r="B550" s="1" t="n">
        <v>45357.34521990741</v>
      </c>
      <c r="C550" s="1" t="n">
        <v>46040</v>
      </c>
      <c r="D550" t="inlineStr">
        <is>
          <t>ÖREBRO LÄN</t>
        </is>
      </c>
      <c r="E550" t="inlineStr">
        <is>
          <t>LINDESBERG</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54072-2025</t>
        </is>
      </c>
      <c r="B551" s="1" t="n">
        <v>45964.3550925926</v>
      </c>
      <c r="C551" s="1" t="n">
        <v>46040</v>
      </c>
      <c r="D551" t="inlineStr">
        <is>
          <t>ÖREBRO LÄN</t>
        </is>
      </c>
      <c r="E551" t="inlineStr">
        <is>
          <t>LINDESBERG</t>
        </is>
      </c>
      <c r="G551" t="n">
        <v>1.3</v>
      </c>
      <c r="H551" t="n">
        <v>0</v>
      </c>
      <c r="I551" t="n">
        <v>0</v>
      </c>
      <c r="J551" t="n">
        <v>0</v>
      </c>
      <c r="K551" t="n">
        <v>0</v>
      </c>
      <c r="L551" t="n">
        <v>0</v>
      </c>
      <c r="M551" t="n">
        <v>0</v>
      </c>
      <c r="N551" t="n">
        <v>0</v>
      </c>
      <c r="O551" t="n">
        <v>0</v>
      </c>
      <c r="P551" t="n">
        <v>0</v>
      </c>
      <c r="Q551" t="n">
        <v>0</v>
      </c>
      <c r="R551" s="2" t="inlineStr"/>
    </row>
    <row r="552" ht="15" customHeight="1">
      <c r="A552" t="inlineStr">
        <is>
          <t>A 54249-2025</t>
        </is>
      </c>
      <c r="B552" s="1" t="n">
        <v>45964.64599537037</v>
      </c>
      <c r="C552" s="1" t="n">
        <v>46040</v>
      </c>
      <c r="D552" t="inlineStr">
        <is>
          <t>ÖREBRO LÄN</t>
        </is>
      </c>
      <c r="E552" t="inlineStr">
        <is>
          <t>LINDESBERG</t>
        </is>
      </c>
      <c r="F552" t="inlineStr">
        <is>
          <t>Sveaskog</t>
        </is>
      </c>
      <c r="G552" t="n">
        <v>5.2</v>
      </c>
      <c r="H552" t="n">
        <v>0</v>
      </c>
      <c r="I552" t="n">
        <v>0</v>
      </c>
      <c r="J552" t="n">
        <v>0</v>
      </c>
      <c r="K552" t="n">
        <v>0</v>
      </c>
      <c r="L552" t="n">
        <v>0</v>
      </c>
      <c r="M552" t="n">
        <v>0</v>
      </c>
      <c r="N552" t="n">
        <v>0</v>
      </c>
      <c r="O552" t="n">
        <v>0</v>
      </c>
      <c r="P552" t="n">
        <v>0</v>
      </c>
      <c r="Q552" t="n">
        <v>0</v>
      </c>
      <c r="R552" s="2" t="inlineStr"/>
    </row>
    <row r="553" ht="15" customHeight="1">
      <c r="A553" t="inlineStr">
        <is>
          <t>A 59631-2023</t>
        </is>
      </c>
      <c r="B553" s="1" t="n">
        <v>45254.68105324074</v>
      </c>
      <c r="C553" s="1" t="n">
        <v>46040</v>
      </c>
      <c r="D553" t="inlineStr">
        <is>
          <t>ÖREBRO LÄN</t>
        </is>
      </c>
      <c r="E553" t="inlineStr">
        <is>
          <t>LINDESBERG</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62603-2025</t>
        </is>
      </c>
      <c r="B554" s="1" t="n">
        <v>46008.25765046296</v>
      </c>
      <c r="C554" s="1" t="n">
        <v>46040</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19110-2025</t>
        </is>
      </c>
      <c r="B555" s="1" t="n">
        <v>45768.49947916667</v>
      </c>
      <c r="C555" s="1" t="n">
        <v>46040</v>
      </c>
      <c r="D555" t="inlineStr">
        <is>
          <t>ÖREBRO LÄN</t>
        </is>
      </c>
      <c r="E555" t="inlineStr">
        <is>
          <t>LINDESBERG</t>
        </is>
      </c>
      <c r="G555" t="n">
        <v>2.6</v>
      </c>
      <c r="H555" t="n">
        <v>0</v>
      </c>
      <c r="I555" t="n">
        <v>0</v>
      </c>
      <c r="J555" t="n">
        <v>0</v>
      </c>
      <c r="K555" t="n">
        <v>0</v>
      </c>
      <c r="L555" t="n">
        <v>0</v>
      </c>
      <c r="M555" t="n">
        <v>0</v>
      </c>
      <c r="N555" t="n">
        <v>0</v>
      </c>
      <c r="O555" t="n">
        <v>0</v>
      </c>
      <c r="P555" t="n">
        <v>0</v>
      </c>
      <c r="Q555" t="n">
        <v>0</v>
      </c>
      <c r="R555" s="2" t="inlineStr"/>
    </row>
    <row r="556" ht="15" customHeight="1">
      <c r="A556" t="inlineStr">
        <is>
          <t>A 21245-2024</t>
        </is>
      </c>
      <c r="B556" s="1" t="n">
        <v>45440</v>
      </c>
      <c r="C556" s="1" t="n">
        <v>46040</v>
      </c>
      <c r="D556" t="inlineStr">
        <is>
          <t>ÖREBRO LÄN</t>
        </is>
      </c>
      <c r="E556" t="inlineStr">
        <is>
          <t>LINDESBERG</t>
        </is>
      </c>
      <c r="G556" t="n">
        <v>2</v>
      </c>
      <c r="H556" t="n">
        <v>0</v>
      </c>
      <c r="I556" t="n">
        <v>0</v>
      </c>
      <c r="J556" t="n">
        <v>0</v>
      </c>
      <c r="K556" t="n">
        <v>0</v>
      </c>
      <c r="L556" t="n">
        <v>0</v>
      </c>
      <c r="M556" t="n">
        <v>0</v>
      </c>
      <c r="N556" t="n">
        <v>0</v>
      </c>
      <c r="O556" t="n">
        <v>0</v>
      </c>
      <c r="P556" t="n">
        <v>0</v>
      </c>
      <c r="Q556" t="n">
        <v>0</v>
      </c>
      <c r="R556" s="2" t="inlineStr"/>
    </row>
    <row r="557" ht="15" customHeight="1">
      <c r="A557" t="inlineStr">
        <is>
          <t>A 13968-2025</t>
        </is>
      </c>
      <c r="B557" s="1" t="n">
        <v>45738.42981481482</v>
      </c>
      <c r="C557" s="1" t="n">
        <v>46040</v>
      </c>
      <c r="D557" t="inlineStr">
        <is>
          <t>ÖREBRO LÄN</t>
        </is>
      </c>
      <c r="E557" t="inlineStr">
        <is>
          <t>LINDESBERG</t>
        </is>
      </c>
      <c r="G557" t="n">
        <v>1.5</v>
      </c>
      <c r="H557" t="n">
        <v>0</v>
      </c>
      <c r="I557" t="n">
        <v>0</v>
      </c>
      <c r="J557" t="n">
        <v>0</v>
      </c>
      <c r="K557" t="n">
        <v>0</v>
      </c>
      <c r="L557" t="n">
        <v>0</v>
      </c>
      <c r="M557" t="n">
        <v>0</v>
      </c>
      <c r="N557" t="n">
        <v>0</v>
      </c>
      <c r="O557" t="n">
        <v>0</v>
      </c>
      <c r="P557" t="n">
        <v>0</v>
      </c>
      <c r="Q557" t="n">
        <v>0</v>
      </c>
      <c r="R557" s="2" t="inlineStr"/>
    </row>
    <row r="558" ht="15" customHeight="1">
      <c r="A558" t="inlineStr">
        <is>
          <t>A 29350-2022</t>
        </is>
      </c>
      <c r="B558" s="1" t="n">
        <v>44753</v>
      </c>
      <c r="C558" s="1" t="n">
        <v>46040</v>
      </c>
      <c r="D558" t="inlineStr">
        <is>
          <t>ÖREBRO LÄN</t>
        </is>
      </c>
      <c r="E558" t="inlineStr">
        <is>
          <t>LINDESBERG</t>
        </is>
      </c>
      <c r="G558" t="n">
        <v>7.7</v>
      </c>
      <c r="H558" t="n">
        <v>0</v>
      </c>
      <c r="I558" t="n">
        <v>0</v>
      </c>
      <c r="J558" t="n">
        <v>0</v>
      </c>
      <c r="K558" t="n">
        <v>0</v>
      </c>
      <c r="L558" t="n">
        <v>0</v>
      </c>
      <c r="M558" t="n">
        <v>0</v>
      </c>
      <c r="N558" t="n">
        <v>0</v>
      </c>
      <c r="O558" t="n">
        <v>0</v>
      </c>
      <c r="P558" t="n">
        <v>0</v>
      </c>
      <c r="Q558" t="n">
        <v>0</v>
      </c>
      <c r="R558" s="2" t="inlineStr"/>
    </row>
    <row r="559" ht="15" customHeight="1">
      <c r="A559" t="inlineStr">
        <is>
          <t>A 10836-2024</t>
        </is>
      </c>
      <c r="B559" s="1" t="n">
        <v>45369</v>
      </c>
      <c r="C559" s="1" t="n">
        <v>46040</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10564-2023</t>
        </is>
      </c>
      <c r="B560" s="1" t="n">
        <v>44988</v>
      </c>
      <c r="C560" s="1" t="n">
        <v>46040</v>
      </c>
      <c r="D560" t="inlineStr">
        <is>
          <t>ÖREBRO LÄN</t>
        </is>
      </c>
      <c r="E560" t="inlineStr">
        <is>
          <t>LINDESBERG</t>
        </is>
      </c>
      <c r="F560" t="inlineStr">
        <is>
          <t>Kyrkan</t>
        </is>
      </c>
      <c r="G560" t="n">
        <v>1.6</v>
      </c>
      <c r="H560" t="n">
        <v>0</v>
      </c>
      <c r="I560" t="n">
        <v>0</v>
      </c>
      <c r="J560" t="n">
        <v>0</v>
      </c>
      <c r="K560" t="n">
        <v>0</v>
      </c>
      <c r="L560" t="n">
        <v>0</v>
      </c>
      <c r="M560" t="n">
        <v>0</v>
      </c>
      <c r="N560" t="n">
        <v>0</v>
      </c>
      <c r="O560" t="n">
        <v>0</v>
      </c>
      <c r="P560" t="n">
        <v>0</v>
      </c>
      <c r="Q560" t="n">
        <v>0</v>
      </c>
      <c r="R560" s="2" t="inlineStr"/>
    </row>
    <row r="561" ht="15" customHeight="1">
      <c r="A561" t="inlineStr">
        <is>
          <t>A 62383-2025</t>
        </is>
      </c>
      <c r="B561" s="1" t="n">
        <v>46007.3708449074</v>
      </c>
      <c r="C561" s="1" t="n">
        <v>46040</v>
      </c>
      <c r="D561" t="inlineStr">
        <is>
          <t>ÖREBRO LÄN</t>
        </is>
      </c>
      <c r="E561" t="inlineStr">
        <is>
          <t>LINDESBERG</t>
        </is>
      </c>
      <c r="G561" t="n">
        <v>3.5</v>
      </c>
      <c r="H561" t="n">
        <v>0</v>
      </c>
      <c r="I561" t="n">
        <v>0</v>
      </c>
      <c r="J561" t="n">
        <v>0</v>
      </c>
      <c r="K561" t="n">
        <v>0</v>
      </c>
      <c r="L561" t="n">
        <v>0</v>
      </c>
      <c r="M561" t="n">
        <v>0</v>
      </c>
      <c r="N561" t="n">
        <v>0</v>
      </c>
      <c r="O561" t="n">
        <v>0</v>
      </c>
      <c r="P561" t="n">
        <v>0</v>
      </c>
      <c r="Q561" t="n">
        <v>0</v>
      </c>
      <c r="R561" s="2" t="inlineStr"/>
    </row>
    <row r="562" ht="15" customHeight="1">
      <c r="A562" t="inlineStr">
        <is>
          <t>A 2414-2024</t>
        </is>
      </c>
      <c r="B562" s="1" t="n">
        <v>45310.87931712963</v>
      </c>
      <c r="C562" s="1" t="n">
        <v>46040</v>
      </c>
      <c r="D562" t="inlineStr">
        <is>
          <t>ÖREBRO LÄN</t>
        </is>
      </c>
      <c r="E562" t="inlineStr">
        <is>
          <t>LINDESBERG</t>
        </is>
      </c>
      <c r="G562" t="n">
        <v>7.2</v>
      </c>
      <c r="H562" t="n">
        <v>0</v>
      </c>
      <c r="I562" t="n">
        <v>0</v>
      </c>
      <c r="J562" t="n">
        <v>0</v>
      </c>
      <c r="K562" t="n">
        <v>0</v>
      </c>
      <c r="L562" t="n">
        <v>0</v>
      </c>
      <c r="M562" t="n">
        <v>0</v>
      </c>
      <c r="N562" t="n">
        <v>0</v>
      </c>
      <c r="O562" t="n">
        <v>0</v>
      </c>
      <c r="P562" t="n">
        <v>0</v>
      </c>
      <c r="Q562" t="n">
        <v>0</v>
      </c>
      <c r="R562" s="2" t="inlineStr"/>
    </row>
    <row r="563" ht="15" customHeight="1">
      <c r="A563" t="inlineStr">
        <is>
          <t>A 28463-2024</t>
        </is>
      </c>
      <c r="B563" s="1" t="n">
        <v>45477.70315972222</v>
      </c>
      <c r="C563" s="1" t="n">
        <v>46040</v>
      </c>
      <c r="D563" t="inlineStr">
        <is>
          <t>ÖREBRO LÄN</t>
        </is>
      </c>
      <c r="E563" t="inlineStr">
        <is>
          <t>LINDESBERG</t>
        </is>
      </c>
      <c r="G563" t="n">
        <v>6.3</v>
      </c>
      <c r="H563" t="n">
        <v>0</v>
      </c>
      <c r="I563" t="n">
        <v>0</v>
      </c>
      <c r="J563" t="n">
        <v>0</v>
      </c>
      <c r="K563" t="n">
        <v>0</v>
      </c>
      <c r="L563" t="n">
        <v>0</v>
      </c>
      <c r="M563" t="n">
        <v>0</v>
      </c>
      <c r="N563" t="n">
        <v>0</v>
      </c>
      <c r="O563" t="n">
        <v>0</v>
      </c>
      <c r="P563" t="n">
        <v>0</v>
      </c>
      <c r="Q563" t="n">
        <v>0</v>
      </c>
      <c r="R563" s="2" t="inlineStr"/>
    </row>
    <row r="564" ht="15" customHeight="1">
      <c r="A564" t="inlineStr">
        <is>
          <t>A 62604-2025</t>
        </is>
      </c>
      <c r="B564" s="1" t="n">
        <v>46008.26085648148</v>
      </c>
      <c r="C564" s="1" t="n">
        <v>46040</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14185-2024</t>
        </is>
      </c>
      <c r="B565" s="1" t="n">
        <v>45393.3562962963</v>
      </c>
      <c r="C565" s="1" t="n">
        <v>46040</v>
      </c>
      <c r="D565" t="inlineStr">
        <is>
          <t>ÖREBRO LÄN</t>
        </is>
      </c>
      <c r="E565" t="inlineStr">
        <is>
          <t>LINDESBERG</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11218-2025</t>
        </is>
      </c>
      <c r="B566" s="1" t="n">
        <v>45726.33763888889</v>
      </c>
      <c r="C566" s="1" t="n">
        <v>46040</v>
      </c>
      <c r="D566" t="inlineStr">
        <is>
          <t>ÖREBRO LÄN</t>
        </is>
      </c>
      <c r="E566" t="inlineStr">
        <is>
          <t>LINDESBERG</t>
        </is>
      </c>
      <c r="G566" t="n">
        <v>0.4</v>
      </c>
      <c r="H566" t="n">
        <v>0</v>
      </c>
      <c r="I566" t="n">
        <v>0</v>
      </c>
      <c r="J566" t="n">
        <v>0</v>
      </c>
      <c r="K566" t="n">
        <v>0</v>
      </c>
      <c r="L566" t="n">
        <v>0</v>
      </c>
      <c r="M566" t="n">
        <v>0</v>
      </c>
      <c r="N566" t="n">
        <v>0</v>
      </c>
      <c r="O566" t="n">
        <v>0</v>
      </c>
      <c r="P566" t="n">
        <v>0</v>
      </c>
      <c r="Q566" t="n">
        <v>0</v>
      </c>
      <c r="R566" s="2" t="inlineStr"/>
    </row>
    <row r="567" ht="15" customHeight="1">
      <c r="A567" t="inlineStr">
        <is>
          <t>A 11220-2025</t>
        </is>
      </c>
      <c r="B567" s="1" t="n">
        <v>45726.34090277777</v>
      </c>
      <c r="C567" s="1" t="n">
        <v>46040</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63668-2023</t>
        </is>
      </c>
      <c r="B568" s="1" t="n">
        <v>45274</v>
      </c>
      <c r="C568" s="1" t="n">
        <v>46040</v>
      </c>
      <c r="D568" t="inlineStr">
        <is>
          <t>ÖREBRO LÄN</t>
        </is>
      </c>
      <c r="E568" t="inlineStr">
        <is>
          <t>LINDESBERG</t>
        </is>
      </c>
      <c r="G568" t="n">
        <v>0.7</v>
      </c>
      <c r="H568" t="n">
        <v>0</v>
      </c>
      <c r="I568" t="n">
        <v>0</v>
      </c>
      <c r="J568" t="n">
        <v>0</v>
      </c>
      <c r="K568" t="n">
        <v>0</v>
      </c>
      <c r="L568" t="n">
        <v>0</v>
      </c>
      <c r="M568" t="n">
        <v>0</v>
      </c>
      <c r="N568" t="n">
        <v>0</v>
      </c>
      <c r="O568" t="n">
        <v>0</v>
      </c>
      <c r="P568" t="n">
        <v>0</v>
      </c>
      <c r="Q568" t="n">
        <v>0</v>
      </c>
      <c r="R568" s="2" t="inlineStr"/>
    </row>
    <row r="569" ht="15" customHeight="1">
      <c r="A569" t="inlineStr">
        <is>
          <t>A 8139-2023</t>
        </is>
      </c>
      <c r="B569" s="1" t="n">
        <v>44970</v>
      </c>
      <c r="C569" s="1" t="n">
        <v>46040</v>
      </c>
      <c r="D569" t="inlineStr">
        <is>
          <t>ÖREBRO LÄN</t>
        </is>
      </c>
      <c r="E569" t="inlineStr">
        <is>
          <t>LINDESBERG</t>
        </is>
      </c>
      <c r="G569" t="n">
        <v>3.6</v>
      </c>
      <c r="H569" t="n">
        <v>0</v>
      </c>
      <c r="I569" t="n">
        <v>0</v>
      </c>
      <c r="J569" t="n">
        <v>0</v>
      </c>
      <c r="K569" t="n">
        <v>0</v>
      </c>
      <c r="L569" t="n">
        <v>0</v>
      </c>
      <c r="M569" t="n">
        <v>0</v>
      </c>
      <c r="N569" t="n">
        <v>0</v>
      </c>
      <c r="O569" t="n">
        <v>0</v>
      </c>
      <c r="P569" t="n">
        <v>0</v>
      </c>
      <c r="Q569" t="n">
        <v>0</v>
      </c>
      <c r="R569" s="2" t="inlineStr"/>
    </row>
    <row r="570" ht="15" customHeight="1">
      <c r="A570" t="inlineStr">
        <is>
          <t>A 43801-2024</t>
        </is>
      </c>
      <c r="B570" s="1" t="n">
        <v>45571.71736111111</v>
      </c>
      <c r="C570" s="1" t="n">
        <v>46040</v>
      </c>
      <c r="D570" t="inlineStr">
        <is>
          <t>ÖREBRO LÄN</t>
        </is>
      </c>
      <c r="E570" t="inlineStr">
        <is>
          <t>LINDESBERG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12276-2025</t>
        </is>
      </c>
      <c r="B571" s="1" t="n">
        <v>45729.65061342593</v>
      </c>
      <c r="C571" s="1" t="n">
        <v>46040</v>
      </c>
      <c r="D571" t="inlineStr">
        <is>
          <t>ÖREBRO LÄN</t>
        </is>
      </c>
      <c r="E571" t="inlineStr">
        <is>
          <t>LINDESBERG</t>
        </is>
      </c>
      <c r="G571" t="n">
        <v>7.6</v>
      </c>
      <c r="H571" t="n">
        <v>0</v>
      </c>
      <c r="I571" t="n">
        <v>0</v>
      </c>
      <c r="J571" t="n">
        <v>0</v>
      </c>
      <c r="K571" t="n">
        <v>0</v>
      </c>
      <c r="L571" t="n">
        <v>0</v>
      </c>
      <c r="M571" t="n">
        <v>0</v>
      </c>
      <c r="N571" t="n">
        <v>0</v>
      </c>
      <c r="O571" t="n">
        <v>0</v>
      </c>
      <c r="P571" t="n">
        <v>0</v>
      </c>
      <c r="Q571" t="n">
        <v>0</v>
      </c>
      <c r="R571" s="2" t="inlineStr"/>
    </row>
    <row r="572" ht="15" customHeight="1">
      <c r="A572" t="inlineStr">
        <is>
          <t>A 61222-2022</t>
        </is>
      </c>
      <c r="B572" s="1" t="n">
        <v>44909</v>
      </c>
      <c r="C572" s="1" t="n">
        <v>46040</v>
      </c>
      <c r="D572" t="inlineStr">
        <is>
          <t>ÖREBRO LÄN</t>
        </is>
      </c>
      <c r="E572" t="inlineStr">
        <is>
          <t>LINDESBERG</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61736-2025</t>
        </is>
      </c>
      <c r="B573" s="1" t="n">
        <v>46002</v>
      </c>
      <c r="C573" s="1" t="n">
        <v>46040</v>
      </c>
      <c r="D573" t="inlineStr">
        <is>
          <t>ÖREBRO LÄN</t>
        </is>
      </c>
      <c r="E573" t="inlineStr">
        <is>
          <t>LINDESBERG</t>
        </is>
      </c>
      <c r="G573" t="n">
        <v>4.5</v>
      </c>
      <c r="H573" t="n">
        <v>0</v>
      </c>
      <c r="I573" t="n">
        <v>0</v>
      </c>
      <c r="J573" t="n">
        <v>0</v>
      </c>
      <c r="K573" t="n">
        <v>0</v>
      </c>
      <c r="L573" t="n">
        <v>0</v>
      </c>
      <c r="M573" t="n">
        <v>0</v>
      </c>
      <c r="N573" t="n">
        <v>0</v>
      </c>
      <c r="O573" t="n">
        <v>0</v>
      </c>
      <c r="P573" t="n">
        <v>0</v>
      </c>
      <c r="Q573" t="n">
        <v>0</v>
      </c>
      <c r="R573" s="2" t="inlineStr"/>
    </row>
    <row r="574" ht="15" customHeight="1">
      <c r="A574" t="inlineStr">
        <is>
          <t>A 36291-2022</t>
        </is>
      </c>
      <c r="B574" s="1" t="n">
        <v>44803.64361111111</v>
      </c>
      <c r="C574" s="1" t="n">
        <v>46040</v>
      </c>
      <c r="D574" t="inlineStr">
        <is>
          <t>ÖREBRO LÄN</t>
        </is>
      </c>
      <c r="E574" t="inlineStr">
        <is>
          <t>LINDESBERG</t>
        </is>
      </c>
      <c r="G574" t="n">
        <v>3.8</v>
      </c>
      <c r="H574" t="n">
        <v>0</v>
      </c>
      <c r="I574" t="n">
        <v>0</v>
      </c>
      <c r="J574" t="n">
        <v>0</v>
      </c>
      <c r="K574" t="n">
        <v>0</v>
      </c>
      <c r="L574" t="n">
        <v>0</v>
      </c>
      <c r="M574" t="n">
        <v>0</v>
      </c>
      <c r="N574" t="n">
        <v>0</v>
      </c>
      <c r="O574" t="n">
        <v>0</v>
      </c>
      <c r="P574" t="n">
        <v>0</v>
      </c>
      <c r="Q574" t="n">
        <v>0</v>
      </c>
      <c r="R574" s="2" t="inlineStr"/>
    </row>
    <row r="575" ht="15" customHeight="1">
      <c r="A575" t="inlineStr">
        <is>
          <t>A 72331-2021</t>
        </is>
      </c>
      <c r="B575" s="1" t="n">
        <v>44544</v>
      </c>
      <c r="C575" s="1" t="n">
        <v>46040</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45062-2022</t>
        </is>
      </c>
      <c r="B576" s="1" t="n">
        <v>44841</v>
      </c>
      <c r="C576" s="1" t="n">
        <v>46040</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36754-2024</t>
        </is>
      </c>
      <c r="B577" s="1" t="n">
        <v>45538.34796296297</v>
      </c>
      <c r="C577" s="1" t="n">
        <v>46040</v>
      </c>
      <c r="D577" t="inlineStr">
        <is>
          <t>ÖREBRO LÄN</t>
        </is>
      </c>
      <c r="E577" t="inlineStr">
        <is>
          <t>LINDESBERG</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63083-2025</t>
        </is>
      </c>
      <c r="B578" s="1" t="n">
        <v>46009.67175925926</v>
      </c>
      <c r="C578" s="1" t="n">
        <v>46040</v>
      </c>
      <c r="D578" t="inlineStr">
        <is>
          <t>ÖREBRO LÄN</t>
        </is>
      </c>
      <c r="E578" t="inlineStr">
        <is>
          <t>LINDESBERG</t>
        </is>
      </c>
      <c r="G578" t="n">
        <v>0.7</v>
      </c>
      <c r="H578" t="n">
        <v>0</v>
      </c>
      <c r="I578" t="n">
        <v>0</v>
      </c>
      <c r="J578" t="n">
        <v>0</v>
      </c>
      <c r="K578" t="n">
        <v>0</v>
      </c>
      <c r="L578" t="n">
        <v>0</v>
      </c>
      <c r="M578" t="n">
        <v>0</v>
      </c>
      <c r="N578" t="n">
        <v>0</v>
      </c>
      <c r="O578" t="n">
        <v>0</v>
      </c>
      <c r="P578" t="n">
        <v>0</v>
      </c>
      <c r="Q578" t="n">
        <v>0</v>
      </c>
      <c r="R578" s="2" t="inlineStr"/>
    </row>
    <row r="579" ht="15" customHeight="1">
      <c r="A579" t="inlineStr">
        <is>
          <t>A 50964-2023</t>
        </is>
      </c>
      <c r="B579" s="1" t="n">
        <v>45218.488125</v>
      </c>
      <c r="C579" s="1" t="n">
        <v>46040</v>
      </c>
      <c r="D579" t="inlineStr">
        <is>
          <t>ÖREBRO LÄN</t>
        </is>
      </c>
      <c r="E579" t="inlineStr">
        <is>
          <t>LINDESBERG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55255-2025</t>
        </is>
      </c>
      <c r="B580" s="1" t="n">
        <v>45968.63695601852</v>
      </c>
      <c r="C580" s="1" t="n">
        <v>46040</v>
      </c>
      <c r="D580" t="inlineStr">
        <is>
          <t>ÖREBRO LÄN</t>
        </is>
      </c>
      <c r="E580" t="inlineStr">
        <is>
          <t>LINDESBERG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61597-2023</t>
        </is>
      </c>
      <c r="B581" s="1" t="n">
        <v>45265.49225694445</v>
      </c>
      <c r="C581" s="1" t="n">
        <v>46040</v>
      </c>
      <c r="D581" t="inlineStr">
        <is>
          <t>ÖREBRO LÄN</t>
        </is>
      </c>
      <c r="E581" t="inlineStr">
        <is>
          <t>LINDESBERG</t>
        </is>
      </c>
      <c r="G581" t="n">
        <v>10.3</v>
      </c>
      <c r="H581" t="n">
        <v>0</v>
      </c>
      <c r="I581" t="n">
        <v>0</v>
      </c>
      <c r="J581" t="n">
        <v>0</v>
      </c>
      <c r="K581" t="n">
        <v>0</v>
      </c>
      <c r="L581" t="n">
        <v>0</v>
      </c>
      <c r="M581" t="n">
        <v>0</v>
      </c>
      <c r="N581" t="n">
        <v>0</v>
      </c>
      <c r="O581" t="n">
        <v>0</v>
      </c>
      <c r="P581" t="n">
        <v>0</v>
      </c>
      <c r="Q581" t="n">
        <v>0</v>
      </c>
      <c r="R581" s="2" t="inlineStr"/>
    </row>
    <row r="582" ht="15" customHeight="1">
      <c r="A582" t="inlineStr">
        <is>
          <t>A 60941-2024</t>
        </is>
      </c>
      <c r="B582" s="1" t="n">
        <v>45645.3712037037</v>
      </c>
      <c r="C582" s="1" t="n">
        <v>46040</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62968-2023</t>
        </is>
      </c>
      <c r="B583" s="1" t="n">
        <v>45272.57385416667</v>
      </c>
      <c r="C583" s="1" t="n">
        <v>46040</v>
      </c>
      <c r="D583" t="inlineStr">
        <is>
          <t>ÖREBRO LÄN</t>
        </is>
      </c>
      <c r="E583" t="inlineStr">
        <is>
          <t>LINDESBERG</t>
        </is>
      </c>
      <c r="G583" t="n">
        <v>0.6</v>
      </c>
      <c r="H583" t="n">
        <v>0</v>
      </c>
      <c r="I583" t="n">
        <v>0</v>
      </c>
      <c r="J583" t="n">
        <v>0</v>
      </c>
      <c r="K583" t="n">
        <v>0</v>
      </c>
      <c r="L583" t="n">
        <v>0</v>
      </c>
      <c r="M583" t="n">
        <v>0</v>
      </c>
      <c r="N583" t="n">
        <v>0</v>
      </c>
      <c r="O583" t="n">
        <v>0</v>
      </c>
      <c r="P583" t="n">
        <v>0</v>
      </c>
      <c r="Q583" t="n">
        <v>0</v>
      </c>
      <c r="R583" s="2" t="inlineStr"/>
    </row>
    <row r="584" ht="15" customHeight="1">
      <c r="A584" t="inlineStr">
        <is>
          <t>A 61739-2025</t>
        </is>
      </c>
      <c r="B584" s="1" t="n">
        <v>46002</v>
      </c>
      <c r="C584" s="1" t="n">
        <v>46040</v>
      </c>
      <c r="D584" t="inlineStr">
        <is>
          <t>ÖREBRO LÄN</t>
        </is>
      </c>
      <c r="E584" t="inlineStr">
        <is>
          <t>LINDESBERG</t>
        </is>
      </c>
      <c r="G584" t="n">
        <v>5.3</v>
      </c>
      <c r="H584" t="n">
        <v>0</v>
      </c>
      <c r="I584" t="n">
        <v>0</v>
      </c>
      <c r="J584" t="n">
        <v>0</v>
      </c>
      <c r="K584" t="n">
        <v>0</v>
      </c>
      <c r="L584" t="n">
        <v>0</v>
      </c>
      <c r="M584" t="n">
        <v>0</v>
      </c>
      <c r="N584" t="n">
        <v>0</v>
      </c>
      <c r="O584" t="n">
        <v>0</v>
      </c>
      <c r="P584" t="n">
        <v>0</v>
      </c>
      <c r="Q584" t="n">
        <v>0</v>
      </c>
      <c r="R584" s="2" t="inlineStr"/>
    </row>
    <row r="585" ht="15" customHeight="1">
      <c r="A585" t="inlineStr">
        <is>
          <t>A 64365-2023</t>
        </is>
      </c>
      <c r="B585" s="1" t="n">
        <v>45280</v>
      </c>
      <c r="C585" s="1" t="n">
        <v>46040</v>
      </c>
      <c r="D585" t="inlineStr">
        <is>
          <t>ÖREBRO LÄN</t>
        </is>
      </c>
      <c r="E585" t="inlineStr">
        <is>
          <t>LINDESBERG</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24270-2023</t>
        </is>
      </c>
      <c r="B586" s="1" t="n">
        <v>45079</v>
      </c>
      <c r="C586" s="1" t="n">
        <v>46040</v>
      </c>
      <c r="D586" t="inlineStr">
        <is>
          <t>ÖREBRO LÄN</t>
        </is>
      </c>
      <c r="E586" t="inlineStr">
        <is>
          <t>LINDESBERG</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24271-2023</t>
        </is>
      </c>
      <c r="B587" s="1" t="n">
        <v>45079</v>
      </c>
      <c r="C587" s="1" t="n">
        <v>46040</v>
      </c>
      <c r="D587" t="inlineStr">
        <is>
          <t>ÖREBRO LÄN</t>
        </is>
      </c>
      <c r="E587" t="inlineStr">
        <is>
          <t>LINDESBERG</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37738-2024</t>
        </is>
      </c>
      <c r="B588" s="1" t="n">
        <v>45541.66916666667</v>
      </c>
      <c r="C588" s="1" t="n">
        <v>46040</v>
      </c>
      <c r="D588" t="inlineStr">
        <is>
          <t>ÖREBRO LÄN</t>
        </is>
      </c>
      <c r="E588" t="inlineStr">
        <is>
          <t>LINDESBERG</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55065-2025</t>
        </is>
      </c>
      <c r="B589" s="1" t="n">
        <v>45967.7096875</v>
      </c>
      <c r="C589" s="1" t="n">
        <v>46040</v>
      </c>
      <c r="D589" t="inlineStr">
        <is>
          <t>ÖREBRO LÄN</t>
        </is>
      </c>
      <c r="E589" t="inlineStr">
        <is>
          <t>LINDESBERG</t>
        </is>
      </c>
      <c r="G589" t="n">
        <v>3.5</v>
      </c>
      <c r="H589" t="n">
        <v>0</v>
      </c>
      <c r="I589" t="n">
        <v>0</v>
      </c>
      <c r="J589" t="n">
        <v>0</v>
      </c>
      <c r="K589" t="n">
        <v>0</v>
      </c>
      <c r="L589" t="n">
        <v>0</v>
      </c>
      <c r="M589" t="n">
        <v>0</v>
      </c>
      <c r="N589" t="n">
        <v>0</v>
      </c>
      <c r="O589" t="n">
        <v>0</v>
      </c>
      <c r="P589" t="n">
        <v>0</v>
      </c>
      <c r="Q589" t="n">
        <v>0</v>
      </c>
      <c r="R589" s="2" t="inlineStr"/>
    </row>
    <row r="590" ht="15" customHeight="1">
      <c r="A590" t="inlineStr">
        <is>
          <t>A 33428-2024</t>
        </is>
      </c>
      <c r="B590" s="1" t="n">
        <v>45519.52319444445</v>
      </c>
      <c r="C590" s="1" t="n">
        <v>46040</v>
      </c>
      <c r="D590" t="inlineStr">
        <is>
          <t>ÖREBRO LÄN</t>
        </is>
      </c>
      <c r="E590" t="inlineStr">
        <is>
          <t>LINDESBERG</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55477-2025</t>
        </is>
      </c>
      <c r="B591" s="1" t="n">
        <v>45971.56197916667</v>
      </c>
      <c r="C591" s="1" t="n">
        <v>46040</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62866-2023</t>
        </is>
      </c>
      <c r="B592" s="1" t="n">
        <v>45272.36168981482</v>
      </c>
      <c r="C592" s="1" t="n">
        <v>46040</v>
      </c>
      <c r="D592" t="inlineStr">
        <is>
          <t>ÖREBRO LÄN</t>
        </is>
      </c>
      <c r="E592" t="inlineStr">
        <is>
          <t>LINDESBERG</t>
        </is>
      </c>
      <c r="G592" t="n">
        <v>14.5</v>
      </c>
      <c r="H592" t="n">
        <v>0</v>
      </c>
      <c r="I592" t="n">
        <v>0</v>
      </c>
      <c r="J592" t="n">
        <v>0</v>
      </c>
      <c r="K592" t="n">
        <v>0</v>
      </c>
      <c r="L592" t="n">
        <v>0</v>
      </c>
      <c r="M592" t="n">
        <v>0</v>
      </c>
      <c r="N592" t="n">
        <v>0</v>
      </c>
      <c r="O592" t="n">
        <v>0</v>
      </c>
      <c r="P592" t="n">
        <v>0</v>
      </c>
      <c r="Q592" t="n">
        <v>0</v>
      </c>
      <c r="R592" s="2" t="inlineStr"/>
    </row>
    <row r="593" ht="15" customHeight="1">
      <c r="A593" t="inlineStr">
        <is>
          <t>A 13416-2025</t>
        </is>
      </c>
      <c r="B593" s="1" t="n">
        <v>45736.308125</v>
      </c>
      <c r="C593" s="1" t="n">
        <v>46040</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4013-2025</t>
        </is>
      </c>
      <c r="B594" s="1" t="n">
        <v>45684.5790162037</v>
      </c>
      <c r="C594" s="1" t="n">
        <v>46040</v>
      </c>
      <c r="D594" t="inlineStr">
        <is>
          <t>ÖREBRO LÄN</t>
        </is>
      </c>
      <c r="E594" t="inlineStr">
        <is>
          <t>LINDESBERG</t>
        </is>
      </c>
      <c r="G594" t="n">
        <v>0.9</v>
      </c>
      <c r="H594" t="n">
        <v>0</v>
      </c>
      <c r="I594" t="n">
        <v>0</v>
      </c>
      <c r="J594" t="n">
        <v>0</v>
      </c>
      <c r="K594" t="n">
        <v>0</v>
      </c>
      <c r="L594" t="n">
        <v>0</v>
      </c>
      <c r="M594" t="n">
        <v>0</v>
      </c>
      <c r="N594" t="n">
        <v>0</v>
      </c>
      <c r="O594" t="n">
        <v>0</v>
      </c>
      <c r="P594" t="n">
        <v>0</v>
      </c>
      <c r="Q594" t="n">
        <v>0</v>
      </c>
      <c r="R594" s="2" t="inlineStr"/>
    </row>
    <row r="595" ht="15" customHeight="1">
      <c r="A595" t="inlineStr">
        <is>
          <t>A 55490-2025</t>
        </is>
      </c>
      <c r="B595" s="1" t="n">
        <v>45971.57659722222</v>
      </c>
      <c r="C595" s="1" t="n">
        <v>46040</v>
      </c>
      <c r="D595" t="inlineStr">
        <is>
          <t>ÖREBRO LÄN</t>
        </is>
      </c>
      <c r="E595" t="inlineStr">
        <is>
          <t>LINDESBERG</t>
        </is>
      </c>
      <c r="G595" t="n">
        <v>1.1</v>
      </c>
      <c r="H595" t="n">
        <v>0</v>
      </c>
      <c r="I595" t="n">
        <v>0</v>
      </c>
      <c r="J595" t="n">
        <v>0</v>
      </c>
      <c r="K595" t="n">
        <v>0</v>
      </c>
      <c r="L595" t="n">
        <v>0</v>
      </c>
      <c r="M595" t="n">
        <v>0</v>
      </c>
      <c r="N595" t="n">
        <v>0</v>
      </c>
      <c r="O595" t="n">
        <v>0</v>
      </c>
      <c r="P595" t="n">
        <v>0</v>
      </c>
      <c r="Q595" t="n">
        <v>0</v>
      </c>
      <c r="R595" s="2" t="inlineStr"/>
    </row>
    <row r="596" ht="15" customHeight="1">
      <c r="A596" t="inlineStr">
        <is>
          <t>A 44803-2024</t>
        </is>
      </c>
      <c r="B596" s="1" t="n">
        <v>45574.65087962963</v>
      </c>
      <c r="C596" s="1" t="n">
        <v>46040</v>
      </c>
      <c r="D596" t="inlineStr">
        <is>
          <t>ÖREBRO LÄN</t>
        </is>
      </c>
      <c r="E596" t="inlineStr">
        <is>
          <t>LINDESBERG</t>
        </is>
      </c>
      <c r="F596" t="inlineStr">
        <is>
          <t>Sveaskog</t>
        </is>
      </c>
      <c r="G596" t="n">
        <v>6.8</v>
      </c>
      <c r="H596" t="n">
        <v>0</v>
      </c>
      <c r="I596" t="n">
        <v>0</v>
      </c>
      <c r="J596" t="n">
        <v>0</v>
      </c>
      <c r="K596" t="n">
        <v>0</v>
      </c>
      <c r="L596" t="n">
        <v>0</v>
      </c>
      <c r="M596" t="n">
        <v>0</v>
      </c>
      <c r="N596" t="n">
        <v>0</v>
      </c>
      <c r="O596" t="n">
        <v>0</v>
      </c>
      <c r="P596" t="n">
        <v>0</v>
      </c>
      <c r="Q596" t="n">
        <v>0</v>
      </c>
      <c r="R596" s="2" t="inlineStr"/>
    </row>
    <row r="597" ht="15" customHeight="1">
      <c r="A597" t="inlineStr">
        <is>
          <t>A 59766-2022</t>
        </is>
      </c>
      <c r="B597" s="1" t="n">
        <v>44908.49152777778</v>
      </c>
      <c r="C597" s="1" t="n">
        <v>46040</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33282-2024</t>
        </is>
      </c>
      <c r="B598" s="1" t="n">
        <v>45518.71482638889</v>
      </c>
      <c r="C598" s="1" t="n">
        <v>46040</v>
      </c>
      <c r="D598" t="inlineStr">
        <is>
          <t>ÖREBRO LÄN</t>
        </is>
      </c>
      <c r="E598" t="inlineStr">
        <is>
          <t>LINDESBERG</t>
        </is>
      </c>
      <c r="G598" t="n">
        <v>7.5</v>
      </c>
      <c r="H598" t="n">
        <v>0</v>
      </c>
      <c r="I598" t="n">
        <v>0</v>
      </c>
      <c r="J598" t="n">
        <v>0</v>
      </c>
      <c r="K598" t="n">
        <v>0</v>
      </c>
      <c r="L598" t="n">
        <v>0</v>
      </c>
      <c r="M598" t="n">
        <v>0</v>
      </c>
      <c r="N598" t="n">
        <v>0</v>
      </c>
      <c r="O598" t="n">
        <v>0</v>
      </c>
      <c r="P598" t="n">
        <v>0</v>
      </c>
      <c r="Q598" t="n">
        <v>0</v>
      </c>
      <c r="R598" s="2" t="inlineStr"/>
    </row>
    <row r="599" ht="15" customHeight="1">
      <c r="A599" t="inlineStr">
        <is>
          <t>A 15895-2025</t>
        </is>
      </c>
      <c r="B599" s="1" t="n">
        <v>45749</v>
      </c>
      <c r="C599" s="1" t="n">
        <v>46040</v>
      </c>
      <c r="D599" t="inlineStr">
        <is>
          <t>ÖREBRO LÄN</t>
        </is>
      </c>
      <c r="E599" t="inlineStr">
        <is>
          <t>LINDESBERG</t>
        </is>
      </c>
      <c r="G599" t="n">
        <v>1</v>
      </c>
      <c r="H599" t="n">
        <v>0</v>
      </c>
      <c r="I599" t="n">
        <v>0</v>
      </c>
      <c r="J599" t="n">
        <v>0</v>
      </c>
      <c r="K599" t="n">
        <v>0</v>
      </c>
      <c r="L599" t="n">
        <v>0</v>
      </c>
      <c r="M599" t="n">
        <v>0</v>
      </c>
      <c r="N599" t="n">
        <v>0</v>
      </c>
      <c r="O599" t="n">
        <v>0</v>
      </c>
      <c r="P599" t="n">
        <v>0</v>
      </c>
      <c r="Q599" t="n">
        <v>0</v>
      </c>
      <c r="R599" s="2" t="inlineStr"/>
    </row>
    <row r="600" ht="15" customHeight="1">
      <c r="A600" t="inlineStr">
        <is>
          <t>A 15941-2025</t>
        </is>
      </c>
      <c r="B600" s="1" t="n">
        <v>45749</v>
      </c>
      <c r="C600" s="1" t="n">
        <v>46040</v>
      </c>
      <c r="D600" t="inlineStr">
        <is>
          <t>ÖREBRO LÄN</t>
        </is>
      </c>
      <c r="E600" t="inlineStr">
        <is>
          <t>LINDESBERG</t>
        </is>
      </c>
      <c r="G600" t="n">
        <v>2.4</v>
      </c>
      <c r="H600" t="n">
        <v>0</v>
      </c>
      <c r="I600" t="n">
        <v>0</v>
      </c>
      <c r="J600" t="n">
        <v>0</v>
      </c>
      <c r="K600" t="n">
        <v>0</v>
      </c>
      <c r="L600" t="n">
        <v>0</v>
      </c>
      <c r="M600" t="n">
        <v>0</v>
      </c>
      <c r="N600" t="n">
        <v>0</v>
      </c>
      <c r="O600" t="n">
        <v>0</v>
      </c>
      <c r="P600" t="n">
        <v>0</v>
      </c>
      <c r="Q600" t="n">
        <v>0</v>
      </c>
      <c r="R600" s="2" t="inlineStr"/>
    </row>
    <row r="601" ht="15" customHeight="1">
      <c r="A601" t="inlineStr">
        <is>
          <t>A 54862-2024</t>
        </is>
      </c>
      <c r="B601" s="1" t="n">
        <v>45618</v>
      </c>
      <c r="C601" s="1" t="n">
        <v>46040</v>
      </c>
      <c r="D601" t="inlineStr">
        <is>
          <t>ÖREBRO LÄN</t>
        </is>
      </c>
      <c r="E601" t="inlineStr">
        <is>
          <t>LINDESBERG</t>
        </is>
      </c>
      <c r="F601" t="inlineStr">
        <is>
          <t>Sveaskog</t>
        </is>
      </c>
      <c r="G601" t="n">
        <v>12.2</v>
      </c>
      <c r="H601" t="n">
        <v>0</v>
      </c>
      <c r="I601" t="n">
        <v>0</v>
      </c>
      <c r="J601" t="n">
        <v>0</v>
      </c>
      <c r="K601" t="n">
        <v>0</v>
      </c>
      <c r="L601" t="n">
        <v>0</v>
      </c>
      <c r="M601" t="n">
        <v>0</v>
      </c>
      <c r="N601" t="n">
        <v>0</v>
      </c>
      <c r="O601" t="n">
        <v>0</v>
      </c>
      <c r="P601" t="n">
        <v>0</v>
      </c>
      <c r="Q601" t="n">
        <v>0</v>
      </c>
      <c r="R601" s="2" t="inlineStr"/>
    </row>
    <row r="602" ht="15" customHeight="1">
      <c r="A602" t="inlineStr">
        <is>
          <t>A 1742-2022</t>
        </is>
      </c>
      <c r="B602" s="1" t="n">
        <v>44574.50425925926</v>
      </c>
      <c r="C602" s="1" t="n">
        <v>46040</v>
      </c>
      <c r="D602" t="inlineStr">
        <is>
          <t>ÖREBRO LÄN</t>
        </is>
      </c>
      <c r="E602" t="inlineStr">
        <is>
          <t>LINDESBERG</t>
        </is>
      </c>
      <c r="G602" t="n">
        <v>0.9</v>
      </c>
      <c r="H602" t="n">
        <v>0</v>
      </c>
      <c r="I602" t="n">
        <v>0</v>
      </c>
      <c r="J602" t="n">
        <v>0</v>
      </c>
      <c r="K602" t="n">
        <v>0</v>
      </c>
      <c r="L602" t="n">
        <v>0</v>
      </c>
      <c r="M602" t="n">
        <v>0</v>
      </c>
      <c r="N602" t="n">
        <v>0</v>
      </c>
      <c r="O602" t="n">
        <v>0</v>
      </c>
      <c r="P602" t="n">
        <v>0</v>
      </c>
      <c r="Q602" t="n">
        <v>0</v>
      </c>
      <c r="R602" s="2" t="inlineStr"/>
    </row>
    <row r="603" ht="15" customHeight="1">
      <c r="A603" t="inlineStr">
        <is>
          <t>A 56232-2025</t>
        </is>
      </c>
      <c r="B603" s="1" t="n">
        <v>45974.53239583333</v>
      </c>
      <c r="C603" s="1" t="n">
        <v>46040</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14522-2025</t>
        </is>
      </c>
      <c r="B604" s="1" t="n">
        <v>45741.64491898148</v>
      </c>
      <c r="C604" s="1" t="n">
        <v>46040</v>
      </c>
      <c r="D604" t="inlineStr">
        <is>
          <t>ÖREBRO LÄN</t>
        </is>
      </c>
      <c r="E604" t="inlineStr">
        <is>
          <t>LINDESBERG</t>
        </is>
      </c>
      <c r="G604" t="n">
        <v>4.5</v>
      </c>
      <c r="H604" t="n">
        <v>0</v>
      </c>
      <c r="I604" t="n">
        <v>0</v>
      </c>
      <c r="J604" t="n">
        <v>0</v>
      </c>
      <c r="K604" t="n">
        <v>0</v>
      </c>
      <c r="L604" t="n">
        <v>0</v>
      </c>
      <c r="M604" t="n">
        <v>0</v>
      </c>
      <c r="N604" t="n">
        <v>0</v>
      </c>
      <c r="O604" t="n">
        <v>0</v>
      </c>
      <c r="P604" t="n">
        <v>0</v>
      </c>
      <c r="Q604" t="n">
        <v>0</v>
      </c>
      <c r="R604" s="2" t="inlineStr"/>
    </row>
    <row r="605" ht="15" customHeight="1">
      <c r="A605" t="inlineStr">
        <is>
          <t>A 56308-2025</t>
        </is>
      </c>
      <c r="B605" s="1" t="n">
        <v>45974.61344907407</v>
      </c>
      <c r="C605" s="1" t="n">
        <v>46040</v>
      </c>
      <c r="D605" t="inlineStr">
        <is>
          <t>ÖREBRO LÄN</t>
        </is>
      </c>
      <c r="E605" t="inlineStr">
        <is>
          <t>LINDESBERG</t>
        </is>
      </c>
      <c r="F605" t="inlineStr">
        <is>
          <t>Sveaskog</t>
        </is>
      </c>
      <c r="G605" t="n">
        <v>2.6</v>
      </c>
      <c r="H605" t="n">
        <v>0</v>
      </c>
      <c r="I605" t="n">
        <v>0</v>
      </c>
      <c r="J605" t="n">
        <v>0</v>
      </c>
      <c r="K605" t="n">
        <v>0</v>
      </c>
      <c r="L605" t="n">
        <v>0</v>
      </c>
      <c r="M605" t="n">
        <v>0</v>
      </c>
      <c r="N605" t="n">
        <v>0</v>
      </c>
      <c r="O605" t="n">
        <v>0</v>
      </c>
      <c r="P605" t="n">
        <v>0</v>
      </c>
      <c r="Q605" t="n">
        <v>0</v>
      </c>
      <c r="R605" s="2" t="inlineStr"/>
    </row>
    <row r="606" ht="15" customHeight="1">
      <c r="A606" t="inlineStr">
        <is>
          <t>A 56226-2025</t>
        </is>
      </c>
      <c r="B606" s="1" t="n">
        <v>45974.51283564815</v>
      </c>
      <c r="C606" s="1" t="n">
        <v>46040</v>
      </c>
      <c r="D606" t="inlineStr">
        <is>
          <t>ÖREBRO LÄN</t>
        </is>
      </c>
      <c r="E606" t="inlineStr">
        <is>
          <t>LINDESBERG</t>
        </is>
      </c>
      <c r="G606" t="n">
        <v>1.8</v>
      </c>
      <c r="H606" t="n">
        <v>0</v>
      </c>
      <c r="I606" t="n">
        <v>0</v>
      </c>
      <c r="J606" t="n">
        <v>0</v>
      </c>
      <c r="K606" t="n">
        <v>0</v>
      </c>
      <c r="L606" t="n">
        <v>0</v>
      </c>
      <c r="M606" t="n">
        <v>0</v>
      </c>
      <c r="N606" t="n">
        <v>0</v>
      </c>
      <c r="O606" t="n">
        <v>0</v>
      </c>
      <c r="P606" t="n">
        <v>0</v>
      </c>
      <c r="Q606" t="n">
        <v>0</v>
      </c>
      <c r="R606" s="2" t="inlineStr"/>
    </row>
    <row r="607" ht="15" customHeight="1">
      <c r="A607" t="inlineStr">
        <is>
          <t>A 56306-2025</t>
        </is>
      </c>
      <c r="B607" s="1" t="n">
        <v>45974.61217592593</v>
      </c>
      <c r="C607" s="1" t="n">
        <v>46040</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27130-2024</t>
        </is>
      </c>
      <c r="B608" s="1" t="n">
        <v>45471.52072916667</v>
      </c>
      <c r="C608" s="1" t="n">
        <v>46040</v>
      </c>
      <c r="D608" t="inlineStr">
        <is>
          <t>ÖREBRO LÄN</t>
        </is>
      </c>
      <c r="E608" t="inlineStr">
        <is>
          <t>LINDESBERG</t>
        </is>
      </c>
      <c r="G608" t="n">
        <v>2</v>
      </c>
      <c r="H608" t="n">
        <v>0</v>
      </c>
      <c r="I608" t="n">
        <v>0</v>
      </c>
      <c r="J608" t="n">
        <v>0</v>
      </c>
      <c r="K608" t="n">
        <v>0</v>
      </c>
      <c r="L608" t="n">
        <v>0</v>
      </c>
      <c r="M608" t="n">
        <v>0</v>
      </c>
      <c r="N608" t="n">
        <v>0</v>
      </c>
      <c r="O608" t="n">
        <v>0</v>
      </c>
      <c r="P608" t="n">
        <v>0</v>
      </c>
      <c r="Q608" t="n">
        <v>0</v>
      </c>
      <c r="R608" s="2" t="inlineStr"/>
    </row>
    <row r="609" ht="15" customHeight="1">
      <c r="A609" t="inlineStr">
        <is>
          <t>A 59804-2023</t>
        </is>
      </c>
      <c r="B609" s="1" t="n">
        <v>45257.48188657407</v>
      </c>
      <c r="C609" s="1" t="n">
        <v>46040</v>
      </c>
      <c r="D609" t="inlineStr">
        <is>
          <t>ÖREBRO LÄN</t>
        </is>
      </c>
      <c r="E609" t="inlineStr">
        <is>
          <t>LINDESBERG</t>
        </is>
      </c>
      <c r="G609" t="n">
        <v>1.2</v>
      </c>
      <c r="H609" t="n">
        <v>0</v>
      </c>
      <c r="I609" t="n">
        <v>0</v>
      </c>
      <c r="J609" t="n">
        <v>0</v>
      </c>
      <c r="K609" t="n">
        <v>0</v>
      </c>
      <c r="L609" t="n">
        <v>0</v>
      </c>
      <c r="M609" t="n">
        <v>0</v>
      </c>
      <c r="N609" t="n">
        <v>0</v>
      </c>
      <c r="O609" t="n">
        <v>0</v>
      </c>
      <c r="P609" t="n">
        <v>0</v>
      </c>
      <c r="Q609" t="n">
        <v>0</v>
      </c>
      <c r="R609" s="2" t="inlineStr"/>
    </row>
    <row r="610" ht="15" customHeight="1">
      <c r="A610" t="inlineStr">
        <is>
          <t>A 73860-2021</t>
        </is>
      </c>
      <c r="B610" s="1" t="n">
        <v>44553.35407407407</v>
      </c>
      <c r="C610" s="1" t="n">
        <v>46040</v>
      </c>
      <c r="D610" t="inlineStr">
        <is>
          <t>ÖREBRO LÄN</t>
        </is>
      </c>
      <c r="E610" t="inlineStr">
        <is>
          <t>LINDESBERG</t>
        </is>
      </c>
      <c r="G610" t="n">
        <v>12.7</v>
      </c>
      <c r="H610" t="n">
        <v>0</v>
      </c>
      <c r="I610" t="n">
        <v>0</v>
      </c>
      <c r="J610" t="n">
        <v>0</v>
      </c>
      <c r="K610" t="n">
        <v>0</v>
      </c>
      <c r="L610" t="n">
        <v>0</v>
      </c>
      <c r="M610" t="n">
        <v>0</v>
      </c>
      <c r="N610" t="n">
        <v>0</v>
      </c>
      <c r="O610" t="n">
        <v>0</v>
      </c>
      <c r="P610" t="n">
        <v>0</v>
      </c>
      <c r="Q610" t="n">
        <v>0</v>
      </c>
      <c r="R610" s="2" t="inlineStr"/>
    </row>
    <row r="611" ht="15" customHeight="1">
      <c r="A611" t="inlineStr">
        <is>
          <t>A 56982-2025</t>
        </is>
      </c>
      <c r="B611" s="1" t="n">
        <v>45978.71075231482</v>
      </c>
      <c r="C611" s="1" t="n">
        <v>46040</v>
      </c>
      <c r="D611" t="inlineStr">
        <is>
          <t>ÖREBRO LÄN</t>
        </is>
      </c>
      <c r="E611" t="inlineStr">
        <is>
          <t>LINDESBERG</t>
        </is>
      </c>
      <c r="G611" t="n">
        <v>4.3</v>
      </c>
      <c r="H611" t="n">
        <v>0</v>
      </c>
      <c r="I611" t="n">
        <v>0</v>
      </c>
      <c r="J611" t="n">
        <v>0</v>
      </c>
      <c r="K611" t="n">
        <v>0</v>
      </c>
      <c r="L611" t="n">
        <v>0</v>
      </c>
      <c r="M611" t="n">
        <v>0</v>
      </c>
      <c r="N611" t="n">
        <v>0</v>
      </c>
      <c r="O611" t="n">
        <v>0</v>
      </c>
      <c r="P611" t="n">
        <v>0</v>
      </c>
      <c r="Q611" t="n">
        <v>0</v>
      </c>
      <c r="R611" s="2" t="inlineStr"/>
    </row>
    <row r="612" ht="15" customHeight="1">
      <c r="A612" t="inlineStr">
        <is>
          <t>A 27434-2023</t>
        </is>
      </c>
      <c r="B612" s="1" t="n">
        <v>45097.38688657407</v>
      </c>
      <c r="C612" s="1" t="n">
        <v>46040</v>
      </c>
      <c r="D612" t="inlineStr">
        <is>
          <t>ÖREBRO LÄN</t>
        </is>
      </c>
      <c r="E612" t="inlineStr">
        <is>
          <t>LINDESBERG</t>
        </is>
      </c>
      <c r="G612" t="n">
        <v>10.7</v>
      </c>
      <c r="H612" t="n">
        <v>0</v>
      </c>
      <c r="I612" t="n">
        <v>0</v>
      </c>
      <c r="J612" t="n">
        <v>0</v>
      </c>
      <c r="K612" t="n">
        <v>0</v>
      </c>
      <c r="L612" t="n">
        <v>0</v>
      </c>
      <c r="M612" t="n">
        <v>0</v>
      </c>
      <c r="N612" t="n">
        <v>0</v>
      </c>
      <c r="O612" t="n">
        <v>0</v>
      </c>
      <c r="P612" t="n">
        <v>0</v>
      </c>
      <c r="Q612" t="n">
        <v>0</v>
      </c>
      <c r="R612" s="2" t="inlineStr"/>
    </row>
    <row r="613" ht="15" customHeight="1">
      <c r="A613" t="inlineStr">
        <is>
          <t>A 5358-2022</t>
        </is>
      </c>
      <c r="B613" s="1" t="n">
        <v>44594.84091435185</v>
      </c>
      <c r="C613" s="1" t="n">
        <v>46040</v>
      </c>
      <c r="D613" t="inlineStr">
        <is>
          <t>ÖREBRO LÄN</t>
        </is>
      </c>
      <c r="E613" t="inlineStr">
        <is>
          <t>LINDESBERG</t>
        </is>
      </c>
      <c r="G613" t="n">
        <v>2.8</v>
      </c>
      <c r="H613" t="n">
        <v>0</v>
      </c>
      <c r="I613" t="n">
        <v>0</v>
      </c>
      <c r="J613" t="n">
        <v>0</v>
      </c>
      <c r="K613" t="n">
        <v>0</v>
      </c>
      <c r="L613" t="n">
        <v>0</v>
      </c>
      <c r="M613" t="n">
        <v>0</v>
      </c>
      <c r="N613" t="n">
        <v>0</v>
      </c>
      <c r="O613" t="n">
        <v>0</v>
      </c>
      <c r="P613" t="n">
        <v>0</v>
      </c>
      <c r="Q613" t="n">
        <v>0</v>
      </c>
      <c r="R613" s="2" t="inlineStr"/>
    </row>
    <row r="614" ht="15" customHeight="1">
      <c r="A614" t="inlineStr">
        <is>
          <t>A 13884-2023</t>
        </is>
      </c>
      <c r="B614" s="1" t="n">
        <v>45007</v>
      </c>
      <c r="C614" s="1" t="n">
        <v>46040</v>
      </c>
      <c r="D614" t="inlineStr">
        <is>
          <t>ÖREBRO LÄN</t>
        </is>
      </c>
      <c r="E614" t="inlineStr">
        <is>
          <t>LINDESBERG</t>
        </is>
      </c>
      <c r="F614" t="inlineStr">
        <is>
          <t>Kommuner</t>
        </is>
      </c>
      <c r="G614" t="n">
        <v>7.7</v>
      </c>
      <c r="H614" t="n">
        <v>0</v>
      </c>
      <c r="I614" t="n">
        <v>0</v>
      </c>
      <c r="J614" t="n">
        <v>0</v>
      </c>
      <c r="K614" t="n">
        <v>0</v>
      </c>
      <c r="L614" t="n">
        <v>0</v>
      </c>
      <c r="M614" t="n">
        <v>0</v>
      </c>
      <c r="N614" t="n">
        <v>0</v>
      </c>
      <c r="O614" t="n">
        <v>0</v>
      </c>
      <c r="P614" t="n">
        <v>0</v>
      </c>
      <c r="Q614" t="n">
        <v>0</v>
      </c>
      <c r="R614" s="2" t="inlineStr"/>
    </row>
    <row r="615" ht="15" customHeight="1">
      <c r="A615" t="inlineStr">
        <is>
          <t>A 45060-2024</t>
        </is>
      </c>
      <c r="B615" s="1" t="n">
        <v>45575.55570601852</v>
      </c>
      <c r="C615" s="1" t="n">
        <v>46040</v>
      </c>
      <c r="D615" t="inlineStr">
        <is>
          <t>ÖREBRO LÄN</t>
        </is>
      </c>
      <c r="E615" t="inlineStr">
        <is>
          <t>LINDESBERG</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15324-2024</t>
        </is>
      </c>
      <c r="B616" s="1" t="n">
        <v>45400.66995370371</v>
      </c>
      <c r="C616" s="1" t="n">
        <v>46040</v>
      </c>
      <c r="D616" t="inlineStr">
        <is>
          <t>ÖREBRO LÄN</t>
        </is>
      </c>
      <c r="E616" t="inlineStr">
        <is>
          <t>LINDESBERG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72706-2021</t>
        </is>
      </c>
      <c r="B617" s="1" t="n">
        <v>44546.67222222222</v>
      </c>
      <c r="C617" s="1" t="n">
        <v>46040</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53366-2023</t>
        </is>
      </c>
      <c r="B618" s="1" t="n">
        <v>45229</v>
      </c>
      <c r="C618" s="1" t="n">
        <v>46040</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19219-2023</t>
        </is>
      </c>
      <c r="B619" s="1" t="n">
        <v>45048</v>
      </c>
      <c r="C619" s="1" t="n">
        <v>46040</v>
      </c>
      <c r="D619" t="inlineStr">
        <is>
          <t>ÖREBRO LÄN</t>
        </is>
      </c>
      <c r="E619" t="inlineStr">
        <is>
          <t>LINDESBERG</t>
        </is>
      </c>
      <c r="G619" t="n">
        <v>1</v>
      </c>
      <c r="H619" t="n">
        <v>0</v>
      </c>
      <c r="I619" t="n">
        <v>0</v>
      </c>
      <c r="J619" t="n">
        <v>0</v>
      </c>
      <c r="K619" t="n">
        <v>0</v>
      </c>
      <c r="L619" t="n">
        <v>0</v>
      </c>
      <c r="M619" t="n">
        <v>0</v>
      </c>
      <c r="N619" t="n">
        <v>0</v>
      </c>
      <c r="O619" t="n">
        <v>0</v>
      </c>
      <c r="P619" t="n">
        <v>0</v>
      </c>
      <c r="Q619" t="n">
        <v>0</v>
      </c>
      <c r="R619" s="2" t="inlineStr"/>
    </row>
    <row r="620" ht="15" customHeight="1">
      <c r="A620" t="inlineStr">
        <is>
          <t>A 19043-2023</t>
        </is>
      </c>
      <c r="B620" s="1" t="n">
        <v>45047.7181712963</v>
      </c>
      <c r="C620" s="1" t="n">
        <v>46040</v>
      </c>
      <c r="D620" t="inlineStr">
        <is>
          <t>ÖREBRO LÄN</t>
        </is>
      </c>
      <c r="E620" t="inlineStr">
        <is>
          <t>LINDESBERG</t>
        </is>
      </c>
      <c r="G620" t="n">
        <v>2.6</v>
      </c>
      <c r="H620" t="n">
        <v>0</v>
      </c>
      <c r="I620" t="n">
        <v>0</v>
      </c>
      <c r="J620" t="n">
        <v>0</v>
      </c>
      <c r="K620" t="n">
        <v>0</v>
      </c>
      <c r="L620" t="n">
        <v>0</v>
      </c>
      <c r="M620" t="n">
        <v>0</v>
      </c>
      <c r="N620" t="n">
        <v>0</v>
      </c>
      <c r="O620" t="n">
        <v>0</v>
      </c>
      <c r="P620" t="n">
        <v>0</v>
      </c>
      <c r="Q620" t="n">
        <v>0</v>
      </c>
      <c r="R620" s="2" t="inlineStr"/>
    </row>
    <row r="621" ht="15" customHeight="1">
      <c r="A621" t="inlineStr">
        <is>
          <t>A 27031-2024</t>
        </is>
      </c>
      <c r="B621" s="1" t="n">
        <v>45471.42659722222</v>
      </c>
      <c r="C621" s="1" t="n">
        <v>46040</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4539-2025</t>
        </is>
      </c>
      <c r="B622" s="1" t="n">
        <v>45687</v>
      </c>
      <c r="C622" s="1" t="n">
        <v>46040</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44804-2024</t>
        </is>
      </c>
      <c r="B623" s="1" t="n">
        <v>45574.65189814815</v>
      </c>
      <c r="C623" s="1" t="n">
        <v>46040</v>
      </c>
      <c r="D623" t="inlineStr">
        <is>
          <t>ÖREBRO LÄN</t>
        </is>
      </c>
      <c r="E623" t="inlineStr">
        <is>
          <t>LINDESBERG</t>
        </is>
      </c>
      <c r="F623" t="inlineStr">
        <is>
          <t>Sveaskog</t>
        </is>
      </c>
      <c r="G623" t="n">
        <v>5.7</v>
      </c>
      <c r="H623" t="n">
        <v>0</v>
      </c>
      <c r="I623" t="n">
        <v>0</v>
      </c>
      <c r="J623" t="n">
        <v>0</v>
      </c>
      <c r="K623" t="n">
        <v>0</v>
      </c>
      <c r="L623" t="n">
        <v>0</v>
      </c>
      <c r="M623" t="n">
        <v>0</v>
      </c>
      <c r="N623" t="n">
        <v>0</v>
      </c>
      <c r="O623" t="n">
        <v>0</v>
      </c>
      <c r="P623" t="n">
        <v>0</v>
      </c>
      <c r="Q623" t="n">
        <v>0</v>
      </c>
      <c r="R623" s="2" t="inlineStr"/>
    </row>
    <row r="624" ht="15" customHeight="1">
      <c r="A624" t="inlineStr">
        <is>
          <t>A 38696-2024</t>
        </is>
      </c>
      <c r="B624" s="1" t="n">
        <v>45547.36590277778</v>
      </c>
      <c r="C624" s="1" t="n">
        <v>46040</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4924-2021</t>
        </is>
      </c>
      <c r="B625" s="1" t="n">
        <v>44227</v>
      </c>
      <c r="C625" s="1" t="n">
        <v>46040</v>
      </c>
      <c r="D625" t="inlineStr">
        <is>
          <t>ÖREBRO LÄN</t>
        </is>
      </c>
      <c r="E625" t="inlineStr">
        <is>
          <t>LINDESBERG</t>
        </is>
      </c>
      <c r="G625" t="n">
        <v>1.6</v>
      </c>
      <c r="H625" t="n">
        <v>0</v>
      </c>
      <c r="I625" t="n">
        <v>0</v>
      </c>
      <c r="J625" t="n">
        <v>0</v>
      </c>
      <c r="K625" t="n">
        <v>0</v>
      </c>
      <c r="L625" t="n">
        <v>0</v>
      </c>
      <c r="M625" t="n">
        <v>0</v>
      </c>
      <c r="N625" t="n">
        <v>0</v>
      </c>
      <c r="O625" t="n">
        <v>0</v>
      </c>
      <c r="P625" t="n">
        <v>0</v>
      </c>
      <c r="Q625" t="n">
        <v>0</v>
      </c>
      <c r="R625" s="2" t="inlineStr"/>
    </row>
    <row r="626" ht="15" customHeight="1">
      <c r="A626" t="inlineStr">
        <is>
          <t>A 54663-2021</t>
        </is>
      </c>
      <c r="B626" s="1" t="n">
        <v>44473.6343287037</v>
      </c>
      <c r="C626" s="1" t="n">
        <v>46040</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47066-2023</t>
        </is>
      </c>
      <c r="B627" s="1" t="n">
        <v>45201</v>
      </c>
      <c r="C627" s="1" t="n">
        <v>46040</v>
      </c>
      <c r="D627" t="inlineStr">
        <is>
          <t>ÖREBRO LÄN</t>
        </is>
      </c>
      <c r="E627" t="inlineStr">
        <is>
          <t>LINDESBERG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42410-2024</t>
        </is>
      </c>
      <c r="B628" s="1" t="n">
        <v>45565</v>
      </c>
      <c r="C628" s="1" t="n">
        <v>46040</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55631-2022</t>
        </is>
      </c>
      <c r="B629" s="1" t="n">
        <v>44888.4577662037</v>
      </c>
      <c r="C629" s="1" t="n">
        <v>46040</v>
      </c>
      <c r="D629" t="inlineStr">
        <is>
          <t>ÖREBRO LÄN</t>
        </is>
      </c>
      <c r="E629" t="inlineStr">
        <is>
          <t>LINDESBERG</t>
        </is>
      </c>
      <c r="G629" t="n">
        <v>4.4</v>
      </c>
      <c r="H629" t="n">
        <v>0</v>
      </c>
      <c r="I629" t="n">
        <v>0</v>
      </c>
      <c r="J629" t="n">
        <v>0</v>
      </c>
      <c r="K629" t="n">
        <v>0</v>
      </c>
      <c r="L629" t="n">
        <v>0</v>
      </c>
      <c r="M629" t="n">
        <v>0</v>
      </c>
      <c r="N629" t="n">
        <v>0</v>
      </c>
      <c r="O629" t="n">
        <v>0</v>
      </c>
      <c r="P629" t="n">
        <v>0</v>
      </c>
      <c r="Q629" t="n">
        <v>0</v>
      </c>
      <c r="R629" s="2" t="inlineStr"/>
    </row>
    <row r="630" ht="15" customHeight="1">
      <c r="A630" t="inlineStr">
        <is>
          <t>A 42282-2024</t>
        </is>
      </c>
      <c r="B630" s="1" t="n">
        <v>45562.61158564815</v>
      </c>
      <c r="C630" s="1" t="n">
        <v>46040</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42430-2024</t>
        </is>
      </c>
      <c r="B631" s="1" t="n">
        <v>45565.40700231482</v>
      </c>
      <c r="C631" s="1" t="n">
        <v>46040</v>
      </c>
      <c r="D631" t="inlineStr">
        <is>
          <t>ÖREBRO LÄN</t>
        </is>
      </c>
      <c r="E631" t="inlineStr">
        <is>
          <t>LINDESBERG</t>
        </is>
      </c>
      <c r="G631" t="n">
        <v>4</v>
      </c>
      <c r="H631" t="n">
        <v>0</v>
      </c>
      <c r="I631" t="n">
        <v>0</v>
      </c>
      <c r="J631" t="n">
        <v>0</v>
      </c>
      <c r="K631" t="n">
        <v>0</v>
      </c>
      <c r="L631" t="n">
        <v>0</v>
      </c>
      <c r="M631" t="n">
        <v>0</v>
      </c>
      <c r="N631" t="n">
        <v>0</v>
      </c>
      <c r="O631" t="n">
        <v>0</v>
      </c>
      <c r="P631" t="n">
        <v>0</v>
      </c>
      <c r="Q631" t="n">
        <v>0</v>
      </c>
      <c r="R631" s="2" t="inlineStr"/>
    </row>
    <row r="632" ht="15" customHeight="1">
      <c r="A632" t="inlineStr">
        <is>
          <t>A 32262-2021</t>
        </is>
      </c>
      <c r="B632" s="1" t="n">
        <v>44371.47609953704</v>
      </c>
      <c r="C632" s="1" t="n">
        <v>46040</v>
      </c>
      <c r="D632" t="inlineStr">
        <is>
          <t>ÖREBRO LÄN</t>
        </is>
      </c>
      <c r="E632" t="inlineStr">
        <is>
          <t>LINDESBERG</t>
        </is>
      </c>
      <c r="G632" t="n">
        <v>0.9</v>
      </c>
      <c r="H632" t="n">
        <v>0</v>
      </c>
      <c r="I632" t="n">
        <v>0</v>
      </c>
      <c r="J632" t="n">
        <v>0</v>
      </c>
      <c r="K632" t="n">
        <v>0</v>
      </c>
      <c r="L632" t="n">
        <v>0</v>
      </c>
      <c r="M632" t="n">
        <v>0</v>
      </c>
      <c r="N632" t="n">
        <v>0</v>
      </c>
      <c r="O632" t="n">
        <v>0</v>
      </c>
      <c r="P632" t="n">
        <v>0</v>
      </c>
      <c r="Q632" t="n">
        <v>0</v>
      </c>
      <c r="R632" s="2" t="inlineStr"/>
    </row>
    <row r="633" ht="15" customHeight="1">
      <c r="A633" t="inlineStr">
        <is>
          <t>A 15822-2024</t>
        </is>
      </c>
      <c r="B633" s="1" t="n">
        <v>45404.68190972223</v>
      </c>
      <c r="C633" s="1" t="n">
        <v>46040</v>
      </c>
      <c r="D633" t="inlineStr">
        <is>
          <t>ÖREBRO LÄN</t>
        </is>
      </c>
      <c r="E633" t="inlineStr">
        <is>
          <t>LINDESBERG</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40038-2024</t>
        </is>
      </c>
      <c r="B634" s="1" t="n">
        <v>45553</v>
      </c>
      <c r="C634" s="1" t="n">
        <v>46040</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8213-2023</t>
        </is>
      </c>
      <c r="B635" s="1" t="n">
        <v>44974.55693287037</v>
      </c>
      <c r="C635" s="1" t="n">
        <v>46040</v>
      </c>
      <c r="D635" t="inlineStr">
        <is>
          <t>ÖREBRO LÄN</t>
        </is>
      </c>
      <c r="E635" t="inlineStr">
        <is>
          <t>LINDESBERG</t>
        </is>
      </c>
      <c r="G635" t="n">
        <v>0.7</v>
      </c>
      <c r="H635" t="n">
        <v>0</v>
      </c>
      <c r="I635" t="n">
        <v>0</v>
      </c>
      <c r="J635" t="n">
        <v>0</v>
      </c>
      <c r="K635" t="n">
        <v>0</v>
      </c>
      <c r="L635" t="n">
        <v>0</v>
      </c>
      <c r="M635" t="n">
        <v>0</v>
      </c>
      <c r="N635" t="n">
        <v>0</v>
      </c>
      <c r="O635" t="n">
        <v>0</v>
      </c>
      <c r="P635" t="n">
        <v>0</v>
      </c>
      <c r="Q635" t="n">
        <v>0</v>
      </c>
      <c r="R635" s="2" t="inlineStr"/>
    </row>
    <row r="636" ht="15" customHeight="1">
      <c r="A636" t="inlineStr">
        <is>
          <t>A 48265-2021</t>
        </is>
      </c>
      <c r="B636" s="1" t="n">
        <v>44449</v>
      </c>
      <c r="C636" s="1" t="n">
        <v>46040</v>
      </c>
      <c r="D636" t="inlineStr">
        <is>
          <t>ÖREBRO LÄN</t>
        </is>
      </c>
      <c r="E636" t="inlineStr">
        <is>
          <t>LINDESBERG</t>
        </is>
      </c>
      <c r="G636" t="n">
        <v>23.7</v>
      </c>
      <c r="H636" t="n">
        <v>0</v>
      </c>
      <c r="I636" t="n">
        <v>0</v>
      </c>
      <c r="J636" t="n">
        <v>0</v>
      </c>
      <c r="K636" t="n">
        <v>0</v>
      </c>
      <c r="L636" t="n">
        <v>0</v>
      </c>
      <c r="M636" t="n">
        <v>0</v>
      </c>
      <c r="N636" t="n">
        <v>0</v>
      </c>
      <c r="O636" t="n">
        <v>0</v>
      </c>
      <c r="P636" t="n">
        <v>0</v>
      </c>
      <c r="Q636" t="n">
        <v>0</v>
      </c>
      <c r="R636" s="2" t="inlineStr"/>
    </row>
    <row r="637" ht="15" customHeight="1">
      <c r="A637" t="inlineStr">
        <is>
          <t>A 14028-2023</t>
        </is>
      </c>
      <c r="B637" s="1" t="n">
        <v>45008</v>
      </c>
      <c r="C637" s="1" t="n">
        <v>46040</v>
      </c>
      <c r="D637" t="inlineStr">
        <is>
          <t>ÖREBRO LÄN</t>
        </is>
      </c>
      <c r="E637" t="inlineStr">
        <is>
          <t>LINDESBERG</t>
        </is>
      </c>
      <c r="F637" t="inlineStr">
        <is>
          <t>Kyrkan</t>
        </is>
      </c>
      <c r="G637" t="n">
        <v>1.1</v>
      </c>
      <c r="H637" t="n">
        <v>0</v>
      </c>
      <c r="I637" t="n">
        <v>0</v>
      </c>
      <c r="J637" t="n">
        <v>0</v>
      </c>
      <c r="K637" t="n">
        <v>0</v>
      </c>
      <c r="L637" t="n">
        <v>0</v>
      </c>
      <c r="M637" t="n">
        <v>0</v>
      </c>
      <c r="N637" t="n">
        <v>0</v>
      </c>
      <c r="O637" t="n">
        <v>0</v>
      </c>
      <c r="P637" t="n">
        <v>0</v>
      </c>
      <c r="Q637" t="n">
        <v>0</v>
      </c>
      <c r="R637" s="2" t="inlineStr"/>
    </row>
    <row r="638" ht="15" customHeight="1">
      <c r="A638" t="inlineStr">
        <is>
          <t>A 3732-2023</t>
        </is>
      </c>
      <c r="B638" s="1" t="n">
        <v>44949</v>
      </c>
      <c r="C638" s="1" t="n">
        <v>46040</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47155-2024</t>
        </is>
      </c>
      <c r="B639" s="1" t="n">
        <v>45586</v>
      </c>
      <c r="C639" s="1" t="n">
        <v>46040</v>
      </c>
      <c r="D639" t="inlineStr">
        <is>
          <t>ÖREBRO LÄN</t>
        </is>
      </c>
      <c r="E639" t="inlineStr">
        <is>
          <t>LINDESBERG</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2569-2023</t>
        </is>
      </c>
      <c r="B640" s="1" t="n">
        <v>44943.73792824074</v>
      </c>
      <c r="C640" s="1" t="n">
        <v>46040</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9966-2023</t>
        </is>
      </c>
      <c r="B641" s="1" t="n">
        <v>44979</v>
      </c>
      <c r="C641" s="1" t="n">
        <v>46040</v>
      </c>
      <c r="D641" t="inlineStr">
        <is>
          <t>ÖREBRO LÄN</t>
        </is>
      </c>
      <c r="E641" t="inlineStr">
        <is>
          <t>LINDESBERG</t>
        </is>
      </c>
      <c r="G641" t="n">
        <v>4.1</v>
      </c>
      <c r="H641" t="n">
        <v>0</v>
      </c>
      <c r="I641" t="n">
        <v>0</v>
      </c>
      <c r="J641" t="n">
        <v>0</v>
      </c>
      <c r="K641" t="n">
        <v>0</v>
      </c>
      <c r="L641" t="n">
        <v>0</v>
      </c>
      <c r="M641" t="n">
        <v>0</v>
      </c>
      <c r="N641" t="n">
        <v>0</v>
      </c>
      <c r="O641" t="n">
        <v>0</v>
      </c>
      <c r="P641" t="n">
        <v>0</v>
      </c>
      <c r="Q641" t="n">
        <v>0</v>
      </c>
      <c r="R641" s="2" t="inlineStr"/>
    </row>
    <row r="642" ht="15" customHeight="1">
      <c r="A642" t="inlineStr">
        <is>
          <t>A 57069-2022</t>
        </is>
      </c>
      <c r="B642" s="1" t="n">
        <v>44895</v>
      </c>
      <c r="C642" s="1" t="n">
        <v>46040</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61405-2022</t>
        </is>
      </c>
      <c r="B643" s="1" t="n">
        <v>44916</v>
      </c>
      <c r="C643" s="1" t="n">
        <v>46040</v>
      </c>
      <c r="D643" t="inlineStr">
        <is>
          <t>ÖREBRO LÄN</t>
        </is>
      </c>
      <c r="E643" t="inlineStr">
        <is>
          <t>LINDESBERG</t>
        </is>
      </c>
      <c r="G643" t="n">
        <v>4.4</v>
      </c>
      <c r="H643" t="n">
        <v>0</v>
      </c>
      <c r="I643" t="n">
        <v>0</v>
      </c>
      <c r="J643" t="n">
        <v>0</v>
      </c>
      <c r="K643" t="n">
        <v>0</v>
      </c>
      <c r="L643" t="n">
        <v>0</v>
      </c>
      <c r="M643" t="n">
        <v>0</v>
      </c>
      <c r="N643" t="n">
        <v>0</v>
      </c>
      <c r="O643" t="n">
        <v>0</v>
      </c>
      <c r="P643" t="n">
        <v>0</v>
      </c>
      <c r="Q643" t="n">
        <v>0</v>
      </c>
      <c r="R643" s="2" t="inlineStr"/>
    </row>
    <row r="644" ht="15" customHeight="1">
      <c r="A644" t="inlineStr">
        <is>
          <t>A 47069-2023</t>
        </is>
      </c>
      <c r="B644" s="1" t="n">
        <v>45201</v>
      </c>
      <c r="C644" s="1" t="n">
        <v>46040</v>
      </c>
      <c r="D644" t="inlineStr">
        <is>
          <t>ÖREBRO LÄN</t>
        </is>
      </c>
      <c r="E644" t="inlineStr">
        <is>
          <t>LINDESBERG</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47074-2023</t>
        </is>
      </c>
      <c r="B645" s="1" t="n">
        <v>45201.60283564815</v>
      </c>
      <c r="C645" s="1" t="n">
        <v>46040</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9961-2023</t>
        </is>
      </c>
      <c r="B646" s="1" t="n">
        <v>44979</v>
      </c>
      <c r="C646" s="1" t="n">
        <v>46040</v>
      </c>
      <c r="D646" t="inlineStr">
        <is>
          <t>ÖREBRO LÄN</t>
        </is>
      </c>
      <c r="E646" t="inlineStr">
        <is>
          <t>LINDESBERG</t>
        </is>
      </c>
      <c r="G646" t="n">
        <v>4.8</v>
      </c>
      <c r="H646" t="n">
        <v>0</v>
      </c>
      <c r="I646" t="n">
        <v>0</v>
      </c>
      <c r="J646" t="n">
        <v>0</v>
      </c>
      <c r="K646" t="n">
        <v>0</v>
      </c>
      <c r="L646" t="n">
        <v>0</v>
      </c>
      <c r="M646" t="n">
        <v>0</v>
      </c>
      <c r="N646" t="n">
        <v>0</v>
      </c>
      <c r="O646" t="n">
        <v>0</v>
      </c>
      <c r="P646" t="n">
        <v>0</v>
      </c>
      <c r="Q646" t="n">
        <v>0</v>
      </c>
      <c r="R646" s="2" t="inlineStr"/>
    </row>
    <row r="647" ht="15" customHeight="1">
      <c r="A647" t="inlineStr">
        <is>
          <t>A 45041-2024</t>
        </is>
      </c>
      <c r="B647" s="1" t="n">
        <v>45575.53690972222</v>
      </c>
      <c r="C647" s="1" t="n">
        <v>46040</v>
      </c>
      <c r="D647" t="inlineStr">
        <is>
          <t>ÖREBRO LÄN</t>
        </is>
      </c>
      <c r="E647" t="inlineStr">
        <is>
          <t>LINDESBERG</t>
        </is>
      </c>
      <c r="F647" t="inlineStr">
        <is>
          <t>Sveaskog</t>
        </is>
      </c>
      <c r="G647" t="n">
        <v>0.3</v>
      </c>
      <c r="H647" t="n">
        <v>0</v>
      </c>
      <c r="I647" t="n">
        <v>0</v>
      </c>
      <c r="J647" t="n">
        <v>0</v>
      </c>
      <c r="K647" t="n">
        <v>0</v>
      </c>
      <c r="L647" t="n">
        <v>0</v>
      </c>
      <c r="M647" t="n">
        <v>0</v>
      </c>
      <c r="N647" t="n">
        <v>0</v>
      </c>
      <c r="O647" t="n">
        <v>0</v>
      </c>
      <c r="P647" t="n">
        <v>0</v>
      </c>
      <c r="Q647" t="n">
        <v>0</v>
      </c>
      <c r="R647" s="2" t="inlineStr"/>
    </row>
    <row r="648" ht="15" customHeight="1">
      <c r="A648" t="inlineStr">
        <is>
          <t>A 45068-2024</t>
        </is>
      </c>
      <c r="B648" s="1" t="n">
        <v>45575.56256944445</v>
      </c>
      <c r="C648" s="1" t="n">
        <v>46040</v>
      </c>
      <c r="D648" t="inlineStr">
        <is>
          <t>ÖREBRO LÄN</t>
        </is>
      </c>
      <c r="E648" t="inlineStr">
        <is>
          <t>LINDESBERG</t>
        </is>
      </c>
      <c r="F648" t="inlineStr">
        <is>
          <t>Sveaskog</t>
        </is>
      </c>
      <c r="G648" t="n">
        <v>16.5</v>
      </c>
      <c r="H648" t="n">
        <v>0</v>
      </c>
      <c r="I648" t="n">
        <v>0</v>
      </c>
      <c r="J648" t="n">
        <v>0</v>
      </c>
      <c r="K648" t="n">
        <v>0</v>
      </c>
      <c r="L648" t="n">
        <v>0</v>
      </c>
      <c r="M648" t="n">
        <v>0</v>
      </c>
      <c r="N648" t="n">
        <v>0</v>
      </c>
      <c r="O648" t="n">
        <v>0</v>
      </c>
      <c r="P648" t="n">
        <v>0</v>
      </c>
      <c r="Q648" t="n">
        <v>0</v>
      </c>
      <c r="R648" s="2" t="inlineStr"/>
    </row>
    <row r="649" ht="15" customHeight="1">
      <c r="A649" t="inlineStr">
        <is>
          <t>A 39419-2023</t>
        </is>
      </c>
      <c r="B649" s="1" t="n">
        <v>45166.68493055556</v>
      </c>
      <c r="C649" s="1" t="n">
        <v>46040</v>
      </c>
      <c r="D649" t="inlineStr">
        <is>
          <t>ÖREBRO LÄN</t>
        </is>
      </c>
      <c r="E649" t="inlineStr">
        <is>
          <t>LINDESBERG</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53352-2023</t>
        </is>
      </c>
      <c r="B650" s="1" t="n">
        <v>45229.66262731481</v>
      </c>
      <c r="C650" s="1" t="n">
        <v>46040</v>
      </c>
      <c r="D650" t="inlineStr">
        <is>
          <t>ÖREBRO LÄN</t>
        </is>
      </c>
      <c r="E650" t="inlineStr">
        <is>
          <t>LINDESBERG</t>
        </is>
      </c>
      <c r="F650" t="inlineStr">
        <is>
          <t>Sveaskog</t>
        </is>
      </c>
      <c r="G650" t="n">
        <v>0.3</v>
      </c>
      <c r="H650" t="n">
        <v>0</v>
      </c>
      <c r="I650" t="n">
        <v>0</v>
      </c>
      <c r="J650" t="n">
        <v>0</v>
      </c>
      <c r="K650" t="n">
        <v>0</v>
      </c>
      <c r="L650" t="n">
        <v>0</v>
      </c>
      <c r="M650" t="n">
        <v>0</v>
      </c>
      <c r="N650" t="n">
        <v>0</v>
      </c>
      <c r="O650" t="n">
        <v>0</v>
      </c>
      <c r="P650" t="n">
        <v>0</v>
      </c>
      <c r="Q650" t="n">
        <v>0</v>
      </c>
      <c r="R650" s="2" t="inlineStr"/>
    </row>
    <row r="651" ht="15" customHeight="1">
      <c r="A651" t="inlineStr">
        <is>
          <t>A 15213-2025</t>
        </is>
      </c>
      <c r="B651" s="1" t="n">
        <v>45744.57851851852</v>
      </c>
      <c r="C651" s="1" t="n">
        <v>46040</v>
      </c>
      <c r="D651" t="inlineStr">
        <is>
          <t>ÖREBRO LÄN</t>
        </is>
      </c>
      <c r="E651" t="inlineStr">
        <is>
          <t>LINDESBERG</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46678-2023</t>
        </is>
      </c>
      <c r="B652" s="1" t="n">
        <v>45194</v>
      </c>
      <c r="C652" s="1" t="n">
        <v>46040</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26967-2022</t>
        </is>
      </c>
      <c r="B653" s="1" t="n">
        <v>44740.66997685185</v>
      </c>
      <c r="C653" s="1" t="n">
        <v>46040</v>
      </c>
      <c r="D653" t="inlineStr">
        <is>
          <t>ÖREBRO LÄN</t>
        </is>
      </c>
      <c r="E653" t="inlineStr">
        <is>
          <t>LINDESBERG</t>
        </is>
      </c>
      <c r="G653" t="n">
        <v>1.6</v>
      </c>
      <c r="H653" t="n">
        <v>0</v>
      </c>
      <c r="I653" t="n">
        <v>0</v>
      </c>
      <c r="J653" t="n">
        <v>0</v>
      </c>
      <c r="K653" t="n">
        <v>0</v>
      </c>
      <c r="L653" t="n">
        <v>0</v>
      </c>
      <c r="M653" t="n">
        <v>0</v>
      </c>
      <c r="N653" t="n">
        <v>0</v>
      </c>
      <c r="O653" t="n">
        <v>0</v>
      </c>
      <c r="P653" t="n">
        <v>0</v>
      </c>
      <c r="Q653" t="n">
        <v>0</v>
      </c>
      <c r="R653" s="2" t="inlineStr"/>
    </row>
    <row r="654" ht="15" customHeight="1">
      <c r="A654" t="inlineStr">
        <is>
          <t>A 10825-2021</t>
        </is>
      </c>
      <c r="B654" s="1" t="n">
        <v>44259</v>
      </c>
      <c r="C654" s="1" t="n">
        <v>46040</v>
      </c>
      <c r="D654" t="inlineStr">
        <is>
          <t>ÖREBRO LÄN</t>
        </is>
      </c>
      <c r="E654" t="inlineStr">
        <is>
          <t>LINDESBERG</t>
        </is>
      </c>
      <c r="G654" t="n">
        <v>7.4</v>
      </c>
      <c r="H654" t="n">
        <v>0</v>
      </c>
      <c r="I654" t="n">
        <v>0</v>
      </c>
      <c r="J654" t="n">
        <v>0</v>
      </c>
      <c r="K654" t="n">
        <v>0</v>
      </c>
      <c r="L654" t="n">
        <v>0</v>
      </c>
      <c r="M654" t="n">
        <v>0</v>
      </c>
      <c r="N654" t="n">
        <v>0</v>
      </c>
      <c r="O654" t="n">
        <v>0</v>
      </c>
      <c r="P654" t="n">
        <v>0</v>
      </c>
      <c r="Q654" t="n">
        <v>0</v>
      </c>
      <c r="R654" s="2" t="inlineStr"/>
    </row>
    <row r="655" ht="15" customHeight="1">
      <c r="A655" t="inlineStr">
        <is>
          <t>A 45978-2021</t>
        </is>
      </c>
      <c r="B655" s="1" t="n">
        <v>44441.70047453704</v>
      </c>
      <c r="C655" s="1" t="n">
        <v>46040</v>
      </c>
      <c r="D655" t="inlineStr">
        <is>
          <t>ÖREBRO LÄN</t>
        </is>
      </c>
      <c r="E655" t="inlineStr">
        <is>
          <t>LINDESBERG</t>
        </is>
      </c>
      <c r="G655" t="n">
        <v>4.4</v>
      </c>
      <c r="H655" t="n">
        <v>0</v>
      </c>
      <c r="I655" t="n">
        <v>0</v>
      </c>
      <c r="J655" t="n">
        <v>0</v>
      </c>
      <c r="K655" t="n">
        <v>0</v>
      </c>
      <c r="L655" t="n">
        <v>0</v>
      </c>
      <c r="M655" t="n">
        <v>0</v>
      </c>
      <c r="N655" t="n">
        <v>0</v>
      </c>
      <c r="O655" t="n">
        <v>0</v>
      </c>
      <c r="P655" t="n">
        <v>0</v>
      </c>
      <c r="Q655" t="n">
        <v>0</v>
      </c>
      <c r="R655" s="2" t="inlineStr"/>
    </row>
    <row r="656" ht="15" customHeight="1">
      <c r="A656" t="inlineStr">
        <is>
          <t>A 14454-2024</t>
        </is>
      </c>
      <c r="B656" s="1" t="n">
        <v>45394.51289351852</v>
      </c>
      <c r="C656" s="1" t="n">
        <v>46040</v>
      </c>
      <c r="D656" t="inlineStr">
        <is>
          <t>ÖREBRO LÄN</t>
        </is>
      </c>
      <c r="E656" t="inlineStr">
        <is>
          <t>LINDESBERG</t>
        </is>
      </c>
      <c r="G656" t="n">
        <v>1.9</v>
      </c>
      <c r="H656" t="n">
        <v>0</v>
      </c>
      <c r="I656" t="n">
        <v>0</v>
      </c>
      <c r="J656" t="n">
        <v>0</v>
      </c>
      <c r="K656" t="n">
        <v>0</v>
      </c>
      <c r="L656" t="n">
        <v>0</v>
      </c>
      <c r="M656" t="n">
        <v>0</v>
      </c>
      <c r="N656" t="n">
        <v>0</v>
      </c>
      <c r="O656" t="n">
        <v>0</v>
      </c>
      <c r="P656" t="n">
        <v>0</v>
      </c>
      <c r="Q656" t="n">
        <v>0</v>
      </c>
      <c r="R656" s="2" t="inlineStr"/>
    </row>
    <row r="657" ht="15" customHeight="1">
      <c r="A657" t="inlineStr">
        <is>
          <t>A 40303-2024</t>
        </is>
      </c>
      <c r="B657" s="1" t="n">
        <v>45554.7158912037</v>
      </c>
      <c r="C657" s="1" t="n">
        <v>46040</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46484-2024</t>
        </is>
      </c>
      <c r="B658" s="1" t="n">
        <v>45582.57542824074</v>
      </c>
      <c r="C658" s="1" t="n">
        <v>46040</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19436-2025</t>
        </is>
      </c>
      <c r="B659" s="1" t="n">
        <v>45769.98449074074</v>
      </c>
      <c r="C659" s="1" t="n">
        <v>46040</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13350-2024</t>
        </is>
      </c>
      <c r="B660" s="1" t="n">
        <v>45387.24732638889</v>
      </c>
      <c r="C660" s="1" t="n">
        <v>46040</v>
      </c>
      <c r="D660" t="inlineStr">
        <is>
          <t>ÖREBRO LÄN</t>
        </is>
      </c>
      <c r="E660" t="inlineStr">
        <is>
          <t>LINDESBERG</t>
        </is>
      </c>
      <c r="G660" t="n">
        <v>4.1</v>
      </c>
      <c r="H660" t="n">
        <v>0</v>
      </c>
      <c r="I660" t="n">
        <v>0</v>
      </c>
      <c r="J660" t="n">
        <v>0</v>
      </c>
      <c r="K660" t="n">
        <v>0</v>
      </c>
      <c r="L660" t="n">
        <v>0</v>
      </c>
      <c r="M660" t="n">
        <v>0</v>
      </c>
      <c r="N660" t="n">
        <v>0</v>
      </c>
      <c r="O660" t="n">
        <v>0</v>
      </c>
      <c r="P660" t="n">
        <v>0</v>
      </c>
      <c r="Q660" t="n">
        <v>0</v>
      </c>
      <c r="R660" s="2" t="inlineStr"/>
    </row>
    <row r="661" ht="15" customHeight="1">
      <c r="A661" t="inlineStr">
        <is>
          <t>A 13351-2024</t>
        </is>
      </c>
      <c r="B661" s="1" t="n">
        <v>45387.2521875</v>
      </c>
      <c r="C661" s="1" t="n">
        <v>46040</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15745-2024</t>
        </is>
      </c>
      <c r="B662" s="1" t="n">
        <v>45404.55239583334</v>
      </c>
      <c r="C662" s="1" t="n">
        <v>46040</v>
      </c>
      <c r="D662" t="inlineStr">
        <is>
          <t>ÖREBRO LÄN</t>
        </is>
      </c>
      <c r="E662" t="inlineStr">
        <is>
          <t>LINDESBERG</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15750-2024</t>
        </is>
      </c>
      <c r="B663" s="1" t="n">
        <v>45404.55601851852</v>
      </c>
      <c r="C663" s="1" t="n">
        <v>46040</v>
      </c>
      <c r="D663" t="inlineStr">
        <is>
          <t>ÖREBRO LÄN</t>
        </is>
      </c>
      <c r="E663" t="inlineStr">
        <is>
          <t>LINDESBERG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60115-2022</t>
        </is>
      </c>
      <c r="B664" s="1" t="n">
        <v>44902</v>
      </c>
      <c r="C664" s="1" t="n">
        <v>46040</v>
      </c>
      <c r="D664" t="inlineStr">
        <is>
          <t>ÖREBRO LÄN</t>
        </is>
      </c>
      <c r="E664" t="inlineStr">
        <is>
          <t>LINDESBERG</t>
        </is>
      </c>
      <c r="G664" t="n">
        <v>0.5</v>
      </c>
      <c r="H664" t="n">
        <v>0</v>
      </c>
      <c r="I664" t="n">
        <v>0</v>
      </c>
      <c r="J664" t="n">
        <v>0</v>
      </c>
      <c r="K664" t="n">
        <v>0</v>
      </c>
      <c r="L664" t="n">
        <v>0</v>
      </c>
      <c r="M664" t="n">
        <v>0</v>
      </c>
      <c r="N664" t="n">
        <v>0</v>
      </c>
      <c r="O664" t="n">
        <v>0</v>
      </c>
      <c r="P664" t="n">
        <v>0</v>
      </c>
      <c r="Q664" t="n">
        <v>0</v>
      </c>
      <c r="R664" s="2" t="inlineStr"/>
    </row>
    <row r="665" ht="15" customHeight="1">
      <c r="A665" t="inlineStr">
        <is>
          <t>A 6752-2021</t>
        </is>
      </c>
      <c r="B665" s="1" t="n">
        <v>44236</v>
      </c>
      <c r="C665" s="1" t="n">
        <v>46040</v>
      </c>
      <c r="D665" t="inlineStr">
        <is>
          <t>ÖREBRO LÄN</t>
        </is>
      </c>
      <c r="E665" t="inlineStr">
        <is>
          <t>LINDESBERG</t>
        </is>
      </c>
      <c r="G665" t="n">
        <v>2.6</v>
      </c>
      <c r="H665" t="n">
        <v>0</v>
      </c>
      <c r="I665" t="n">
        <v>0</v>
      </c>
      <c r="J665" t="n">
        <v>0</v>
      </c>
      <c r="K665" t="n">
        <v>0</v>
      </c>
      <c r="L665" t="n">
        <v>0</v>
      </c>
      <c r="M665" t="n">
        <v>0</v>
      </c>
      <c r="N665" t="n">
        <v>0</v>
      </c>
      <c r="O665" t="n">
        <v>0</v>
      </c>
      <c r="P665" t="n">
        <v>0</v>
      </c>
      <c r="Q665" t="n">
        <v>0</v>
      </c>
      <c r="R665" s="2" t="inlineStr"/>
      <c r="U665">
        <f>HYPERLINK("https://klasma.github.io/Logging_1885/knärot/A 6752-2021 karta knärot.png", "A 6752-2021")</f>
        <v/>
      </c>
      <c r="V665">
        <f>HYPERLINK("https://klasma.github.io/Logging_1885/klagomål/A 6752-2021 FSC-klagomål.docx", "A 6752-2021")</f>
        <v/>
      </c>
      <c r="W665">
        <f>HYPERLINK("https://klasma.github.io/Logging_1885/klagomålsmail/A 6752-2021 FSC-klagomål mail.docx", "A 6752-2021")</f>
        <v/>
      </c>
      <c r="X665">
        <f>HYPERLINK("https://klasma.github.io/Logging_1885/tillsyn/A 6752-2021 tillsynsbegäran.docx", "A 6752-2021")</f>
        <v/>
      </c>
      <c r="Y665">
        <f>HYPERLINK("https://klasma.github.io/Logging_1885/tillsynsmail/A 6752-2021 tillsynsbegäran mail.docx", "A 6752-2021")</f>
        <v/>
      </c>
    </row>
    <row r="666" ht="15" customHeight="1">
      <c r="A666" t="inlineStr">
        <is>
          <t>A 29857-2023</t>
        </is>
      </c>
      <c r="B666" s="1" t="n">
        <v>45107</v>
      </c>
      <c r="C666" s="1" t="n">
        <v>46040</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12053-2024</t>
        </is>
      </c>
      <c r="B667" s="1" t="n">
        <v>45377.48265046296</v>
      </c>
      <c r="C667" s="1" t="n">
        <v>46040</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44664-2023</t>
        </is>
      </c>
      <c r="B668" s="1" t="n">
        <v>45189</v>
      </c>
      <c r="C668" s="1" t="n">
        <v>46040</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18610-2021</t>
        </is>
      </c>
      <c r="B669" s="1" t="n">
        <v>44306.6371412037</v>
      </c>
      <c r="C669" s="1" t="n">
        <v>46040</v>
      </c>
      <c r="D669" t="inlineStr">
        <is>
          <t>ÖREBRO LÄN</t>
        </is>
      </c>
      <c r="E669" t="inlineStr">
        <is>
          <t>LINDESBERG</t>
        </is>
      </c>
      <c r="G669" t="n">
        <v>3</v>
      </c>
      <c r="H669" t="n">
        <v>0</v>
      </c>
      <c r="I669" t="n">
        <v>0</v>
      </c>
      <c r="J669" t="n">
        <v>0</v>
      </c>
      <c r="K669" t="n">
        <v>0</v>
      </c>
      <c r="L669" t="n">
        <v>0</v>
      </c>
      <c r="M669" t="n">
        <v>0</v>
      </c>
      <c r="N669" t="n">
        <v>0</v>
      </c>
      <c r="O669" t="n">
        <v>0</v>
      </c>
      <c r="P669" t="n">
        <v>0</v>
      </c>
      <c r="Q669" t="n">
        <v>0</v>
      </c>
      <c r="R669" s="2" t="inlineStr"/>
    </row>
    <row r="670" ht="15" customHeight="1">
      <c r="A670" t="inlineStr">
        <is>
          <t>A 39137-2024</t>
        </is>
      </c>
      <c r="B670" s="1" t="n">
        <v>45548</v>
      </c>
      <c r="C670" s="1" t="n">
        <v>46040</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39152-2024</t>
        </is>
      </c>
      <c r="B671" s="1" t="n">
        <v>45548</v>
      </c>
      <c r="C671" s="1" t="n">
        <v>46040</v>
      </c>
      <c r="D671" t="inlineStr">
        <is>
          <t>ÖREBRO LÄN</t>
        </is>
      </c>
      <c r="E671" t="inlineStr">
        <is>
          <t>LINDESBERG</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19026-2021</t>
        </is>
      </c>
      <c r="B672" s="1" t="n">
        <v>44308</v>
      </c>
      <c r="C672" s="1" t="n">
        <v>46040</v>
      </c>
      <c r="D672" t="inlineStr">
        <is>
          <t>ÖREBRO LÄN</t>
        </is>
      </c>
      <c r="E672" t="inlineStr">
        <is>
          <t>LINDESBERG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43529-2024</t>
        </is>
      </c>
      <c r="B673" s="1" t="n">
        <v>45569.35209490741</v>
      </c>
      <c r="C673" s="1" t="n">
        <v>46040</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46607-2021</t>
        </is>
      </c>
      <c r="B674" s="1" t="n">
        <v>44445.55690972223</v>
      </c>
      <c r="C674" s="1" t="n">
        <v>46040</v>
      </c>
      <c r="D674" t="inlineStr">
        <is>
          <t>ÖREBRO LÄN</t>
        </is>
      </c>
      <c r="E674" t="inlineStr">
        <is>
          <t>LINDESBERG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47535-2022</t>
        </is>
      </c>
      <c r="B675" s="1" t="n">
        <v>44853.79818287037</v>
      </c>
      <c r="C675" s="1" t="n">
        <v>46040</v>
      </c>
      <c r="D675" t="inlineStr">
        <is>
          <t>ÖREBRO LÄN</t>
        </is>
      </c>
      <c r="E675" t="inlineStr">
        <is>
          <t>LINDESBERG</t>
        </is>
      </c>
      <c r="G675" t="n">
        <v>3</v>
      </c>
      <c r="H675" t="n">
        <v>0</v>
      </c>
      <c r="I675" t="n">
        <v>0</v>
      </c>
      <c r="J675" t="n">
        <v>0</v>
      </c>
      <c r="K675" t="n">
        <v>0</v>
      </c>
      <c r="L675" t="n">
        <v>0</v>
      </c>
      <c r="M675" t="n">
        <v>0</v>
      </c>
      <c r="N675" t="n">
        <v>0</v>
      </c>
      <c r="O675" t="n">
        <v>0</v>
      </c>
      <c r="P675" t="n">
        <v>0</v>
      </c>
      <c r="Q675" t="n">
        <v>0</v>
      </c>
      <c r="R675" s="2" t="inlineStr"/>
    </row>
    <row r="676" ht="15" customHeight="1">
      <c r="A676" t="inlineStr">
        <is>
          <t>A 30830-2024</t>
        </is>
      </c>
      <c r="B676" s="1" t="n">
        <v>45497</v>
      </c>
      <c r="C676" s="1" t="n">
        <v>46040</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59395-2022</t>
        </is>
      </c>
      <c r="B677" s="1" t="n">
        <v>44906.73321759259</v>
      </c>
      <c r="C677" s="1" t="n">
        <v>46040</v>
      </c>
      <c r="D677" t="inlineStr">
        <is>
          <t>ÖREBRO LÄN</t>
        </is>
      </c>
      <c r="E677" t="inlineStr">
        <is>
          <t>LINDESBERG</t>
        </is>
      </c>
      <c r="G677" t="n">
        <v>4.3</v>
      </c>
      <c r="H677" t="n">
        <v>0</v>
      </c>
      <c r="I677" t="n">
        <v>0</v>
      </c>
      <c r="J677" t="n">
        <v>0</v>
      </c>
      <c r="K677" t="n">
        <v>0</v>
      </c>
      <c r="L677" t="n">
        <v>0</v>
      </c>
      <c r="M677" t="n">
        <v>0</v>
      </c>
      <c r="N677" t="n">
        <v>0</v>
      </c>
      <c r="O677" t="n">
        <v>0</v>
      </c>
      <c r="P677" t="n">
        <v>0</v>
      </c>
      <c r="Q677" t="n">
        <v>0</v>
      </c>
      <c r="R677" s="2" t="inlineStr"/>
    </row>
    <row r="678" ht="15" customHeight="1">
      <c r="A678" t="inlineStr">
        <is>
          <t>A 27051-2023</t>
        </is>
      </c>
      <c r="B678" s="1" t="n">
        <v>45095</v>
      </c>
      <c r="C678" s="1" t="n">
        <v>46040</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27052-2023</t>
        </is>
      </c>
      <c r="B679" s="1" t="n">
        <v>45095</v>
      </c>
      <c r="C679" s="1" t="n">
        <v>46040</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58710-2023</t>
        </is>
      </c>
      <c r="B680" s="1" t="n">
        <v>45251.696875</v>
      </c>
      <c r="C680" s="1" t="n">
        <v>46040</v>
      </c>
      <c r="D680" t="inlineStr">
        <is>
          <t>ÖREBRO LÄN</t>
        </is>
      </c>
      <c r="E680" t="inlineStr">
        <is>
          <t>LINDESBERG</t>
        </is>
      </c>
      <c r="G680" t="n">
        <v>6.3</v>
      </c>
      <c r="H680" t="n">
        <v>0</v>
      </c>
      <c r="I680" t="n">
        <v>0</v>
      </c>
      <c r="J680" t="n">
        <v>0</v>
      </c>
      <c r="K680" t="n">
        <v>0</v>
      </c>
      <c r="L680" t="n">
        <v>0</v>
      </c>
      <c r="M680" t="n">
        <v>0</v>
      </c>
      <c r="N680" t="n">
        <v>0</v>
      </c>
      <c r="O680" t="n">
        <v>0</v>
      </c>
      <c r="P680" t="n">
        <v>0</v>
      </c>
      <c r="Q680" t="n">
        <v>0</v>
      </c>
      <c r="R680" s="2" t="inlineStr"/>
    </row>
    <row r="681" ht="15" customHeight="1">
      <c r="A681" t="inlineStr">
        <is>
          <t>A 5772-2023</t>
        </is>
      </c>
      <c r="B681" s="1" t="n">
        <v>44963.37709490741</v>
      </c>
      <c r="C681" s="1" t="n">
        <v>46040</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55272-2023</t>
        </is>
      </c>
      <c r="B682" s="1" t="n">
        <v>45237.67819444444</v>
      </c>
      <c r="C682" s="1" t="n">
        <v>46040</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53597-2024</t>
        </is>
      </c>
      <c r="B683" s="1" t="n">
        <v>45614.68083333333</v>
      </c>
      <c r="C683" s="1" t="n">
        <v>46040</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20210-2024</t>
        </is>
      </c>
      <c r="B684" s="1" t="n">
        <v>45434.65854166666</v>
      </c>
      <c r="C684" s="1" t="n">
        <v>46040</v>
      </c>
      <c r="D684" t="inlineStr">
        <is>
          <t>ÖREBRO LÄN</t>
        </is>
      </c>
      <c r="E684" t="inlineStr">
        <is>
          <t>LINDESBERG</t>
        </is>
      </c>
      <c r="G684" t="n">
        <v>5.5</v>
      </c>
      <c r="H684" t="n">
        <v>0</v>
      </c>
      <c r="I684" t="n">
        <v>0</v>
      </c>
      <c r="J684" t="n">
        <v>0</v>
      </c>
      <c r="K684" t="n">
        <v>0</v>
      </c>
      <c r="L684" t="n">
        <v>0</v>
      </c>
      <c r="M684" t="n">
        <v>0</v>
      </c>
      <c r="N684" t="n">
        <v>0</v>
      </c>
      <c r="O684" t="n">
        <v>0</v>
      </c>
      <c r="P684" t="n">
        <v>0</v>
      </c>
      <c r="Q684" t="n">
        <v>0</v>
      </c>
      <c r="R684" s="2" t="inlineStr"/>
    </row>
    <row r="685" ht="15" customHeight="1">
      <c r="A685" t="inlineStr">
        <is>
          <t>A 27576-2024</t>
        </is>
      </c>
      <c r="B685" s="1" t="n">
        <v>45474.65005787037</v>
      </c>
      <c r="C685" s="1" t="n">
        <v>46040</v>
      </c>
      <c r="D685" t="inlineStr">
        <is>
          <t>ÖREBRO LÄN</t>
        </is>
      </c>
      <c r="E685" t="inlineStr">
        <is>
          <t>LINDESBERG</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21986-2023</t>
        </is>
      </c>
      <c r="B686" s="1" t="n">
        <v>45068</v>
      </c>
      <c r="C686" s="1" t="n">
        <v>46040</v>
      </c>
      <c r="D686" t="inlineStr">
        <is>
          <t>ÖREBRO LÄN</t>
        </is>
      </c>
      <c r="E686" t="inlineStr">
        <is>
          <t>LINDESBERG</t>
        </is>
      </c>
      <c r="G686" t="n">
        <v>1.4</v>
      </c>
      <c r="H686" t="n">
        <v>0</v>
      </c>
      <c r="I686" t="n">
        <v>0</v>
      </c>
      <c r="J686" t="n">
        <v>0</v>
      </c>
      <c r="K686" t="n">
        <v>0</v>
      </c>
      <c r="L686" t="n">
        <v>0</v>
      </c>
      <c r="M686" t="n">
        <v>0</v>
      </c>
      <c r="N686" t="n">
        <v>0</v>
      </c>
      <c r="O686" t="n">
        <v>0</v>
      </c>
      <c r="P686" t="n">
        <v>0</v>
      </c>
      <c r="Q686" t="n">
        <v>0</v>
      </c>
      <c r="R686" s="2" t="inlineStr"/>
    </row>
    <row r="687" ht="15" customHeight="1">
      <c r="A687" t="inlineStr">
        <is>
          <t>A 52930-2024</t>
        </is>
      </c>
      <c r="B687" s="1" t="n">
        <v>45610.7466087963</v>
      </c>
      <c r="C687" s="1" t="n">
        <v>46040</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2103-2022</t>
        </is>
      </c>
      <c r="B688" s="1" t="n">
        <v>44577.81121527778</v>
      </c>
      <c r="C688" s="1" t="n">
        <v>46040</v>
      </c>
      <c r="D688" t="inlineStr">
        <is>
          <t>ÖREBRO LÄN</t>
        </is>
      </c>
      <c r="E688" t="inlineStr">
        <is>
          <t>LINDESBERG</t>
        </is>
      </c>
      <c r="G688" t="n">
        <v>1.4</v>
      </c>
      <c r="H688" t="n">
        <v>0</v>
      </c>
      <c r="I688" t="n">
        <v>0</v>
      </c>
      <c r="J688" t="n">
        <v>0</v>
      </c>
      <c r="K688" t="n">
        <v>0</v>
      </c>
      <c r="L688" t="n">
        <v>0</v>
      </c>
      <c r="M688" t="n">
        <v>0</v>
      </c>
      <c r="N688" t="n">
        <v>0</v>
      </c>
      <c r="O688" t="n">
        <v>0</v>
      </c>
      <c r="P688" t="n">
        <v>0</v>
      </c>
      <c r="Q688" t="n">
        <v>0</v>
      </c>
      <c r="R688" s="2" t="inlineStr"/>
    </row>
    <row r="689" ht="15" customHeight="1">
      <c r="A689" t="inlineStr">
        <is>
          <t>A 26340-2022</t>
        </is>
      </c>
      <c r="B689" s="1" t="n">
        <v>44735.62539351852</v>
      </c>
      <c r="C689" s="1" t="n">
        <v>46040</v>
      </c>
      <c r="D689" t="inlineStr">
        <is>
          <t>ÖREBRO LÄN</t>
        </is>
      </c>
      <c r="E689" t="inlineStr">
        <is>
          <t>LINDESBERG</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23536-2023</t>
        </is>
      </c>
      <c r="B690" s="1" t="n">
        <v>45077</v>
      </c>
      <c r="C690" s="1" t="n">
        <v>46040</v>
      </c>
      <c r="D690" t="inlineStr">
        <is>
          <t>ÖREBRO LÄN</t>
        </is>
      </c>
      <c r="E690" t="inlineStr">
        <is>
          <t>LINDESBERG</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61969-2023</t>
        </is>
      </c>
      <c r="B691" s="1" t="n">
        <v>45266.58394675926</v>
      </c>
      <c r="C691" s="1" t="n">
        <v>46040</v>
      </c>
      <c r="D691" t="inlineStr">
        <is>
          <t>ÖREBRO LÄN</t>
        </is>
      </c>
      <c r="E691" t="inlineStr">
        <is>
          <t>LINDESBERG</t>
        </is>
      </c>
      <c r="G691" t="n">
        <v>10.5</v>
      </c>
      <c r="H691" t="n">
        <v>0</v>
      </c>
      <c r="I691" t="n">
        <v>0</v>
      </c>
      <c r="J691" t="n">
        <v>0</v>
      </c>
      <c r="K691" t="n">
        <v>0</v>
      </c>
      <c r="L691" t="n">
        <v>0</v>
      </c>
      <c r="M691" t="n">
        <v>0</v>
      </c>
      <c r="N691" t="n">
        <v>0</v>
      </c>
      <c r="O691" t="n">
        <v>0</v>
      </c>
      <c r="P691" t="n">
        <v>0</v>
      </c>
      <c r="Q691" t="n">
        <v>0</v>
      </c>
      <c r="R691" s="2" t="inlineStr"/>
    </row>
    <row r="692" ht="15" customHeight="1">
      <c r="A692" t="inlineStr">
        <is>
          <t>A 54860-2024</t>
        </is>
      </c>
      <c r="B692" s="1" t="n">
        <v>45618.59219907408</v>
      </c>
      <c r="C692" s="1" t="n">
        <v>46040</v>
      </c>
      <c r="D692" t="inlineStr">
        <is>
          <t>ÖREBRO LÄN</t>
        </is>
      </c>
      <c r="E692" t="inlineStr">
        <is>
          <t>LINDESBERG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6962-2023</t>
        </is>
      </c>
      <c r="B693" s="1" t="n">
        <v>44967.60165509259</v>
      </c>
      <c r="C693" s="1" t="n">
        <v>46040</v>
      </c>
      <c r="D693" t="inlineStr">
        <is>
          <t>ÖREBRO LÄN</t>
        </is>
      </c>
      <c r="E693" t="inlineStr">
        <is>
          <t>LINDESBERG</t>
        </is>
      </c>
      <c r="G693" t="n">
        <v>11.4</v>
      </c>
      <c r="H693" t="n">
        <v>0</v>
      </c>
      <c r="I693" t="n">
        <v>0</v>
      </c>
      <c r="J693" t="n">
        <v>0</v>
      </c>
      <c r="K693" t="n">
        <v>0</v>
      </c>
      <c r="L693" t="n">
        <v>0</v>
      </c>
      <c r="M693" t="n">
        <v>0</v>
      </c>
      <c r="N693" t="n">
        <v>0</v>
      </c>
      <c r="O693" t="n">
        <v>0</v>
      </c>
      <c r="P693" t="n">
        <v>0</v>
      </c>
      <c r="Q693" t="n">
        <v>0</v>
      </c>
      <c r="R693" s="2" t="inlineStr"/>
    </row>
    <row r="694" ht="15" customHeight="1">
      <c r="A694" t="inlineStr">
        <is>
          <t>A 12562-2021</t>
        </is>
      </c>
      <c r="B694" s="1" t="n">
        <v>44267</v>
      </c>
      <c r="C694" s="1" t="n">
        <v>46040</v>
      </c>
      <c r="D694" t="inlineStr">
        <is>
          <t>ÖREBRO LÄN</t>
        </is>
      </c>
      <c r="E694" t="inlineStr">
        <is>
          <t>LINDESBERG</t>
        </is>
      </c>
      <c r="G694" t="n">
        <v>30.1</v>
      </c>
      <c r="H694" t="n">
        <v>0</v>
      </c>
      <c r="I694" t="n">
        <v>0</v>
      </c>
      <c r="J694" t="n">
        <v>0</v>
      </c>
      <c r="K694" t="n">
        <v>0</v>
      </c>
      <c r="L694" t="n">
        <v>0</v>
      </c>
      <c r="M694" t="n">
        <v>0</v>
      </c>
      <c r="N694" t="n">
        <v>0</v>
      </c>
      <c r="O694" t="n">
        <v>0</v>
      </c>
      <c r="P694" t="n">
        <v>0</v>
      </c>
      <c r="Q694" t="n">
        <v>0</v>
      </c>
      <c r="R694" s="2" t="inlineStr"/>
    </row>
    <row r="695" ht="15" customHeight="1">
      <c r="A695" t="inlineStr">
        <is>
          <t>A 7180-2023</t>
        </is>
      </c>
      <c r="B695" s="1" t="n">
        <v>44970.51849537037</v>
      </c>
      <c r="C695" s="1" t="n">
        <v>46040</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7661-2024</t>
        </is>
      </c>
      <c r="B696" s="1" t="n">
        <v>45348</v>
      </c>
      <c r="C696" s="1" t="n">
        <v>46040</v>
      </c>
      <c r="D696" t="inlineStr">
        <is>
          <t>ÖREBRO LÄN</t>
        </is>
      </c>
      <c r="E696" t="inlineStr">
        <is>
          <t>LINDESBERG</t>
        </is>
      </c>
      <c r="G696" t="n">
        <v>4.1</v>
      </c>
      <c r="H696" t="n">
        <v>0</v>
      </c>
      <c r="I696" t="n">
        <v>0</v>
      </c>
      <c r="J696" t="n">
        <v>0</v>
      </c>
      <c r="K696" t="n">
        <v>0</v>
      </c>
      <c r="L696" t="n">
        <v>0</v>
      </c>
      <c r="M696" t="n">
        <v>0</v>
      </c>
      <c r="N696" t="n">
        <v>0</v>
      </c>
      <c r="O696" t="n">
        <v>0</v>
      </c>
      <c r="P696" t="n">
        <v>0</v>
      </c>
      <c r="Q696" t="n">
        <v>0</v>
      </c>
      <c r="R696" s="2" t="inlineStr"/>
    </row>
    <row r="697" ht="15" customHeight="1">
      <c r="A697" t="inlineStr">
        <is>
          <t>A 49358-2023</t>
        </is>
      </c>
      <c r="B697" s="1" t="n">
        <v>45211</v>
      </c>
      <c r="C697" s="1" t="n">
        <v>46040</v>
      </c>
      <c r="D697" t="inlineStr">
        <is>
          <t>ÖREBRO LÄN</t>
        </is>
      </c>
      <c r="E697" t="inlineStr">
        <is>
          <t>LINDESBERG</t>
        </is>
      </c>
      <c r="F697" t="inlineStr">
        <is>
          <t>Sveaskog</t>
        </is>
      </c>
      <c r="G697" t="n">
        <v>4.7</v>
      </c>
      <c r="H697" t="n">
        <v>0</v>
      </c>
      <c r="I697" t="n">
        <v>0</v>
      </c>
      <c r="J697" t="n">
        <v>0</v>
      </c>
      <c r="K697" t="n">
        <v>0</v>
      </c>
      <c r="L697" t="n">
        <v>0</v>
      </c>
      <c r="M697" t="n">
        <v>0</v>
      </c>
      <c r="N697" t="n">
        <v>0</v>
      </c>
      <c r="O697" t="n">
        <v>0</v>
      </c>
      <c r="P697" t="n">
        <v>0</v>
      </c>
      <c r="Q697" t="n">
        <v>0</v>
      </c>
      <c r="R697" s="2" t="inlineStr"/>
    </row>
    <row r="698" ht="15" customHeight="1">
      <c r="A698" t="inlineStr">
        <is>
          <t>A 23579-2022</t>
        </is>
      </c>
      <c r="B698" s="1" t="n">
        <v>44721.52627314815</v>
      </c>
      <c r="C698" s="1" t="n">
        <v>46040</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28031-2023</t>
        </is>
      </c>
      <c r="B699" s="1" t="n">
        <v>45099.27354166667</v>
      </c>
      <c r="C699" s="1" t="n">
        <v>46040</v>
      </c>
      <c r="D699" t="inlineStr">
        <is>
          <t>ÖREBRO LÄN</t>
        </is>
      </c>
      <c r="E699" t="inlineStr">
        <is>
          <t>LINDESBERG</t>
        </is>
      </c>
      <c r="F699" t="inlineStr">
        <is>
          <t>Kyrkan</t>
        </is>
      </c>
      <c r="G699" t="n">
        <v>1.2</v>
      </c>
      <c r="H699" t="n">
        <v>0</v>
      </c>
      <c r="I699" t="n">
        <v>0</v>
      </c>
      <c r="J699" t="n">
        <v>0</v>
      </c>
      <c r="K699" t="n">
        <v>0</v>
      </c>
      <c r="L699" t="n">
        <v>0</v>
      </c>
      <c r="M699" t="n">
        <v>0</v>
      </c>
      <c r="N699" t="n">
        <v>0</v>
      </c>
      <c r="O699" t="n">
        <v>0</v>
      </c>
      <c r="P699" t="n">
        <v>0</v>
      </c>
      <c r="Q699" t="n">
        <v>0</v>
      </c>
      <c r="R699" s="2" t="inlineStr"/>
    </row>
    <row r="700" ht="15" customHeight="1">
      <c r="A700" t="inlineStr">
        <is>
          <t>A 32009-2023</t>
        </is>
      </c>
      <c r="B700" s="1" t="n">
        <v>45119</v>
      </c>
      <c r="C700" s="1" t="n">
        <v>46040</v>
      </c>
      <c r="D700" t="inlineStr">
        <is>
          <t>ÖREBRO LÄN</t>
        </is>
      </c>
      <c r="E700" t="inlineStr">
        <is>
          <t>LINDESBERG</t>
        </is>
      </c>
      <c r="F700" t="inlineStr">
        <is>
          <t>Kyrkan</t>
        </is>
      </c>
      <c r="G700" t="n">
        <v>0.8</v>
      </c>
      <c r="H700" t="n">
        <v>0</v>
      </c>
      <c r="I700" t="n">
        <v>0</v>
      </c>
      <c r="J700" t="n">
        <v>0</v>
      </c>
      <c r="K700" t="n">
        <v>0</v>
      </c>
      <c r="L700" t="n">
        <v>0</v>
      </c>
      <c r="M700" t="n">
        <v>0</v>
      </c>
      <c r="N700" t="n">
        <v>0</v>
      </c>
      <c r="O700" t="n">
        <v>0</v>
      </c>
      <c r="P700" t="n">
        <v>0</v>
      </c>
      <c r="Q700" t="n">
        <v>0</v>
      </c>
      <c r="R700" s="2" t="inlineStr"/>
    </row>
    <row r="701" ht="15" customHeight="1">
      <c r="A701" t="inlineStr">
        <is>
          <t>A 46039-2024</t>
        </is>
      </c>
      <c r="B701" s="1" t="n">
        <v>45580.73525462963</v>
      </c>
      <c r="C701" s="1" t="n">
        <v>46040</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46647-2024</t>
        </is>
      </c>
      <c r="B702" s="1" t="n">
        <v>45583</v>
      </c>
      <c r="C702" s="1" t="n">
        <v>46040</v>
      </c>
      <c r="D702" t="inlineStr">
        <is>
          <t>ÖREBRO LÄN</t>
        </is>
      </c>
      <c r="E702" t="inlineStr">
        <is>
          <t>LINDESBERG</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23260-2024</t>
        </is>
      </c>
      <c r="B703" s="1" t="n">
        <v>45453.36664351852</v>
      </c>
      <c r="C703" s="1" t="n">
        <v>46040</v>
      </c>
      <c r="D703" t="inlineStr">
        <is>
          <t>ÖREBRO LÄN</t>
        </is>
      </c>
      <c r="E703" t="inlineStr">
        <is>
          <t>LINDESBERG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26067-2022</t>
        </is>
      </c>
      <c r="B704" s="1" t="n">
        <v>44734.64337962963</v>
      </c>
      <c r="C704" s="1" t="n">
        <v>46040</v>
      </c>
      <c r="D704" t="inlineStr">
        <is>
          <t>ÖREBRO LÄN</t>
        </is>
      </c>
      <c r="E704" t="inlineStr">
        <is>
          <t>LINDESBERG</t>
        </is>
      </c>
      <c r="G704" t="n">
        <v>3.1</v>
      </c>
      <c r="H704" t="n">
        <v>0</v>
      </c>
      <c r="I704" t="n">
        <v>0</v>
      </c>
      <c r="J704" t="n">
        <v>0</v>
      </c>
      <c r="K704" t="n">
        <v>0</v>
      </c>
      <c r="L704" t="n">
        <v>0</v>
      </c>
      <c r="M704" t="n">
        <v>0</v>
      </c>
      <c r="N704" t="n">
        <v>0</v>
      </c>
      <c r="O704" t="n">
        <v>0</v>
      </c>
      <c r="P704" t="n">
        <v>0</v>
      </c>
      <c r="Q704" t="n">
        <v>0</v>
      </c>
      <c r="R704" s="2" t="inlineStr"/>
    </row>
    <row r="705" ht="15" customHeight="1">
      <c r="A705" t="inlineStr">
        <is>
          <t>A 3233-2023</t>
        </is>
      </c>
      <c r="B705" s="1" t="n">
        <v>44946</v>
      </c>
      <c r="C705" s="1" t="n">
        <v>46040</v>
      </c>
      <c r="D705" t="inlineStr">
        <is>
          <t>ÖREBRO LÄN</t>
        </is>
      </c>
      <c r="E705" t="inlineStr">
        <is>
          <t>LINDESBERG</t>
        </is>
      </c>
      <c r="G705" t="n">
        <v>3</v>
      </c>
      <c r="H705" t="n">
        <v>0</v>
      </c>
      <c r="I705" t="n">
        <v>0</v>
      </c>
      <c r="J705" t="n">
        <v>0</v>
      </c>
      <c r="K705" t="n">
        <v>0</v>
      </c>
      <c r="L705" t="n">
        <v>0</v>
      </c>
      <c r="M705" t="n">
        <v>0</v>
      </c>
      <c r="N705" t="n">
        <v>0</v>
      </c>
      <c r="O705" t="n">
        <v>0</v>
      </c>
      <c r="P705" t="n">
        <v>0</v>
      </c>
      <c r="Q705" t="n">
        <v>0</v>
      </c>
      <c r="R705" s="2" t="inlineStr"/>
    </row>
    <row r="706" ht="15" customHeight="1">
      <c r="A706" t="inlineStr">
        <is>
          <t>A 5047-2023</t>
        </is>
      </c>
      <c r="B706" s="1" t="n">
        <v>44958.58982638889</v>
      </c>
      <c r="C706" s="1" t="n">
        <v>46040</v>
      </c>
      <c r="D706" t="inlineStr">
        <is>
          <t>ÖREBRO LÄN</t>
        </is>
      </c>
      <c r="E706" t="inlineStr">
        <is>
          <t>LINDESBERG</t>
        </is>
      </c>
      <c r="G706" t="n">
        <v>2</v>
      </c>
      <c r="H706" t="n">
        <v>0</v>
      </c>
      <c r="I706" t="n">
        <v>0</v>
      </c>
      <c r="J706" t="n">
        <v>0</v>
      </c>
      <c r="K706" t="n">
        <v>0</v>
      </c>
      <c r="L706" t="n">
        <v>0</v>
      </c>
      <c r="M706" t="n">
        <v>0</v>
      </c>
      <c r="N706" t="n">
        <v>0</v>
      </c>
      <c r="O706" t="n">
        <v>0</v>
      </c>
      <c r="P706" t="n">
        <v>0</v>
      </c>
      <c r="Q706" t="n">
        <v>0</v>
      </c>
      <c r="R706" s="2" t="inlineStr"/>
    </row>
    <row r="707" ht="15" customHeight="1">
      <c r="A707" t="inlineStr">
        <is>
          <t>A 58741-2024</t>
        </is>
      </c>
      <c r="B707" s="1" t="n">
        <v>45635.69581018519</v>
      </c>
      <c r="C707" s="1" t="n">
        <v>46040</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8836-2023</t>
        </is>
      </c>
      <c r="B708" s="1" t="n">
        <v>44978</v>
      </c>
      <c r="C708" s="1" t="n">
        <v>46040</v>
      </c>
      <c r="D708" t="inlineStr">
        <is>
          <t>ÖREBRO LÄN</t>
        </is>
      </c>
      <c r="E708" t="inlineStr">
        <is>
          <t>LINDESBERG</t>
        </is>
      </c>
      <c r="G708" t="n">
        <v>1</v>
      </c>
      <c r="H708" t="n">
        <v>0</v>
      </c>
      <c r="I708" t="n">
        <v>0</v>
      </c>
      <c r="J708" t="n">
        <v>0</v>
      </c>
      <c r="K708" t="n">
        <v>0</v>
      </c>
      <c r="L708" t="n">
        <v>0</v>
      </c>
      <c r="M708" t="n">
        <v>0</v>
      </c>
      <c r="N708" t="n">
        <v>0</v>
      </c>
      <c r="O708" t="n">
        <v>0</v>
      </c>
      <c r="P708" t="n">
        <v>0</v>
      </c>
      <c r="Q708" t="n">
        <v>0</v>
      </c>
      <c r="R708" s="2" t="inlineStr"/>
    </row>
    <row r="709" ht="15" customHeight="1">
      <c r="A709" t="inlineStr">
        <is>
          <t>A 3994-2023</t>
        </is>
      </c>
      <c r="B709" s="1" t="n">
        <v>44950</v>
      </c>
      <c r="C709" s="1" t="n">
        <v>46040</v>
      </c>
      <c r="D709" t="inlineStr">
        <is>
          <t>ÖREBRO LÄN</t>
        </is>
      </c>
      <c r="E709" t="inlineStr">
        <is>
          <t>LINDESBERG</t>
        </is>
      </c>
      <c r="G709" t="n">
        <v>4.8</v>
      </c>
      <c r="H709" t="n">
        <v>0</v>
      </c>
      <c r="I709" t="n">
        <v>0</v>
      </c>
      <c r="J709" t="n">
        <v>0</v>
      </c>
      <c r="K709" t="n">
        <v>0</v>
      </c>
      <c r="L709" t="n">
        <v>0</v>
      </c>
      <c r="M709" t="n">
        <v>0</v>
      </c>
      <c r="N709" t="n">
        <v>0</v>
      </c>
      <c r="O709" t="n">
        <v>0</v>
      </c>
      <c r="P709" t="n">
        <v>0</v>
      </c>
      <c r="Q709" t="n">
        <v>0</v>
      </c>
      <c r="R709" s="2" t="inlineStr"/>
    </row>
    <row r="710" ht="15" customHeight="1">
      <c r="A710" t="inlineStr">
        <is>
          <t>A 38460-2024</t>
        </is>
      </c>
      <c r="B710" s="1" t="n">
        <v>45546.46497685185</v>
      </c>
      <c r="C710" s="1" t="n">
        <v>46040</v>
      </c>
      <c r="D710" t="inlineStr">
        <is>
          <t>ÖREBRO LÄN</t>
        </is>
      </c>
      <c r="E710" t="inlineStr">
        <is>
          <t>LINDESBERG</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49094-2024</t>
        </is>
      </c>
      <c r="B711" s="1" t="n">
        <v>45594.63747685185</v>
      </c>
      <c r="C711" s="1" t="n">
        <v>46040</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56907-2024</t>
        </is>
      </c>
      <c r="B712" s="1" t="n">
        <v>45628.58975694444</v>
      </c>
      <c r="C712" s="1" t="n">
        <v>46040</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46219-2022</t>
        </is>
      </c>
      <c r="B713" s="1" t="n">
        <v>44846</v>
      </c>
      <c r="C713" s="1" t="n">
        <v>46040</v>
      </c>
      <c r="D713" t="inlineStr">
        <is>
          <t>ÖREBRO LÄN</t>
        </is>
      </c>
      <c r="E713" t="inlineStr">
        <is>
          <t>LINDESBERG</t>
        </is>
      </c>
      <c r="G713" t="n">
        <v>6</v>
      </c>
      <c r="H713" t="n">
        <v>0</v>
      </c>
      <c r="I713" t="n">
        <v>0</v>
      </c>
      <c r="J713" t="n">
        <v>0</v>
      </c>
      <c r="K713" t="n">
        <v>0</v>
      </c>
      <c r="L713" t="n">
        <v>0</v>
      </c>
      <c r="M713" t="n">
        <v>0</v>
      </c>
      <c r="N713" t="n">
        <v>0</v>
      </c>
      <c r="O713" t="n">
        <v>0</v>
      </c>
      <c r="P713" t="n">
        <v>0</v>
      </c>
      <c r="Q713" t="n">
        <v>0</v>
      </c>
      <c r="R713" s="2" t="inlineStr"/>
    </row>
    <row r="714" ht="15" customHeight="1">
      <c r="A714" t="inlineStr">
        <is>
          <t>A 7201-2024</t>
        </is>
      </c>
      <c r="B714" s="1" t="n">
        <v>45344.6027662037</v>
      </c>
      <c r="C714" s="1" t="n">
        <v>46040</v>
      </c>
      <c r="D714" t="inlineStr">
        <is>
          <t>ÖREBRO LÄN</t>
        </is>
      </c>
      <c r="E714" t="inlineStr">
        <is>
          <t>LINDESBERG</t>
        </is>
      </c>
      <c r="G714" t="n">
        <v>4.7</v>
      </c>
      <c r="H714" t="n">
        <v>0</v>
      </c>
      <c r="I714" t="n">
        <v>0</v>
      </c>
      <c r="J714" t="n">
        <v>0</v>
      </c>
      <c r="K714" t="n">
        <v>0</v>
      </c>
      <c r="L714" t="n">
        <v>0</v>
      </c>
      <c r="M714" t="n">
        <v>0</v>
      </c>
      <c r="N714" t="n">
        <v>0</v>
      </c>
      <c r="O714" t="n">
        <v>0</v>
      </c>
      <c r="P714" t="n">
        <v>0</v>
      </c>
      <c r="Q714" t="n">
        <v>0</v>
      </c>
      <c r="R714" s="2" t="inlineStr"/>
    </row>
    <row r="715" ht="15" customHeight="1">
      <c r="A715" t="inlineStr">
        <is>
          <t>A 11953-2024</t>
        </is>
      </c>
      <c r="B715" s="1" t="n">
        <v>45376.70292824074</v>
      </c>
      <c r="C715" s="1" t="n">
        <v>46040</v>
      </c>
      <c r="D715" t="inlineStr">
        <is>
          <t>ÖREBRO LÄN</t>
        </is>
      </c>
      <c r="E715" t="inlineStr">
        <is>
          <t>LINDESBERG</t>
        </is>
      </c>
      <c r="G715" t="n">
        <v>5.7</v>
      </c>
      <c r="H715" t="n">
        <v>0</v>
      </c>
      <c r="I715" t="n">
        <v>0</v>
      </c>
      <c r="J715" t="n">
        <v>0</v>
      </c>
      <c r="K715" t="n">
        <v>0</v>
      </c>
      <c r="L715" t="n">
        <v>0</v>
      </c>
      <c r="M715" t="n">
        <v>0</v>
      </c>
      <c r="N715" t="n">
        <v>0</v>
      </c>
      <c r="O715" t="n">
        <v>0</v>
      </c>
      <c r="P715" t="n">
        <v>0</v>
      </c>
      <c r="Q715" t="n">
        <v>0</v>
      </c>
      <c r="R715" s="2" t="inlineStr"/>
    </row>
    <row r="716" ht="15" customHeight="1">
      <c r="A716" t="inlineStr">
        <is>
          <t>A 14190-2024</t>
        </is>
      </c>
      <c r="B716" s="1" t="n">
        <v>45393.36060185185</v>
      </c>
      <c r="C716" s="1" t="n">
        <v>46040</v>
      </c>
      <c r="D716" t="inlineStr">
        <is>
          <t>ÖREBRO LÄN</t>
        </is>
      </c>
      <c r="E716" t="inlineStr">
        <is>
          <t>LINDESBERG</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4440-2024</t>
        </is>
      </c>
      <c r="B717" s="1" t="n">
        <v>45327</v>
      </c>
      <c r="C717" s="1" t="n">
        <v>46040</v>
      </c>
      <c r="D717" t="inlineStr">
        <is>
          <t>ÖREBRO LÄN</t>
        </is>
      </c>
      <c r="E717" t="inlineStr">
        <is>
          <t>LINDESBERG</t>
        </is>
      </c>
      <c r="F717" t="inlineStr">
        <is>
          <t>BillerudKorsnäs AB</t>
        </is>
      </c>
      <c r="G717" t="n">
        <v>2</v>
      </c>
      <c r="H717" t="n">
        <v>0</v>
      </c>
      <c r="I717" t="n">
        <v>0</v>
      </c>
      <c r="J717" t="n">
        <v>0</v>
      </c>
      <c r="K717" t="n">
        <v>0</v>
      </c>
      <c r="L717" t="n">
        <v>0</v>
      </c>
      <c r="M717" t="n">
        <v>0</v>
      </c>
      <c r="N717" t="n">
        <v>0</v>
      </c>
      <c r="O717" t="n">
        <v>0</v>
      </c>
      <c r="P717" t="n">
        <v>0</v>
      </c>
      <c r="Q717" t="n">
        <v>0</v>
      </c>
      <c r="R717" s="2" t="inlineStr"/>
    </row>
    <row r="718" ht="15" customHeight="1">
      <c r="A718" t="inlineStr">
        <is>
          <t>A 48244-2024</t>
        </is>
      </c>
      <c r="B718" s="1" t="n">
        <v>45590.39471064815</v>
      </c>
      <c r="C718" s="1" t="n">
        <v>46040</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59633-2023</t>
        </is>
      </c>
      <c r="B719" s="1" t="n">
        <v>45254</v>
      </c>
      <c r="C719" s="1" t="n">
        <v>46040</v>
      </c>
      <c r="D719" t="inlineStr">
        <is>
          <t>ÖREBRO LÄN</t>
        </is>
      </c>
      <c r="E719" t="inlineStr">
        <is>
          <t>LINDESBERG</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18418-2025</t>
        </is>
      </c>
      <c r="B720" s="1" t="n">
        <v>45762.61817129629</v>
      </c>
      <c r="C720" s="1" t="n">
        <v>46040</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17087-2023</t>
        </is>
      </c>
      <c r="B721" s="1" t="n">
        <v>45034.5174537037</v>
      </c>
      <c r="C721" s="1" t="n">
        <v>46040</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53189-2023</t>
        </is>
      </c>
      <c r="B722" s="1" t="n">
        <v>45194</v>
      </c>
      <c r="C722" s="1" t="n">
        <v>46040</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6001-2021</t>
        </is>
      </c>
      <c r="B723" s="1" t="n">
        <v>44231</v>
      </c>
      <c r="C723" s="1" t="n">
        <v>46040</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23649-2023</t>
        </is>
      </c>
      <c r="B724" s="1" t="n">
        <v>45074</v>
      </c>
      <c r="C724" s="1" t="n">
        <v>46040</v>
      </c>
      <c r="D724" t="inlineStr">
        <is>
          <t>ÖREBRO LÄN</t>
        </is>
      </c>
      <c r="E724" t="inlineStr">
        <is>
          <t>LINDESBERG</t>
        </is>
      </c>
      <c r="G724" t="n">
        <v>1.2</v>
      </c>
      <c r="H724" t="n">
        <v>0</v>
      </c>
      <c r="I724" t="n">
        <v>0</v>
      </c>
      <c r="J724" t="n">
        <v>0</v>
      </c>
      <c r="K724" t="n">
        <v>0</v>
      </c>
      <c r="L724" t="n">
        <v>0</v>
      </c>
      <c r="M724" t="n">
        <v>0</v>
      </c>
      <c r="N724" t="n">
        <v>0</v>
      </c>
      <c r="O724" t="n">
        <v>0</v>
      </c>
      <c r="P724" t="n">
        <v>0</v>
      </c>
      <c r="Q724" t="n">
        <v>0</v>
      </c>
      <c r="R724" s="2" t="inlineStr"/>
    </row>
    <row r="725" ht="15" customHeight="1">
      <c r="A725" t="inlineStr">
        <is>
          <t>A 43081-2021</t>
        </is>
      </c>
      <c r="B725" s="1" t="n">
        <v>44431</v>
      </c>
      <c r="C725" s="1" t="n">
        <v>46040</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60926-2024</t>
        </is>
      </c>
      <c r="B726" s="1" t="n">
        <v>45645</v>
      </c>
      <c r="C726" s="1" t="n">
        <v>46040</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51071-2022</t>
        </is>
      </c>
      <c r="B727" s="1" t="n">
        <v>44868.36924768519</v>
      </c>
      <c r="C727" s="1" t="n">
        <v>46040</v>
      </c>
      <c r="D727" t="inlineStr">
        <is>
          <t>ÖREBRO LÄN</t>
        </is>
      </c>
      <c r="E727" t="inlineStr">
        <is>
          <t>LINDESBERG</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44449-2023</t>
        </is>
      </c>
      <c r="B728" s="1" t="n">
        <v>45189.38135416667</v>
      </c>
      <c r="C728" s="1" t="n">
        <v>46040</v>
      </c>
      <c r="D728" t="inlineStr">
        <is>
          <t>ÖREBRO LÄN</t>
        </is>
      </c>
      <c r="E728" t="inlineStr">
        <is>
          <t>LINDESBERG</t>
        </is>
      </c>
      <c r="G728" t="n">
        <v>13.7</v>
      </c>
      <c r="H728" t="n">
        <v>0</v>
      </c>
      <c r="I728" t="n">
        <v>0</v>
      </c>
      <c r="J728" t="n">
        <v>0</v>
      </c>
      <c r="K728" t="n">
        <v>0</v>
      </c>
      <c r="L728" t="n">
        <v>0</v>
      </c>
      <c r="M728" t="n">
        <v>0</v>
      </c>
      <c r="N728" t="n">
        <v>0</v>
      </c>
      <c r="O728" t="n">
        <v>0</v>
      </c>
      <c r="P728" t="n">
        <v>0</v>
      </c>
      <c r="Q728" t="n">
        <v>0</v>
      </c>
      <c r="R728" s="2" t="inlineStr"/>
    </row>
    <row r="729" ht="15" customHeight="1">
      <c r="A729" t="inlineStr">
        <is>
          <t>A 14231-2023</t>
        </is>
      </c>
      <c r="B729" s="1" t="n">
        <v>45009.64217592592</v>
      </c>
      <c r="C729" s="1" t="n">
        <v>46040</v>
      </c>
      <c r="D729" t="inlineStr">
        <is>
          <t>ÖREBRO LÄN</t>
        </is>
      </c>
      <c r="E729" t="inlineStr">
        <is>
          <t>LINDESBERG</t>
        </is>
      </c>
      <c r="G729" t="n">
        <v>4.3</v>
      </c>
      <c r="H729" t="n">
        <v>0</v>
      </c>
      <c r="I729" t="n">
        <v>0</v>
      </c>
      <c r="J729" t="n">
        <v>0</v>
      </c>
      <c r="K729" t="n">
        <v>0</v>
      </c>
      <c r="L729" t="n">
        <v>0</v>
      </c>
      <c r="M729" t="n">
        <v>0</v>
      </c>
      <c r="N729" t="n">
        <v>0</v>
      </c>
      <c r="O729" t="n">
        <v>0</v>
      </c>
      <c r="P729" t="n">
        <v>0</v>
      </c>
      <c r="Q729" t="n">
        <v>0</v>
      </c>
      <c r="R729" s="2" t="inlineStr"/>
    </row>
    <row r="730" ht="15" customHeight="1">
      <c r="A730" t="inlineStr">
        <is>
          <t>A 15894-2025</t>
        </is>
      </c>
      <c r="B730" s="1" t="n">
        <v>45749</v>
      </c>
      <c r="C730" s="1" t="n">
        <v>46040</v>
      </c>
      <c r="D730" t="inlineStr">
        <is>
          <t>ÖREBRO LÄN</t>
        </is>
      </c>
      <c r="E730" t="inlineStr">
        <is>
          <t>LINDESBERG</t>
        </is>
      </c>
      <c r="G730" t="n">
        <v>1.5</v>
      </c>
      <c r="H730" t="n">
        <v>0</v>
      </c>
      <c r="I730" t="n">
        <v>0</v>
      </c>
      <c r="J730" t="n">
        <v>0</v>
      </c>
      <c r="K730" t="n">
        <v>0</v>
      </c>
      <c r="L730" t="n">
        <v>0</v>
      </c>
      <c r="M730" t="n">
        <v>0</v>
      </c>
      <c r="N730" t="n">
        <v>0</v>
      </c>
      <c r="O730" t="n">
        <v>0</v>
      </c>
      <c r="P730" t="n">
        <v>0</v>
      </c>
      <c r="Q730" t="n">
        <v>0</v>
      </c>
      <c r="R730" s="2" t="inlineStr"/>
    </row>
    <row r="731" ht="15" customHeight="1">
      <c r="A731" t="inlineStr">
        <is>
          <t>A 62608-2021</t>
        </is>
      </c>
      <c r="B731" s="1" t="n">
        <v>44503</v>
      </c>
      <c r="C731" s="1" t="n">
        <v>46040</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35140-2023</t>
        </is>
      </c>
      <c r="B732" s="1" t="n">
        <v>45145</v>
      </c>
      <c r="C732" s="1" t="n">
        <v>46040</v>
      </c>
      <c r="D732" t="inlineStr">
        <is>
          <t>ÖREBRO LÄN</t>
        </is>
      </c>
      <c r="E732" t="inlineStr">
        <is>
          <t>LINDESBERG</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37616-2023</t>
        </is>
      </c>
      <c r="B733" s="1" t="n">
        <v>45159.44525462963</v>
      </c>
      <c r="C733" s="1" t="n">
        <v>46040</v>
      </c>
      <c r="D733" t="inlineStr">
        <is>
          <t>ÖREBRO LÄN</t>
        </is>
      </c>
      <c r="E733" t="inlineStr">
        <is>
          <t>LINDESBERG</t>
        </is>
      </c>
      <c r="G733" t="n">
        <v>5.3</v>
      </c>
      <c r="H733" t="n">
        <v>0</v>
      </c>
      <c r="I733" t="n">
        <v>0</v>
      </c>
      <c r="J733" t="n">
        <v>0</v>
      </c>
      <c r="K733" t="n">
        <v>0</v>
      </c>
      <c r="L733" t="n">
        <v>0</v>
      </c>
      <c r="M733" t="n">
        <v>0</v>
      </c>
      <c r="N733" t="n">
        <v>0</v>
      </c>
      <c r="O733" t="n">
        <v>0</v>
      </c>
      <c r="P733" t="n">
        <v>0</v>
      </c>
      <c r="Q733" t="n">
        <v>0</v>
      </c>
      <c r="R733" s="2" t="inlineStr"/>
    </row>
    <row r="734" ht="15" customHeight="1">
      <c r="A734" t="inlineStr">
        <is>
          <t>A 34436-2023</t>
        </is>
      </c>
      <c r="B734" s="1" t="n">
        <v>45139.64328703703</v>
      </c>
      <c r="C734" s="1" t="n">
        <v>46040</v>
      </c>
      <c r="D734" t="inlineStr">
        <is>
          <t>ÖREBRO LÄN</t>
        </is>
      </c>
      <c r="E734" t="inlineStr">
        <is>
          <t>LINDESBERG</t>
        </is>
      </c>
      <c r="F734" t="inlineStr">
        <is>
          <t>Kyrkan</t>
        </is>
      </c>
      <c r="G734" t="n">
        <v>5.8</v>
      </c>
      <c r="H734" t="n">
        <v>0</v>
      </c>
      <c r="I734" t="n">
        <v>0</v>
      </c>
      <c r="J734" t="n">
        <v>0</v>
      </c>
      <c r="K734" t="n">
        <v>0</v>
      </c>
      <c r="L734" t="n">
        <v>0</v>
      </c>
      <c r="M734" t="n">
        <v>0</v>
      </c>
      <c r="N734" t="n">
        <v>0</v>
      </c>
      <c r="O734" t="n">
        <v>0</v>
      </c>
      <c r="P734" t="n">
        <v>0</v>
      </c>
      <c r="Q734" t="n">
        <v>0</v>
      </c>
      <c r="R734" s="2" t="inlineStr"/>
    </row>
    <row r="735" ht="15" customHeight="1">
      <c r="A735" t="inlineStr">
        <is>
          <t>A 45078-2024</t>
        </is>
      </c>
      <c r="B735" s="1" t="n">
        <v>45575.57104166667</v>
      </c>
      <c r="C735" s="1" t="n">
        <v>46040</v>
      </c>
      <c r="D735" t="inlineStr">
        <is>
          <t>ÖREBRO LÄN</t>
        </is>
      </c>
      <c r="E735" t="inlineStr">
        <is>
          <t>LINDESBERG</t>
        </is>
      </c>
      <c r="G735" t="n">
        <v>1.4</v>
      </c>
      <c r="H735" t="n">
        <v>0</v>
      </c>
      <c r="I735" t="n">
        <v>0</v>
      </c>
      <c r="J735" t="n">
        <v>0</v>
      </c>
      <c r="K735" t="n">
        <v>0</v>
      </c>
      <c r="L735" t="n">
        <v>0</v>
      </c>
      <c r="M735" t="n">
        <v>0</v>
      </c>
      <c r="N735" t="n">
        <v>0</v>
      </c>
      <c r="O735" t="n">
        <v>0</v>
      </c>
      <c r="P735" t="n">
        <v>0</v>
      </c>
      <c r="Q735" t="n">
        <v>0</v>
      </c>
      <c r="R735" s="2" t="inlineStr"/>
    </row>
    <row r="736" ht="15" customHeight="1">
      <c r="A736" t="inlineStr">
        <is>
          <t>A 29938-2024</t>
        </is>
      </c>
      <c r="B736" s="1" t="n">
        <v>45488.41480324074</v>
      </c>
      <c r="C736" s="1" t="n">
        <v>46040</v>
      </c>
      <c r="D736" t="inlineStr">
        <is>
          <t>ÖREBRO LÄN</t>
        </is>
      </c>
      <c r="E736" t="inlineStr">
        <is>
          <t>LINDESBERG</t>
        </is>
      </c>
      <c r="G736" t="n">
        <v>4</v>
      </c>
      <c r="H736" t="n">
        <v>0</v>
      </c>
      <c r="I736" t="n">
        <v>0</v>
      </c>
      <c r="J736" t="n">
        <v>0</v>
      </c>
      <c r="K736" t="n">
        <v>0</v>
      </c>
      <c r="L736" t="n">
        <v>0</v>
      </c>
      <c r="M736" t="n">
        <v>0</v>
      </c>
      <c r="N736" t="n">
        <v>0</v>
      </c>
      <c r="O736" t="n">
        <v>0</v>
      </c>
      <c r="P736" t="n">
        <v>0</v>
      </c>
      <c r="Q736" t="n">
        <v>0</v>
      </c>
      <c r="R736" s="2" t="inlineStr"/>
    </row>
    <row r="737" ht="15" customHeight="1">
      <c r="A737" t="inlineStr">
        <is>
          <t>A 24030-2023</t>
        </is>
      </c>
      <c r="B737" s="1" t="n">
        <v>45078.82620370371</v>
      </c>
      <c r="C737" s="1" t="n">
        <v>46040</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27001-2024</t>
        </is>
      </c>
      <c r="B738" s="1" t="n">
        <v>45471.38995370371</v>
      </c>
      <c r="C738" s="1" t="n">
        <v>46040</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36747-2024</t>
        </is>
      </c>
      <c r="B739" s="1" t="n">
        <v>45538.34193287037</v>
      </c>
      <c r="C739" s="1" t="n">
        <v>46040</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32097-2024</t>
        </is>
      </c>
      <c r="B740" s="1" t="n">
        <v>45511.39445601852</v>
      </c>
      <c r="C740" s="1" t="n">
        <v>46040</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32099-2024</t>
        </is>
      </c>
      <c r="B741" s="1" t="n">
        <v>45511.40297453704</v>
      </c>
      <c r="C741" s="1" t="n">
        <v>46040</v>
      </c>
      <c r="D741" t="inlineStr">
        <is>
          <t>ÖREBRO LÄN</t>
        </is>
      </c>
      <c r="E741" t="inlineStr">
        <is>
          <t>LINDESBERG</t>
        </is>
      </c>
      <c r="G741" t="n">
        <v>2.3</v>
      </c>
      <c r="H741" t="n">
        <v>0</v>
      </c>
      <c r="I741" t="n">
        <v>0</v>
      </c>
      <c r="J741" t="n">
        <v>0</v>
      </c>
      <c r="K741" t="n">
        <v>0</v>
      </c>
      <c r="L741" t="n">
        <v>0</v>
      </c>
      <c r="M741" t="n">
        <v>0</v>
      </c>
      <c r="N741" t="n">
        <v>0</v>
      </c>
      <c r="O741" t="n">
        <v>0</v>
      </c>
      <c r="P741" t="n">
        <v>0</v>
      </c>
      <c r="Q741" t="n">
        <v>0</v>
      </c>
      <c r="R741" s="2" t="inlineStr"/>
    </row>
    <row r="742" ht="15" customHeight="1">
      <c r="A742" t="inlineStr">
        <is>
          <t>A 20467-2023</t>
        </is>
      </c>
      <c r="B742" s="1" t="n">
        <v>45057</v>
      </c>
      <c r="C742" s="1" t="n">
        <v>46040</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61360-2024</t>
        </is>
      </c>
      <c r="B743" s="1" t="n">
        <v>45646</v>
      </c>
      <c r="C743" s="1" t="n">
        <v>46040</v>
      </c>
      <c r="D743" t="inlineStr">
        <is>
          <t>ÖREBRO LÄN</t>
        </is>
      </c>
      <c r="E743" t="inlineStr">
        <is>
          <t>LINDESBERG</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3803-2023</t>
        </is>
      </c>
      <c r="B744" s="1" t="n">
        <v>44951.5830324074</v>
      </c>
      <c r="C744" s="1" t="n">
        <v>46040</v>
      </c>
      <c r="D744" t="inlineStr">
        <is>
          <t>ÖREBRO LÄN</t>
        </is>
      </c>
      <c r="E744" t="inlineStr">
        <is>
          <t>LINDESBERG</t>
        </is>
      </c>
      <c r="G744" t="n">
        <v>0.9</v>
      </c>
      <c r="H744" t="n">
        <v>0</v>
      </c>
      <c r="I744" t="n">
        <v>0</v>
      </c>
      <c r="J744" t="n">
        <v>0</v>
      </c>
      <c r="K744" t="n">
        <v>0</v>
      </c>
      <c r="L744" t="n">
        <v>0</v>
      </c>
      <c r="M744" t="n">
        <v>0</v>
      </c>
      <c r="N744" t="n">
        <v>0</v>
      </c>
      <c r="O744" t="n">
        <v>0</v>
      </c>
      <c r="P744" t="n">
        <v>0</v>
      </c>
      <c r="Q744" t="n">
        <v>0</v>
      </c>
      <c r="R744" s="2" t="inlineStr"/>
    </row>
    <row r="745" ht="15" customHeight="1">
      <c r="A745" t="inlineStr">
        <is>
          <t>A 60200-2024</t>
        </is>
      </c>
      <c r="B745" s="1" t="n">
        <v>45642.66184027777</v>
      </c>
      <c r="C745" s="1" t="n">
        <v>46040</v>
      </c>
      <c r="D745" t="inlineStr">
        <is>
          <t>ÖREBRO LÄN</t>
        </is>
      </c>
      <c r="E745" t="inlineStr">
        <is>
          <t>LINDESBERG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25012-2023</t>
        </is>
      </c>
      <c r="B746" s="1" t="n">
        <v>45085</v>
      </c>
      <c r="C746" s="1" t="n">
        <v>46040</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26778-2023</t>
        </is>
      </c>
      <c r="B747" s="1" t="n">
        <v>45093.48221064815</v>
      </c>
      <c r="C747" s="1" t="n">
        <v>46040</v>
      </c>
      <c r="D747" t="inlineStr">
        <is>
          <t>ÖREBRO LÄN</t>
        </is>
      </c>
      <c r="E747" t="inlineStr">
        <is>
          <t>LINDESBERG</t>
        </is>
      </c>
      <c r="G747" t="n">
        <v>7.5</v>
      </c>
      <c r="H747" t="n">
        <v>0</v>
      </c>
      <c r="I747" t="n">
        <v>0</v>
      </c>
      <c r="J747" t="n">
        <v>0</v>
      </c>
      <c r="K747" t="n">
        <v>0</v>
      </c>
      <c r="L747" t="n">
        <v>0</v>
      </c>
      <c r="M747" t="n">
        <v>0</v>
      </c>
      <c r="N747" t="n">
        <v>0</v>
      </c>
      <c r="O747" t="n">
        <v>0</v>
      </c>
      <c r="P747" t="n">
        <v>0</v>
      </c>
      <c r="Q747" t="n">
        <v>0</v>
      </c>
      <c r="R747" s="2" t="inlineStr"/>
    </row>
    <row r="748" ht="15" customHeight="1">
      <c r="A748" t="inlineStr">
        <is>
          <t>A 50170-2022</t>
        </is>
      </c>
      <c r="B748" s="1" t="n">
        <v>44865.600625</v>
      </c>
      <c r="C748" s="1" t="n">
        <v>46040</v>
      </c>
      <c r="D748" t="inlineStr">
        <is>
          <t>ÖREBRO LÄN</t>
        </is>
      </c>
      <c r="E748" t="inlineStr">
        <is>
          <t>LINDESBERG</t>
        </is>
      </c>
      <c r="G748" t="n">
        <v>2.1</v>
      </c>
      <c r="H748" t="n">
        <v>0</v>
      </c>
      <c r="I748" t="n">
        <v>0</v>
      </c>
      <c r="J748" t="n">
        <v>0</v>
      </c>
      <c r="K748" t="n">
        <v>0</v>
      </c>
      <c r="L748" t="n">
        <v>0</v>
      </c>
      <c r="M748" t="n">
        <v>0</v>
      </c>
      <c r="N748" t="n">
        <v>0</v>
      </c>
      <c r="O748" t="n">
        <v>0</v>
      </c>
      <c r="P748" t="n">
        <v>0</v>
      </c>
      <c r="Q748" t="n">
        <v>0</v>
      </c>
      <c r="R748" s="2" t="inlineStr"/>
    </row>
    <row r="749" ht="15" customHeight="1">
      <c r="A749" t="inlineStr">
        <is>
          <t>A 1354-2024</t>
        </is>
      </c>
      <c r="B749" s="1" t="n">
        <v>45303</v>
      </c>
      <c r="C749" s="1" t="n">
        <v>46040</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25229-2021</t>
        </is>
      </c>
      <c r="B750" s="1" t="n">
        <v>44342.39703703704</v>
      </c>
      <c r="C750" s="1" t="n">
        <v>46040</v>
      </c>
      <c r="D750" t="inlineStr">
        <is>
          <t>ÖREBRO LÄN</t>
        </is>
      </c>
      <c r="E750" t="inlineStr">
        <is>
          <t>LINDESBERG</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33886-2024</t>
        </is>
      </c>
      <c r="B751" s="1" t="n">
        <v>45523.31621527778</v>
      </c>
      <c r="C751" s="1" t="n">
        <v>46040</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34093-2022</t>
        </is>
      </c>
      <c r="B752" s="1" t="n">
        <v>44791</v>
      </c>
      <c r="C752" s="1" t="n">
        <v>46040</v>
      </c>
      <c r="D752" t="inlineStr">
        <is>
          <t>ÖREBRO LÄN</t>
        </is>
      </c>
      <c r="E752" t="inlineStr">
        <is>
          <t>LINDESBERG</t>
        </is>
      </c>
      <c r="G752" t="n">
        <v>3.3</v>
      </c>
      <c r="H752" t="n">
        <v>0</v>
      </c>
      <c r="I752" t="n">
        <v>0</v>
      </c>
      <c r="J752" t="n">
        <v>0</v>
      </c>
      <c r="K752" t="n">
        <v>0</v>
      </c>
      <c r="L752" t="n">
        <v>0</v>
      </c>
      <c r="M752" t="n">
        <v>0</v>
      </c>
      <c r="N752" t="n">
        <v>0</v>
      </c>
      <c r="O752" t="n">
        <v>0</v>
      </c>
      <c r="P752" t="n">
        <v>0</v>
      </c>
      <c r="Q752" t="n">
        <v>0</v>
      </c>
      <c r="R752" s="2" t="inlineStr"/>
    </row>
    <row r="753" ht="15" customHeight="1">
      <c r="A753" t="inlineStr">
        <is>
          <t>A 50285-2022</t>
        </is>
      </c>
      <c r="B753" s="1" t="n">
        <v>44865.87770833333</v>
      </c>
      <c r="C753" s="1" t="n">
        <v>46040</v>
      </c>
      <c r="D753" t="inlineStr">
        <is>
          <t>ÖREBRO LÄN</t>
        </is>
      </c>
      <c r="E753" t="inlineStr">
        <is>
          <t>LINDESBERG</t>
        </is>
      </c>
      <c r="G753" t="n">
        <v>2.5</v>
      </c>
      <c r="H753" t="n">
        <v>0</v>
      </c>
      <c r="I753" t="n">
        <v>0</v>
      </c>
      <c r="J753" t="n">
        <v>0</v>
      </c>
      <c r="K753" t="n">
        <v>0</v>
      </c>
      <c r="L753" t="n">
        <v>0</v>
      </c>
      <c r="M753" t="n">
        <v>0</v>
      </c>
      <c r="N753" t="n">
        <v>0</v>
      </c>
      <c r="O753" t="n">
        <v>0</v>
      </c>
      <c r="P753" t="n">
        <v>0</v>
      </c>
      <c r="Q753" t="n">
        <v>0</v>
      </c>
      <c r="R753" s="2" t="inlineStr"/>
    </row>
    <row r="754" ht="15" customHeight="1">
      <c r="A754" t="inlineStr">
        <is>
          <t>A 1405-2025</t>
        </is>
      </c>
      <c r="B754" s="1" t="n">
        <v>45667</v>
      </c>
      <c r="C754" s="1" t="n">
        <v>46040</v>
      </c>
      <c r="D754" t="inlineStr">
        <is>
          <t>ÖREBRO LÄN</t>
        </is>
      </c>
      <c r="E754" t="inlineStr">
        <is>
          <t>LINDESBERG</t>
        </is>
      </c>
      <c r="F754" t="inlineStr">
        <is>
          <t>Allmännings- och besparingsskogar</t>
        </is>
      </c>
      <c r="G754" t="n">
        <v>3.1</v>
      </c>
      <c r="H754" t="n">
        <v>0</v>
      </c>
      <c r="I754" t="n">
        <v>0</v>
      </c>
      <c r="J754" t="n">
        <v>0</v>
      </c>
      <c r="K754" t="n">
        <v>0</v>
      </c>
      <c r="L754" t="n">
        <v>0</v>
      </c>
      <c r="M754" t="n">
        <v>0</v>
      </c>
      <c r="N754" t="n">
        <v>0</v>
      </c>
      <c r="O754" t="n">
        <v>0</v>
      </c>
      <c r="P754" t="n">
        <v>0</v>
      </c>
      <c r="Q754" t="n">
        <v>0</v>
      </c>
      <c r="R754" s="2" t="inlineStr"/>
    </row>
    <row r="755" ht="15" customHeight="1">
      <c r="A755" t="inlineStr">
        <is>
          <t>A 40456-2023</t>
        </is>
      </c>
      <c r="B755" s="1" t="n">
        <v>45170</v>
      </c>
      <c r="C755" s="1" t="n">
        <v>46040</v>
      </c>
      <c r="D755" t="inlineStr">
        <is>
          <t>ÖREBRO LÄN</t>
        </is>
      </c>
      <c r="E755" t="inlineStr">
        <is>
          <t>LINDESBERG</t>
        </is>
      </c>
      <c r="F755" t="inlineStr">
        <is>
          <t>Kyrkan</t>
        </is>
      </c>
      <c r="G755" t="n">
        <v>0.6</v>
      </c>
      <c r="H755" t="n">
        <v>0</v>
      </c>
      <c r="I755" t="n">
        <v>0</v>
      </c>
      <c r="J755" t="n">
        <v>0</v>
      </c>
      <c r="K755" t="n">
        <v>0</v>
      </c>
      <c r="L755" t="n">
        <v>0</v>
      </c>
      <c r="M755" t="n">
        <v>0</v>
      </c>
      <c r="N755" t="n">
        <v>0</v>
      </c>
      <c r="O755" t="n">
        <v>0</v>
      </c>
      <c r="P755" t="n">
        <v>0</v>
      </c>
      <c r="Q755" t="n">
        <v>0</v>
      </c>
      <c r="R755" s="2" t="inlineStr"/>
    </row>
    <row r="756" ht="15" customHeight="1">
      <c r="A756" t="inlineStr">
        <is>
          <t>A 58697-2024</t>
        </is>
      </c>
      <c r="B756" s="1" t="n">
        <v>45635.63706018519</v>
      </c>
      <c r="C756" s="1" t="n">
        <v>46040</v>
      </c>
      <c r="D756" t="inlineStr">
        <is>
          <t>ÖREBRO LÄN</t>
        </is>
      </c>
      <c r="E756" t="inlineStr">
        <is>
          <t>LINDESBERG</t>
        </is>
      </c>
      <c r="G756" t="n">
        <v>25.1</v>
      </c>
      <c r="H756" t="n">
        <v>0</v>
      </c>
      <c r="I756" t="n">
        <v>0</v>
      </c>
      <c r="J756" t="n">
        <v>0</v>
      </c>
      <c r="K756" t="n">
        <v>0</v>
      </c>
      <c r="L756" t="n">
        <v>0</v>
      </c>
      <c r="M756" t="n">
        <v>0</v>
      </c>
      <c r="N756" t="n">
        <v>0</v>
      </c>
      <c r="O756" t="n">
        <v>0</v>
      </c>
      <c r="P756" t="n">
        <v>0</v>
      </c>
      <c r="Q756" t="n">
        <v>0</v>
      </c>
      <c r="R756" s="2" t="inlineStr"/>
    </row>
    <row r="757" ht="15" customHeight="1">
      <c r="A757" t="inlineStr">
        <is>
          <t>A 28562-2023</t>
        </is>
      </c>
      <c r="B757" s="1" t="n">
        <v>45103.53614583334</v>
      </c>
      <c r="C757" s="1" t="n">
        <v>46040</v>
      </c>
      <c r="D757" t="inlineStr">
        <is>
          <t>ÖREBRO LÄN</t>
        </is>
      </c>
      <c r="E757" t="inlineStr">
        <is>
          <t>LINDESBERG</t>
        </is>
      </c>
      <c r="G757" t="n">
        <v>2</v>
      </c>
      <c r="H757" t="n">
        <v>0</v>
      </c>
      <c r="I757" t="n">
        <v>0</v>
      </c>
      <c r="J757" t="n">
        <v>0</v>
      </c>
      <c r="K757" t="n">
        <v>0</v>
      </c>
      <c r="L757" t="n">
        <v>0</v>
      </c>
      <c r="M757" t="n">
        <v>0</v>
      </c>
      <c r="N757" t="n">
        <v>0</v>
      </c>
      <c r="O757" t="n">
        <v>0</v>
      </c>
      <c r="P757" t="n">
        <v>0</v>
      </c>
      <c r="Q757" t="n">
        <v>0</v>
      </c>
      <c r="R757" s="2" t="inlineStr"/>
    </row>
    <row r="758" ht="15" customHeight="1">
      <c r="A758" t="inlineStr">
        <is>
          <t>A 17463-2023</t>
        </is>
      </c>
      <c r="B758" s="1" t="n">
        <v>45036</v>
      </c>
      <c r="C758" s="1" t="n">
        <v>46040</v>
      </c>
      <c r="D758" t="inlineStr">
        <is>
          <t>ÖREBRO LÄN</t>
        </is>
      </c>
      <c r="E758" t="inlineStr">
        <is>
          <t>LINDESBERG</t>
        </is>
      </c>
      <c r="G758" t="n">
        <v>0.6</v>
      </c>
      <c r="H758" t="n">
        <v>0</v>
      </c>
      <c r="I758" t="n">
        <v>0</v>
      </c>
      <c r="J758" t="n">
        <v>0</v>
      </c>
      <c r="K758" t="n">
        <v>0</v>
      </c>
      <c r="L758" t="n">
        <v>0</v>
      </c>
      <c r="M758" t="n">
        <v>0</v>
      </c>
      <c r="N758" t="n">
        <v>0</v>
      </c>
      <c r="O758" t="n">
        <v>0</v>
      </c>
      <c r="P758" t="n">
        <v>0</v>
      </c>
      <c r="Q758" t="n">
        <v>0</v>
      </c>
      <c r="R758" s="2" t="inlineStr"/>
    </row>
    <row r="759" ht="15" customHeight="1">
      <c r="A759" t="inlineStr">
        <is>
          <t>A 6511-2025</t>
        </is>
      </c>
      <c r="B759" s="1" t="n">
        <v>45699.65424768518</v>
      </c>
      <c r="C759" s="1" t="n">
        <v>46040</v>
      </c>
      <c r="D759" t="inlineStr">
        <is>
          <t>ÖREBRO LÄN</t>
        </is>
      </c>
      <c r="E759" t="inlineStr">
        <is>
          <t>LINDESBERG</t>
        </is>
      </c>
      <c r="G759" t="n">
        <v>9.1</v>
      </c>
      <c r="H759" t="n">
        <v>0</v>
      </c>
      <c r="I759" t="n">
        <v>0</v>
      </c>
      <c r="J759" t="n">
        <v>0</v>
      </c>
      <c r="K759" t="n">
        <v>0</v>
      </c>
      <c r="L759" t="n">
        <v>0</v>
      </c>
      <c r="M759" t="n">
        <v>0</v>
      </c>
      <c r="N759" t="n">
        <v>0</v>
      </c>
      <c r="O759" t="n">
        <v>0</v>
      </c>
      <c r="P759" t="n">
        <v>0</v>
      </c>
      <c r="Q759" t="n">
        <v>0</v>
      </c>
      <c r="R759" s="2" t="inlineStr"/>
    </row>
    <row r="760" ht="15" customHeight="1">
      <c r="A760" t="inlineStr">
        <is>
          <t>A 17115-2025</t>
        </is>
      </c>
      <c r="B760" s="1" t="n">
        <v>45755.68247685185</v>
      </c>
      <c r="C760" s="1" t="n">
        <v>46040</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16054-2022</t>
        </is>
      </c>
      <c r="B761" s="1" t="n">
        <v>44665</v>
      </c>
      <c r="C761" s="1" t="n">
        <v>46040</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36136-2023</t>
        </is>
      </c>
      <c r="B762" s="1" t="n">
        <v>45149</v>
      </c>
      <c r="C762" s="1" t="n">
        <v>46040</v>
      </c>
      <c r="D762" t="inlineStr">
        <is>
          <t>ÖREBRO LÄN</t>
        </is>
      </c>
      <c r="E762" t="inlineStr">
        <is>
          <t>LINDESBERG</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13573-2025</t>
        </is>
      </c>
      <c r="B763" s="1" t="n">
        <v>45736</v>
      </c>
      <c r="C763" s="1" t="n">
        <v>46040</v>
      </c>
      <c r="D763" t="inlineStr">
        <is>
          <t>ÖREBRO LÄN</t>
        </is>
      </c>
      <c r="E763" t="inlineStr">
        <is>
          <t>LINDESBERG</t>
        </is>
      </c>
      <c r="G763" t="n">
        <v>11.7</v>
      </c>
      <c r="H763" t="n">
        <v>0</v>
      </c>
      <c r="I763" t="n">
        <v>0</v>
      </c>
      <c r="J763" t="n">
        <v>0</v>
      </c>
      <c r="K763" t="n">
        <v>0</v>
      </c>
      <c r="L763" t="n">
        <v>0</v>
      </c>
      <c r="M763" t="n">
        <v>0</v>
      </c>
      <c r="N763" t="n">
        <v>0</v>
      </c>
      <c r="O763" t="n">
        <v>0</v>
      </c>
      <c r="P763" t="n">
        <v>0</v>
      </c>
      <c r="Q763" t="n">
        <v>0</v>
      </c>
      <c r="R763" s="2" t="inlineStr"/>
    </row>
    <row r="764" ht="15" customHeight="1">
      <c r="A764" t="inlineStr">
        <is>
          <t>A 61601-2024</t>
        </is>
      </c>
      <c r="B764" s="1" t="n">
        <v>45646.63839120371</v>
      </c>
      <c r="C764" s="1" t="n">
        <v>46040</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16791-2024</t>
        </is>
      </c>
      <c r="B765" s="1" t="n">
        <v>45411.42858796296</v>
      </c>
      <c r="C765" s="1" t="n">
        <v>46040</v>
      </c>
      <c r="D765" t="inlineStr">
        <is>
          <t>ÖREBRO LÄN</t>
        </is>
      </c>
      <c r="E765" t="inlineStr">
        <is>
          <t>LINDESBERG</t>
        </is>
      </c>
      <c r="G765" t="n">
        <v>16.1</v>
      </c>
      <c r="H765" t="n">
        <v>0</v>
      </c>
      <c r="I765" t="n">
        <v>0</v>
      </c>
      <c r="J765" t="n">
        <v>0</v>
      </c>
      <c r="K765" t="n">
        <v>0</v>
      </c>
      <c r="L765" t="n">
        <v>0</v>
      </c>
      <c r="M765" t="n">
        <v>0</v>
      </c>
      <c r="N765" t="n">
        <v>0</v>
      </c>
      <c r="O765" t="n">
        <v>0</v>
      </c>
      <c r="P765" t="n">
        <v>0</v>
      </c>
      <c r="Q765" t="n">
        <v>0</v>
      </c>
      <c r="R765" s="2" t="inlineStr"/>
    </row>
    <row r="766" ht="15" customHeight="1">
      <c r="A766" t="inlineStr">
        <is>
          <t>A 22829-2023</t>
        </is>
      </c>
      <c r="B766" s="1" t="n">
        <v>45072.42776620371</v>
      </c>
      <c r="C766" s="1" t="n">
        <v>46040</v>
      </c>
      <c r="D766" t="inlineStr">
        <is>
          <t>ÖREBRO LÄN</t>
        </is>
      </c>
      <c r="E766" t="inlineStr">
        <is>
          <t>LINDESBERG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40450-2023</t>
        </is>
      </c>
      <c r="B767" s="1" t="n">
        <v>45170</v>
      </c>
      <c r="C767" s="1" t="n">
        <v>46040</v>
      </c>
      <c r="D767" t="inlineStr">
        <is>
          <t>ÖREBRO LÄN</t>
        </is>
      </c>
      <c r="E767" t="inlineStr">
        <is>
          <t>LINDESBERG</t>
        </is>
      </c>
      <c r="F767" t="inlineStr">
        <is>
          <t>Kyrkan</t>
        </is>
      </c>
      <c r="G767" t="n">
        <v>4.3</v>
      </c>
      <c r="H767" t="n">
        <v>0</v>
      </c>
      <c r="I767" t="n">
        <v>0</v>
      </c>
      <c r="J767" t="n">
        <v>0</v>
      </c>
      <c r="K767" t="n">
        <v>0</v>
      </c>
      <c r="L767" t="n">
        <v>0</v>
      </c>
      <c r="M767" t="n">
        <v>0</v>
      </c>
      <c r="N767" t="n">
        <v>0</v>
      </c>
      <c r="O767" t="n">
        <v>0</v>
      </c>
      <c r="P767" t="n">
        <v>0</v>
      </c>
      <c r="Q767" t="n">
        <v>0</v>
      </c>
      <c r="R767" s="2" t="inlineStr"/>
    </row>
    <row r="768" ht="15" customHeight="1">
      <c r="A768" t="inlineStr">
        <is>
          <t>A 22824-2023</t>
        </is>
      </c>
      <c r="B768" s="1" t="n">
        <v>45072</v>
      </c>
      <c r="C768" s="1" t="n">
        <v>46040</v>
      </c>
      <c r="D768" t="inlineStr">
        <is>
          <t>ÖREBRO LÄN</t>
        </is>
      </c>
      <c r="E768" t="inlineStr">
        <is>
          <t>LINDESBERG</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46040</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72698-2021</t>
        </is>
      </c>
      <c r="B770" s="1" t="n">
        <v>44546.6679050926</v>
      </c>
      <c r="C770" s="1" t="n">
        <v>46040</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53046-2024</t>
        </is>
      </c>
      <c r="B771" s="1" t="n">
        <v>45611.44960648148</v>
      </c>
      <c r="C771" s="1" t="n">
        <v>46040</v>
      </c>
      <c r="D771" t="inlineStr">
        <is>
          <t>ÖREBRO LÄN</t>
        </is>
      </c>
      <c r="E771" t="inlineStr">
        <is>
          <t>LINDESBERG</t>
        </is>
      </c>
      <c r="G771" t="n">
        <v>1.2</v>
      </c>
      <c r="H771" t="n">
        <v>0</v>
      </c>
      <c r="I771" t="n">
        <v>0</v>
      </c>
      <c r="J771" t="n">
        <v>0</v>
      </c>
      <c r="K771" t="n">
        <v>0</v>
      </c>
      <c r="L771" t="n">
        <v>0</v>
      </c>
      <c r="M771" t="n">
        <v>0</v>
      </c>
      <c r="N771" t="n">
        <v>0</v>
      </c>
      <c r="O771" t="n">
        <v>0</v>
      </c>
      <c r="P771" t="n">
        <v>0</v>
      </c>
      <c r="Q771" t="n">
        <v>0</v>
      </c>
      <c r="R771" s="2" t="inlineStr"/>
    </row>
    <row r="772" ht="15" customHeight="1">
      <c r="A772" t="inlineStr">
        <is>
          <t>A 34237-2023</t>
        </is>
      </c>
      <c r="B772" s="1" t="n">
        <v>45138</v>
      </c>
      <c r="C772" s="1" t="n">
        <v>46040</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32994-2023</t>
        </is>
      </c>
      <c r="B773" s="1" t="n">
        <v>45113</v>
      </c>
      <c r="C773" s="1" t="n">
        <v>46040</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18590-2023</t>
        </is>
      </c>
      <c r="B774" s="1" t="n">
        <v>45043.40300925926</v>
      </c>
      <c r="C774" s="1" t="n">
        <v>46040</v>
      </c>
      <c r="D774" t="inlineStr">
        <is>
          <t>ÖREBRO LÄN</t>
        </is>
      </c>
      <c r="E774" t="inlineStr">
        <is>
          <t>LINDESBERG</t>
        </is>
      </c>
      <c r="G774" t="n">
        <v>2.4</v>
      </c>
      <c r="H774" t="n">
        <v>0</v>
      </c>
      <c r="I774" t="n">
        <v>0</v>
      </c>
      <c r="J774" t="n">
        <v>0</v>
      </c>
      <c r="K774" t="n">
        <v>0</v>
      </c>
      <c r="L774" t="n">
        <v>0</v>
      </c>
      <c r="M774" t="n">
        <v>0</v>
      </c>
      <c r="N774" t="n">
        <v>0</v>
      </c>
      <c r="O774" t="n">
        <v>0</v>
      </c>
      <c r="P774" t="n">
        <v>0</v>
      </c>
      <c r="Q774" t="n">
        <v>0</v>
      </c>
      <c r="R774" s="2" t="inlineStr"/>
    </row>
    <row r="775" ht="15" customHeight="1">
      <c r="A775" t="inlineStr">
        <is>
          <t>A 36170-2021</t>
        </is>
      </c>
      <c r="B775" s="1" t="n">
        <v>44389</v>
      </c>
      <c r="C775" s="1" t="n">
        <v>46040</v>
      </c>
      <c r="D775" t="inlineStr">
        <is>
          <t>ÖREBRO LÄN</t>
        </is>
      </c>
      <c r="E775" t="inlineStr">
        <is>
          <t>LINDESBERG</t>
        </is>
      </c>
      <c r="G775" t="n">
        <v>0.4</v>
      </c>
      <c r="H775" t="n">
        <v>0</v>
      </c>
      <c r="I775" t="n">
        <v>0</v>
      </c>
      <c r="J775" t="n">
        <v>0</v>
      </c>
      <c r="K775" t="n">
        <v>0</v>
      </c>
      <c r="L775" t="n">
        <v>0</v>
      </c>
      <c r="M775" t="n">
        <v>0</v>
      </c>
      <c r="N775" t="n">
        <v>0</v>
      </c>
      <c r="O775" t="n">
        <v>0</v>
      </c>
      <c r="P775" t="n">
        <v>0</v>
      </c>
      <c r="Q775" t="n">
        <v>0</v>
      </c>
      <c r="R775" s="2" t="inlineStr"/>
    </row>
    <row r="776" ht="15" customHeight="1">
      <c r="A776" t="inlineStr">
        <is>
          <t>A 10822-2023</t>
        </is>
      </c>
      <c r="B776" s="1" t="n">
        <v>44990</v>
      </c>
      <c r="C776" s="1" t="n">
        <v>46040</v>
      </c>
      <c r="D776" t="inlineStr">
        <is>
          <t>ÖREBRO LÄN</t>
        </is>
      </c>
      <c r="E776" t="inlineStr">
        <is>
          <t>LINDESBERG</t>
        </is>
      </c>
      <c r="G776" t="n">
        <v>1.3</v>
      </c>
      <c r="H776" t="n">
        <v>0</v>
      </c>
      <c r="I776" t="n">
        <v>0</v>
      </c>
      <c r="J776" t="n">
        <v>0</v>
      </c>
      <c r="K776" t="n">
        <v>0</v>
      </c>
      <c r="L776" t="n">
        <v>0</v>
      </c>
      <c r="M776" t="n">
        <v>0</v>
      </c>
      <c r="N776" t="n">
        <v>0</v>
      </c>
      <c r="O776" t="n">
        <v>0</v>
      </c>
      <c r="P776" t="n">
        <v>0</v>
      </c>
      <c r="Q776" t="n">
        <v>0</v>
      </c>
      <c r="R776" s="2" t="inlineStr"/>
    </row>
    <row r="777" ht="15" customHeight="1">
      <c r="A777" t="inlineStr">
        <is>
          <t>A 51539-2024</t>
        </is>
      </c>
      <c r="B777" s="1" t="n">
        <v>45604.58837962963</v>
      </c>
      <c r="C777" s="1" t="n">
        <v>46040</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15852-2025</t>
        </is>
      </c>
      <c r="B778" s="1" t="n">
        <v>45749</v>
      </c>
      <c r="C778" s="1" t="n">
        <v>46040</v>
      </c>
      <c r="D778" t="inlineStr">
        <is>
          <t>ÖREBRO LÄN</t>
        </is>
      </c>
      <c r="E778" t="inlineStr">
        <is>
          <t>LINDESBERG</t>
        </is>
      </c>
      <c r="G778" t="n">
        <v>8.9</v>
      </c>
      <c r="H778" t="n">
        <v>0</v>
      </c>
      <c r="I778" t="n">
        <v>0</v>
      </c>
      <c r="J778" t="n">
        <v>0</v>
      </c>
      <c r="K778" t="n">
        <v>0</v>
      </c>
      <c r="L778" t="n">
        <v>0</v>
      </c>
      <c r="M778" t="n">
        <v>0</v>
      </c>
      <c r="N778" t="n">
        <v>0</v>
      </c>
      <c r="O778" t="n">
        <v>0</v>
      </c>
      <c r="P778" t="n">
        <v>0</v>
      </c>
      <c r="Q778" t="n">
        <v>0</v>
      </c>
      <c r="R778" s="2" t="inlineStr"/>
    </row>
    <row r="779" ht="15" customHeight="1">
      <c r="A779" t="inlineStr">
        <is>
          <t>A 34539-2024</t>
        </is>
      </c>
      <c r="B779" s="1" t="n">
        <v>45525.7374537037</v>
      </c>
      <c r="C779" s="1" t="n">
        <v>46040</v>
      </c>
      <c r="D779" t="inlineStr">
        <is>
          <t>ÖREBRO LÄN</t>
        </is>
      </c>
      <c r="E779" t="inlineStr">
        <is>
          <t>LINDESBERG</t>
        </is>
      </c>
      <c r="G779" t="n">
        <v>5.4</v>
      </c>
      <c r="H779" t="n">
        <v>0</v>
      </c>
      <c r="I779" t="n">
        <v>0</v>
      </c>
      <c r="J779" t="n">
        <v>0</v>
      </c>
      <c r="K779" t="n">
        <v>0</v>
      </c>
      <c r="L779" t="n">
        <v>0</v>
      </c>
      <c r="M779" t="n">
        <v>0</v>
      </c>
      <c r="N779" t="n">
        <v>0</v>
      </c>
      <c r="O779" t="n">
        <v>0</v>
      </c>
      <c r="P779" t="n">
        <v>0</v>
      </c>
      <c r="Q779" t="n">
        <v>0</v>
      </c>
      <c r="R779" s="2" t="inlineStr"/>
    </row>
    <row r="780" ht="15" customHeight="1">
      <c r="A780" t="inlineStr">
        <is>
          <t>A 35739-2024</t>
        </is>
      </c>
      <c r="B780" s="1" t="n">
        <v>45532</v>
      </c>
      <c r="C780" s="1" t="n">
        <v>46040</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1383-2025</t>
        </is>
      </c>
      <c r="B781" s="1" t="n">
        <v>45667</v>
      </c>
      <c r="C781" s="1" t="n">
        <v>46040</v>
      </c>
      <c r="D781" t="inlineStr">
        <is>
          <t>ÖREBRO LÄN</t>
        </is>
      </c>
      <c r="E781" t="inlineStr">
        <is>
          <t>LINDESBERG</t>
        </is>
      </c>
      <c r="G781" t="n">
        <v>5</v>
      </c>
      <c r="H781" t="n">
        <v>0</v>
      </c>
      <c r="I781" t="n">
        <v>0</v>
      </c>
      <c r="J781" t="n">
        <v>0</v>
      </c>
      <c r="K781" t="n">
        <v>0</v>
      </c>
      <c r="L781" t="n">
        <v>0</v>
      </c>
      <c r="M781" t="n">
        <v>0</v>
      </c>
      <c r="N781" t="n">
        <v>0</v>
      </c>
      <c r="O781" t="n">
        <v>0</v>
      </c>
      <c r="P781" t="n">
        <v>0</v>
      </c>
      <c r="Q781" t="n">
        <v>0</v>
      </c>
      <c r="R781" s="2" t="inlineStr"/>
    </row>
    <row r="782" ht="15" customHeight="1">
      <c r="A782" t="inlineStr">
        <is>
          <t>A 35230-2024</t>
        </is>
      </c>
      <c r="B782" s="1" t="n">
        <v>45530</v>
      </c>
      <c r="C782" s="1" t="n">
        <v>46040</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10057-2025</t>
        </is>
      </c>
      <c r="B783" s="1" t="n">
        <v>45719.52871527777</v>
      </c>
      <c r="C783" s="1" t="n">
        <v>46040</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9198-2025</t>
        </is>
      </c>
      <c r="B784" s="1" t="n">
        <v>45714</v>
      </c>
      <c r="C784" s="1" t="n">
        <v>46040</v>
      </c>
      <c r="D784" t="inlineStr">
        <is>
          <t>ÖREBRO LÄN</t>
        </is>
      </c>
      <c r="E784" t="inlineStr">
        <is>
          <t>LINDESBERG</t>
        </is>
      </c>
      <c r="G784" t="n">
        <v>3.3</v>
      </c>
      <c r="H784" t="n">
        <v>0</v>
      </c>
      <c r="I784" t="n">
        <v>0</v>
      </c>
      <c r="J784" t="n">
        <v>0</v>
      </c>
      <c r="K784" t="n">
        <v>0</v>
      </c>
      <c r="L784" t="n">
        <v>0</v>
      </c>
      <c r="M784" t="n">
        <v>0</v>
      </c>
      <c r="N784" t="n">
        <v>0</v>
      </c>
      <c r="O784" t="n">
        <v>0</v>
      </c>
      <c r="P784" t="n">
        <v>0</v>
      </c>
      <c r="Q784" t="n">
        <v>0</v>
      </c>
      <c r="R784" s="2" t="inlineStr"/>
    </row>
    <row r="785" ht="15" customHeight="1">
      <c r="A785" t="inlineStr">
        <is>
          <t>A 13823-2021</t>
        </is>
      </c>
      <c r="B785" s="1" t="n">
        <v>44276</v>
      </c>
      <c r="C785" s="1" t="n">
        <v>46040</v>
      </c>
      <c r="D785" t="inlineStr">
        <is>
          <t>ÖREBRO LÄN</t>
        </is>
      </c>
      <c r="E785" t="inlineStr">
        <is>
          <t>LINDESBERG</t>
        </is>
      </c>
      <c r="G785" t="n">
        <v>0.5</v>
      </c>
      <c r="H785" t="n">
        <v>0</v>
      </c>
      <c r="I785" t="n">
        <v>0</v>
      </c>
      <c r="J785" t="n">
        <v>0</v>
      </c>
      <c r="K785" t="n">
        <v>0</v>
      </c>
      <c r="L785" t="n">
        <v>0</v>
      </c>
      <c r="M785" t="n">
        <v>0</v>
      </c>
      <c r="N785" t="n">
        <v>0</v>
      </c>
      <c r="O785" t="n">
        <v>0</v>
      </c>
      <c r="P785" t="n">
        <v>0</v>
      </c>
      <c r="Q785" t="n">
        <v>0</v>
      </c>
      <c r="R785" s="2" t="inlineStr"/>
    </row>
    <row r="786" ht="15" customHeight="1">
      <c r="A786" t="inlineStr">
        <is>
          <t>A 16618-2023</t>
        </is>
      </c>
      <c r="B786" s="1" t="n">
        <v>45030</v>
      </c>
      <c r="C786" s="1" t="n">
        <v>46040</v>
      </c>
      <c r="D786" t="inlineStr">
        <is>
          <t>ÖREBRO LÄN</t>
        </is>
      </c>
      <c r="E786" t="inlineStr">
        <is>
          <t>LINDESBERG</t>
        </is>
      </c>
      <c r="F786" t="inlineStr">
        <is>
          <t>Kommuner</t>
        </is>
      </c>
      <c r="G786" t="n">
        <v>4.6</v>
      </c>
      <c r="H786" t="n">
        <v>0</v>
      </c>
      <c r="I786" t="n">
        <v>0</v>
      </c>
      <c r="J786" t="n">
        <v>0</v>
      </c>
      <c r="K786" t="n">
        <v>0</v>
      </c>
      <c r="L786" t="n">
        <v>0</v>
      </c>
      <c r="M786" t="n">
        <v>0</v>
      </c>
      <c r="N786" t="n">
        <v>0</v>
      </c>
      <c r="O786" t="n">
        <v>0</v>
      </c>
      <c r="P786" t="n">
        <v>0</v>
      </c>
      <c r="Q786" t="n">
        <v>0</v>
      </c>
      <c r="R786" s="2" t="inlineStr"/>
    </row>
    <row r="787" ht="15" customHeight="1">
      <c r="A787" t="inlineStr">
        <is>
          <t>A 4298-2025</t>
        </is>
      </c>
      <c r="B787" s="1" t="n">
        <v>45685</v>
      </c>
      <c r="C787" s="1" t="n">
        <v>46040</v>
      </c>
      <c r="D787" t="inlineStr">
        <is>
          <t>ÖREBRO LÄN</t>
        </is>
      </c>
      <c r="E787" t="inlineStr">
        <is>
          <t>LINDESBERG</t>
        </is>
      </c>
      <c r="G787" t="n">
        <v>13.5</v>
      </c>
      <c r="H787" t="n">
        <v>0</v>
      </c>
      <c r="I787" t="n">
        <v>0</v>
      </c>
      <c r="J787" t="n">
        <v>0</v>
      </c>
      <c r="K787" t="n">
        <v>0</v>
      </c>
      <c r="L787" t="n">
        <v>0</v>
      </c>
      <c r="M787" t="n">
        <v>0</v>
      </c>
      <c r="N787" t="n">
        <v>0</v>
      </c>
      <c r="O787" t="n">
        <v>0</v>
      </c>
      <c r="P787" t="n">
        <v>0</v>
      </c>
      <c r="Q787" t="n">
        <v>0</v>
      </c>
      <c r="R787" s="2" t="inlineStr"/>
    </row>
    <row r="788" ht="15" customHeight="1">
      <c r="A788" t="inlineStr">
        <is>
          <t>A 4999-2025</t>
        </is>
      </c>
      <c r="B788" s="1" t="n">
        <v>45691.36253472222</v>
      </c>
      <c r="C788" s="1" t="n">
        <v>46040</v>
      </c>
      <c r="D788" t="inlineStr">
        <is>
          <t>ÖREBRO LÄN</t>
        </is>
      </c>
      <c r="E788" t="inlineStr">
        <is>
          <t>LINDESBERG</t>
        </is>
      </c>
      <c r="G788" t="n">
        <v>4.7</v>
      </c>
      <c r="H788" t="n">
        <v>0</v>
      </c>
      <c r="I788" t="n">
        <v>0</v>
      </c>
      <c r="J788" t="n">
        <v>0</v>
      </c>
      <c r="K788" t="n">
        <v>0</v>
      </c>
      <c r="L788" t="n">
        <v>0</v>
      </c>
      <c r="M788" t="n">
        <v>0</v>
      </c>
      <c r="N788" t="n">
        <v>0</v>
      </c>
      <c r="O788" t="n">
        <v>0</v>
      </c>
      <c r="P788" t="n">
        <v>0</v>
      </c>
      <c r="Q788" t="n">
        <v>0</v>
      </c>
      <c r="R788" s="2" t="inlineStr"/>
    </row>
    <row r="789" ht="15" customHeight="1">
      <c r="A789" t="inlineStr">
        <is>
          <t>A 15892-2025</t>
        </is>
      </c>
      <c r="B789" s="1" t="n">
        <v>45749</v>
      </c>
      <c r="C789" s="1" t="n">
        <v>46040</v>
      </c>
      <c r="D789" t="inlineStr">
        <is>
          <t>ÖREBRO LÄN</t>
        </is>
      </c>
      <c r="E789" t="inlineStr">
        <is>
          <t>LINDESBERG</t>
        </is>
      </c>
      <c r="G789" t="n">
        <v>0.8</v>
      </c>
      <c r="H789" t="n">
        <v>0</v>
      </c>
      <c r="I789" t="n">
        <v>0</v>
      </c>
      <c r="J789" t="n">
        <v>0</v>
      </c>
      <c r="K789" t="n">
        <v>0</v>
      </c>
      <c r="L789" t="n">
        <v>0</v>
      </c>
      <c r="M789" t="n">
        <v>0</v>
      </c>
      <c r="N789" t="n">
        <v>0</v>
      </c>
      <c r="O789" t="n">
        <v>0</v>
      </c>
      <c r="P789" t="n">
        <v>0</v>
      </c>
      <c r="Q789" t="n">
        <v>0</v>
      </c>
      <c r="R789" s="2" t="inlineStr"/>
    </row>
    <row r="790" ht="15" customHeight="1">
      <c r="A790" t="inlineStr">
        <is>
          <t>A 43247-2023</t>
        </is>
      </c>
      <c r="B790" s="1" t="n">
        <v>45183.48666666666</v>
      </c>
      <c r="C790" s="1" t="n">
        <v>46040</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45428-2023</t>
        </is>
      </c>
      <c r="B791" s="1" t="n">
        <v>45194</v>
      </c>
      <c r="C791" s="1" t="n">
        <v>46040</v>
      </c>
      <c r="D791" t="inlineStr">
        <is>
          <t>ÖREBRO LÄN</t>
        </is>
      </c>
      <c r="E791" t="inlineStr">
        <is>
          <t>LINDESBERG</t>
        </is>
      </c>
      <c r="G791" t="n">
        <v>7.7</v>
      </c>
      <c r="H791" t="n">
        <v>0</v>
      </c>
      <c r="I791" t="n">
        <v>0</v>
      </c>
      <c r="J791" t="n">
        <v>0</v>
      </c>
      <c r="K791" t="n">
        <v>0</v>
      </c>
      <c r="L791" t="n">
        <v>0</v>
      </c>
      <c r="M791" t="n">
        <v>0</v>
      </c>
      <c r="N791" t="n">
        <v>0</v>
      </c>
      <c r="O791" t="n">
        <v>0</v>
      </c>
      <c r="P791" t="n">
        <v>0</v>
      </c>
      <c r="Q791" t="n">
        <v>0</v>
      </c>
      <c r="R791" s="2" t="inlineStr"/>
    </row>
    <row r="792" ht="15" customHeight="1">
      <c r="A792" t="inlineStr">
        <is>
          <t>A 626-2025</t>
        </is>
      </c>
      <c r="B792" s="1" t="n">
        <v>45664</v>
      </c>
      <c r="C792" s="1" t="n">
        <v>46040</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43046-2022</t>
        </is>
      </c>
      <c r="B793" s="1" t="n">
        <v>44833</v>
      </c>
      <c r="C793" s="1" t="n">
        <v>46040</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57795-2021</t>
        </is>
      </c>
      <c r="B794" s="1" t="n">
        <v>44484</v>
      </c>
      <c r="C794" s="1" t="n">
        <v>46040</v>
      </c>
      <c r="D794" t="inlineStr">
        <is>
          <t>ÖREBRO LÄN</t>
        </is>
      </c>
      <c r="E794" t="inlineStr">
        <is>
          <t>LINDESBERG</t>
        </is>
      </c>
      <c r="G794" t="n">
        <v>39.4</v>
      </c>
      <c r="H794" t="n">
        <v>0</v>
      </c>
      <c r="I794" t="n">
        <v>0</v>
      </c>
      <c r="J794" t="n">
        <v>0</v>
      </c>
      <c r="K794" t="n">
        <v>0</v>
      </c>
      <c r="L794" t="n">
        <v>0</v>
      </c>
      <c r="M794" t="n">
        <v>0</v>
      </c>
      <c r="N794" t="n">
        <v>0</v>
      </c>
      <c r="O794" t="n">
        <v>0</v>
      </c>
      <c r="P794" t="n">
        <v>0</v>
      </c>
      <c r="Q794" t="n">
        <v>0</v>
      </c>
      <c r="R794" s="2" t="inlineStr"/>
    </row>
    <row r="795" ht="15" customHeight="1">
      <c r="A795" t="inlineStr">
        <is>
          <t>A 43433-2024</t>
        </is>
      </c>
      <c r="B795" s="1" t="n">
        <v>45568.64523148148</v>
      </c>
      <c r="C795" s="1" t="n">
        <v>46040</v>
      </c>
      <c r="D795" t="inlineStr">
        <is>
          <t>ÖREBRO LÄN</t>
        </is>
      </c>
      <c r="E795" t="inlineStr">
        <is>
          <t>LINDESBERG</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6604-2024</t>
        </is>
      </c>
      <c r="B796" s="1" t="n">
        <v>45341.56577546296</v>
      </c>
      <c r="C796" s="1" t="n">
        <v>46040</v>
      </c>
      <c r="D796" t="inlineStr">
        <is>
          <t>ÖREBRO LÄN</t>
        </is>
      </c>
      <c r="E796" t="inlineStr">
        <is>
          <t>LINDESBERG</t>
        </is>
      </c>
      <c r="F796" t="inlineStr">
        <is>
          <t>Sveaskog</t>
        </is>
      </c>
      <c r="G796" t="n">
        <v>2.3</v>
      </c>
      <c r="H796" t="n">
        <v>0</v>
      </c>
      <c r="I796" t="n">
        <v>0</v>
      </c>
      <c r="J796" t="n">
        <v>0</v>
      </c>
      <c r="K796" t="n">
        <v>0</v>
      </c>
      <c r="L796" t="n">
        <v>0</v>
      </c>
      <c r="M796" t="n">
        <v>0</v>
      </c>
      <c r="N796" t="n">
        <v>0</v>
      </c>
      <c r="O796" t="n">
        <v>0</v>
      </c>
      <c r="P796" t="n">
        <v>0</v>
      </c>
      <c r="Q796" t="n">
        <v>0</v>
      </c>
      <c r="R796" s="2" t="inlineStr"/>
    </row>
    <row r="797" ht="15" customHeight="1">
      <c r="A797" t="inlineStr">
        <is>
          <t>A 5550-2024</t>
        </is>
      </c>
      <c r="B797" s="1" t="n">
        <v>45334</v>
      </c>
      <c r="C797" s="1" t="n">
        <v>46040</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28082-2021</t>
        </is>
      </c>
      <c r="B798" s="1" t="n">
        <v>44355</v>
      </c>
      <c r="C798" s="1" t="n">
        <v>46040</v>
      </c>
      <c r="D798" t="inlineStr">
        <is>
          <t>ÖREBRO LÄN</t>
        </is>
      </c>
      <c r="E798" t="inlineStr">
        <is>
          <t>LINDESBERG</t>
        </is>
      </c>
      <c r="F798" t="inlineStr">
        <is>
          <t>Sveaskog</t>
        </is>
      </c>
      <c r="G798" t="n">
        <v>9.9</v>
      </c>
      <c r="H798" t="n">
        <v>0</v>
      </c>
      <c r="I798" t="n">
        <v>0</v>
      </c>
      <c r="J798" t="n">
        <v>0</v>
      </c>
      <c r="K798" t="n">
        <v>0</v>
      </c>
      <c r="L798" t="n">
        <v>0</v>
      </c>
      <c r="M798" t="n">
        <v>0</v>
      </c>
      <c r="N798" t="n">
        <v>0</v>
      </c>
      <c r="O798" t="n">
        <v>0</v>
      </c>
      <c r="P798" t="n">
        <v>0</v>
      </c>
      <c r="Q798" t="n">
        <v>0</v>
      </c>
      <c r="R798" s="2" t="inlineStr"/>
    </row>
    <row r="799" ht="15" customHeight="1">
      <c r="A799" t="inlineStr">
        <is>
          <t>A 57911-2022</t>
        </is>
      </c>
      <c r="B799" s="1" t="n">
        <v>44900.36149305556</v>
      </c>
      <c r="C799" s="1" t="n">
        <v>46040</v>
      </c>
      <c r="D799" t="inlineStr">
        <is>
          <t>ÖREBRO LÄN</t>
        </is>
      </c>
      <c r="E799" t="inlineStr">
        <is>
          <t>LINDESBERG</t>
        </is>
      </c>
      <c r="G799" t="n">
        <v>4.9</v>
      </c>
      <c r="H799" t="n">
        <v>0</v>
      </c>
      <c r="I799" t="n">
        <v>0</v>
      </c>
      <c r="J799" t="n">
        <v>0</v>
      </c>
      <c r="K799" t="n">
        <v>0</v>
      </c>
      <c r="L799" t="n">
        <v>0</v>
      </c>
      <c r="M799" t="n">
        <v>0</v>
      </c>
      <c r="N799" t="n">
        <v>0</v>
      </c>
      <c r="O799" t="n">
        <v>0</v>
      </c>
      <c r="P799" t="n">
        <v>0</v>
      </c>
      <c r="Q799" t="n">
        <v>0</v>
      </c>
      <c r="R799" s="2" t="inlineStr"/>
    </row>
    <row r="800" ht="15" customHeight="1">
      <c r="A800" t="inlineStr">
        <is>
          <t>A 63125-2023</t>
        </is>
      </c>
      <c r="B800" s="1" t="n">
        <v>45273</v>
      </c>
      <c r="C800" s="1" t="n">
        <v>46040</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64427-2021</t>
        </is>
      </c>
      <c r="B801" s="1" t="n">
        <v>44511</v>
      </c>
      <c r="C801" s="1" t="n">
        <v>46040</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15752-2024</t>
        </is>
      </c>
      <c r="B802" s="1" t="n">
        <v>45404.55681712963</v>
      </c>
      <c r="C802" s="1" t="n">
        <v>46040</v>
      </c>
      <c r="D802" t="inlineStr">
        <is>
          <t>ÖREBRO LÄN</t>
        </is>
      </c>
      <c r="E802" t="inlineStr">
        <is>
          <t>LINDESBERG</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35229-2024</t>
        </is>
      </c>
      <c r="B803" s="1" t="n">
        <v>45530</v>
      </c>
      <c r="C803" s="1" t="n">
        <v>46040</v>
      </c>
      <c r="D803" t="inlineStr">
        <is>
          <t>ÖREBRO LÄN</t>
        </is>
      </c>
      <c r="E803" t="inlineStr">
        <is>
          <t>LINDESBERG</t>
        </is>
      </c>
      <c r="G803" t="n">
        <v>0.8</v>
      </c>
      <c r="H803" t="n">
        <v>0</v>
      </c>
      <c r="I803" t="n">
        <v>0</v>
      </c>
      <c r="J803" t="n">
        <v>0</v>
      </c>
      <c r="K803" t="n">
        <v>0</v>
      </c>
      <c r="L803" t="n">
        <v>0</v>
      </c>
      <c r="M803" t="n">
        <v>0</v>
      </c>
      <c r="N803" t="n">
        <v>0</v>
      </c>
      <c r="O803" t="n">
        <v>0</v>
      </c>
      <c r="P803" t="n">
        <v>0</v>
      </c>
      <c r="Q803" t="n">
        <v>0</v>
      </c>
      <c r="R803" s="2" t="inlineStr"/>
    </row>
    <row r="804" ht="15" customHeight="1">
      <c r="A804" t="inlineStr">
        <is>
          <t>A 50986-2023</t>
        </is>
      </c>
      <c r="B804" s="1" t="n">
        <v>45218</v>
      </c>
      <c r="C804" s="1" t="n">
        <v>46040</v>
      </c>
      <c r="D804" t="inlineStr">
        <is>
          <t>ÖREBRO LÄN</t>
        </is>
      </c>
      <c r="E804" t="inlineStr">
        <is>
          <t>LINDESBERG</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25046-2024</t>
        </is>
      </c>
      <c r="B805" s="1" t="n">
        <v>45462</v>
      </c>
      <c r="C805" s="1" t="n">
        <v>46040</v>
      </c>
      <c r="D805" t="inlineStr">
        <is>
          <t>ÖREBRO LÄN</t>
        </is>
      </c>
      <c r="E805" t="inlineStr">
        <is>
          <t>LINDESBERG</t>
        </is>
      </c>
      <c r="G805" t="n">
        <v>4.1</v>
      </c>
      <c r="H805" t="n">
        <v>0</v>
      </c>
      <c r="I805" t="n">
        <v>0</v>
      </c>
      <c r="J805" t="n">
        <v>0</v>
      </c>
      <c r="K805" t="n">
        <v>0</v>
      </c>
      <c r="L805" t="n">
        <v>0</v>
      </c>
      <c r="M805" t="n">
        <v>0</v>
      </c>
      <c r="N805" t="n">
        <v>0</v>
      </c>
      <c r="O805" t="n">
        <v>0</v>
      </c>
      <c r="P805" t="n">
        <v>0</v>
      </c>
      <c r="Q805" t="n">
        <v>0</v>
      </c>
      <c r="R805" s="2" t="inlineStr"/>
    </row>
    <row r="806" ht="15" customHeight="1">
      <c r="A806" t="inlineStr">
        <is>
          <t>A 44675-2021</t>
        </is>
      </c>
      <c r="B806" s="1" t="n">
        <v>44438</v>
      </c>
      <c r="C806" s="1" t="n">
        <v>46040</v>
      </c>
      <c r="D806" t="inlineStr">
        <is>
          <t>ÖREBRO LÄN</t>
        </is>
      </c>
      <c r="E806" t="inlineStr">
        <is>
          <t>LINDESBERG</t>
        </is>
      </c>
      <c r="F806" t="inlineStr">
        <is>
          <t>Sveaskog</t>
        </is>
      </c>
      <c r="G806" t="n">
        <v>2.1</v>
      </c>
      <c r="H806" t="n">
        <v>0</v>
      </c>
      <c r="I806" t="n">
        <v>0</v>
      </c>
      <c r="J806" t="n">
        <v>0</v>
      </c>
      <c r="K806" t="n">
        <v>0</v>
      </c>
      <c r="L806" t="n">
        <v>0</v>
      </c>
      <c r="M806" t="n">
        <v>0</v>
      </c>
      <c r="N806" t="n">
        <v>0</v>
      </c>
      <c r="O806" t="n">
        <v>0</v>
      </c>
      <c r="P806" t="n">
        <v>0</v>
      </c>
      <c r="Q806" t="n">
        <v>0</v>
      </c>
      <c r="R806" s="2" t="inlineStr"/>
    </row>
    <row r="807" ht="15" customHeight="1">
      <c r="A807" t="inlineStr">
        <is>
          <t>A 32829-2024</t>
        </is>
      </c>
      <c r="B807" s="1" t="n">
        <v>45516.59447916667</v>
      </c>
      <c r="C807" s="1" t="n">
        <v>46040</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43416-2024</t>
        </is>
      </c>
      <c r="B808" s="1" t="n">
        <v>45568.62625</v>
      </c>
      <c r="C808" s="1" t="n">
        <v>46040</v>
      </c>
      <c r="D808" t="inlineStr">
        <is>
          <t>ÖREBRO LÄN</t>
        </is>
      </c>
      <c r="E808" t="inlineStr">
        <is>
          <t>LINDESBERG</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54859-2024</t>
        </is>
      </c>
      <c r="B809" s="1" t="n">
        <v>45618.58962962963</v>
      </c>
      <c r="C809" s="1" t="n">
        <v>46040</v>
      </c>
      <c r="D809" t="inlineStr">
        <is>
          <t>ÖREBRO LÄN</t>
        </is>
      </c>
      <c r="E809" t="inlineStr">
        <is>
          <t>LINDESBERG</t>
        </is>
      </c>
      <c r="F809" t="inlineStr">
        <is>
          <t>Sveaskog</t>
        </is>
      </c>
      <c r="G809" t="n">
        <v>5.3</v>
      </c>
      <c r="H809" t="n">
        <v>0</v>
      </c>
      <c r="I809" t="n">
        <v>0</v>
      </c>
      <c r="J809" t="n">
        <v>0</v>
      </c>
      <c r="K809" t="n">
        <v>0</v>
      </c>
      <c r="L809" t="n">
        <v>0</v>
      </c>
      <c r="M809" t="n">
        <v>0</v>
      </c>
      <c r="N809" t="n">
        <v>0</v>
      </c>
      <c r="O809" t="n">
        <v>0</v>
      </c>
      <c r="P809" t="n">
        <v>0</v>
      </c>
      <c r="Q809" t="n">
        <v>0</v>
      </c>
      <c r="R809" s="2" t="inlineStr"/>
    </row>
    <row r="810" ht="15" customHeight="1">
      <c r="A810" t="inlineStr">
        <is>
          <t>A 10654-2023</t>
        </is>
      </c>
      <c r="B810" s="1" t="n">
        <v>44984</v>
      </c>
      <c r="C810" s="1" t="n">
        <v>46040</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30534-2023</t>
        </is>
      </c>
      <c r="B811" s="1" t="n">
        <v>45111</v>
      </c>
      <c r="C811" s="1" t="n">
        <v>46040</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27013-2024</t>
        </is>
      </c>
      <c r="B812" s="1" t="n">
        <v>45471.40384259259</v>
      </c>
      <c r="C812" s="1" t="n">
        <v>46040</v>
      </c>
      <c r="D812" t="inlineStr">
        <is>
          <t>ÖREBRO LÄN</t>
        </is>
      </c>
      <c r="E812" t="inlineStr">
        <is>
          <t>LINDESBERG</t>
        </is>
      </c>
      <c r="G812" t="n">
        <v>5.2</v>
      </c>
      <c r="H812" t="n">
        <v>0</v>
      </c>
      <c r="I812" t="n">
        <v>0</v>
      </c>
      <c r="J812" t="n">
        <v>0</v>
      </c>
      <c r="K812" t="n">
        <v>0</v>
      </c>
      <c r="L812" t="n">
        <v>0</v>
      </c>
      <c r="M812" t="n">
        <v>0</v>
      </c>
      <c r="N812" t="n">
        <v>0</v>
      </c>
      <c r="O812" t="n">
        <v>0</v>
      </c>
      <c r="P812" t="n">
        <v>0</v>
      </c>
      <c r="Q812" t="n">
        <v>0</v>
      </c>
      <c r="R812" s="2" t="inlineStr"/>
    </row>
    <row r="813" ht="15" customHeight="1">
      <c r="A813" t="inlineStr">
        <is>
          <t>A 9140-2025</t>
        </is>
      </c>
      <c r="B813" s="1" t="n">
        <v>45714.31533564815</v>
      </c>
      <c r="C813" s="1" t="n">
        <v>46040</v>
      </c>
      <c r="D813" t="inlineStr">
        <is>
          <t>ÖREBRO LÄN</t>
        </is>
      </c>
      <c r="E813" t="inlineStr">
        <is>
          <t>LINDESBERG</t>
        </is>
      </c>
      <c r="G813" t="n">
        <v>0.8</v>
      </c>
      <c r="H813" t="n">
        <v>0</v>
      </c>
      <c r="I813" t="n">
        <v>0</v>
      </c>
      <c r="J813" t="n">
        <v>0</v>
      </c>
      <c r="K813" t="n">
        <v>0</v>
      </c>
      <c r="L813" t="n">
        <v>0</v>
      </c>
      <c r="M813" t="n">
        <v>0</v>
      </c>
      <c r="N813" t="n">
        <v>0</v>
      </c>
      <c r="O813" t="n">
        <v>0</v>
      </c>
      <c r="P813" t="n">
        <v>0</v>
      </c>
      <c r="Q813" t="n">
        <v>0</v>
      </c>
      <c r="R813" s="2" t="inlineStr"/>
    </row>
    <row r="814" ht="15" customHeight="1">
      <c r="A814" t="inlineStr">
        <is>
          <t>A 28469-2023</t>
        </is>
      </c>
      <c r="B814" s="1" t="n">
        <v>45103</v>
      </c>
      <c r="C814" s="1" t="n">
        <v>46040</v>
      </c>
      <c r="D814" t="inlineStr">
        <is>
          <t>ÖREBRO LÄN</t>
        </is>
      </c>
      <c r="E814" t="inlineStr">
        <is>
          <t>LINDESBERG</t>
        </is>
      </c>
      <c r="G814" t="n">
        <v>0.3</v>
      </c>
      <c r="H814" t="n">
        <v>0</v>
      </c>
      <c r="I814" t="n">
        <v>0</v>
      </c>
      <c r="J814" t="n">
        <v>0</v>
      </c>
      <c r="K814" t="n">
        <v>0</v>
      </c>
      <c r="L814" t="n">
        <v>0</v>
      </c>
      <c r="M814" t="n">
        <v>0</v>
      </c>
      <c r="N814" t="n">
        <v>0</v>
      </c>
      <c r="O814" t="n">
        <v>0</v>
      </c>
      <c r="P814" t="n">
        <v>0</v>
      </c>
      <c r="Q814" t="n">
        <v>0</v>
      </c>
      <c r="R814" s="2" t="inlineStr"/>
    </row>
    <row r="815" ht="15" customHeight="1">
      <c r="A815" t="inlineStr">
        <is>
          <t>A 12278-2025</t>
        </is>
      </c>
      <c r="B815" s="1" t="n">
        <v>45729.65171296296</v>
      </c>
      <c r="C815" s="1" t="n">
        <v>46040</v>
      </c>
      <c r="D815" t="inlineStr">
        <is>
          <t>ÖREBRO LÄN</t>
        </is>
      </c>
      <c r="E815" t="inlineStr">
        <is>
          <t>LINDESBERG</t>
        </is>
      </c>
      <c r="G815" t="n">
        <v>3.2</v>
      </c>
      <c r="H815" t="n">
        <v>0</v>
      </c>
      <c r="I815" t="n">
        <v>0</v>
      </c>
      <c r="J815" t="n">
        <v>0</v>
      </c>
      <c r="K815" t="n">
        <v>0</v>
      </c>
      <c r="L815" t="n">
        <v>0</v>
      </c>
      <c r="M815" t="n">
        <v>0</v>
      </c>
      <c r="N815" t="n">
        <v>0</v>
      </c>
      <c r="O815" t="n">
        <v>0</v>
      </c>
      <c r="P815" t="n">
        <v>0</v>
      </c>
      <c r="Q815" t="n">
        <v>0</v>
      </c>
      <c r="R815" s="2" t="inlineStr"/>
    </row>
    <row r="816" ht="15" customHeight="1">
      <c r="A816" t="inlineStr">
        <is>
          <t>A 20954-2024</t>
        </is>
      </c>
      <c r="B816" s="1" t="n">
        <v>45439.56605324074</v>
      </c>
      <c r="C816" s="1" t="n">
        <v>46040</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7120-2025</t>
        </is>
      </c>
      <c r="B817" s="1" t="n">
        <v>45702</v>
      </c>
      <c r="C817" s="1" t="n">
        <v>46040</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36773-2024</t>
        </is>
      </c>
      <c r="B818" s="1" t="n">
        <v>45538</v>
      </c>
      <c r="C818" s="1" t="n">
        <v>46040</v>
      </c>
      <c r="D818" t="inlineStr">
        <is>
          <t>ÖREBRO LÄN</t>
        </is>
      </c>
      <c r="E818" t="inlineStr">
        <is>
          <t>LINDESBERG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53897-2024</t>
        </is>
      </c>
      <c r="B819" s="1" t="n">
        <v>45615.69570601852</v>
      </c>
      <c r="C819" s="1" t="n">
        <v>46040</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12692-2024</t>
        </is>
      </c>
      <c r="B820" s="1" t="n">
        <v>45384.43418981481</v>
      </c>
      <c r="C820" s="1" t="n">
        <v>46040</v>
      </c>
      <c r="D820" t="inlineStr">
        <is>
          <t>ÖREBRO LÄN</t>
        </is>
      </c>
      <c r="E820" t="inlineStr">
        <is>
          <t>LINDESBERG</t>
        </is>
      </c>
      <c r="G820" t="n">
        <v>5.2</v>
      </c>
      <c r="H820" t="n">
        <v>0</v>
      </c>
      <c r="I820" t="n">
        <v>0</v>
      </c>
      <c r="J820" t="n">
        <v>0</v>
      </c>
      <c r="K820" t="n">
        <v>0</v>
      </c>
      <c r="L820" t="n">
        <v>0</v>
      </c>
      <c r="M820" t="n">
        <v>0</v>
      </c>
      <c r="N820" t="n">
        <v>0</v>
      </c>
      <c r="O820" t="n">
        <v>0</v>
      </c>
      <c r="P820" t="n">
        <v>0</v>
      </c>
      <c r="Q820" t="n">
        <v>0</v>
      </c>
      <c r="R820" s="2" t="inlineStr"/>
    </row>
    <row r="821" ht="15" customHeight="1">
      <c r="A821" t="inlineStr">
        <is>
          <t>A 15325-2024</t>
        </is>
      </c>
      <c r="B821" s="1" t="n">
        <v>45400.6709837963</v>
      </c>
      <c r="C821" s="1" t="n">
        <v>46040</v>
      </c>
      <c r="D821" t="inlineStr">
        <is>
          <t>ÖREBRO LÄN</t>
        </is>
      </c>
      <c r="E821" t="inlineStr">
        <is>
          <t>LINDESBERG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7119-2025</t>
        </is>
      </c>
      <c r="B822" s="1" t="n">
        <v>45702</v>
      </c>
      <c r="C822" s="1" t="n">
        <v>46040</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20804-2025</t>
        </is>
      </c>
      <c r="B823" s="1" t="n">
        <v>45776.65518518518</v>
      </c>
      <c r="C823" s="1" t="n">
        <v>46040</v>
      </c>
      <c r="D823" t="inlineStr">
        <is>
          <t>ÖREBRO LÄN</t>
        </is>
      </c>
      <c r="E823" t="inlineStr">
        <is>
          <t>LINDESBERG</t>
        </is>
      </c>
      <c r="G823" t="n">
        <v>3.2</v>
      </c>
      <c r="H823" t="n">
        <v>0</v>
      </c>
      <c r="I823" t="n">
        <v>0</v>
      </c>
      <c r="J823" t="n">
        <v>0</v>
      </c>
      <c r="K823" t="n">
        <v>0</v>
      </c>
      <c r="L823" t="n">
        <v>0</v>
      </c>
      <c r="M823" t="n">
        <v>0</v>
      </c>
      <c r="N823" t="n">
        <v>0</v>
      </c>
      <c r="O823" t="n">
        <v>0</v>
      </c>
      <c r="P823" t="n">
        <v>0</v>
      </c>
      <c r="Q823" t="n">
        <v>0</v>
      </c>
      <c r="R823" s="2" t="inlineStr"/>
    </row>
    <row r="824" ht="15" customHeight="1">
      <c r="A824" t="inlineStr">
        <is>
          <t>A 20923-2025</t>
        </is>
      </c>
      <c r="B824" s="1" t="n">
        <v>45777.41673611111</v>
      </c>
      <c r="C824" s="1" t="n">
        <v>46040</v>
      </c>
      <c r="D824" t="inlineStr">
        <is>
          <t>ÖREBRO LÄN</t>
        </is>
      </c>
      <c r="E824" t="inlineStr">
        <is>
          <t>LINDESBERG</t>
        </is>
      </c>
      <c r="F824" t="inlineStr">
        <is>
          <t>Sveaskog</t>
        </is>
      </c>
      <c r="G824" t="n">
        <v>10.3</v>
      </c>
      <c r="H824" t="n">
        <v>0</v>
      </c>
      <c r="I824" t="n">
        <v>0</v>
      </c>
      <c r="J824" t="n">
        <v>0</v>
      </c>
      <c r="K824" t="n">
        <v>0</v>
      </c>
      <c r="L824" t="n">
        <v>0</v>
      </c>
      <c r="M824" t="n">
        <v>0</v>
      </c>
      <c r="N824" t="n">
        <v>0</v>
      </c>
      <c r="O824" t="n">
        <v>0</v>
      </c>
      <c r="P824" t="n">
        <v>0</v>
      </c>
      <c r="Q824" t="n">
        <v>0</v>
      </c>
      <c r="R824" s="2" t="inlineStr"/>
    </row>
    <row r="825" ht="15" customHeight="1">
      <c r="A825" t="inlineStr">
        <is>
          <t>A 20950-2025</t>
        </is>
      </c>
      <c r="B825" s="1" t="n">
        <v>45777.43878472222</v>
      </c>
      <c r="C825" s="1" t="n">
        <v>46040</v>
      </c>
      <c r="D825" t="inlineStr">
        <is>
          <t>ÖREBRO LÄN</t>
        </is>
      </c>
      <c r="E825" t="inlineStr">
        <is>
          <t>LINDESBERG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12795-2025</t>
        </is>
      </c>
      <c r="B826" s="1" t="n">
        <v>45733.60959490741</v>
      </c>
      <c r="C826" s="1" t="n">
        <v>46040</v>
      </c>
      <c r="D826" t="inlineStr">
        <is>
          <t>ÖREBRO LÄN</t>
        </is>
      </c>
      <c r="E826" t="inlineStr">
        <is>
          <t>LINDESBERG</t>
        </is>
      </c>
      <c r="G826" t="n">
        <v>10.8</v>
      </c>
      <c r="H826" t="n">
        <v>0</v>
      </c>
      <c r="I826" t="n">
        <v>0</v>
      </c>
      <c r="J826" t="n">
        <v>0</v>
      </c>
      <c r="K826" t="n">
        <v>0</v>
      </c>
      <c r="L826" t="n">
        <v>0</v>
      </c>
      <c r="M826" t="n">
        <v>0</v>
      </c>
      <c r="N826" t="n">
        <v>0</v>
      </c>
      <c r="O826" t="n">
        <v>0</v>
      </c>
      <c r="P826" t="n">
        <v>0</v>
      </c>
      <c r="Q826" t="n">
        <v>0</v>
      </c>
      <c r="R826" s="2" t="inlineStr"/>
    </row>
    <row r="827" ht="15" customHeight="1">
      <c r="A827" t="inlineStr">
        <is>
          <t>A 20930-2025</t>
        </is>
      </c>
      <c r="B827" s="1" t="n">
        <v>45777.42628472222</v>
      </c>
      <c r="C827" s="1" t="n">
        <v>46040</v>
      </c>
      <c r="D827" t="inlineStr">
        <is>
          <t>ÖREBRO LÄN</t>
        </is>
      </c>
      <c r="E827" t="inlineStr">
        <is>
          <t>LINDESBERG</t>
        </is>
      </c>
      <c r="F827" t="inlineStr">
        <is>
          <t>Sveaskog</t>
        </is>
      </c>
      <c r="G827" t="n">
        <v>3.9</v>
      </c>
      <c r="H827" t="n">
        <v>0</v>
      </c>
      <c r="I827" t="n">
        <v>0</v>
      </c>
      <c r="J827" t="n">
        <v>0</v>
      </c>
      <c r="K827" t="n">
        <v>0</v>
      </c>
      <c r="L827" t="n">
        <v>0</v>
      </c>
      <c r="M827" t="n">
        <v>0</v>
      </c>
      <c r="N827" t="n">
        <v>0</v>
      </c>
      <c r="O827" t="n">
        <v>0</v>
      </c>
      <c r="P827" t="n">
        <v>0</v>
      </c>
      <c r="Q827" t="n">
        <v>0</v>
      </c>
      <c r="R827" s="2" t="inlineStr"/>
    </row>
    <row r="828" ht="15" customHeight="1">
      <c r="A828" t="inlineStr">
        <is>
          <t>A 20944-2025</t>
        </is>
      </c>
      <c r="B828" s="1" t="n">
        <v>45777</v>
      </c>
      <c r="C828" s="1" t="n">
        <v>46040</v>
      </c>
      <c r="D828" t="inlineStr">
        <is>
          <t>ÖREBRO LÄN</t>
        </is>
      </c>
      <c r="E828" t="inlineStr">
        <is>
          <t>LINDESBERG</t>
        </is>
      </c>
      <c r="F828" t="inlineStr">
        <is>
          <t>Sveaskog</t>
        </is>
      </c>
      <c r="G828" t="n">
        <v>2.6</v>
      </c>
      <c r="H828" t="n">
        <v>0</v>
      </c>
      <c r="I828" t="n">
        <v>0</v>
      </c>
      <c r="J828" t="n">
        <v>0</v>
      </c>
      <c r="K828" t="n">
        <v>0</v>
      </c>
      <c r="L828" t="n">
        <v>0</v>
      </c>
      <c r="M828" t="n">
        <v>0</v>
      </c>
      <c r="N828" t="n">
        <v>0</v>
      </c>
      <c r="O828" t="n">
        <v>0</v>
      </c>
      <c r="P828" t="n">
        <v>0</v>
      </c>
      <c r="Q828" t="n">
        <v>0</v>
      </c>
      <c r="R828" s="2" t="inlineStr"/>
    </row>
    <row r="829" ht="15" customHeight="1">
      <c r="A829" t="inlineStr">
        <is>
          <t>A 21812-2025</t>
        </is>
      </c>
      <c r="B829" s="1" t="n">
        <v>45783.71833333333</v>
      </c>
      <c r="C829" s="1" t="n">
        <v>46040</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31861-2024</t>
        </is>
      </c>
      <c r="B830" s="1" t="n">
        <v>45509.73383101852</v>
      </c>
      <c r="C830" s="1" t="n">
        <v>46040</v>
      </c>
      <c r="D830" t="inlineStr">
        <is>
          <t>ÖREBRO LÄN</t>
        </is>
      </c>
      <c r="E830" t="inlineStr">
        <is>
          <t>LINDESBERG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43195-2024</t>
        </is>
      </c>
      <c r="B831" s="1" t="n">
        <v>45567.68003472222</v>
      </c>
      <c r="C831" s="1" t="n">
        <v>46040</v>
      </c>
      <c r="D831" t="inlineStr">
        <is>
          <t>ÖREBRO LÄN</t>
        </is>
      </c>
      <c r="E831" t="inlineStr">
        <is>
          <t>LINDESBERG</t>
        </is>
      </c>
      <c r="G831" t="n">
        <v>27.8</v>
      </c>
      <c r="H831" t="n">
        <v>0</v>
      </c>
      <c r="I831" t="n">
        <v>0</v>
      </c>
      <c r="J831" t="n">
        <v>0</v>
      </c>
      <c r="K831" t="n">
        <v>0</v>
      </c>
      <c r="L831" t="n">
        <v>0</v>
      </c>
      <c r="M831" t="n">
        <v>0</v>
      </c>
      <c r="N831" t="n">
        <v>0</v>
      </c>
      <c r="O831" t="n">
        <v>0</v>
      </c>
      <c r="P831" t="n">
        <v>0</v>
      </c>
      <c r="Q831" t="n">
        <v>0</v>
      </c>
      <c r="R831" s="2" t="inlineStr"/>
    </row>
    <row r="832" ht="15" customHeight="1">
      <c r="A832" t="inlineStr">
        <is>
          <t>A 24583-2024</t>
        </is>
      </c>
      <c r="B832" s="1" t="n">
        <v>45460.46358796296</v>
      </c>
      <c r="C832" s="1" t="n">
        <v>46040</v>
      </c>
      <c r="D832" t="inlineStr">
        <is>
          <t>ÖREBRO LÄN</t>
        </is>
      </c>
      <c r="E832" t="inlineStr">
        <is>
          <t>LINDESBERG</t>
        </is>
      </c>
      <c r="G832" t="n">
        <v>13.7</v>
      </c>
      <c r="H832" t="n">
        <v>0</v>
      </c>
      <c r="I832" t="n">
        <v>0</v>
      </c>
      <c r="J832" t="n">
        <v>0</v>
      </c>
      <c r="K832" t="n">
        <v>0</v>
      </c>
      <c r="L832" t="n">
        <v>0</v>
      </c>
      <c r="M832" t="n">
        <v>0</v>
      </c>
      <c r="N832" t="n">
        <v>0</v>
      </c>
      <c r="O832" t="n">
        <v>0</v>
      </c>
      <c r="P832" t="n">
        <v>0</v>
      </c>
      <c r="Q832" t="n">
        <v>0</v>
      </c>
      <c r="R832" s="2" t="inlineStr"/>
    </row>
    <row r="833" ht="15" customHeight="1">
      <c r="A833" t="inlineStr">
        <is>
          <t>A 28776-2023</t>
        </is>
      </c>
      <c r="B833" s="1" t="n">
        <v>45104.34107638889</v>
      </c>
      <c r="C833" s="1" t="n">
        <v>46040</v>
      </c>
      <c r="D833" t="inlineStr">
        <is>
          <t>ÖREBRO LÄN</t>
        </is>
      </c>
      <c r="E833" t="inlineStr">
        <is>
          <t>LINDESBERG</t>
        </is>
      </c>
      <c r="F833" t="inlineStr">
        <is>
          <t>Sveaskog</t>
        </is>
      </c>
      <c r="G833" t="n">
        <v>4.1</v>
      </c>
      <c r="H833" t="n">
        <v>0</v>
      </c>
      <c r="I833" t="n">
        <v>0</v>
      </c>
      <c r="J833" t="n">
        <v>0</v>
      </c>
      <c r="K833" t="n">
        <v>0</v>
      </c>
      <c r="L833" t="n">
        <v>0</v>
      </c>
      <c r="M833" t="n">
        <v>0</v>
      </c>
      <c r="N833" t="n">
        <v>0</v>
      </c>
      <c r="O833" t="n">
        <v>0</v>
      </c>
      <c r="P833" t="n">
        <v>0</v>
      </c>
      <c r="Q833" t="n">
        <v>0</v>
      </c>
      <c r="R833" s="2" t="inlineStr"/>
    </row>
    <row r="834" ht="15" customHeight="1">
      <c r="A834" t="inlineStr">
        <is>
          <t>A 22438-2025</t>
        </is>
      </c>
      <c r="B834" s="1" t="n">
        <v>45786</v>
      </c>
      <c r="C834" s="1" t="n">
        <v>46040</v>
      </c>
      <c r="D834" t="inlineStr">
        <is>
          <t>ÖREBRO LÄN</t>
        </is>
      </c>
      <c r="E834" t="inlineStr">
        <is>
          <t>LINDESBERG</t>
        </is>
      </c>
      <c r="F834" t="inlineStr">
        <is>
          <t>Sveaskog</t>
        </is>
      </c>
      <c r="G834" t="n">
        <v>6.1</v>
      </c>
      <c r="H834" t="n">
        <v>0</v>
      </c>
      <c r="I834" t="n">
        <v>0</v>
      </c>
      <c r="J834" t="n">
        <v>0</v>
      </c>
      <c r="K834" t="n">
        <v>0</v>
      </c>
      <c r="L834" t="n">
        <v>0</v>
      </c>
      <c r="M834" t="n">
        <v>0</v>
      </c>
      <c r="N834" t="n">
        <v>0</v>
      </c>
      <c r="O834" t="n">
        <v>0</v>
      </c>
      <c r="P834" t="n">
        <v>0</v>
      </c>
      <c r="Q834" t="n">
        <v>0</v>
      </c>
      <c r="R834" s="2" t="inlineStr"/>
    </row>
    <row r="835" ht="15" customHeight="1">
      <c r="A835" t="inlineStr">
        <is>
          <t>A 43532-2024</t>
        </is>
      </c>
      <c r="B835" s="1" t="n">
        <v>45569.3533912037</v>
      </c>
      <c r="C835" s="1" t="n">
        <v>46040</v>
      </c>
      <c r="D835" t="inlineStr">
        <is>
          <t>ÖREBRO LÄN</t>
        </is>
      </c>
      <c r="E835" t="inlineStr">
        <is>
          <t>LINDESBERG</t>
        </is>
      </c>
      <c r="G835" t="n">
        <v>2.4</v>
      </c>
      <c r="H835" t="n">
        <v>0</v>
      </c>
      <c r="I835" t="n">
        <v>0</v>
      </c>
      <c r="J835" t="n">
        <v>0</v>
      </c>
      <c r="K835" t="n">
        <v>0</v>
      </c>
      <c r="L835" t="n">
        <v>0</v>
      </c>
      <c r="M835" t="n">
        <v>0</v>
      </c>
      <c r="N835" t="n">
        <v>0</v>
      </c>
      <c r="O835" t="n">
        <v>0</v>
      </c>
      <c r="P835" t="n">
        <v>0</v>
      </c>
      <c r="Q835" t="n">
        <v>0</v>
      </c>
      <c r="R835" s="2" t="inlineStr"/>
    </row>
    <row r="836" ht="15" customHeight="1">
      <c r="A836" t="inlineStr">
        <is>
          <t>A 59282-2023</t>
        </is>
      </c>
      <c r="B836" s="1" t="n">
        <v>45253</v>
      </c>
      <c r="C836" s="1" t="n">
        <v>46040</v>
      </c>
      <c r="D836" t="inlineStr">
        <is>
          <t>ÖREBRO LÄN</t>
        </is>
      </c>
      <c r="E836" t="inlineStr">
        <is>
          <t>LINDESBERG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47601-2023</t>
        </is>
      </c>
      <c r="B837" s="1" t="n">
        <v>45203.45681712963</v>
      </c>
      <c r="C837" s="1" t="n">
        <v>46040</v>
      </c>
      <c r="D837" t="inlineStr">
        <is>
          <t>ÖREBRO LÄN</t>
        </is>
      </c>
      <c r="E837" t="inlineStr">
        <is>
          <t>LINDESBERG</t>
        </is>
      </c>
      <c r="G837" t="n">
        <v>37.6</v>
      </c>
      <c r="H837" t="n">
        <v>0</v>
      </c>
      <c r="I837" t="n">
        <v>0</v>
      </c>
      <c r="J837" t="n">
        <v>0</v>
      </c>
      <c r="K837" t="n">
        <v>0</v>
      </c>
      <c r="L837" t="n">
        <v>0</v>
      </c>
      <c r="M837" t="n">
        <v>0</v>
      </c>
      <c r="N837" t="n">
        <v>0</v>
      </c>
      <c r="O837" t="n">
        <v>0</v>
      </c>
      <c r="P837" t="n">
        <v>0</v>
      </c>
      <c r="Q837" t="n">
        <v>0</v>
      </c>
      <c r="R837" s="2" t="inlineStr"/>
    </row>
    <row r="838" ht="15" customHeight="1">
      <c r="A838" t="inlineStr">
        <is>
          <t>A 62308-2023</t>
        </is>
      </c>
      <c r="B838" s="1" t="n">
        <v>45267.69052083333</v>
      </c>
      <c r="C838" s="1" t="n">
        <v>46040</v>
      </c>
      <c r="D838" t="inlineStr">
        <is>
          <t>ÖREBRO LÄN</t>
        </is>
      </c>
      <c r="E838" t="inlineStr">
        <is>
          <t>LINDESBERG</t>
        </is>
      </c>
      <c r="F838" t="inlineStr">
        <is>
          <t>Naturvårdsverket</t>
        </is>
      </c>
      <c r="G838" t="n">
        <v>3.1</v>
      </c>
      <c r="H838" t="n">
        <v>0</v>
      </c>
      <c r="I838" t="n">
        <v>0</v>
      </c>
      <c r="J838" t="n">
        <v>0</v>
      </c>
      <c r="K838" t="n">
        <v>0</v>
      </c>
      <c r="L838" t="n">
        <v>0</v>
      </c>
      <c r="M838" t="n">
        <v>0</v>
      </c>
      <c r="N838" t="n">
        <v>0</v>
      </c>
      <c r="O838" t="n">
        <v>0</v>
      </c>
      <c r="P838" t="n">
        <v>0</v>
      </c>
      <c r="Q838" t="n">
        <v>0</v>
      </c>
      <c r="R838" s="2" t="inlineStr"/>
    </row>
    <row r="839" ht="15" customHeight="1">
      <c r="A839" t="inlineStr">
        <is>
          <t>A 22078-2025</t>
        </is>
      </c>
      <c r="B839" s="1" t="n">
        <v>45785.4253125</v>
      </c>
      <c r="C839" s="1" t="n">
        <v>46040</v>
      </c>
      <c r="D839" t="inlineStr">
        <is>
          <t>ÖREBRO LÄN</t>
        </is>
      </c>
      <c r="E839" t="inlineStr">
        <is>
          <t>LINDESBERG</t>
        </is>
      </c>
      <c r="G839" t="n">
        <v>2.4</v>
      </c>
      <c r="H839" t="n">
        <v>0</v>
      </c>
      <c r="I839" t="n">
        <v>0</v>
      </c>
      <c r="J839" t="n">
        <v>0</v>
      </c>
      <c r="K839" t="n">
        <v>0</v>
      </c>
      <c r="L839" t="n">
        <v>0</v>
      </c>
      <c r="M839" t="n">
        <v>0</v>
      </c>
      <c r="N839" t="n">
        <v>0</v>
      </c>
      <c r="O839" t="n">
        <v>0</v>
      </c>
      <c r="P839" t="n">
        <v>0</v>
      </c>
      <c r="Q839" t="n">
        <v>0</v>
      </c>
      <c r="R839" s="2" t="inlineStr"/>
    </row>
    <row r="840" ht="15" customHeight="1">
      <c r="A840" t="inlineStr">
        <is>
          <t>A 36686-2024</t>
        </is>
      </c>
      <c r="B840" s="1" t="n">
        <v>45537.665</v>
      </c>
      <c r="C840" s="1" t="n">
        <v>46040</v>
      </c>
      <c r="D840" t="inlineStr">
        <is>
          <t>ÖREBRO LÄN</t>
        </is>
      </c>
      <c r="E840" t="inlineStr">
        <is>
          <t>LINDESBERG</t>
        </is>
      </c>
      <c r="F840" t="inlineStr">
        <is>
          <t>Sveaskog</t>
        </is>
      </c>
      <c r="G840" t="n">
        <v>3.9</v>
      </c>
      <c r="H840" t="n">
        <v>0</v>
      </c>
      <c r="I840" t="n">
        <v>0</v>
      </c>
      <c r="J840" t="n">
        <v>0</v>
      </c>
      <c r="K840" t="n">
        <v>0</v>
      </c>
      <c r="L840" t="n">
        <v>0</v>
      </c>
      <c r="M840" t="n">
        <v>0</v>
      </c>
      <c r="N840" t="n">
        <v>0</v>
      </c>
      <c r="O840" t="n">
        <v>0</v>
      </c>
      <c r="P840" t="n">
        <v>0</v>
      </c>
      <c r="Q840" t="n">
        <v>0</v>
      </c>
      <c r="R840" s="2" t="inlineStr"/>
    </row>
    <row r="841" ht="15" customHeight="1">
      <c r="A841" t="inlineStr">
        <is>
          <t>A 53355-2023</t>
        </is>
      </c>
      <c r="B841" s="1" t="n">
        <v>45229.66430555555</v>
      </c>
      <c r="C841" s="1" t="n">
        <v>46040</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36680-2024</t>
        </is>
      </c>
      <c r="B842" s="1" t="n">
        <v>45537.65305555556</v>
      </c>
      <c r="C842" s="1" t="n">
        <v>46040</v>
      </c>
      <c r="D842" t="inlineStr">
        <is>
          <t>ÖREBRO LÄN</t>
        </is>
      </c>
      <c r="E842" t="inlineStr">
        <is>
          <t>LINDESBERG</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54793-2024</t>
        </is>
      </c>
      <c r="B843" s="1" t="n">
        <v>45618</v>
      </c>
      <c r="C843" s="1" t="n">
        <v>46040</v>
      </c>
      <c r="D843" t="inlineStr">
        <is>
          <t>ÖREBRO LÄN</t>
        </is>
      </c>
      <c r="E843" t="inlineStr">
        <is>
          <t>LINDESBERG</t>
        </is>
      </c>
      <c r="G843" t="n">
        <v>3</v>
      </c>
      <c r="H843" t="n">
        <v>0</v>
      </c>
      <c r="I843" t="n">
        <v>0</v>
      </c>
      <c r="J843" t="n">
        <v>0</v>
      </c>
      <c r="K843" t="n">
        <v>0</v>
      </c>
      <c r="L843" t="n">
        <v>0</v>
      </c>
      <c r="M843" t="n">
        <v>0</v>
      </c>
      <c r="N843" t="n">
        <v>0</v>
      </c>
      <c r="O843" t="n">
        <v>0</v>
      </c>
      <c r="P843" t="n">
        <v>0</v>
      </c>
      <c r="Q843" t="n">
        <v>0</v>
      </c>
      <c r="R843" s="2" t="inlineStr"/>
    </row>
    <row r="844" ht="15" customHeight="1">
      <c r="A844" t="inlineStr">
        <is>
          <t>A 22543-2025</t>
        </is>
      </c>
      <c r="B844" s="1" t="n">
        <v>45788.42467592593</v>
      </c>
      <c r="C844" s="1" t="n">
        <v>46040</v>
      </c>
      <c r="D844" t="inlineStr">
        <is>
          <t>ÖREBRO LÄN</t>
        </is>
      </c>
      <c r="E844" t="inlineStr">
        <is>
          <t>LINDESBERG</t>
        </is>
      </c>
      <c r="G844" t="n">
        <v>6.7</v>
      </c>
      <c r="H844" t="n">
        <v>0</v>
      </c>
      <c r="I844" t="n">
        <v>0</v>
      </c>
      <c r="J844" t="n">
        <v>0</v>
      </c>
      <c r="K844" t="n">
        <v>0</v>
      </c>
      <c r="L844" t="n">
        <v>0</v>
      </c>
      <c r="M844" t="n">
        <v>0</v>
      </c>
      <c r="N844" t="n">
        <v>0</v>
      </c>
      <c r="O844" t="n">
        <v>0</v>
      </c>
      <c r="P844" t="n">
        <v>0</v>
      </c>
      <c r="Q844" t="n">
        <v>0</v>
      </c>
      <c r="R844" s="2" t="inlineStr"/>
    </row>
    <row r="845" ht="15" customHeight="1">
      <c r="A845" t="inlineStr">
        <is>
          <t>A 23245-2025</t>
        </is>
      </c>
      <c r="B845" s="1" t="n">
        <v>45791.50862268519</v>
      </c>
      <c r="C845" s="1" t="n">
        <v>46040</v>
      </c>
      <c r="D845" t="inlineStr">
        <is>
          <t>ÖREBRO LÄN</t>
        </is>
      </c>
      <c r="E845" t="inlineStr">
        <is>
          <t>LINDESBERG</t>
        </is>
      </c>
      <c r="G845" t="n">
        <v>6.8</v>
      </c>
      <c r="H845" t="n">
        <v>0</v>
      </c>
      <c r="I845" t="n">
        <v>0</v>
      </c>
      <c r="J845" t="n">
        <v>0</v>
      </c>
      <c r="K845" t="n">
        <v>0</v>
      </c>
      <c r="L845" t="n">
        <v>0</v>
      </c>
      <c r="M845" t="n">
        <v>0</v>
      </c>
      <c r="N845" t="n">
        <v>0</v>
      </c>
      <c r="O845" t="n">
        <v>0</v>
      </c>
      <c r="P845" t="n">
        <v>0</v>
      </c>
      <c r="Q845" t="n">
        <v>0</v>
      </c>
      <c r="R845" s="2" t="inlineStr"/>
    </row>
    <row r="846" ht="15" customHeight="1">
      <c r="A846" t="inlineStr">
        <is>
          <t>A 42707-2023</t>
        </is>
      </c>
      <c r="B846" s="1" t="n">
        <v>45181</v>
      </c>
      <c r="C846" s="1" t="n">
        <v>46040</v>
      </c>
      <c r="D846" t="inlineStr">
        <is>
          <t>ÖREBRO LÄN</t>
        </is>
      </c>
      <c r="E846" t="inlineStr">
        <is>
          <t>LINDESBERG</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59641-2024</t>
        </is>
      </c>
      <c r="B847" s="1" t="n">
        <v>45639.30934027778</v>
      </c>
      <c r="C847" s="1" t="n">
        <v>46040</v>
      </c>
      <c r="D847" t="inlineStr">
        <is>
          <t>ÖREBRO LÄN</t>
        </is>
      </c>
      <c r="E847" t="inlineStr">
        <is>
          <t>LINDESBERG</t>
        </is>
      </c>
      <c r="G847" t="n">
        <v>2.1</v>
      </c>
      <c r="H847" t="n">
        <v>0</v>
      </c>
      <c r="I847" t="n">
        <v>0</v>
      </c>
      <c r="J847" t="n">
        <v>0</v>
      </c>
      <c r="K847" t="n">
        <v>0</v>
      </c>
      <c r="L847" t="n">
        <v>0</v>
      </c>
      <c r="M847" t="n">
        <v>0</v>
      </c>
      <c r="N847" t="n">
        <v>0</v>
      </c>
      <c r="O847" t="n">
        <v>0</v>
      </c>
      <c r="P847" t="n">
        <v>0</v>
      </c>
      <c r="Q847" t="n">
        <v>0</v>
      </c>
      <c r="R847" s="2" t="inlineStr"/>
    </row>
    <row r="848" ht="15" customHeight="1">
      <c r="A848" t="inlineStr">
        <is>
          <t>A 17779-2024</t>
        </is>
      </c>
      <c r="B848" s="1" t="n">
        <v>45418.66800925926</v>
      </c>
      <c r="C848" s="1" t="n">
        <v>46040</v>
      </c>
      <c r="D848" t="inlineStr">
        <is>
          <t>ÖREBRO LÄN</t>
        </is>
      </c>
      <c r="E848" t="inlineStr">
        <is>
          <t>LINDESBERG</t>
        </is>
      </c>
      <c r="G848" t="n">
        <v>3.7</v>
      </c>
      <c r="H848" t="n">
        <v>0</v>
      </c>
      <c r="I848" t="n">
        <v>0</v>
      </c>
      <c r="J848" t="n">
        <v>0</v>
      </c>
      <c r="K848" t="n">
        <v>0</v>
      </c>
      <c r="L848" t="n">
        <v>0</v>
      </c>
      <c r="M848" t="n">
        <v>0</v>
      </c>
      <c r="N848" t="n">
        <v>0</v>
      </c>
      <c r="O848" t="n">
        <v>0</v>
      </c>
      <c r="P848" t="n">
        <v>0</v>
      </c>
      <c r="Q848" t="n">
        <v>0</v>
      </c>
      <c r="R848" s="2" t="inlineStr"/>
    </row>
    <row r="849" ht="15" customHeight="1">
      <c r="A849" t="inlineStr">
        <is>
          <t>A 21202-2024</t>
        </is>
      </c>
      <c r="B849" s="1" t="n">
        <v>45440.5433912037</v>
      </c>
      <c r="C849" s="1" t="n">
        <v>46040</v>
      </c>
      <c r="D849" t="inlineStr">
        <is>
          <t>ÖREBRO LÄN</t>
        </is>
      </c>
      <c r="E849" t="inlineStr">
        <is>
          <t>LINDESBERG</t>
        </is>
      </c>
      <c r="G849" t="n">
        <v>4</v>
      </c>
      <c r="H849" t="n">
        <v>0</v>
      </c>
      <c r="I849" t="n">
        <v>0</v>
      </c>
      <c r="J849" t="n">
        <v>0</v>
      </c>
      <c r="K849" t="n">
        <v>0</v>
      </c>
      <c r="L849" t="n">
        <v>0</v>
      </c>
      <c r="M849" t="n">
        <v>0</v>
      </c>
      <c r="N849" t="n">
        <v>0</v>
      </c>
      <c r="O849" t="n">
        <v>0</v>
      </c>
      <c r="P849" t="n">
        <v>0</v>
      </c>
      <c r="Q849" t="n">
        <v>0</v>
      </c>
      <c r="R849" s="2" t="inlineStr"/>
    </row>
    <row r="850" ht="15" customHeight="1">
      <c r="A850" t="inlineStr">
        <is>
          <t>A 1400-2025</t>
        </is>
      </c>
      <c r="B850" s="1" t="n">
        <v>45667</v>
      </c>
      <c r="C850" s="1" t="n">
        <v>46040</v>
      </c>
      <c r="D850" t="inlineStr">
        <is>
          <t>ÖREBRO LÄN</t>
        </is>
      </c>
      <c r="E850" t="inlineStr">
        <is>
          <t>LINDESBERG</t>
        </is>
      </c>
      <c r="F850" t="inlineStr">
        <is>
          <t>Allmännings- och besparingsskogar</t>
        </is>
      </c>
      <c r="G850" t="n">
        <v>11.3</v>
      </c>
      <c r="H850" t="n">
        <v>0</v>
      </c>
      <c r="I850" t="n">
        <v>0</v>
      </c>
      <c r="J850" t="n">
        <v>0</v>
      </c>
      <c r="K850" t="n">
        <v>0</v>
      </c>
      <c r="L850" t="n">
        <v>0</v>
      </c>
      <c r="M850" t="n">
        <v>0</v>
      </c>
      <c r="N850" t="n">
        <v>0</v>
      </c>
      <c r="O850" t="n">
        <v>0</v>
      </c>
      <c r="P850" t="n">
        <v>0</v>
      </c>
      <c r="Q850" t="n">
        <v>0</v>
      </c>
      <c r="R850" s="2" t="inlineStr"/>
    </row>
    <row r="851" ht="15" customHeight="1">
      <c r="A851" t="inlineStr">
        <is>
          <t>A 23835-2025</t>
        </is>
      </c>
      <c r="B851" s="1" t="n">
        <v>45793.61047453704</v>
      </c>
      <c r="C851" s="1" t="n">
        <v>46040</v>
      </c>
      <c r="D851" t="inlineStr">
        <is>
          <t>ÖREBRO LÄN</t>
        </is>
      </c>
      <c r="E851" t="inlineStr">
        <is>
          <t>LINDESBERG</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24017-2025</t>
        </is>
      </c>
      <c r="B852" s="1" t="n">
        <v>45796.44885416667</v>
      </c>
      <c r="C852" s="1" t="n">
        <v>46040</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24107-2025</t>
        </is>
      </c>
      <c r="B853" s="1" t="n">
        <v>45796</v>
      </c>
      <c r="C853" s="1" t="n">
        <v>46040</v>
      </c>
      <c r="D853" t="inlineStr">
        <is>
          <t>ÖREBRO LÄN</t>
        </is>
      </c>
      <c r="E853" t="inlineStr">
        <is>
          <t>LINDESBERG</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23932-2025</t>
        </is>
      </c>
      <c r="B854" s="1" t="n">
        <v>45795.70912037037</v>
      </c>
      <c r="C854" s="1" t="n">
        <v>46040</v>
      </c>
      <c r="D854" t="inlineStr">
        <is>
          <t>ÖREBRO LÄN</t>
        </is>
      </c>
      <c r="E854" t="inlineStr">
        <is>
          <t>LINDESBERG</t>
        </is>
      </c>
      <c r="G854" t="n">
        <v>2</v>
      </c>
      <c r="H854" t="n">
        <v>0</v>
      </c>
      <c r="I854" t="n">
        <v>0</v>
      </c>
      <c r="J854" t="n">
        <v>0</v>
      </c>
      <c r="K854" t="n">
        <v>0</v>
      </c>
      <c r="L854" t="n">
        <v>0</v>
      </c>
      <c r="M854" t="n">
        <v>0</v>
      </c>
      <c r="N854" t="n">
        <v>0</v>
      </c>
      <c r="O854" t="n">
        <v>0</v>
      </c>
      <c r="P854" t="n">
        <v>0</v>
      </c>
      <c r="Q854" t="n">
        <v>0</v>
      </c>
      <c r="R854" s="2" t="inlineStr"/>
    </row>
    <row r="855" ht="15" customHeight="1">
      <c r="A855" t="inlineStr">
        <is>
          <t>A 24011-2025</t>
        </is>
      </c>
      <c r="B855" s="1" t="n">
        <v>45796</v>
      </c>
      <c r="C855" s="1" t="n">
        <v>46040</v>
      </c>
      <c r="D855" t="inlineStr">
        <is>
          <t>ÖREBRO LÄN</t>
        </is>
      </c>
      <c r="E855" t="inlineStr">
        <is>
          <t>LINDESBERG</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24020-2025</t>
        </is>
      </c>
      <c r="B856" s="1" t="n">
        <v>45796.45054398148</v>
      </c>
      <c r="C856" s="1" t="n">
        <v>46040</v>
      </c>
      <c r="D856" t="inlineStr">
        <is>
          <t>ÖREBRO LÄN</t>
        </is>
      </c>
      <c r="E856" t="inlineStr">
        <is>
          <t>LINDESBERG</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23897-2025</t>
        </is>
      </c>
      <c r="B857" s="1" t="n">
        <v>45794.33498842592</v>
      </c>
      <c r="C857" s="1" t="n">
        <v>46040</v>
      </c>
      <c r="D857" t="inlineStr">
        <is>
          <t>ÖREBRO LÄN</t>
        </is>
      </c>
      <c r="E857" t="inlineStr">
        <is>
          <t>LINDESBERG</t>
        </is>
      </c>
      <c r="G857" t="n">
        <v>5.6</v>
      </c>
      <c r="H857" t="n">
        <v>0</v>
      </c>
      <c r="I857" t="n">
        <v>0</v>
      </c>
      <c r="J857" t="n">
        <v>0</v>
      </c>
      <c r="K857" t="n">
        <v>0</v>
      </c>
      <c r="L857" t="n">
        <v>0</v>
      </c>
      <c r="M857" t="n">
        <v>0</v>
      </c>
      <c r="N857" t="n">
        <v>0</v>
      </c>
      <c r="O857" t="n">
        <v>0</v>
      </c>
      <c r="P857" t="n">
        <v>0</v>
      </c>
      <c r="Q857" t="n">
        <v>0</v>
      </c>
      <c r="R857" s="2" t="inlineStr"/>
    </row>
    <row r="858" ht="15" customHeight="1">
      <c r="A858" t="inlineStr">
        <is>
          <t>A 23898-2025</t>
        </is>
      </c>
      <c r="B858" s="1" t="n">
        <v>45794.3419212963</v>
      </c>
      <c r="C858" s="1" t="n">
        <v>46040</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23933-2025</t>
        </is>
      </c>
      <c r="B859" s="1" t="n">
        <v>45795.71300925926</v>
      </c>
      <c r="C859" s="1" t="n">
        <v>46040</v>
      </c>
      <c r="D859" t="inlineStr">
        <is>
          <t>ÖREBRO LÄN</t>
        </is>
      </c>
      <c r="E859" t="inlineStr">
        <is>
          <t>LINDESBERG</t>
        </is>
      </c>
      <c r="G859" t="n">
        <v>2.2</v>
      </c>
      <c r="H859" t="n">
        <v>0</v>
      </c>
      <c r="I859" t="n">
        <v>0</v>
      </c>
      <c r="J859" t="n">
        <v>0</v>
      </c>
      <c r="K859" t="n">
        <v>0</v>
      </c>
      <c r="L859" t="n">
        <v>0</v>
      </c>
      <c r="M859" t="n">
        <v>0</v>
      </c>
      <c r="N859" t="n">
        <v>0</v>
      </c>
      <c r="O859" t="n">
        <v>0</v>
      </c>
      <c r="P859" t="n">
        <v>0</v>
      </c>
      <c r="Q859" t="n">
        <v>0</v>
      </c>
      <c r="R859" s="2" t="inlineStr"/>
    </row>
    <row r="860" ht="15" customHeight="1">
      <c r="A860" t="inlineStr">
        <is>
          <t>A 23934-2025</t>
        </is>
      </c>
      <c r="B860" s="1" t="n">
        <v>45795.71547453704</v>
      </c>
      <c r="C860" s="1" t="n">
        <v>46040</v>
      </c>
      <c r="D860" t="inlineStr">
        <is>
          <t>ÖREBRO LÄN</t>
        </is>
      </c>
      <c r="E860" t="inlineStr">
        <is>
          <t>LINDESBERG</t>
        </is>
      </c>
      <c r="G860" t="n">
        <v>1.9</v>
      </c>
      <c r="H860" t="n">
        <v>0</v>
      </c>
      <c r="I860" t="n">
        <v>0</v>
      </c>
      <c r="J860" t="n">
        <v>0</v>
      </c>
      <c r="K860" t="n">
        <v>0</v>
      </c>
      <c r="L860" t="n">
        <v>0</v>
      </c>
      <c r="M860" t="n">
        <v>0</v>
      </c>
      <c r="N860" t="n">
        <v>0</v>
      </c>
      <c r="O860" t="n">
        <v>0</v>
      </c>
      <c r="P860" t="n">
        <v>0</v>
      </c>
      <c r="Q860" t="n">
        <v>0</v>
      </c>
      <c r="R860" s="2" t="inlineStr"/>
    </row>
    <row r="861" ht="15" customHeight="1">
      <c r="A861" t="inlineStr">
        <is>
          <t>A 57944-2023</t>
        </is>
      </c>
      <c r="B861" s="1" t="n">
        <v>45244</v>
      </c>
      <c r="C861" s="1" t="n">
        <v>46040</v>
      </c>
      <c r="D861" t="inlineStr">
        <is>
          <t>ÖREBRO LÄN</t>
        </is>
      </c>
      <c r="E861" t="inlineStr">
        <is>
          <t>LINDESBERG</t>
        </is>
      </c>
      <c r="G861" t="n">
        <v>2.4</v>
      </c>
      <c r="H861" t="n">
        <v>0</v>
      </c>
      <c r="I861" t="n">
        <v>0</v>
      </c>
      <c r="J861" t="n">
        <v>0</v>
      </c>
      <c r="K861" t="n">
        <v>0</v>
      </c>
      <c r="L861" t="n">
        <v>0</v>
      </c>
      <c r="M861" t="n">
        <v>0</v>
      </c>
      <c r="N861" t="n">
        <v>0</v>
      </c>
      <c r="O861" t="n">
        <v>0</v>
      </c>
      <c r="P861" t="n">
        <v>0</v>
      </c>
      <c r="Q861" t="n">
        <v>0</v>
      </c>
      <c r="R861" s="2" t="inlineStr"/>
    </row>
    <row r="862" ht="15" customHeight="1">
      <c r="A862" t="inlineStr">
        <is>
          <t>A 24043-2024</t>
        </is>
      </c>
      <c r="B862" s="1" t="n">
        <v>45456.48927083334</v>
      </c>
      <c r="C862" s="1" t="n">
        <v>46040</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23844-2025</t>
        </is>
      </c>
      <c r="B863" s="1" t="n">
        <v>45793.62422453704</v>
      </c>
      <c r="C863" s="1" t="n">
        <v>46040</v>
      </c>
      <c r="D863" t="inlineStr">
        <is>
          <t>ÖREBRO LÄN</t>
        </is>
      </c>
      <c r="E863" t="inlineStr">
        <is>
          <t>LINDESBERG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12250-2025</t>
        </is>
      </c>
      <c r="B864" s="1" t="n">
        <v>45729.60775462963</v>
      </c>
      <c r="C864" s="1" t="n">
        <v>46040</v>
      </c>
      <c r="D864" t="inlineStr">
        <is>
          <t>ÖREBRO LÄN</t>
        </is>
      </c>
      <c r="E864" t="inlineStr">
        <is>
          <t>LINDESBERG</t>
        </is>
      </c>
      <c r="G864" t="n">
        <v>3.4</v>
      </c>
      <c r="H864" t="n">
        <v>0</v>
      </c>
      <c r="I864" t="n">
        <v>0</v>
      </c>
      <c r="J864" t="n">
        <v>0</v>
      </c>
      <c r="K864" t="n">
        <v>0</v>
      </c>
      <c r="L864" t="n">
        <v>0</v>
      </c>
      <c r="M864" t="n">
        <v>0</v>
      </c>
      <c r="N864" t="n">
        <v>0</v>
      </c>
      <c r="O864" t="n">
        <v>0</v>
      </c>
      <c r="P864" t="n">
        <v>0</v>
      </c>
      <c r="Q864" t="n">
        <v>0</v>
      </c>
      <c r="R864" s="2" t="inlineStr"/>
    </row>
    <row r="865" ht="15" customHeight="1">
      <c r="A865" t="inlineStr">
        <is>
          <t>A 48231-2024</t>
        </is>
      </c>
      <c r="B865" s="1" t="n">
        <v>45590.37590277778</v>
      </c>
      <c r="C865" s="1" t="n">
        <v>46040</v>
      </c>
      <c r="D865" t="inlineStr">
        <is>
          <t>ÖREBRO LÄN</t>
        </is>
      </c>
      <c r="E865" t="inlineStr">
        <is>
          <t>LINDESBERG</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37125-2023</t>
        </is>
      </c>
      <c r="B866" s="1" t="n">
        <v>45155.5653125</v>
      </c>
      <c r="C866" s="1" t="n">
        <v>46040</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24186-2024</t>
        </is>
      </c>
      <c r="B867" s="1" t="n">
        <v>45456.90869212963</v>
      </c>
      <c r="C867" s="1" t="n">
        <v>46040</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25842-2025</t>
        </is>
      </c>
      <c r="B868" s="1" t="n">
        <v>45804.45474537037</v>
      </c>
      <c r="C868" s="1" t="n">
        <v>46040</v>
      </c>
      <c r="D868" t="inlineStr">
        <is>
          <t>ÖREBRO LÄN</t>
        </is>
      </c>
      <c r="E868" t="inlineStr">
        <is>
          <t>LINDESBERG</t>
        </is>
      </c>
      <c r="G868" t="n">
        <v>1.7</v>
      </c>
      <c r="H868" t="n">
        <v>0</v>
      </c>
      <c r="I868" t="n">
        <v>0</v>
      </c>
      <c r="J868" t="n">
        <v>0</v>
      </c>
      <c r="K868" t="n">
        <v>0</v>
      </c>
      <c r="L868" t="n">
        <v>0</v>
      </c>
      <c r="M868" t="n">
        <v>0</v>
      </c>
      <c r="N868" t="n">
        <v>0</v>
      </c>
      <c r="O868" t="n">
        <v>0</v>
      </c>
      <c r="P868" t="n">
        <v>0</v>
      </c>
      <c r="Q868" t="n">
        <v>0</v>
      </c>
      <c r="R868" s="2" t="inlineStr"/>
    </row>
    <row r="869" ht="15" customHeight="1">
      <c r="A869" t="inlineStr">
        <is>
          <t>A 25643-2025</t>
        </is>
      </c>
      <c r="B869" s="1" t="n">
        <v>45803</v>
      </c>
      <c r="C869" s="1" t="n">
        <v>46040</v>
      </c>
      <c r="D869" t="inlineStr">
        <is>
          <t>ÖREBRO LÄN</t>
        </is>
      </c>
      <c r="E869" t="inlineStr">
        <is>
          <t>LINDESBERG</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25843-2025</t>
        </is>
      </c>
      <c r="B870" s="1" t="n">
        <v>45804.45584490741</v>
      </c>
      <c r="C870" s="1" t="n">
        <v>46040</v>
      </c>
      <c r="D870" t="inlineStr">
        <is>
          <t>ÖREBRO LÄN</t>
        </is>
      </c>
      <c r="E870" t="inlineStr">
        <is>
          <t>LINDESBERG</t>
        </is>
      </c>
      <c r="G870" t="n">
        <v>4.6</v>
      </c>
      <c r="H870" t="n">
        <v>0</v>
      </c>
      <c r="I870" t="n">
        <v>0</v>
      </c>
      <c r="J870" t="n">
        <v>0</v>
      </c>
      <c r="K870" t="n">
        <v>0</v>
      </c>
      <c r="L870" t="n">
        <v>0</v>
      </c>
      <c r="M870" t="n">
        <v>0</v>
      </c>
      <c r="N870" t="n">
        <v>0</v>
      </c>
      <c r="O870" t="n">
        <v>0</v>
      </c>
      <c r="P870" t="n">
        <v>0</v>
      </c>
      <c r="Q870" t="n">
        <v>0</v>
      </c>
      <c r="R870" s="2" t="inlineStr"/>
    </row>
    <row r="871" ht="15" customHeight="1">
      <c r="A871" t="inlineStr">
        <is>
          <t>A 26016-2025</t>
        </is>
      </c>
      <c r="B871" s="1" t="n">
        <v>45804.67795138889</v>
      </c>
      <c r="C871" s="1" t="n">
        <v>46040</v>
      </c>
      <c r="D871" t="inlineStr">
        <is>
          <t>ÖREBRO LÄN</t>
        </is>
      </c>
      <c r="E871" t="inlineStr">
        <is>
          <t>LINDESBERG</t>
        </is>
      </c>
      <c r="G871" t="n">
        <v>10</v>
      </c>
      <c r="H871" t="n">
        <v>0</v>
      </c>
      <c r="I871" t="n">
        <v>0</v>
      </c>
      <c r="J871" t="n">
        <v>0</v>
      </c>
      <c r="K871" t="n">
        <v>0</v>
      </c>
      <c r="L871" t="n">
        <v>0</v>
      </c>
      <c r="M871" t="n">
        <v>0</v>
      </c>
      <c r="N871" t="n">
        <v>0</v>
      </c>
      <c r="O871" t="n">
        <v>0</v>
      </c>
      <c r="P871" t="n">
        <v>0</v>
      </c>
      <c r="Q871" t="n">
        <v>0</v>
      </c>
      <c r="R871" s="2" t="inlineStr"/>
    </row>
    <row r="872" ht="15" customHeight="1">
      <c r="A872" t="inlineStr">
        <is>
          <t>A 27309-2025</t>
        </is>
      </c>
      <c r="B872" s="1" t="n">
        <v>45812.57452546297</v>
      </c>
      <c r="C872" s="1" t="n">
        <v>46040</v>
      </c>
      <c r="D872" t="inlineStr">
        <is>
          <t>ÖREBRO LÄN</t>
        </is>
      </c>
      <c r="E872" t="inlineStr">
        <is>
          <t>LINDESBERG</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27311-2025</t>
        </is>
      </c>
      <c r="B873" s="1" t="n">
        <v>45812.57604166667</v>
      </c>
      <c r="C873" s="1" t="n">
        <v>46040</v>
      </c>
      <c r="D873" t="inlineStr">
        <is>
          <t>ÖREBRO LÄN</t>
        </is>
      </c>
      <c r="E873" t="inlineStr">
        <is>
          <t>LINDESBERG</t>
        </is>
      </c>
      <c r="F873" t="inlineStr">
        <is>
          <t>Sveaskog</t>
        </is>
      </c>
      <c r="G873" t="n">
        <v>4.8</v>
      </c>
      <c r="H873" t="n">
        <v>0</v>
      </c>
      <c r="I873" t="n">
        <v>0</v>
      </c>
      <c r="J873" t="n">
        <v>0</v>
      </c>
      <c r="K873" t="n">
        <v>0</v>
      </c>
      <c r="L873" t="n">
        <v>0</v>
      </c>
      <c r="M873" t="n">
        <v>0</v>
      </c>
      <c r="N873" t="n">
        <v>0</v>
      </c>
      <c r="O873" t="n">
        <v>0</v>
      </c>
      <c r="P873" t="n">
        <v>0</v>
      </c>
      <c r="Q873" t="n">
        <v>0</v>
      </c>
      <c r="R873" s="2" t="inlineStr"/>
    </row>
    <row r="874" ht="15" customHeight="1">
      <c r="A874" t="inlineStr">
        <is>
          <t>A 27300-2025</t>
        </is>
      </c>
      <c r="B874" s="1" t="n">
        <v>45812.57143518519</v>
      </c>
      <c r="C874" s="1" t="n">
        <v>46040</v>
      </c>
      <c r="D874" t="inlineStr">
        <is>
          <t>ÖREBRO LÄN</t>
        </is>
      </c>
      <c r="E874" t="inlineStr">
        <is>
          <t>LINDESBERG</t>
        </is>
      </c>
      <c r="F874" t="inlineStr">
        <is>
          <t>Sveaskog</t>
        </is>
      </c>
      <c r="G874" t="n">
        <v>19.7</v>
      </c>
      <c r="H874" t="n">
        <v>0</v>
      </c>
      <c r="I874" t="n">
        <v>0</v>
      </c>
      <c r="J874" t="n">
        <v>0</v>
      </c>
      <c r="K874" t="n">
        <v>0</v>
      </c>
      <c r="L874" t="n">
        <v>0</v>
      </c>
      <c r="M874" t="n">
        <v>0</v>
      </c>
      <c r="N874" t="n">
        <v>0</v>
      </c>
      <c r="O874" t="n">
        <v>0</v>
      </c>
      <c r="P874" t="n">
        <v>0</v>
      </c>
      <c r="Q874" t="n">
        <v>0</v>
      </c>
      <c r="R874" s="2" t="inlineStr"/>
    </row>
    <row r="875" ht="15" customHeight="1">
      <c r="A875" t="inlineStr">
        <is>
          <t>A 27296-2025</t>
        </is>
      </c>
      <c r="B875" s="1" t="n">
        <v>45812.56952546296</v>
      </c>
      <c r="C875" s="1" t="n">
        <v>46040</v>
      </c>
      <c r="D875" t="inlineStr">
        <is>
          <t>ÖREBRO LÄN</t>
        </is>
      </c>
      <c r="E875" t="inlineStr">
        <is>
          <t>LINDESBERG</t>
        </is>
      </c>
      <c r="F875" t="inlineStr">
        <is>
          <t>Sveaskog</t>
        </is>
      </c>
      <c r="G875" t="n">
        <v>4.5</v>
      </c>
      <c r="H875" t="n">
        <v>0</v>
      </c>
      <c r="I875" t="n">
        <v>0</v>
      </c>
      <c r="J875" t="n">
        <v>0</v>
      </c>
      <c r="K875" t="n">
        <v>0</v>
      </c>
      <c r="L875" t="n">
        <v>0</v>
      </c>
      <c r="M875" t="n">
        <v>0</v>
      </c>
      <c r="N875" t="n">
        <v>0</v>
      </c>
      <c r="O875" t="n">
        <v>0</v>
      </c>
      <c r="P875" t="n">
        <v>0</v>
      </c>
      <c r="Q875" t="n">
        <v>0</v>
      </c>
      <c r="R875" s="2" t="inlineStr"/>
    </row>
    <row r="876" ht="15" customHeight="1">
      <c r="A876" t="inlineStr">
        <is>
          <t>A 28040-2025</t>
        </is>
      </c>
      <c r="B876" s="1" t="n">
        <v>45817.6455324074</v>
      </c>
      <c r="C876" s="1" t="n">
        <v>46040</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28877-2025</t>
        </is>
      </c>
      <c r="B877" s="1" t="n">
        <v>45820.61684027778</v>
      </c>
      <c r="C877" s="1" t="n">
        <v>46040</v>
      </c>
      <c r="D877" t="inlineStr">
        <is>
          <t>ÖREBRO LÄN</t>
        </is>
      </c>
      <c r="E877" t="inlineStr">
        <is>
          <t>LINDESBERG</t>
        </is>
      </c>
      <c r="G877" t="n">
        <v>4.4</v>
      </c>
      <c r="H877" t="n">
        <v>0</v>
      </c>
      <c r="I877" t="n">
        <v>0</v>
      </c>
      <c r="J877" t="n">
        <v>0</v>
      </c>
      <c r="K877" t="n">
        <v>0</v>
      </c>
      <c r="L877" t="n">
        <v>0</v>
      </c>
      <c r="M877" t="n">
        <v>0</v>
      </c>
      <c r="N877" t="n">
        <v>0</v>
      </c>
      <c r="O877" t="n">
        <v>0</v>
      </c>
      <c r="P877" t="n">
        <v>0</v>
      </c>
      <c r="Q877" t="n">
        <v>0</v>
      </c>
      <c r="R877" s="2" t="inlineStr"/>
    </row>
    <row r="878" ht="15" customHeight="1">
      <c r="A878" t="inlineStr">
        <is>
          <t>A 28991-2025</t>
        </is>
      </c>
      <c r="B878" s="1" t="n">
        <v>45821.37199074074</v>
      </c>
      <c r="C878" s="1" t="n">
        <v>46040</v>
      </c>
      <c r="D878" t="inlineStr">
        <is>
          <t>ÖREBRO LÄN</t>
        </is>
      </c>
      <c r="E878" t="inlineStr">
        <is>
          <t>LINDESBERG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29037-2025</t>
        </is>
      </c>
      <c r="B879" s="1" t="n">
        <v>45821.44521990741</v>
      </c>
      <c r="C879" s="1" t="n">
        <v>46040</v>
      </c>
      <c r="D879" t="inlineStr">
        <is>
          <t>ÖREBRO LÄN</t>
        </is>
      </c>
      <c r="E879" t="inlineStr">
        <is>
          <t>LINDESBERG</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29051-2025</t>
        </is>
      </c>
      <c r="B880" s="1" t="n">
        <v>45821.46486111111</v>
      </c>
      <c r="C880" s="1" t="n">
        <v>46040</v>
      </c>
      <c r="D880" t="inlineStr">
        <is>
          <t>ÖREBRO LÄN</t>
        </is>
      </c>
      <c r="E880" t="inlineStr">
        <is>
          <t>LINDESBERG</t>
        </is>
      </c>
      <c r="F880" t="inlineStr">
        <is>
          <t>Sveaskog</t>
        </is>
      </c>
      <c r="G880" t="n">
        <v>5</v>
      </c>
      <c r="H880" t="n">
        <v>0</v>
      </c>
      <c r="I880" t="n">
        <v>0</v>
      </c>
      <c r="J880" t="n">
        <v>0</v>
      </c>
      <c r="K880" t="n">
        <v>0</v>
      </c>
      <c r="L880" t="n">
        <v>0</v>
      </c>
      <c r="M880" t="n">
        <v>0</v>
      </c>
      <c r="N880" t="n">
        <v>0</v>
      </c>
      <c r="O880" t="n">
        <v>0</v>
      </c>
      <c r="P880" t="n">
        <v>0</v>
      </c>
      <c r="Q880" t="n">
        <v>0</v>
      </c>
      <c r="R880" s="2" t="inlineStr"/>
    </row>
    <row r="881" ht="15" customHeight="1">
      <c r="A881" t="inlineStr">
        <is>
          <t>A 29049-2025</t>
        </is>
      </c>
      <c r="B881" s="1" t="n">
        <v>45821.46135416667</v>
      </c>
      <c r="C881" s="1" t="n">
        <v>46040</v>
      </c>
      <c r="D881" t="inlineStr">
        <is>
          <t>ÖREBRO LÄN</t>
        </is>
      </c>
      <c r="E881" t="inlineStr">
        <is>
          <t>LINDESBERG</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30000-2025</t>
        </is>
      </c>
      <c r="B882" s="1" t="n">
        <v>45826.52024305556</v>
      </c>
      <c r="C882" s="1" t="n">
        <v>46040</v>
      </c>
      <c r="D882" t="inlineStr">
        <is>
          <t>ÖREBRO LÄN</t>
        </is>
      </c>
      <c r="E882" t="inlineStr">
        <is>
          <t>LINDESBERG</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30341-2025</t>
        </is>
      </c>
      <c r="B883" s="1" t="n">
        <v>45827.51862268519</v>
      </c>
      <c r="C883" s="1" t="n">
        <v>46040</v>
      </c>
      <c r="D883" t="inlineStr">
        <is>
          <t>ÖREBRO LÄN</t>
        </is>
      </c>
      <c r="E883" t="inlineStr">
        <is>
          <t>LINDESBERG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30340-2025</t>
        </is>
      </c>
      <c r="B884" s="1" t="n">
        <v>45827.51753472222</v>
      </c>
      <c r="C884" s="1" t="n">
        <v>46040</v>
      </c>
      <c r="D884" t="inlineStr">
        <is>
          <t>ÖREBRO LÄN</t>
        </is>
      </c>
      <c r="E884" t="inlineStr">
        <is>
          <t>LINDESBERG</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30342-2025</t>
        </is>
      </c>
      <c r="B885" s="1" t="n">
        <v>45827.51956018519</v>
      </c>
      <c r="C885" s="1" t="n">
        <v>46040</v>
      </c>
      <c r="D885" t="inlineStr">
        <is>
          <t>ÖREBRO LÄN</t>
        </is>
      </c>
      <c r="E885" t="inlineStr">
        <is>
          <t>LINDESBERG</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30381-2025</t>
        </is>
      </c>
      <c r="B886" s="1" t="n">
        <v>45827.56939814815</v>
      </c>
      <c r="C886" s="1" t="n">
        <v>46040</v>
      </c>
      <c r="D886" t="inlineStr">
        <is>
          <t>ÖREBRO LÄN</t>
        </is>
      </c>
      <c r="E886" t="inlineStr">
        <is>
          <t>LINDESBERG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30339-2025</t>
        </is>
      </c>
      <c r="B887" s="1" t="n">
        <v>45827.51628472222</v>
      </c>
      <c r="C887" s="1" t="n">
        <v>46040</v>
      </c>
      <c r="D887" t="inlineStr">
        <is>
          <t>ÖREBRO LÄN</t>
        </is>
      </c>
      <c r="E887" t="inlineStr">
        <is>
          <t>LINDESBERG</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31215-2025</t>
        </is>
      </c>
      <c r="B888" s="1" t="n">
        <v>45832.74418981482</v>
      </c>
      <c r="C888" s="1" t="n">
        <v>46040</v>
      </c>
      <c r="D888" t="inlineStr">
        <is>
          <t>ÖREBRO LÄN</t>
        </is>
      </c>
      <c r="E888" t="inlineStr">
        <is>
          <t>LINDESBERG</t>
        </is>
      </c>
      <c r="F888" t="inlineStr">
        <is>
          <t>Sveaskog</t>
        </is>
      </c>
      <c r="G888" t="n">
        <v>4</v>
      </c>
      <c r="H888" t="n">
        <v>0</v>
      </c>
      <c r="I888" t="n">
        <v>0</v>
      </c>
      <c r="J888" t="n">
        <v>0</v>
      </c>
      <c r="K888" t="n">
        <v>0</v>
      </c>
      <c r="L888" t="n">
        <v>0</v>
      </c>
      <c r="M888" t="n">
        <v>0</v>
      </c>
      <c r="N888" t="n">
        <v>0</v>
      </c>
      <c r="O888" t="n">
        <v>0</v>
      </c>
      <c r="P888" t="n">
        <v>0</v>
      </c>
      <c r="Q888" t="n">
        <v>0</v>
      </c>
      <c r="R888" s="2" t="inlineStr"/>
    </row>
    <row r="889" ht="15" customHeight="1">
      <c r="A889" t="inlineStr">
        <is>
          <t>A 34029-2024</t>
        </is>
      </c>
      <c r="B889" s="1" t="n">
        <v>45523</v>
      </c>
      <c r="C889" s="1" t="n">
        <v>46040</v>
      </c>
      <c r="D889" t="inlineStr">
        <is>
          <t>ÖREBRO LÄN</t>
        </is>
      </c>
      <c r="E889" t="inlineStr">
        <is>
          <t>LINDESBERG</t>
        </is>
      </c>
      <c r="G889" t="n">
        <v>1.9</v>
      </c>
      <c r="H889" t="n">
        <v>0</v>
      </c>
      <c r="I889" t="n">
        <v>0</v>
      </c>
      <c r="J889" t="n">
        <v>0</v>
      </c>
      <c r="K889" t="n">
        <v>0</v>
      </c>
      <c r="L889" t="n">
        <v>0</v>
      </c>
      <c r="M889" t="n">
        <v>0</v>
      </c>
      <c r="N889" t="n">
        <v>0</v>
      </c>
      <c r="O889" t="n">
        <v>0</v>
      </c>
      <c r="P889" t="n">
        <v>0</v>
      </c>
      <c r="Q889" t="n">
        <v>0</v>
      </c>
      <c r="R889" s="2" t="inlineStr"/>
    </row>
    <row r="890" ht="15" customHeight="1">
      <c r="A890" t="inlineStr">
        <is>
          <t>A 31014-2025</t>
        </is>
      </c>
      <c r="B890" s="1" t="n">
        <v>45832.51028935185</v>
      </c>
      <c r="C890" s="1" t="n">
        <v>46040</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31049-2025</t>
        </is>
      </c>
      <c r="B891" s="1" t="n">
        <v>45832.55810185185</v>
      </c>
      <c r="C891" s="1" t="n">
        <v>46040</v>
      </c>
      <c r="D891" t="inlineStr">
        <is>
          <t>ÖREBRO LÄN</t>
        </is>
      </c>
      <c r="E891" t="inlineStr">
        <is>
          <t>LINDESBERG</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31000-2025</t>
        </is>
      </c>
      <c r="B892" s="1" t="n">
        <v>45832.49325231482</v>
      </c>
      <c r="C892" s="1" t="n">
        <v>46040</v>
      </c>
      <c r="D892" t="inlineStr">
        <is>
          <t>ÖREBRO LÄN</t>
        </is>
      </c>
      <c r="E892" t="inlineStr">
        <is>
          <t>LINDESBERG</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31018-2025</t>
        </is>
      </c>
      <c r="B893" s="1" t="n">
        <v>45832.51255787037</v>
      </c>
      <c r="C893" s="1" t="n">
        <v>46040</v>
      </c>
      <c r="D893" t="inlineStr">
        <is>
          <t>ÖREBRO LÄN</t>
        </is>
      </c>
      <c r="E893" t="inlineStr">
        <is>
          <t>LINDESBERG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31003-2025</t>
        </is>
      </c>
      <c r="B894" s="1" t="n">
        <v>45832.49579861111</v>
      </c>
      <c r="C894" s="1" t="n">
        <v>46040</v>
      </c>
      <c r="D894" t="inlineStr">
        <is>
          <t>ÖREBRO LÄN</t>
        </is>
      </c>
      <c r="E894" t="inlineStr">
        <is>
          <t>LINDESBERG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31085-2025</t>
        </is>
      </c>
      <c r="B895" s="1" t="n">
        <v>45832.5902662037</v>
      </c>
      <c r="C895" s="1" t="n">
        <v>46040</v>
      </c>
      <c r="D895" t="inlineStr">
        <is>
          <t>ÖREBRO LÄN</t>
        </is>
      </c>
      <c r="E895" t="inlineStr">
        <is>
          <t>LINDESBERG</t>
        </is>
      </c>
      <c r="F895" t="inlineStr">
        <is>
          <t>Sveaskog</t>
        </is>
      </c>
      <c r="G895" t="n">
        <v>0.3</v>
      </c>
      <c r="H895" t="n">
        <v>0</v>
      </c>
      <c r="I895" t="n">
        <v>0</v>
      </c>
      <c r="J895" t="n">
        <v>0</v>
      </c>
      <c r="K895" t="n">
        <v>0</v>
      </c>
      <c r="L895" t="n">
        <v>0</v>
      </c>
      <c r="M895" t="n">
        <v>0</v>
      </c>
      <c r="N895" t="n">
        <v>0</v>
      </c>
      <c r="O895" t="n">
        <v>0</v>
      </c>
      <c r="P895" t="n">
        <v>0</v>
      </c>
      <c r="Q895" t="n">
        <v>0</v>
      </c>
      <c r="R895" s="2" t="inlineStr"/>
    </row>
    <row r="896" ht="15" customHeight="1">
      <c r="A896" t="inlineStr">
        <is>
          <t>A 31213-2025</t>
        </is>
      </c>
      <c r="B896" s="1" t="n">
        <v>45832.72778935185</v>
      </c>
      <c r="C896" s="1" t="n">
        <v>46040</v>
      </c>
      <c r="D896" t="inlineStr">
        <is>
          <t>ÖREBRO LÄN</t>
        </is>
      </c>
      <c r="E896" t="inlineStr">
        <is>
          <t>LINDESBERG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31221-2025</t>
        </is>
      </c>
      <c r="B897" s="1" t="n">
        <v>45832.76491898148</v>
      </c>
      <c r="C897" s="1" t="n">
        <v>46040</v>
      </c>
      <c r="D897" t="inlineStr">
        <is>
          <t>ÖREBRO LÄN</t>
        </is>
      </c>
      <c r="E897" t="inlineStr">
        <is>
          <t>LINDESBERG</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31220-2025</t>
        </is>
      </c>
      <c r="B898" s="1" t="n">
        <v>45832.76100694444</v>
      </c>
      <c r="C898" s="1" t="n">
        <v>46040</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32504-2025</t>
        </is>
      </c>
      <c r="B899" s="1" t="n">
        <v>45838.46456018519</v>
      </c>
      <c r="C899" s="1" t="n">
        <v>46040</v>
      </c>
      <c r="D899" t="inlineStr">
        <is>
          <t>ÖREBRO LÄN</t>
        </is>
      </c>
      <c r="E899" t="inlineStr">
        <is>
          <t>LINDESBERG</t>
        </is>
      </c>
      <c r="F899" t="inlineStr">
        <is>
          <t>Sveaskog</t>
        </is>
      </c>
      <c r="G899" t="n">
        <v>16.9</v>
      </c>
      <c r="H899" t="n">
        <v>0</v>
      </c>
      <c r="I899" t="n">
        <v>0</v>
      </c>
      <c r="J899" t="n">
        <v>0</v>
      </c>
      <c r="K899" t="n">
        <v>0</v>
      </c>
      <c r="L899" t="n">
        <v>0</v>
      </c>
      <c r="M899" t="n">
        <v>0</v>
      </c>
      <c r="N899" t="n">
        <v>0</v>
      </c>
      <c r="O899" t="n">
        <v>0</v>
      </c>
      <c r="P899" t="n">
        <v>0</v>
      </c>
      <c r="Q899" t="n">
        <v>0</v>
      </c>
      <c r="R899" s="2" t="inlineStr"/>
    </row>
    <row r="900" ht="15" customHeight="1">
      <c r="A900" t="inlineStr">
        <is>
          <t>A 32284-2025</t>
        </is>
      </c>
      <c r="B900" s="1" t="n">
        <v>45835.68443287037</v>
      </c>
      <c r="C900" s="1" t="n">
        <v>46040</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32502-2025</t>
        </is>
      </c>
      <c r="B901" s="1" t="n">
        <v>45838.46408564815</v>
      </c>
      <c r="C901" s="1" t="n">
        <v>46040</v>
      </c>
      <c r="D901" t="inlineStr">
        <is>
          <t>ÖREBRO LÄN</t>
        </is>
      </c>
      <c r="E901" t="inlineStr">
        <is>
          <t>LINDESBERG</t>
        </is>
      </c>
      <c r="F901" t="inlineStr">
        <is>
          <t>Sveaskog</t>
        </is>
      </c>
      <c r="G901" t="n">
        <v>17.7</v>
      </c>
      <c r="H901" t="n">
        <v>0</v>
      </c>
      <c r="I901" t="n">
        <v>0</v>
      </c>
      <c r="J901" t="n">
        <v>0</v>
      </c>
      <c r="K901" t="n">
        <v>0</v>
      </c>
      <c r="L901" t="n">
        <v>0</v>
      </c>
      <c r="M901" t="n">
        <v>0</v>
      </c>
      <c r="N901" t="n">
        <v>0</v>
      </c>
      <c r="O901" t="n">
        <v>0</v>
      </c>
      <c r="P901" t="n">
        <v>0</v>
      </c>
      <c r="Q901" t="n">
        <v>0</v>
      </c>
      <c r="R901" s="2" t="inlineStr"/>
    </row>
    <row r="902" ht="15" customHeight="1">
      <c r="A902" t="inlineStr">
        <is>
          <t>A 33046-2025</t>
        </is>
      </c>
      <c r="B902" s="1" t="n">
        <v>45840</v>
      </c>
      <c r="C902" s="1" t="n">
        <v>46040</v>
      </c>
      <c r="D902" t="inlineStr">
        <is>
          <t>ÖREBRO LÄN</t>
        </is>
      </c>
      <c r="E902" t="inlineStr">
        <is>
          <t>LINDESBERG</t>
        </is>
      </c>
      <c r="G902" t="n">
        <v>6.1</v>
      </c>
      <c r="H902" t="n">
        <v>0</v>
      </c>
      <c r="I902" t="n">
        <v>0</v>
      </c>
      <c r="J902" t="n">
        <v>0</v>
      </c>
      <c r="K902" t="n">
        <v>0</v>
      </c>
      <c r="L902" t="n">
        <v>0</v>
      </c>
      <c r="M902" t="n">
        <v>0</v>
      </c>
      <c r="N902" t="n">
        <v>0</v>
      </c>
      <c r="O902" t="n">
        <v>0</v>
      </c>
      <c r="P902" t="n">
        <v>0</v>
      </c>
      <c r="Q902" t="n">
        <v>0</v>
      </c>
      <c r="R902" s="2" t="inlineStr"/>
    </row>
    <row r="903" ht="15" customHeight="1">
      <c r="A903" t="inlineStr">
        <is>
          <t>A 32727-2024</t>
        </is>
      </c>
      <c r="B903" s="1" t="n">
        <v>45516.4221412037</v>
      </c>
      <c r="C903" s="1" t="n">
        <v>46040</v>
      </c>
      <c r="D903" t="inlineStr">
        <is>
          <t>ÖREBRO LÄN</t>
        </is>
      </c>
      <c r="E903" t="inlineStr">
        <is>
          <t>LINDESBERG</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33574-2024</t>
        </is>
      </c>
      <c r="B904" s="1" t="n">
        <v>45520.32887731482</v>
      </c>
      <c r="C904" s="1" t="n">
        <v>46040</v>
      </c>
      <c r="D904" t="inlineStr">
        <is>
          <t>ÖREBRO LÄN</t>
        </is>
      </c>
      <c r="E904" t="inlineStr">
        <is>
          <t>LINDESBERG</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34264-2025</t>
        </is>
      </c>
      <c r="B905" s="1" t="n">
        <v>45845.75200231482</v>
      </c>
      <c r="C905" s="1" t="n">
        <v>46040</v>
      </c>
      <c r="D905" t="inlineStr">
        <is>
          <t>ÖREBRO LÄN</t>
        </is>
      </c>
      <c r="E905" t="inlineStr">
        <is>
          <t>LINDESBERG</t>
        </is>
      </c>
      <c r="G905" t="n">
        <v>3.9</v>
      </c>
      <c r="H905" t="n">
        <v>0</v>
      </c>
      <c r="I905" t="n">
        <v>0</v>
      </c>
      <c r="J905" t="n">
        <v>0</v>
      </c>
      <c r="K905" t="n">
        <v>0</v>
      </c>
      <c r="L905" t="n">
        <v>0</v>
      </c>
      <c r="M905" t="n">
        <v>0</v>
      </c>
      <c r="N905" t="n">
        <v>0</v>
      </c>
      <c r="O905" t="n">
        <v>0</v>
      </c>
      <c r="P905" t="n">
        <v>0</v>
      </c>
      <c r="Q905" t="n">
        <v>0</v>
      </c>
      <c r="R905" s="2" t="inlineStr"/>
    </row>
    <row r="906" ht="15" customHeight="1">
      <c r="A906" t="inlineStr">
        <is>
          <t>A 34003-2025</t>
        </is>
      </c>
      <c r="B906" s="1" t="n">
        <v>45844.57527777777</v>
      </c>
      <c r="C906" s="1" t="n">
        <v>46040</v>
      </c>
      <c r="D906" t="inlineStr">
        <is>
          <t>ÖREBRO LÄN</t>
        </is>
      </c>
      <c r="E906" t="inlineStr">
        <is>
          <t>LINDESBERG</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34097-2025</t>
        </is>
      </c>
      <c r="B907" s="1" t="n">
        <v>45845.4855787037</v>
      </c>
      <c r="C907" s="1" t="n">
        <v>46040</v>
      </c>
      <c r="D907" t="inlineStr">
        <is>
          <t>ÖREBRO LÄN</t>
        </is>
      </c>
      <c r="E907" t="inlineStr">
        <is>
          <t>LINDESBERG</t>
        </is>
      </c>
      <c r="G907" t="n">
        <v>1.2</v>
      </c>
      <c r="H907" t="n">
        <v>0</v>
      </c>
      <c r="I907" t="n">
        <v>0</v>
      </c>
      <c r="J907" t="n">
        <v>0</v>
      </c>
      <c r="K907" t="n">
        <v>0</v>
      </c>
      <c r="L907" t="n">
        <v>0</v>
      </c>
      <c r="M907" t="n">
        <v>0</v>
      </c>
      <c r="N907" t="n">
        <v>0</v>
      </c>
      <c r="O907" t="n">
        <v>0</v>
      </c>
      <c r="P907" t="n">
        <v>0</v>
      </c>
      <c r="Q907" t="n">
        <v>0</v>
      </c>
      <c r="R907" s="2" t="inlineStr"/>
    </row>
    <row r="908" ht="15" customHeight="1">
      <c r="A908" t="inlineStr">
        <is>
          <t>A 34104-2025</t>
        </is>
      </c>
      <c r="B908" s="1" t="n">
        <v>45845.49216435185</v>
      </c>
      <c r="C908" s="1" t="n">
        <v>46040</v>
      </c>
      <c r="D908" t="inlineStr">
        <is>
          <t>ÖREBRO LÄN</t>
        </is>
      </c>
      <c r="E908" t="inlineStr">
        <is>
          <t>LINDESBERG</t>
        </is>
      </c>
      <c r="G908" t="n">
        <v>1</v>
      </c>
      <c r="H908" t="n">
        <v>0</v>
      </c>
      <c r="I908" t="n">
        <v>0</v>
      </c>
      <c r="J908" t="n">
        <v>0</v>
      </c>
      <c r="K908" t="n">
        <v>0</v>
      </c>
      <c r="L908" t="n">
        <v>0</v>
      </c>
      <c r="M908" t="n">
        <v>0</v>
      </c>
      <c r="N908" t="n">
        <v>0</v>
      </c>
      <c r="O908" t="n">
        <v>0</v>
      </c>
      <c r="P908" t="n">
        <v>0</v>
      </c>
      <c r="Q908" t="n">
        <v>0</v>
      </c>
      <c r="R908" s="2" t="inlineStr"/>
    </row>
    <row r="909" ht="15" customHeight="1">
      <c r="A909" t="inlineStr">
        <is>
          <t>A 34004-2025</t>
        </is>
      </c>
      <c r="B909" s="1" t="n">
        <v>45844.5775</v>
      </c>
      <c r="C909" s="1" t="n">
        <v>46040</v>
      </c>
      <c r="D909" t="inlineStr">
        <is>
          <t>ÖREBRO LÄN</t>
        </is>
      </c>
      <c r="E909" t="inlineStr">
        <is>
          <t>LINDESBERG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34267-2025</t>
        </is>
      </c>
      <c r="B910" s="1" t="n">
        <v>45845.76005787037</v>
      </c>
      <c r="C910" s="1" t="n">
        <v>46040</v>
      </c>
      <c r="D910" t="inlineStr">
        <is>
          <t>ÖREBRO LÄN</t>
        </is>
      </c>
      <c r="E910" t="inlineStr">
        <is>
          <t>LINDESBERG</t>
        </is>
      </c>
      <c r="G910" t="n">
        <v>4.6</v>
      </c>
      <c r="H910" t="n">
        <v>0</v>
      </c>
      <c r="I910" t="n">
        <v>0</v>
      </c>
      <c r="J910" t="n">
        <v>0</v>
      </c>
      <c r="K910" t="n">
        <v>0</v>
      </c>
      <c r="L910" t="n">
        <v>0</v>
      </c>
      <c r="M910" t="n">
        <v>0</v>
      </c>
      <c r="N910" t="n">
        <v>0</v>
      </c>
      <c r="O910" t="n">
        <v>0</v>
      </c>
      <c r="P910" t="n">
        <v>0</v>
      </c>
      <c r="Q910" t="n">
        <v>0</v>
      </c>
      <c r="R910" s="2" t="inlineStr"/>
    </row>
    <row r="911" ht="15" customHeight="1">
      <c r="A911" t="inlineStr">
        <is>
          <t>A 34002-2025</t>
        </is>
      </c>
      <c r="B911" s="1" t="n">
        <v>45844.57328703703</v>
      </c>
      <c r="C911" s="1" t="n">
        <v>46040</v>
      </c>
      <c r="D911" t="inlineStr">
        <is>
          <t>ÖREBRO LÄN</t>
        </is>
      </c>
      <c r="E911" t="inlineStr">
        <is>
          <t>LINDESBERG</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5677-2025</t>
        </is>
      </c>
      <c r="B912" s="1" t="n">
        <v>45694</v>
      </c>
      <c r="C912" s="1" t="n">
        <v>46040</v>
      </c>
      <c r="D912" t="inlineStr">
        <is>
          <t>ÖREBRO LÄN</t>
        </is>
      </c>
      <c r="E912" t="inlineStr">
        <is>
          <t>LINDESBERG</t>
        </is>
      </c>
      <c r="G912" t="n">
        <v>1.6</v>
      </c>
      <c r="H912" t="n">
        <v>0</v>
      </c>
      <c r="I912" t="n">
        <v>0</v>
      </c>
      <c r="J912" t="n">
        <v>0</v>
      </c>
      <c r="K912" t="n">
        <v>0</v>
      </c>
      <c r="L912" t="n">
        <v>0</v>
      </c>
      <c r="M912" t="n">
        <v>0</v>
      </c>
      <c r="N912" t="n">
        <v>0</v>
      </c>
      <c r="O912" t="n">
        <v>0</v>
      </c>
      <c r="P912" t="n">
        <v>0</v>
      </c>
      <c r="Q912" t="n">
        <v>0</v>
      </c>
      <c r="R912" s="2" t="inlineStr"/>
    </row>
    <row r="913" ht="15" customHeight="1">
      <c r="A913" t="inlineStr">
        <is>
          <t>A 24916-2022</t>
        </is>
      </c>
      <c r="B913" s="1" t="n">
        <v>44728</v>
      </c>
      <c r="C913" s="1" t="n">
        <v>46040</v>
      </c>
      <c r="D913" t="inlineStr">
        <is>
          <t>ÖREBRO LÄN</t>
        </is>
      </c>
      <c r="E913" t="inlineStr">
        <is>
          <t>LINDESBERG</t>
        </is>
      </c>
      <c r="G913" t="n">
        <v>8.1</v>
      </c>
      <c r="H913" t="n">
        <v>0</v>
      </c>
      <c r="I913" t="n">
        <v>0</v>
      </c>
      <c r="J913" t="n">
        <v>0</v>
      </c>
      <c r="K913" t="n">
        <v>0</v>
      </c>
      <c r="L913" t="n">
        <v>0</v>
      </c>
      <c r="M913" t="n">
        <v>0</v>
      </c>
      <c r="N913" t="n">
        <v>0</v>
      </c>
      <c r="O913" t="n">
        <v>0</v>
      </c>
      <c r="P913" t="n">
        <v>0</v>
      </c>
      <c r="Q913" t="n">
        <v>0</v>
      </c>
      <c r="R913" s="2" t="inlineStr"/>
    </row>
    <row r="914" ht="15" customHeight="1">
      <c r="A914" t="inlineStr">
        <is>
          <t>A 1681-2025</t>
        </is>
      </c>
      <c r="B914" s="1" t="n">
        <v>45670.69458333333</v>
      </c>
      <c r="C914" s="1" t="n">
        <v>46040</v>
      </c>
      <c r="D914" t="inlineStr">
        <is>
          <t>ÖREBRO LÄN</t>
        </is>
      </c>
      <c r="E914" t="inlineStr">
        <is>
          <t>LINDESBERG</t>
        </is>
      </c>
      <c r="G914" t="n">
        <v>1.9</v>
      </c>
      <c r="H914" t="n">
        <v>0</v>
      </c>
      <c r="I914" t="n">
        <v>0</v>
      </c>
      <c r="J914" t="n">
        <v>0</v>
      </c>
      <c r="K914" t="n">
        <v>0</v>
      </c>
      <c r="L914" t="n">
        <v>0</v>
      </c>
      <c r="M914" t="n">
        <v>0</v>
      </c>
      <c r="N914" t="n">
        <v>0</v>
      </c>
      <c r="O914" t="n">
        <v>0</v>
      </c>
      <c r="P914" t="n">
        <v>0</v>
      </c>
      <c r="Q914" t="n">
        <v>0</v>
      </c>
      <c r="R914" s="2" t="inlineStr"/>
    </row>
    <row r="915" ht="15" customHeight="1">
      <c r="A915" t="inlineStr">
        <is>
          <t>A 36670-2024</t>
        </is>
      </c>
      <c r="B915" s="1" t="n">
        <v>45537.64621527777</v>
      </c>
      <c r="C915" s="1" t="n">
        <v>46040</v>
      </c>
      <c r="D915" t="inlineStr">
        <is>
          <t>ÖREBRO LÄN</t>
        </is>
      </c>
      <c r="E915" t="inlineStr">
        <is>
          <t>LINDESBERG</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35292-2025</t>
        </is>
      </c>
      <c r="B916" s="1" t="n">
        <v>45854</v>
      </c>
      <c r="C916" s="1" t="n">
        <v>46040</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35366-2025</t>
        </is>
      </c>
      <c r="B917" s="1" t="n">
        <v>45854</v>
      </c>
      <c r="C917" s="1" t="n">
        <v>46040</v>
      </c>
      <c r="D917" t="inlineStr">
        <is>
          <t>ÖREBRO LÄN</t>
        </is>
      </c>
      <c r="E917" t="inlineStr">
        <is>
          <t>LINDESBERG</t>
        </is>
      </c>
      <c r="G917" t="n">
        <v>5.5</v>
      </c>
      <c r="H917" t="n">
        <v>0</v>
      </c>
      <c r="I917" t="n">
        <v>0</v>
      </c>
      <c r="J917" t="n">
        <v>0</v>
      </c>
      <c r="K917" t="n">
        <v>0</v>
      </c>
      <c r="L917" t="n">
        <v>0</v>
      </c>
      <c r="M917" t="n">
        <v>0</v>
      </c>
      <c r="N917" t="n">
        <v>0</v>
      </c>
      <c r="O917" t="n">
        <v>0</v>
      </c>
      <c r="P917" t="n">
        <v>0</v>
      </c>
      <c r="Q917" t="n">
        <v>0</v>
      </c>
      <c r="R917" s="2" t="inlineStr"/>
    </row>
    <row r="918" ht="15" customHeight="1">
      <c r="A918" t="inlineStr">
        <is>
          <t>A 35702-2025</t>
        </is>
      </c>
      <c r="B918" s="1" t="n">
        <v>45860.36222222223</v>
      </c>
      <c r="C918" s="1" t="n">
        <v>46040</v>
      </c>
      <c r="D918" t="inlineStr">
        <is>
          <t>ÖREBRO LÄN</t>
        </is>
      </c>
      <c r="E918" t="inlineStr">
        <is>
          <t>LINDESBERG</t>
        </is>
      </c>
      <c r="G918" t="n">
        <v>5.3</v>
      </c>
      <c r="H918" t="n">
        <v>0</v>
      </c>
      <c r="I918" t="n">
        <v>0</v>
      </c>
      <c r="J918" t="n">
        <v>0</v>
      </c>
      <c r="K918" t="n">
        <v>0</v>
      </c>
      <c r="L918" t="n">
        <v>0</v>
      </c>
      <c r="M918" t="n">
        <v>0</v>
      </c>
      <c r="N918" t="n">
        <v>0</v>
      </c>
      <c r="O918" t="n">
        <v>0</v>
      </c>
      <c r="P918" t="n">
        <v>0</v>
      </c>
      <c r="Q918" t="n">
        <v>0</v>
      </c>
      <c r="R918" s="2" t="inlineStr"/>
    </row>
    <row r="919" ht="15" customHeight="1">
      <c r="A919" t="inlineStr">
        <is>
          <t>A 35710-2025</t>
        </is>
      </c>
      <c r="B919" s="1" t="n">
        <v>45860.3857175926</v>
      </c>
      <c r="C919" s="1" t="n">
        <v>46040</v>
      </c>
      <c r="D919" t="inlineStr">
        <is>
          <t>ÖREBRO LÄN</t>
        </is>
      </c>
      <c r="E919" t="inlineStr">
        <is>
          <t>LINDESBERG</t>
        </is>
      </c>
      <c r="G919" t="n">
        <v>3.2</v>
      </c>
      <c r="H919" t="n">
        <v>0</v>
      </c>
      <c r="I919" t="n">
        <v>0</v>
      </c>
      <c r="J919" t="n">
        <v>0</v>
      </c>
      <c r="K919" t="n">
        <v>0</v>
      </c>
      <c r="L919" t="n">
        <v>0</v>
      </c>
      <c r="M919" t="n">
        <v>0</v>
      </c>
      <c r="N919" t="n">
        <v>0</v>
      </c>
      <c r="O919" t="n">
        <v>0</v>
      </c>
      <c r="P919" t="n">
        <v>0</v>
      </c>
      <c r="Q919" t="n">
        <v>0</v>
      </c>
      <c r="R919" s="2" t="inlineStr"/>
    </row>
    <row r="920">
      <c r="A920" t="inlineStr">
        <is>
          <t>A 47304-2024</t>
        </is>
      </c>
      <c r="B920" s="1" t="n">
        <v>45587</v>
      </c>
      <c r="C920" s="1" t="n">
        <v>46040</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2026-01-18T10:57:48Z</dcterms:created>
  <dcterms:modified xmlns:dcterms="http://purl.org/dc/terms/" xmlns:xsi="http://www.w3.org/2001/XMLSchema-instance" xsi:type="dcterms:W3CDTF">2026-01-18T10:57:48Z</dcterms:modified>
</cp:coreProperties>
</file>