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46158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46158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46158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46158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46158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46158</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46158</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46158</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46158</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46158</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46158</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46158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46158</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46158</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28033-2023</t>
        </is>
      </c>
      <c r="B16" s="1" t="n">
        <v>45099</v>
      </c>
      <c r="C16" s="1" t="n">
        <v>46158</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8195-2026</t>
        </is>
      </c>
      <c r="B17" s="1" t="n">
        <v>46064.43017361111</v>
      </c>
      <c r="C17" s="1" t="n">
        <v>46158</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46158</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46158</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46158</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46158</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46158</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46158</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46158</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34266-2025</t>
        </is>
      </c>
      <c r="B25" s="1" t="n">
        <v>45845.75751157408</v>
      </c>
      <c r="C25" s="1" t="n">
        <v>46158</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46158</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46158</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20744-2026</t>
        </is>
      </c>
      <c r="B28" s="1" t="n">
        <v>46141.58104166666</v>
      </c>
      <c r="C28" s="1" t="n">
        <v>46158</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28035-2023</t>
        </is>
      </c>
      <c r="B29" s="1" t="n">
        <v>45099</v>
      </c>
      <c r="C29" s="1" t="n">
        <v>46158</v>
      </c>
      <c r="D29" t="inlineStr">
        <is>
          <t>ÖREBRO LÄN</t>
        </is>
      </c>
      <c r="E29" t="inlineStr">
        <is>
          <t>LINDESBERG</t>
        </is>
      </c>
      <c r="F29" t="inlineStr">
        <is>
          <t>Kyrkan</t>
        </is>
      </c>
      <c r="G29" t="n">
        <v>1.1</v>
      </c>
      <c r="H29" t="n">
        <v>1</v>
      </c>
      <c r="I29" t="n">
        <v>1</v>
      </c>
      <c r="J29" t="n">
        <v>0</v>
      </c>
      <c r="K29" t="n">
        <v>0</v>
      </c>
      <c r="L29" t="n">
        <v>2</v>
      </c>
      <c r="M29" t="n">
        <v>0</v>
      </c>
      <c r="N29" t="n">
        <v>0</v>
      </c>
      <c r="O29" t="n">
        <v>2</v>
      </c>
      <c r="P29" t="n">
        <v>2</v>
      </c>
      <c r="Q29" t="n">
        <v>3</v>
      </c>
      <c r="R29" s="2" t="inlineStr">
        <is>
          <t>Ask
Asknätfjäril
Tibast</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54020-2024</t>
        </is>
      </c>
      <c r="B30" s="1" t="n">
        <v>45616.38605324074</v>
      </c>
      <c r="C30" s="1" t="n">
        <v>46158</v>
      </c>
      <c r="D30" t="inlineStr">
        <is>
          <t>ÖREBRO LÄN</t>
        </is>
      </c>
      <c r="E30" t="inlineStr">
        <is>
          <t>LINDESBERG</t>
        </is>
      </c>
      <c r="G30" t="n">
        <v>2.8</v>
      </c>
      <c r="H30" t="n">
        <v>1</v>
      </c>
      <c r="I30" t="n">
        <v>1</v>
      </c>
      <c r="J30" t="n">
        <v>2</v>
      </c>
      <c r="K30" t="n">
        <v>0</v>
      </c>
      <c r="L30" t="n">
        <v>0</v>
      </c>
      <c r="M30" t="n">
        <v>0</v>
      </c>
      <c r="N30" t="n">
        <v>0</v>
      </c>
      <c r="O30" t="n">
        <v>2</v>
      </c>
      <c r="P30" t="n">
        <v>0</v>
      </c>
      <c r="Q30" t="n">
        <v>3</v>
      </c>
      <c r="R30" s="2" t="inlineStr">
        <is>
          <t>Mindre hackspett
Skogsklocka
Kambräken</t>
        </is>
      </c>
      <c r="S30">
        <f>HYPERLINK("https://klasma.github.io/Logging_1885/artfynd/A 54020-2024 artfynd.xlsx", "A 54020-2024")</f>
        <v/>
      </c>
      <c r="T30">
        <f>HYPERLINK("https://klasma.github.io/Logging_1885/kartor/A 54020-2024 karta.png", "A 54020-2024")</f>
        <v/>
      </c>
      <c r="V30">
        <f>HYPERLINK("https://klasma.github.io/Logging_1885/klagomål/A 54020-2024 FSC-klagomål.docx", "A 54020-2024")</f>
        <v/>
      </c>
      <c r="W30">
        <f>HYPERLINK("https://klasma.github.io/Logging_1885/klagomålsmail/A 54020-2024 FSC-klagomål mail.docx", "A 54020-2024")</f>
        <v/>
      </c>
      <c r="X30">
        <f>HYPERLINK("https://klasma.github.io/Logging_1885/tillsyn/A 54020-2024 tillsynsbegäran.docx", "A 54020-2024")</f>
        <v/>
      </c>
      <c r="Y30">
        <f>HYPERLINK("https://klasma.github.io/Logging_1885/tillsynsmail/A 54020-2024 tillsynsbegäran mail.docx", "A 54020-2024")</f>
        <v/>
      </c>
      <c r="Z30">
        <f>HYPERLINK("https://klasma.github.io/Logging_1885/fåglar/A 54020-2024 prioriterade fågelarter.docx", "A 54020-2024")</f>
        <v/>
      </c>
    </row>
    <row r="31" ht="15" customHeight="1">
      <c r="A31" t="inlineStr">
        <is>
          <t>A 54332-2021</t>
        </is>
      </c>
      <c r="B31" s="1" t="n">
        <v>44472</v>
      </c>
      <c r="C31" s="1" t="n">
        <v>46158</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33574-2022</t>
        </is>
      </c>
      <c r="B32" s="1" t="n">
        <v>44789</v>
      </c>
      <c r="C32" s="1" t="n">
        <v>46158</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46158</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46158</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46158</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46158</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8189-2026</t>
        </is>
      </c>
      <c r="B37" s="1" t="n">
        <v>46064.42460648148</v>
      </c>
      <c r="C37" s="1" t="n">
        <v>46158</v>
      </c>
      <c r="D37" t="inlineStr">
        <is>
          <t>ÖREBRO LÄN</t>
        </is>
      </c>
      <c r="E37" t="inlineStr">
        <is>
          <t>LINDESBERG</t>
        </is>
      </c>
      <c r="G37" t="n">
        <v>1.4</v>
      </c>
      <c r="H37" t="n">
        <v>2</v>
      </c>
      <c r="I37" t="n">
        <v>0</v>
      </c>
      <c r="J37" t="n">
        <v>1</v>
      </c>
      <c r="K37" t="n">
        <v>0</v>
      </c>
      <c r="L37" t="n">
        <v>0</v>
      </c>
      <c r="M37" t="n">
        <v>0</v>
      </c>
      <c r="N37" t="n">
        <v>0</v>
      </c>
      <c r="O37" t="n">
        <v>1</v>
      </c>
      <c r="P37" t="n">
        <v>0</v>
      </c>
      <c r="Q37" t="n">
        <v>2</v>
      </c>
      <c r="R37" s="2" t="inlineStr">
        <is>
          <t>Spillkråka
Kungsfågel</t>
        </is>
      </c>
      <c r="S37">
        <f>HYPERLINK("https://klasma.github.io/Logging_1885/artfynd/A 8189-2026 artfynd.xlsx", "A 8189-2026")</f>
        <v/>
      </c>
      <c r="T37">
        <f>HYPERLINK("https://klasma.github.io/Logging_1885/kartor/A 8189-2026 karta.png", "A 8189-2026")</f>
        <v/>
      </c>
      <c r="V37">
        <f>HYPERLINK("https://klasma.github.io/Logging_1885/klagomål/A 8189-2026 FSC-klagomål.docx", "A 8189-2026")</f>
        <v/>
      </c>
      <c r="W37">
        <f>HYPERLINK("https://klasma.github.io/Logging_1885/klagomålsmail/A 8189-2026 FSC-klagomål mail.docx", "A 8189-2026")</f>
        <v/>
      </c>
      <c r="X37">
        <f>HYPERLINK("https://klasma.github.io/Logging_1885/tillsyn/A 8189-2026 tillsynsbegäran.docx", "A 8189-2026")</f>
        <v/>
      </c>
      <c r="Y37">
        <f>HYPERLINK("https://klasma.github.io/Logging_1885/tillsynsmail/A 8189-2026 tillsynsbegäran mail.docx", "A 8189-2026")</f>
        <v/>
      </c>
      <c r="Z37">
        <f>HYPERLINK("https://klasma.github.io/Logging_1885/fåglar/A 8189-2026 prioriterade fågelarter.docx", "A 8189-2026")</f>
        <v/>
      </c>
    </row>
    <row r="38" ht="15" customHeight="1">
      <c r="A38" t="inlineStr">
        <is>
          <t>A 9567-2026</t>
        </is>
      </c>
      <c r="B38" s="1" t="n">
        <v>46071.65692129629</v>
      </c>
      <c r="C38" s="1" t="n">
        <v>46158</v>
      </c>
      <c r="D38" t="inlineStr">
        <is>
          <t>ÖREBRO LÄN</t>
        </is>
      </c>
      <c r="E38" t="inlineStr">
        <is>
          <t>LINDESBERG</t>
        </is>
      </c>
      <c r="F38" t="inlineStr">
        <is>
          <t>Kommuner</t>
        </is>
      </c>
      <c r="G38" t="n">
        <v>1.4</v>
      </c>
      <c r="H38" t="n">
        <v>0</v>
      </c>
      <c r="I38" t="n">
        <v>1</v>
      </c>
      <c r="J38" t="n">
        <v>1</v>
      </c>
      <c r="K38" t="n">
        <v>0</v>
      </c>
      <c r="L38" t="n">
        <v>0</v>
      </c>
      <c r="M38" t="n">
        <v>0</v>
      </c>
      <c r="N38" t="n">
        <v>0</v>
      </c>
      <c r="O38" t="n">
        <v>1</v>
      </c>
      <c r="P38" t="n">
        <v>0</v>
      </c>
      <c r="Q38" t="n">
        <v>2</v>
      </c>
      <c r="R38" s="2" t="inlineStr">
        <is>
          <t>Ullticka
Thomsons trägnagare</t>
        </is>
      </c>
      <c r="S38">
        <f>HYPERLINK("https://klasma.github.io/Logging_1885/artfynd/A 9567-2026 artfynd.xlsx", "A 9567-2026")</f>
        <v/>
      </c>
      <c r="T38">
        <f>HYPERLINK("https://klasma.github.io/Logging_1885/kartor/A 9567-2026 karta.png", "A 9567-2026")</f>
        <v/>
      </c>
      <c r="V38">
        <f>HYPERLINK("https://klasma.github.io/Logging_1885/klagomål/A 9567-2026 FSC-klagomål.docx", "A 9567-2026")</f>
        <v/>
      </c>
      <c r="W38">
        <f>HYPERLINK("https://klasma.github.io/Logging_1885/klagomålsmail/A 9567-2026 FSC-klagomål mail.docx", "A 9567-2026")</f>
        <v/>
      </c>
      <c r="X38">
        <f>HYPERLINK("https://klasma.github.io/Logging_1885/tillsyn/A 9567-2026 tillsynsbegäran.docx", "A 9567-2026")</f>
        <v/>
      </c>
      <c r="Y38">
        <f>HYPERLINK("https://klasma.github.io/Logging_1885/tillsynsmail/A 9567-2026 tillsynsbegäran mail.docx", "A 9567-2026")</f>
        <v/>
      </c>
    </row>
    <row r="39" ht="15" customHeight="1">
      <c r="A39" t="inlineStr">
        <is>
          <t>A 57319-2025</t>
        </is>
      </c>
      <c r="B39" s="1" t="n">
        <v>45980.01497685185</v>
      </c>
      <c r="C39" s="1" t="n">
        <v>46158</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1475-2025</t>
        </is>
      </c>
      <c r="B40" s="1" t="n">
        <v>45670</v>
      </c>
      <c r="C40" s="1" t="n">
        <v>46158</v>
      </c>
      <c r="D40" t="inlineStr">
        <is>
          <t>ÖREBRO LÄN</t>
        </is>
      </c>
      <c r="E40" t="inlineStr">
        <is>
          <t>LINDESBERG</t>
        </is>
      </c>
      <c r="F40" t="inlineStr">
        <is>
          <t>Sveaskog</t>
        </is>
      </c>
      <c r="G40" t="n">
        <v>0.7</v>
      </c>
      <c r="H40" t="n">
        <v>0</v>
      </c>
      <c r="I40" t="n">
        <v>0</v>
      </c>
      <c r="J40" t="n">
        <v>2</v>
      </c>
      <c r="K40" t="n">
        <v>0</v>
      </c>
      <c r="L40" t="n">
        <v>0</v>
      </c>
      <c r="M40" t="n">
        <v>0</v>
      </c>
      <c r="N40" t="n">
        <v>0</v>
      </c>
      <c r="O40" t="n">
        <v>2</v>
      </c>
      <c r="P40" t="n">
        <v>0</v>
      </c>
      <c r="Q40" t="n">
        <v>2</v>
      </c>
      <c r="R40" s="2" t="inlineStr">
        <is>
          <t>Motaggsvamp
Svartvit taggsvamp</t>
        </is>
      </c>
      <c r="S40">
        <f>HYPERLINK("https://klasma.github.io/Logging_1885/artfynd/A 1475-2025 artfynd.xlsx", "A 1475-2025")</f>
        <v/>
      </c>
      <c r="T40">
        <f>HYPERLINK("https://klasma.github.io/Logging_1885/kartor/A 1475-2025 karta.png", "A 1475-2025")</f>
        <v/>
      </c>
      <c r="V40">
        <f>HYPERLINK("https://klasma.github.io/Logging_1885/klagomål/A 1475-2025 FSC-klagomål.docx", "A 1475-2025")</f>
        <v/>
      </c>
      <c r="W40">
        <f>HYPERLINK("https://klasma.github.io/Logging_1885/klagomålsmail/A 1475-2025 FSC-klagomål mail.docx", "A 1475-2025")</f>
        <v/>
      </c>
      <c r="X40">
        <f>HYPERLINK("https://klasma.github.io/Logging_1885/tillsyn/A 1475-2025 tillsynsbegäran.docx", "A 1475-2025")</f>
        <v/>
      </c>
      <c r="Y40">
        <f>HYPERLINK("https://klasma.github.io/Logging_1885/tillsynsmail/A 1475-2025 tillsynsbegäran mail.docx", "A 1475-2025")</f>
        <v/>
      </c>
    </row>
    <row r="41" ht="15" customHeight="1">
      <c r="A41" t="inlineStr">
        <is>
          <t>A 53686-2024</t>
        </is>
      </c>
      <c r="B41" s="1" t="n">
        <v>45615</v>
      </c>
      <c r="C41" s="1" t="n">
        <v>46158</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16103-2026</t>
        </is>
      </c>
      <c r="B42" s="1" t="n">
        <v>46108.59048611111</v>
      </c>
      <c r="C42" s="1" t="n">
        <v>46158</v>
      </c>
      <c r="D42" t="inlineStr">
        <is>
          <t>ÖREBRO LÄN</t>
        </is>
      </c>
      <c r="E42" t="inlineStr">
        <is>
          <t>LINDESBERG</t>
        </is>
      </c>
      <c r="G42" t="n">
        <v>5.5</v>
      </c>
      <c r="H42" t="n">
        <v>1</v>
      </c>
      <c r="I42" t="n">
        <v>0</v>
      </c>
      <c r="J42" t="n">
        <v>2</v>
      </c>
      <c r="K42" t="n">
        <v>0</v>
      </c>
      <c r="L42" t="n">
        <v>0</v>
      </c>
      <c r="M42" t="n">
        <v>0</v>
      </c>
      <c r="N42" t="n">
        <v>0</v>
      </c>
      <c r="O42" t="n">
        <v>2</v>
      </c>
      <c r="P42" t="n">
        <v>0</v>
      </c>
      <c r="Q42" t="n">
        <v>2</v>
      </c>
      <c r="R42" s="2" t="inlineStr">
        <is>
          <t>Garnlav
Spillkråka</t>
        </is>
      </c>
      <c r="S42">
        <f>HYPERLINK("https://klasma.github.io/Logging_1885/artfynd/A 16103-2026 artfynd.xlsx", "A 16103-2026")</f>
        <v/>
      </c>
      <c r="T42">
        <f>HYPERLINK("https://klasma.github.io/Logging_1885/kartor/A 16103-2026 karta.png", "A 16103-2026")</f>
        <v/>
      </c>
      <c r="V42">
        <f>HYPERLINK("https://klasma.github.io/Logging_1885/klagomål/A 16103-2026 FSC-klagomål.docx", "A 16103-2026")</f>
        <v/>
      </c>
      <c r="W42">
        <f>HYPERLINK("https://klasma.github.io/Logging_1885/klagomålsmail/A 16103-2026 FSC-klagomål mail.docx", "A 16103-2026")</f>
        <v/>
      </c>
      <c r="X42">
        <f>HYPERLINK("https://klasma.github.io/Logging_1885/tillsyn/A 16103-2026 tillsynsbegäran.docx", "A 16103-2026")</f>
        <v/>
      </c>
      <c r="Y42">
        <f>HYPERLINK("https://klasma.github.io/Logging_1885/tillsynsmail/A 16103-2026 tillsynsbegäran mail.docx", "A 16103-2026")</f>
        <v/>
      </c>
      <c r="Z42">
        <f>HYPERLINK("https://klasma.github.io/Logging_1885/fåglar/A 16103-2026 prioriterade fågelarter.docx", "A 16103-2026")</f>
        <v/>
      </c>
    </row>
    <row r="43" ht="15" customHeight="1">
      <c r="A43" t="inlineStr">
        <is>
          <t>A 15687-2023</t>
        </is>
      </c>
      <c r="B43" s="1" t="n">
        <v>45021</v>
      </c>
      <c r="C43" s="1" t="n">
        <v>46158</v>
      </c>
      <c r="D43" t="inlineStr">
        <is>
          <t>ÖREBRO LÄN</t>
        </is>
      </c>
      <c r="E43" t="inlineStr">
        <is>
          <t>LINDESBERG</t>
        </is>
      </c>
      <c r="G43" t="n">
        <v>1.4</v>
      </c>
      <c r="H43" t="n">
        <v>1</v>
      </c>
      <c r="I43" t="n">
        <v>2</v>
      </c>
      <c r="J43" t="n">
        <v>0</v>
      </c>
      <c r="K43" t="n">
        <v>0</v>
      </c>
      <c r="L43" t="n">
        <v>0</v>
      </c>
      <c r="M43" t="n">
        <v>0</v>
      </c>
      <c r="N43" t="n">
        <v>0</v>
      </c>
      <c r="O43" t="n">
        <v>0</v>
      </c>
      <c r="P43" t="n">
        <v>0</v>
      </c>
      <c r="Q43" t="n">
        <v>2</v>
      </c>
      <c r="R43" s="2" t="inlineStr">
        <is>
          <t>Rödgul trumpetsvamp
Tvåblad</t>
        </is>
      </c>
      <c r="S43">
        <f>HYPERLINK("https://klasma.github.io/Logging_1885/artfynd/A 15687-2023 artfynd.xlsx", "A 15687-2023")</f>
        <v/>
      </c>
      <c r="T43">
        <f>HYPERLINK("https://klasma.github.io/Logging_1885/kartor/A 15687-2023 karta.png", "A 15687-2023")</f>
        <v/>
      </c>
      <c r="V43">
        <f>HYPERLINK("https://klasma.github.io/Logging_1885/klagomål/A 15687-2023 FSC-klagomål.docx", "A 15687-2023")</f>
        <v/>
      </c>
      <c r="W43">
        <f>HYPERLINK("https://klasma.github.io/Logging_1885/klagomålsmail/A 15687-2023 FSC-klagomål mail.docx", "A 15687-2023")</f>
        <v/>
      </c>
      <c r="X43">
        <f>HYPERLINK("https://klasma.github.io/Logging_1885/tillsyn/A 15687-2023 tillsynsbegäran.docx", "A 15687-2023")</f>
        <v/>
      </c>
      <c r="Y43">
        <f>HYPERLINK("https://klasma.github.io/Logging_1885/tillsynsmail/A 15687-2023 tillsynsbegäran mail.docx", "A 15687-2023")</f>
        <v/>
      </c>
    </row>
    <row r="44" ht="15" customHeight="1">
      <c r="A44" t="inlineStr">
        <is>
          <t>A 34292-2023</t>
        </is>
      </c>
      <c r="B44" s="1" t="n">
        <v>45138</v>
      </c>
      <c r="C44" s="1" t="n">
        <v>46158</v>
      </c>
      <c r="D44" t="inlineStr">
        <is>
          <t>ÖREBRO LÄN</t>
        </is>
      </c>
      <c r="E44" t="inlineStr">
        <is>
          <t>LINDESBERG</t>
        </is>
      </c>
      <c r="F44" t="inlineStr">
        <is>
          <t>Sveaskog</t>
        </is>
      </c>
      <c r="G44" t="n">
        <v>0.2</v>
      </c>
      <c r="H44" t="n">
        <v>1</v>
      </c>
      <c r="I44" t="n">
        <v>1</v>
      </c>
      <c r="J44" t="n">
        <v>0</v>
      </c>
      <c r="K44" t="n">
        <v>1</v>
      </c>
      <c r="L44" t="n">
        <v>0</v>
      </c>
      <c r="M44" t="n">
        <v>0</v>
      </c>
      <c r="N44" t="n">
        <v>0</v>
      </c>
      <c r="O44" t="n">
        <v>1</v>
      </c>
      <c r="P44" t="n">
        <v>1</v>
      </c>
      <c r="Q44" t="n">
        <v>2</v>
      </c>
      <c r="R44" s="2" t="inlineStr">
        <is>
          <t>Knärot
Sotriska</t>
        </is>
      </c>
      <c r="S44">
        <f>HYPERLINK("https://klasma.github.io/Logging_1885/artfynd/A 34292-2023 artfynd.xlsx", "A 34292-2023")</f>
        <v/>
      </c>
      <c r="T44">
        <f>HYPERLINK("https://klasma.github.io/Logging_1885/kartor/A 34292-2023 karta.png", "A 34292-2023")</f>
        <v/>
      </c>
      <c r="U44">
        <f>HYPERLINK("https://klasma.github.io/Logging_1885/knärot/A 34292-2023 karta knärot.png", "A 34292-2023")</f>
        <v/>
      </c>
      <c r="V44">
        <f>HYPERLINK("https://klasma.github.io/Logging_1885/klagomål/A 34292-2023 FSC-klagomål.docx", "A 34292-2023")</f>
        <v/>
      </c>
      <c r="W44">
        <f>HYPERLINK("https://klasma.github.io/Logging_1885/klagomålsmail/A 34292-2023 FSC-klagomål mail.docx", "A 34292-2023")</f>
        <v/>
      </c>
      <c r="X44">
        <f>HYPERLINK("https://klasma.github.io/Logging_1885/tillsyn/A 34292-2023 tillsynsbegäran.docx", "A 34292-2023")</f>
        <v/>
      </c>
      <c r="Y44">
        <f>HYPERLINK("https://klasma.github.io/Logging_1885/tillsynsmail/A 34292-2023 tillsynsbegäran mail.docx", "A 34292-2023")</f>
        <v/>
      </c>
    </row>
    <row r="45" ht="15" customHeight="1">
      <c r="A45" t="inlineStr">
        <is>
          <t>A 38380-2024</t>
        </is>
      </c>
      <c r="B45" s="1" t="n">
        <v>45546.28121527778</v>
      </c>
      <c r="C45" s="1" t="n">
        <v>46158</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46158</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46158</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46158</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46158</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46158</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46158</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33286-2024</t>
        </is>
      </c>
      <c r="B52" s="1" t="n">
        <v>45518</v>
      </c>
      <c r="C52" s="1" t="n">
        <v>46158</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30347-2025</t>
        </is>
      </c>
      <c r="B53" s="1" t="n">
        <v>45827.53077546296</v>
      </c>
      <c r="C53" s="1" t="n">
        <v>46158</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2829-2026</t>
        </is>
      </c>
      <c r="B54" s="1" t="n">
        <v>46038.45296296296</v>
      </c>
      <c r="C54" s="1" t="n">
        <v>46158</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3729-2023</t>
        </is>
      </c>
      <c r="B55" s="1" t="n">
        <v>44949</v>
      </c>
      <c r="C55" s="1" t="n">
        <v>46158</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46158</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46158</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36669-2024</t>
        </is>
      </c>
      <c r="B58" s="1" t="n">
        <v>45537.64484953704</v>
      </c>
      <c r="C58" s="1" t="n">
        <v>46158</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48956-2025</t>
        </is>
      </c>
      <c r="B59" s="1" t="n">
        <v>45937.54982638889</v>
      </c>
      <c r="C59" s="1" t="n">
        <v>46158</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50766-2025</t>
        </is>
      </c>
      <c r="B60" s="1" t="n">
        <v>45946.44423611111</v>
      </c>
      <c r="C60" s="1" t="n">
        <v>46158</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46158</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46158</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46158</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46158</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37834-2025</t>
        </is>
      </c>
      <c r="B65" s="1" t="n">
        <v>45881.42446759259</v>
      </c>
      <c r="C65" s="1" t="n">
        <v>46158</v>
      </c>
      <c r="D65" t="inlineStr">
        <is>
          <t>ÖREBRO LÄN</t>
        </is>
      </c>
      <c r="E65" t="inlineStr">
        <is>
          <t>LINDESBERG</t>
        </is>
      </c>
      <c r="G65" t="n">
        <v>3.1</v>
      </c>
      <c r="H65" t="n">
        <v>0</v>
      </c>
      <c r="I65" t="n">
        <v>0</v>
      </c>
      <c r="J65" t="n">
        <v>1</v>
      </c>
      <c r="K65" t="n">
        <v>0</v>
      </c>
      <c r="L65" t="n">
        <v>0</v>
      </c>
      <c r="M65" t="n">
        <v>0</v>
      </c>
      <c r="N65" t="n">
        <v>0</v>
      </c>
      <c r="O65" t="n">
        <v>1</v>
      </c>
      <c r="P65" t="n">
        <v>0</v>
      </c>
      <c r="Q65" t="n">
        <v>1</v>
      </c>
      <c r="R65" s="2" t="inlineStr">
        <is>
          <t>Svart taggsvamp agg.</t>
        </is>
      </c>
      <c r="S65">
        <f>HYPERLINK("https://klasma.github.io/Logging_1885/artfynd/A 37834-2025 artfynd.xlsx", "A 37834-2025")</f>
        <v/>
      </c>
      <c r="T65">
        <f>HYPERLINK("https://klasma.github.io/Logging_1885/kartor/A 37834-2025 karta.png", "A 37834-2025")</f>
        <v/>
      </c>
      <c r="V65">
        <f>HYPERLINK("https://klasma.github.io/Logging_1885/klagomål/A 37834-2025 FSC-klagomål.docx", "A 37834-2025")</f>
        <v/>
      </c>
      <c r="W65">
        <f>HYPERLINK("https://klasma.github.io/Logging_1885/klagomålsmail/A 37834-2025 FSC-klagomål mail.docx", "A 37834-2025")</f>
        <v/>
      </c>
      <c r="X65">
        <f>HYPERLINK("https://klasma.github.io/Logging_1885/tillsyn/A 37834-2025 tillsynsbegäran.docx", "A 37834-2025")</f>
        <v/>
      </c>
      <c r="Y65">
        <f>HYPERLINK("https://klasma.github.io/Logging_1885/tillsynsmail/A 37834-2025 tillsynsbegäran mail.docx", "A 37834-2025")</f>
        <v/>
      </c>
    </row>
    <row r="66" ht="15" customHeight="1">
      <c r="A66" t="inlineStr">
        <is>
          <t>A 54092-2025</t>
        </is>
      </c>
      <c r="B66" s="1" t="n">
        <v>45964.3965625</v>
      </c>
      <c r="C66" s="1" t="n">
        <v>46158</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8172-2026</t>
        </is>
      </c>
      <c r="B67" s="1" t="n">
        <v>46064</v>
      </c>
      <c r="C67" s="1" t="n">
        <v>46158</v>
      </c>
      <c r="D67" t="inlineStr">
        <is>
          <t>ÖREBRO LÄN</t>
        </is>
      </c>
      <c r="E67" t="inlineStr">
        <is>
          <t>LINDESBERG</t>
        </is>
      </c>
      <c r="G67" t="n">
        <v>2.9</v>
      </c>
      <c r="H67" t="n">
        <v>0</v>
      </c>
      <c r="I67" t="n">
        <v>0</v>
      </c>
      <c r="J67" t="n">
        <v>0</v>
      </c>
      <c r="K67" t="n">
        <v>0</v>
      </c>
      <c r="L67" t="n">
        <v>1</v>
      </c>
      <c r="M67" t="n">
        <v>0</v>
      </c>
      <c r="N67" t="n">
        <v>0</v>
      </c>
      <c r="O67" t="n">
        <v>1</v>
      </c>
      <c r="P67" t="n">
        <v>1</v>
      </c>
      <c r="Q67" t="n">
        <v>1</v>
      </c>
      <c r="R67" s="2" t="inlineStr">
        <is>
          <t>Bågtuss</t>
        </is>
      </c>
      <c r="S67">
        <f>HYPERLINK("https://klasma.github.io/Logging_1885/artfynd/A 8172-2026 artfynd.xlsx", "A 8172-2026")</f>
        <v/>
      </c>
      <c r="T67">
        <f>HYPERLINK("https://klasma.github.io/Logging_1885/kartor/A 8172-2026 karta.png", "A 8172-2026")</f>
        <v/>
      </c>
      <c r="U67">
        <f>HYPERLINK("https://klasma.github.io/Logging_1885/knärot/A 8172-2026 karta knärot.png", "A 8172-2026")</f>
        <v/>
      </c>
      <c r="V67">
        <f>HYPERLINK("https://klasma.github.io/Logging_1885/klagomål/A 8172-2026 FSC-klagomål.docx", "A 8172-2026")</f>
        <v/>
      </c>
      <c r="W67">
        <f>HYPERLINK("https://klasma.github.io/Logging_1885/klagomålsmail/A 8172-2026 FSC-klagomål mail.docx", "A 8172-2026")</f>
        <v/>
      </c>
      <c r="X67">
        <f>HYPERLINK("https://klasma.github.io/Logging_1885/tillsyn/A 8172-2026 tillsynsbegäran.docx", "A 8172-2026")</f>
        <v/>
      </c>
      <c r="Y67">
        <f>HYPERLINK("https://klasma.github.io/Logging_1885/tillsynsmail/A 8172-2026 tillsynsbegäran mail.docx", "A 8172-2026")</f>
        <v/>
      </c>
    </row>
    <row r="68" ht="15" customHeight="1">
      <c r="A68" t="inlineStr">
        <is>
          <t>A 57362-2025</t>
        </is>
      </c>
      <c r="B68" s="1" t="n">
        <v>45980.37108796297</v>
      </c>
      <c r="C68" s="1" t="n">
        <v>46158</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46158</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18180-2026</t>
        </is>
      </c>
      <c r="B70" s="1" t="n">
        <v>46125.67597222222</v>
      </c>
      <c r="C70" s="1" t="n">
        <v>46158</v>
      </c>
      <c r="D70" t="inlineStr">
        <is>
          <t>ÖREBRO LÄN</t>
        </is>
      </c>
      <c r="E70" t="inlineStr">
        <is>
          <t>LINDESBERG</t>
        </is>
      </c>
      <c r="F70" t="inlineStr">
        <is>
          <t>Sveaskog</t>
        </is>
      </c>
      <c r="G70" t="n">
        <v>2.1</v>
      </c>
      <c r="H70" t="n">
        <v>0</v>
      </c>
      <c r="I70" t="n">
        <v>1</v>
      </c>
      <c r="J70" t="n">
        <v>0</v>
      </c>
      <c r="K70" t="n">
        <v>0</v>
      </c>
      <c r="L70" t="n">
        <v>0</v>
      </c>
      <c r="M70" t="n">
        <v>0</v>
      </c>
      <c r="N70" t="n">
        <v>0</v>
      </c>
      <c r="O70" t="n">
        <v>0</v>
      </c>
      <c r="P70" t="n">
        <v>0</v>
      </c>
      <c r="Q70" t="n">
        <v>1</v>
      </c>
      <c r="R70" s="2" t="inlineStr">
        <is>
          <t>Dropptaggsvamp</t>
        </is>
      </c>
      <c r="S70">
        <f>HYPERLINK("https://klasma.github.io/Logging_1885/artfynd/A 18180-2026 artfynd.xlsx", "A 18180-2026")</f>
        <v/>
      </c>
      <c r="T70">
        <f>HYPERLINK("https://klasma.github.io/Logging_1885/kartor/A 18180-2026 karta.png", "A 18180-2026")</f>
        <v/>
      </c>
      <c r="V70">
        <f>HYPERLINK("https://klasma.github.io/Logging_1885/klagomål/A 18180-2026 FSC-klagomål.docx", "A 18180-2026")</f>
        <v/>
      </c>
      <c r="W70">
        <f>HYPERLINK("https://klasma.github.io/Logging_1885/klagomålsmail/A 18180-2026 FSC-klagomål mail.docx", "A 18180-2026")</f>
        <v/>
      </c>
      <c r="X70">
        <f>HYPERLINK("https://klasma.github.io/Logging_1885/tillsyn/A 18180-2026 tillsynsbegäran.docx", "A 18180-2026")</f>
        <v/>
      </c>
      <c r="Y70">
        <f>HYPERLINK("https://klasma.github.io/Logging_1885/tillsynsmail/A 18180-2026 tillsynsbegäran mail.docx", "A 18180-2026")</f>
        <v/>
      </c>
    </row>
    <row r="71" ht="15" customHeight="1">
      <c r="A71" t="inlineStr">
        <is>
          <t>A 18178-2026</t>
        </is>
      </c>
      <c r="B71" s="1" t="n">
        <v>46125.67452546296</v>
      </c>
      <c r="C71" s="1" t="n">
        <v>46158</v>
      </c>
      <c r="D71" t="inlineStr">
        <is>
          <t>ÖREBRO LÄN</t>
        </is>
      </c>
      <c r="E71" t="inlineStr">
        <is>
          <t>LINDESBERG</t>
        </is>
      </c>
      <c r="F71" t="inlineStr">
        <is>
          <t>Sveaskog</t>
        </is>
      </c>
      <c r="G71" t="n">
        <v>4.4</v>
      </c>
      <c r="H71" t="n">
        <v>0</v>
      </c>
      <c r="I71" t="n">
        <v>0</v>
      </c>
      <c r="J71" t="n">
        <v>1</v>
      </c>
      <c r="K71" t="n">
        <v>0</v>
      </c>
      <c r="L71" t="n">
        <v>0</v>
      </c>
      <c r="M71" t="n">
        <v>0</v>
      </c>
      <c r="N71" t="n">
        <v>0</v>
      </c>
      <c r="O71" t="n">
        <v>1</v>
      </c>
      <c r="P71" t="n">
        <v>0</v>
      </c>
      <c r="Q71" t="n">
        <v>1</v>
      </c>
      <c r="R71" s="2" t="inlineStr">
        <is>
          <t>Svartvit taggsvamp</t>
        </is>
      </c>
      <c r="S71">
        <f>HYPERLINK("https://klasma.github.io/Logging_1885/artfynd/A 18178-2026 artfynd.xlsx", "A 18178-2026")</f>
        <v/>
      </c>
      <c r="T71">
        <f>HYPERLINK("https://klasma.github.io/Logging_1885/kartor/A 18178-2026 karta.png", "A 18178-2026")</f>
        <v/>
      </c>
      <c r="V71">
        <f>HYPERLINK("https://klasma.github.io/Logging_1885/klagomål/A 18178-2026 FSC-klagomål.docx", "A 18178-2026")</f>
        <v/>
      </c>
      <c r="W71">
        <f>HYPERLINK("https://klasma.github.io/Logging_1885/klagomålsmail/A 18178-2026 FSC-klagomål mail.docx", "A 18178-2026")</f>
        <v/>
      </c>
      <c r="X71">
        <f>HYPERLINK("https://klasma.github.io/Logging_1885/tillsyn/A 18178-2026 tillsynsbegäran.docx", "A 18178-2026")</f>
        <v/>
      </c>
      <c r="Y71">
        <f>HYPERLINK("https://klasma.github.io/Logging_1885/tillsynsmail/A 18178-2026 tillsynsbegäran mail.docx", "A 18178-2026")</f>
        <v/>
      </c>
    </row>
    <row r="72" ht="15" customHeight="1">
      <c r="A72" t="inlineStr">
        <is>
          <t>A 28787-2023</t>
        </is>
      </c>
      <c r="B72" s="1" t="n">
        <v>45104.3483912037</v>
      </c>
      <c r="C72" s="1" t="n">
        <v>46158</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46158</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18639-2026</t>
        </is>
      </c>
      <c r="B74" s="1" t="n">
        <v>46128.32203703704</v>
      </c>
      <c r="C74" s="1" t="n">
        <v>46158</v>
      </c>
      <c r="D74" t="inlineStr">
        <is>
          <t>ÖREBRO LÄN</t>
        </is>
      </c>
      <c r="E74" t="inlineStr">
        <is>
          <t>LINDESBERG</t>
        </is>
      </c>
      <c r="F74" t="inlineStr">
        <is>
          <t>Sveaskog</t>
        </is>
      </c>
      <c r="G74" t="n">
        <v>6</v>
      </c>
      <c r="H74" t="n">
        <v>1</v>
      </c>
      <c r="I74" t="n">
        <v>1</v>
      </c>
      <c r="J74" t="n">
        <v>0</v>
      </c>
      <c r="K74" t="n">
        <v>0</v>
      </c>
      <c r="L74" t="n">
        <v>0</v>
      </c>
      <c r="M74" t="n">
        <v>0</v>
      </c>
      <c r="N74" t="n">
        <v>0</v>
      </c>
      <c r="O74" t="n">
        <v>0</v>
      </c>
      <c r="P74" t="n">
        <v>0</v>
      </c>
      <c r="Q74" t="n">
        <v>1</v>
      </c>
      <c r="R74" s="2" t="inlineStr">
        <is>
          <t>Plattlummer</t>
        </is>
      </c>
      <c r="S74">
        <f>HYPERLINK("https://klasma.github.io/Logging_1885/artfynd/A 18639-2026 artfynd.xlsx", "A 18639-2026")</f>
        <v/>
      </c>
      <c r="T74">
        <f>HYPERLINK("https://klasma.github.io/Logging_1885/kartor/A 18639-2026 karta.png", "A 18639-2026")</f>
        <v/>
      </c>
      <c r="V74">
        <f>HYPERLINK("https://klasma.github.io/Logging_1885/klagomål/A 18639-2026 FSC-klagomål.docx", "A 18639-2026")</f>
        <v/>
      </c>
      <c r="W74">
        <f>HYPERLINK("https://klasma.github.io/Logging_1885/klagomålsmail/A 18639-2026 FSC-klagomål mail.docx", "A 18639-2026")</f>
        <v/>
      </c>
      <c r="X74">
        <f>HYPERLINK("https://klasma.github.io/Logging_1885/tillsyn/A 18639-2026 tillsynsbegäran.docx", "A 18639-2026")</f>
        <v/>
      </c>
      <c r="Y74">
        <f>HYPERLINK("https://klasma.github.io/Logging_1885/tillsynsmail/A 18639-2026 tillsynsbegäran mail.docx", "A 18639-2026")</f>
        <v/>
      </c>
    </row>
    <row r="75" ht="15" customHeight="1">
      <c r="A75" t="inlineStr">
        <is>
          <t>A 20364-2026</t>
        </is>
      </c>
      <c r="B75" s="1" t="n">
        <v>46139.67759259259</v>
      </c>
      <c r="C75" s="1" t="n">
        <v>46158</v>
      </c>
      <c r="D75" t="inlineStr">
        <is>
          <t>ÖREBRO LÄN</t>
        </is>
      </c>
      <c r="E75" t="inlineStr">
        <is>
          <t>LINDESBERG</t>
        </is>
      </c>
      <c r="G75" t="n">
        <v>8.199999999999999</v>
      </c>
      <c r="H75" t="n">
        <v>1</v>
      </c>
      <c r="I75" t="n">
        <v>0</v>
      </c>
      <c r="J75" t="n">
        <v>1</v>
      </c>
      <c r="K75" t="n">
        <v>0</v>
      </c>
      <c r="L75" t="n">
        <v>0</v>
      </c>
      <c r="M75" t="n">
        <v>0</v>
      </c>
      <c r="N75" t="n">
        <v>0</v>
      </c>
      <c r="O75" t="n">
        <v>1</v>
      </c>
      <c r="P75" t="n">
        <v>0</v>
      </c>
      <c r="Q75" t="n">
        <v>1</v>
      </c>
      <c r="R75" s="2" t="inlineStr">
        <is>
          <t>Spillkråka</t>
        </is>
      </c>
      <c r="S75">
        <f>HYPERLINK("https://klasma.github.io/Logging_1885/artfynd/A 20364-2026 artfynd.xlsx", "A 20364-2026")</f>
        <v/>
      </c>
      <c r="T75">
        <f>HYPERLINK("https://klasma.github.io/Logging_1885/kartor/A 20364-2026 karta.png", "A 20364-2026")</f>
        <v/>
      </c>
      <c r="V75">
        <f>HYPERLINK("https://klasma.github.io/Logging_1885/klagomål/A 20364-2026 FSC-klagomål.docx", "A 20364-2026")</f>
        <v/>
      </c>
      <c r="W75">
        <f>HYPERLINK("https://klasma.github.io/Logging_1885/klagomålsmail/A 20364-2026 FSC-klagomål mail.docx", "A 20364-2026")</f>
        <v/>
      </c>
      <c r="X75">
        <f>HYPERLINK("https://klasma.github.io/Logging_1885/tillsyn/A 20364-2026 tillsynsbegäran.docx", "A 20364-2026")</f>
        <v/>
      </c>
      <c r="Y75">
        <f>HYPERLINK("https://klasma.github.io/Logging_1885/tillsynsmail/A 20364-2026 tillsynsbegäran mail.docx", "A 20364-2026")</f>
        <v/>
      </c>
      <c r="Z75">
        <f>HYPERLINK("https://klasma.github.io/Logging_1885/fåglar/A 20364-2026 prioriterade fågelarter.docx", "A 20364-2026")</f>
        <v/>
      </c>
    </row>
    <row r="76" ht="15" customHeight="1">
      <c r="A76" t="inlineStr">
        <is>
          <t>A 53598-2024</t>
        </is>
      </c>
      <c r="B76" s="1" t="n">
        <v>45614.68287037037</v>
      </c>
      <c r="C76" s="1" t="n">
        <v>46158</v>
      </c>
      <c r="D76" t="inlineStr">
        <is>
          <t>ÖREBRO LÄN</t>
        </is>
      </c>
      <c r="E76" t="inlineStr">
        <is>
          <t>LINDESBERG</t>
        </is>
      </c>
      <c r="G76" t="n">
        <v>3.1</v>
      </c>
      <c r="H76" t="n">
        <v>1</v>
      </c>
      <c r="I76" t="n">
        <v>0</v>
      </c>
      <c r="J76" t="n">
        <v>0</v>
      </c>
      <c r="K76" t="n">
        <v>0</v>
      </c>
      <c r="L76" t="n">
        <v>1</v>
      </c>
      <c r="M76" t="n">
        <v>0</v>
      </c>
      <c r="N76" t="n">
        <v>0</v>
      </c>
      <c r="O76" t="n">
        <v>1</v>
      </c>
      <c r="P76" t="n">
        <v>1</v>
      </c>
      <c r="Q76" t="n">
        <v>1</v>
      </c>
      <c r="R76" s="2" t="inlineStr">
        <is>
          <t>Asknätfjäril</t>
        </is>
      </c>
      <c r="S76">
        <f>HYPERLINK("https://klasma.github.io/Logging_1885/artfynd/A 53598-2024 artfynd.xlsx", "A 53598-2024")</f>
        <v/>
      </c>
      <c r="T76">
        <f>HYPERLINK("https://klasma.github.io/Logging_1885/kartor/A 53598-2024 karta.png", "A 53598-2024")</f>
        <v/>
      </c>
      <c r="V76">
        <f>HYPERLINK("https://klasma.github.io/Logging_1885/klagomål/A 53598-2024 FSC-klagomål.docx", "A 53598-2024")</f>
        <v/>
      </c>
      <c r="W76">
        <f>HYPERLINK("https://klasma.github.io/Logging_1885/klagomålsmail/A 53598-2024 FSC-klagomål mail.docx", "A 53598-2024")</f>
        <v/>
      </c>
      <c r="X76">
        <f>HYPERLINK("https://klasma.github.io/Logging_1885/tillsyn/A 53598-2024 tillsynsbegäran.docx", "A 53598-2024")</f>
        <v/>
      </c>
      <c r="Y76">
        <f>HYPERLINK("https://klasma.github.io/Logging_1885/tillsynsmail/A 53598-2024 tillsynsbegäran mail.docx", "A 53598-2024")</f>
        <v/>
      </c>
    </row>
    <row r="77" ht="15" customHeight="1">
      <c r="A77" t="inlineStr">
        <is>
          <t>A 70466-2021</t>
        </is>
      </c>
      <c r="B77" s="1" t="n">
        <v>44536</v>
      </c>
      <c r="C77" s="1" t="n">
        <v>46158</v>
      </c>
      <c r="D77" t="inlineStr">
        <is>
          <t>ÖREBRO LÄN</t>
        </is>
      </c>
      <c r="E77" t="inlineStr">
        <is>
          <t>LINDESBERG</t>
        </is>
      </c>
      <c r="G77" t="n">
        <v>4.4</v>
      </c>
      <c r="H77" t="n">
        <v>1</v>
      </c>
      <c r="I77" t="n">
        <v>0</v>
      </c>
      <c r="J77" t="n">
        <v>0</v>
      </c>
      <c r="K77" t="n">
        <v>1</v>
      </c>
      <c r="L77" t="n">
        <v>0</v>
      </c>
      <c r="M77" t="n">
        <v>0</v>
      </c>
      <c r="N77" t="n">
        <v>0</v>
      </c>
      <c r="O77" t="n">
        <v>1</v>
      </c>
      <c r="P77" t="n">
        <v>1</v>
      </c>
      <c r="Q77" t="n">
        <v>1</v>
      </c>
      <c r="R77" s="2" t="inlineStr">
        <is>
          <t>Knärot</t>
        </is>
      </c>
      <c r="S77">
        <f>HYPERLINK("https://klasma.github.io/Logging_1885/artfynd/A 70466-2021 artfynd.xlsx", "A 70466-2021")</f>
        <v/>
      </c>
      <c r="T77">
        <f>HYPERLINK("https://klasma.github.io/Logging_1885/kartor/A 70466-2021 karta.png", "A 70466-2021")</f>
        <v/>
      </c>
      <c r="U77">
        <f>HYPERLINK("https://klasma.github.io/Logging_1885/knärot/A 70466-2021 karta knärot.png", "A 70466-2021")</f>
        <v/>
      </c>
      <c r="V77">
        <f>HYPERLINK("https://klasma.github.io/Logging_1885/klagomål/A 70466-2021 FSC-klagomål.docx", "A 70466-2021")</f>
        <v/>
      </c>
      <c r="W77">
        <f>HYPERLINK("https://klasma.github.io/Logging_1885/klagomålsmail/A 70466-2021 FSC-klagomål mail.docx", "A 70466-2021")</f>
        <v/>
      </c>
      <c r="X77">
        <f>HYPERLINK("https://klasma.github.io/Logging_1885/tillsyn/A 70466-2021 tillsynsbegäran.docx", "A 70466-2021")</f>
        <v/>
      </c>
      <c r="Y77">
        <f>HYPERLINK("https://klasma.github.io/Logging_1885/tillsynsmail/A 70466-2021 tillsynsbegäran mail.docx", "A 70466-2021")</f>
        <v/>
      </c>
    </row>
    <row r="78" ht="15" customHeight="1">
      <c r="A78" t="inlineStr">
        <is>
          <t>A 53600-2024</t>
        </is>
      </c>
      <c r="B78" s="1" t="n">
        <v>45614.68596064814</v>
      </c>
      <c r="C78" s="1" t="n">
        <v>46158</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8175-2026</t>
        </is>
      </c>
      <c r="B79" s="1" t="n">
        <v>46064</v>
      </c>
      <c r="C79" s="1" t="n">
        <v>46158</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21467-2026</t>
        </is>
      </c>
      <c r="B80" s="1" t="n">
        <v>46148.46989583333</v>
      </c>
      <c r="C80" s="1" t="n">
        <v>46158</v>
      </c>
      <c r="D80" t="inlineStr">
        <is>
          <t>ÖREBRO LÄN</t>
        </is>
      </c>
      <c r="E80" t="inlineStr">
        <is>
          <t>LINDESBERG</t>
        </is>
      </c>
      <c r="G80" t="n">
        <v>1.5</v>
      </c>
      <c r="H80" t="n">
        <v>1</v>
      </c>
      <c r="I80" t="n">
        <v>0</v>
      </c>
      <c r="J80" t="n">
        <v>1</v>
      </c>
      <c r="K80" t="n">
        <v>0</v>
      </c>
      <c r="L80" t="n">
        <v>0</v>
      </c>
      <c r="M80" t="n">
        <v>0</v>
      </c>
      <c r="N80" t="n">
        <v>0</v>
      </c>
      <c r="O80" t="n">
        <v>1</v>
      </c>
      <c r="P80" t="n">
        <v>0</v>
      </c>
      <c r="Q80" t="n">
        <v>1</v>
      </c>
      <c r="R80" s="2" t="inlineStr">
        <is>
          <t>Spillkråka</t>
        </is>
      </c>
      <c r="S80">
        <f>HYPERLINK("https://klasma.github.io/Logging_1885/artfynd/A 21467-2026 artfynd.xlsx", "A 21467-2026")</f>
        <v/>
      </c>
      <c r="T80">
        <f>HYPERLINK("https://klasma.github.io/Logging_1885/kartor/A 21467-2026 karta.png", "A 21467-2026")</f>
        <v/>
      </c>
      <c r="U80">
        <f>HYPERLINK("https://klasma.github.io/Logging_1885/knärot/A 21467-2026 karta knärot.png", "A 21467-2026")</f>
        <v/>
      </c>
      <c r="V80">
        <f>HYPERLINK("https://klasma.github.io/Logging_1885/klagomål/A 21467-2026 FSC-klagomål.docx", "A 21467-2026")</f>
        <v/>
      </c>
      <c r="W80">
        <f>HYPERLINK("https://klasma.github.io/Logging_1885/klagomålsmail/A 21467-2026 FSC-klagomål mail.docx", "A 21467-2026")</f>
        <v/>
      </c>
      <c r="X80">
        <f>HYPERLINK("https://klasma.github.io/Logging_1885/tillsyn/A 21467-2026 tillsynsbegäran.docx", "A 21467-2026")</f>
        <v/>
      </c>
      <c r="Y80">
        <f>HYPERLINK("https://klasma.github.io/Logging_1885/tillsynsmail/A 21467-2026 tillsynsbegäran mail.docx", "A 21467-2026")</f>
        <v/>
      </c>
      <c r="Z80">
        <f>HYPERLINK("https://klasma.github.io/Logging_1885/fåglar/A 21467-2026 prioriterade fågelarter.docx", "A 21467-2026")</f>
        <v/>
      </c>
    </row>
    <row r="81" ht="15" customHeight="1">
      <c r="A81" t="inlineStr">
        <is>
          <t>A 16692-2026</t>
        </is>
      </c>
      <c r="B81" s="1" t="n">
        <v>46112.82201388889</v>
      </c>
      <c r="C81" s="1" t="n">
        <v>46158</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46158</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45051-2024</t>
        </is>
      </c>
      <c r="B83" s="1" t="n">
        <v>45575.54934027778</v>
      </c>
      <c r="C83" s="1" t="n">
        <v>46158</v>
      </c>
      <c r="D83" t="inlineStr">
        <is>
          <t>ÖREBRO LÄN</t>
        </is>
      </c>
      <c r="E83" t="inlineStr">
        <is>
          <t>LINDESBERG</t>
        </is>
      </c>
      <c r="F83" t="inlineStr">
        <is>
          <t>Sveaskog</t>
        </is>
      </c>
      <c r="G83" t="n">
        <v>2.2</v>
      </c>
      <c r="H83" t="n">
        <v>1</v>
      </c>
      <c r="I83" t="n">
        <v>0</v>
      </c>
      <c r="J83" t="n">
        <v>1</v>
      </c>
      <c r="K83" t="n">
        <v>0</v>
      </c>
      <c r="L83" t="n">
        <v>0</v>
      </c>
      <c r="M83" t="n">
        <v>0</v>
      </c>
      <c r="N83" t="n">
        <v>0</v>
      </c>
      <c r="O83" t="n">
        <v>1</v>
      </c>
      <c r="P83" t="n">
        <v>0</v>
      </c>
      <c r="Q83" t="n">
        <v>1</v>
      </c>
      <c r="R83" s="2" t="inlineStr">
        <is>
          <t>Spillkråka</t>
        </is>
      </c>
      <c r="S83">
        <f>HYPERLINK("https://klasma.github.io/Logging_1885/artfynd/A 45051-2024 artfynd.xlsx", "A 45051-2024")</f>
        <v/>
      </c>
      <c r="T83">
        <f>HYPERLINK("https://klasma.github.io/Logging_1885/kartor/A 45051-2024 karta.png", "A 45051-2024")</f>
        <v/>
      </c>
      <c r="V83">
        <f>HYPERLINK("https://klasma.github.io/Logging_1885/klagomål/A 45051-2024 FSC-klagomål.docx", "A 45051-2024")</f>
        <v/>
      </c>
      <c r="W83">
        <f>HYPERLINK("https://klasma.github.io/Logging_1885/klagomålsmail/A 45051-2024 FSC-klagomål mail.docx", "A 45051-2024")</f>
        <v/>
      </c>
      <c r="X83">
        <f>HYPERLINK("https://klasma.github.io/Logging_1885/tillsyn/A 45051-2024 tillsynsbegäran.docx", "A 45051-2024")</f>
        <v/>
      </c>
      <c r="Y83">
        <f>HYPERLINK("https://klasma.github.io/Logging_1885/tillsynsmail/A 45051-2024 tillsynsbegäran mail.docx", "A 45051-2024")</f>
        <v/>
      </c>
      <c r="Z83">
        <f>HYPERLINK("https://klasma.github.io/Logging_1885/fåglar/A 45051-2024 prioriterade fågelarter.docx", "A 45051-2024")</f>
        <v/>
      </c>
    </row>
    <row r="84" ht="15" customHeight="1">
      <c r="A84" t="inlineStr">
        <is>
          <t>A 64513-2023</t>
        </is>
      </c>
      <c r="B84" s="1" t="n">
        <v>45281</v>
      </c>
      <c r="C84" s="1" t="n">
        <v>46158</v>
      </c>
      <c r="D84" t="inlineStr">
        <is>
          <t>ÖREBRO LÄN</t>
        </is>
      </c>
      <c r="E84" t="inlineStr">
        <is>
          <t>LINDESBERG</t>
        </is>
      </c>
      <c r="G84" t="n">
        <v>4.7</v>
      </c>
      <c r="H84" t="n">
        <v>0</v>
      </c>
      <c r="I84" t="n">
        <v>1</v>
      </c>
      <c r="J84" t="n">
        <v>0</v>
      </c>
      <c r="K84" t="n">
        <v>0</v>
      </c>
      <c r="L84" t="n">
        <v>0</v>
      </c>
      <c r="M84" t="n">
        <v>0</v>
      </c>
      <c r="N84" t="n">
        <v>0</v>
      </c>
      <c r="O84" t="n">
        <v>0</v>
      </c>
      <c r="P84" t="n">
        <v>0</v>
      </c>
      <c r="Q84" t="n">
        <v>1</v>
      </c>
      <c r="R84" s="2" t="inlineStr">
        <is>
          <t>Västlig hakmossa</t>
        </is>
      </c>
      <c r="S84">
        <f>HYPERLINK("https://klasma.github.io/Logging_1885/artfynd/A 64513-2023 artfynd.xlsx", "A 64513-2023")</f>
        <v/>
      </c>
      <c r="T84">
        <f>HYPERLINK("https://klasma.github.io/Logging_1885/kartor/A 64513-2023 karta.png", "A 64513-2023")</f>
        <v/>
      </c>
      <c r="V84">
        <f>HYPERLINK("https://klasma.github.io/Logging_1885/klagomål/A 64513-2023 FSC-klagomål.docx", "A 64513-2023")</f>
        <v/>
      </c>
      <c r="W84">
        <f>HYPERLINK("https://klasma.github.io/Logging_1885/klagomålsmail/A 64513-2023 FSC-klagomål mail.docx", "A 64513-2023")</f>
        <v/>
      </c>
      <c r="X84">
        <f>HYPERLINK("https://klasma.github.io/Logging_1885/tillsyn/A 64513-2023 tillsynsbegäran.docx", "A 64513-2023")</f>
        <v/>
      </c>
      <c r="Y84">
        <f>HYPERLINK("https://klasma.github.io/Logging_1885/tillsynsmail/A 64513-2023 tillsynsbegäran mail.docx", "A 64513-2023")</f>
        <v/>
      </c>
    </row>
    <row r="85" ht="15" customHeight="1">
      <c r="A85" t="inlineStr">
        <is>
          <t>A 28569-2024</t>
        </is>
      </c>
      <c r="B85" s="1" t="n">
        <v>45478.39592592593</v>
      </c>
      <c r="C85" s="1" t="n">
        <v>46158</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61129-2024</t>
        </is>
      </c>
      <c r="B86" s="1" t="n">
        <v>45645</v>
      </c>
      <c r="C86" s="1" t="n">
        <v>46158</v>
      </c>
      <c r="D86" t="inlineStr">
        <is>
          <t>ÖREBRO LÄN</t>
        </is>
      </c>
      <c r="E86" t="inlineStr">
        <is>
          <t>LINDESBERG</t>
        </is>
      </c>
      <c r="F86" t="inlineStr">
        <is>
          <t>Sveaskog</t>
        </is>
      </c>
      <c r="G86" t="n">
        <v>6.6</v>
      </c>
      <c r="H86" t="n">
        <v>1</v>
      </c>
      <c r="I86" t="n">
        <v>0</v>
      </c>
      <c r="J86" t="n">
        <v>1</v>
      </c>
      <c r="K86" t="n">
        <v>0</v>
      </c>
      <c r="L86" t="n">
        <v>0</v>
      </c>
      <c r="M86" t="n">
        <v>0</v>
      </c>
      <c r="N86" t="n">
        <v>0</v>
      </c>
      <c r="O86" t="n">
        <v>1</v>
      </c>
      <c r="P86" t="n">
        <v>0</v>
      </c>
      <c r="Q86" t="n">
        <v>1</v>
      </c>
      <c r="R86" s="2" t="inlineStr">
        <is>
          <t>Tretåig hackspett</t>
        </is>
      </c>
      <c r="S86">
        <f>HYPERLINK("https://klasma.github.io/Logging_1885/artfynd/A 61129-2024 artfynd.xlsx", "A 61129-2024")</f>
        <v/>
      </c>
      <c r="T86">
        <f>HYPERLINK("https://klasma.github.io/Logging_1885/kartor/A 61129-2024 karta.png", "A 61129-2024")</f>
        <v/>
      </c>
      <c r="V86">
        <f>HYPERLINK("https://klasma.github.io/Logging_1885/klagomål/A 61129-2024 FSC-klagomål.docx", "A 61129-2024")</f>
        <v/>
      </c>
      <c r="W86">
        <f>HYPERLINK("https://klasma.github.io/Logging_1885/klagomålsmail/A 61129-2024 FSC-klagomål mail.docx", "A 61129-2024")</f>
        <v/>
      </c>
      <c r="X86">
        <f>HYPERLINK("https://klasma.github.io/Logging_1885/tillsyn/A 61129-2024 tillsynsbegäran.docx", "A 61129-2024")</f>
        <v/>
      </c>
      <c r="Y86">
        <f>HYPERLINK("https://klasma.github.io/Logging_1885/tillsynsmail/A 61129-2024 tillsynsbegäran mail.docx", "A 61129-2024")</f>
        <v/>
      </c>
      <c r="Z86">
        <f>HYPERLINK("https://klasma.github.io/Logging_1885/fåglar/A 61129-2024 prioriterade fågelarter.docx", "A 61129-2024")</f>
        <v/>
      </c>
    </row>
    <row r="87" ht="15" customHeight="1">
      <c r="A87" t="inlineStr">
        <is>
          <t>A 54857-2024</t>
        </is>
      </c>
      <c r="B87" s="1" t="n">
        <v>45618.58876157407</v>
      </c>
      <c r="C87" s="1" t="n">
        <v>46158</v>
      </c>
      <c r="D87" t="inlineStr">
        <is>
          <t>ÖREBRO LÄN</t>
        </is>
      </c>
      <c r="E87" t="inlineStr">
        <is>
          <t>LINDESBERG</t>
        </is>
      </c>
      <c r="F87" t="inlineStr">
        <is>
          <t>Sveaskog</t>
        </is>
      </c>
      <c r="G87" t="n">
        <v>6.1</v>
      </c>
      <c r="H87" t="n">
        <v>0</v>
      </c>
      <c r="I87" t="n">
        <v>0</v>
      </c>
      <c r="J87" t="n">
        <v>1</v>
      </c>
      <c r="K87" t="n">
        <v>0</v>
      </c>
      <c r="L87" t="n">
        <v>0</v>
      </c>
      <c r="M87" t="n">
        <v>0</v>
      </c>
      <c r="N87" t="n">
        <v>0</v>
      </c>
      <c r="O87" t="n">
        <v>1</v>
      </c>
      <c r="P87" t="n">
        <v>0</v>
      </c>
      <c r="Q87" t="n">
        <v>1</v>
      </c>
      <c r="R87" s="2" t="inlineStr">
        <is>
          <t>Sexfläckig bastardsvärmare</t>
        </is>
      </c>
      <c r="S87">
        <f>HYPERLINK("https://klasma.github.io/Logging_1885/artfynd/A 54857-2024 artfynd.xlsx", "A 54857-2024")</f>
        <v/>
      </c>
      <c r="T87">
        <f>HYPERLINK("https://klasma.github.io/Logging_1885/kartor/A 54857-2024 karta.png", "A 54857-2024")</f>
        <v/>
      </c>
      <c r="V87">
        <f>HYPERLINK("https://klasma.github.io/Logging_1885/klagomål/A 54857-2024 FSC-klagomål.docx", "A 54857-2024")</f>
        <v/>
      </c>
      <c r="W87">
        <f>HYPERLINK("https://klasma.github.io/Logging_1885/klagomålsmail/A 54857-2024 FSC-klagomål mail.docx", "A 54857-2024")</f>
        <v/>
      </c>
      <c r="X87">
        <f>HYPERLINK("https://klasma.github.io/Logging_1885/tillsyn/A 54857-2024 tillsynsbegäran.docx", "A 54857-2024")</f>
        <v/>
      </c>
      <c r="Y87">
        <f>HYPERLINK("https://klasma.github.io/Logging_1885/tillsynsmail/A 54857-2024 tillsynsbegäran mail.docx", "A 54857-2024")</f>
        <v/>
      </c>
    </row>
    <row r="88" ht="15" customHeight="1">
      <c r="A88" t="inlineStr">
        <is>
          <t>A 67013-2021</t>
        </is>
      </c>
      <c r="B88" s="1" t="n">
        <v>44522</v>
      </c>
      <c r="C88" s="1" t="n">
        <v>46158</v>
      </c>
      <c r="D88" t="inlineStr">
        <is>
          <t>ÖREBRO LÄN</t>
        </is>
      </c>
      <c r="E88" t="inlineStr">
        <is>
          <t>LINDESBERG</t>
        </is>
      </c>
      <c r="G88" t="n">
        <v>0.5</v>
      </c>
      <c r="H88" t="n">
        <v>0</v>
      </c>
      <c r="I88" t="n">
        <v>0</v>
      </c>
      <c r="J88" t="n">
        <v>1</v>
      </c>
      <c r="K88" t="n">
        <v>0</v>
      </c>
      <c r="L88" t="n">
        <v>0</v>
      </c>
      <c r="M88" t="n">
        <v>0</v>
      </c>
      <c r="N88" t="n">
        <v>0</v>
      </c>
      <c r="O88" t="n">
        <v>1</v>
      </c>
      <c r="P88" t="n">
        <v>0</v>
      </c>
      <c r="Q88" t="n">
        <v>1</v>
      </c>
      <c r="R88" s="2" t="inlineStr">
        <is>
          <t>Skogsklocka</t>
        </is>
      </c>
      <c r="S88">
        <f>HYPERLINK("https://klasma.github.io/Logging_1885/artfynd/A 67013-2021 artfynd.xlsx", "A 67013-2021")</f>
        <v/>
      </c>
      <c r="T88">
        <f>HYPERLINK("https://klasma.github.io/Logging_1885/kartor/A 67013-2021 karta.png", "A 67013-2021")</f>
        <v/>
      </c>
      <c r="V88">
        <f>HYPERLINK("https://klasma.github.io/Logging_1885/klagomål/A 67013-2021 FSC-klagomål.docx", "A 67013-2021")</f>
        <v/>
      </c>
      <c r="W88">
        <f>HYPERLINK("https://klasma.github.io/Logging_1885/klagomålsmail/A 67013-2021 FSC-klagomål mail.docx", "A 67013-2021")</f>
        <v/>
      </c>
      <c r="X88">
        <f>HYPERLINK("https://klasma.github.io/Logging_1885/tillsyn/A 67013-2021 tillsynsbegäran.docx", "A 67013-2021")</f>
        <v/>
      </c>
      <c r="Y88">
        <f>HYPERLINK("https://klasma.github.io/Logging_1885/tillsynsmail/A 67013-2021 tillsynsbegäran mail.docx", "A 67013-2021")</f>
        <v/>
      </c>
    </row>
    <row r="89" ht="15" customHeight="1">
      <c r="A89" t="inlineStr">
        <is>
          <t>A 16791-2024</t>
        </is>
      </c>
      <c r="B89" s="1" t="n">
        <v>45411.42858796296</v>
      </c>
      <c r="C89" s="1" t="n">
        <v>46158</v>
      </c>
      <c r="D89" t="inlineStr">
        <is>
          <t>ÖREBRO LÄN</t>
        </is>
      </c>
      <c r="E89" t="inlineStr">
        <is>
          <t>LINDESBERG</t>
        </is>
      </c>
      <c r="G89" t="n">
        <v>16.1</v>
      </c>
      <c r="H89" t="n">
        <v>1</v>
      </c>
      <c r="I89" t="n">
        <v>0</v>
      </c>
      <c r="J89" t="n">
        <v>1</v>
      </c>
      <c r="K89" t="n">
        <v>0</v>
      </c>
      <c r="L89" t="n">
        <v>0</v>
      </c>
      <c r="M89" t="n">
        <v>0</v>
      </c>
      <c r="N89" t="n">
        <v>0</v>
      </c>
      <c r="O89" t="n">
        <v>1</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61132-2024</t>
        </is>
      </c>
      <c r="B90" s="1" t="n">
        <v>45645</v>
      </c>
      <c r="C90" s="1" t="n">
        <v>46158</v>
      </c>
      <c r="D90" t="inlineStr">
        <is>
          <t>ÖREBRO LÄN</t>
        </is>
      </c>
      <c r="E90" t="inlineStr">
        <is>
          <t>LINDESBERG</t>
        </is>
      </c>
      <c r="F90" t="inlineStr">
        <is>
          <t>Sveaskog</t>
        </is>
      </c>
      <c r="G90" t="n">
        <v>2.5</v>
      </c>
      <c r="H90" t="n">
        <v>0</v>
      </c>
      <c r="I90" t="n">
        <v>1</v>
      </c>
      <c r="J90" t="n">
        <v>0</v>
      </c>
      <c r="K90" t="n">
        <v>0</v>
      </c>
      <c r="L90" t="n">
        <v>0</v>
      </c>
      <c r="M90" t="n">
        <v>0</v>
      </c>
      <c r="N90" t="n">
        <v>0</v>
      </c>
      <c r="O90" t="n">
        <v>0</v>
      </c>
      <c r="P90" t="n">
        <v>0</v>
      </c>
      <c r="Q90" t="n">
        <v>1</v>
      </c>
      <c r="R90" s="2" t="inlineStr">
        <is>
          <t>Bollvitmossa</t>
        </is>
      </c>
      <c r="S90">
        <f>HYPERLINK("https://klasma.github.io/Logging_1885/artfynd/A 61132-2024 artfynd.xlsx", "A 61132-2024")</f>
        <v/>
      </c>
      <c r="T90">
        <f>HYPERLINK("https://klasma.github.io/Logging_1885/kartor/A 61132-2024 karta.png", "A 61132-2024")</f>
        <v/>
      </c>
      <c r="V90">
        <f>HYPERLINK("https://klasma.github.io/Logging_1885/klagomål/A 61132-2024 FSC-klagomål.docx", "A 61132-2024")</f>
        <v/>
      </c>
      <c r="W90">
        <f>HYPERLINK("https://klasma.github.io/Logging_1885/klagomålsmail/A 61132-2024 FSC-klagomål mail.docx", "A 61132-2024")</f>
        <v/>
      </c>
      <c r="X90">
        <f>HYPERLINK("https://klasma.github.io/Logging_1885/tillsyn/A 61132-2024 tillsynsbegäran.docx", "A 61132-2024")</f>
        <v/>
      </c>
      <c r="Y90">
        <f>HYPERLINK("https://klasma.github.io/Logging_1885/tillsynsmail/A 61132-2024 tillsynsbegäran mail.docx", "A 61132-2024")</f>
        <v/>
      </c>
    </row>
    <row r="91" ht="15" customHeight="1">
      <c r="A91" t="inlineStr">
        <is>
          <t>A 21440-2025</t>
        </is>
      </c>
      <c r="B91" s="1" t="n">
        <v>45782.5300462963</v>
      </c>
      <c r="C91" s="1" t="n">
        <v>46158</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46158</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46158</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46158</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46158</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46158</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46158</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46158</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57817-2021</t>
        </is>
      </c>
      <c r="B99" s="1" t="n">
        <v>44484</v>
      </c>
      <c r="C99" s="1" t="n">
        <v>46158</v>
      </c>
      <c r="D99" t="inlineStr">
        <is>
          <t>ÖREBRO LÄN</t>
        </is>
      </c>
      <c r="E99" t="inlineStr">
        <is>
          <t>LINDESBERG</t>
        </is>
      </c>
      <c r="G99" t="n">
        <v>2.3</v>
      </c>
      <c r="H99" t="n">
        <v>0</v>
      </c>
      <c r="I99" t="n">
        <v>0</v>
      </c>
      <c r="J99" t="n">
        <v>0</v>
      </c>
      <c r="K99" t="n">
        <v>0</v>
      </c>
      <c r="L99" t="n">
        <v>0</v>
      </c>
      <c r="M99" t="n">
        <v>0</v>
      </c>
      <c r="N99" t="n">
        <v>0</v>
      </c>
      <c r="O99" t="n">
        <v>0</v>
      </c>
      <c r="P99" t="n">
        <v>0</v>
      </c>
      <c r="Q99" t="n">
        <v>0</v>
      </c>
      <c r="R99" s="2" t="inlineStr"/>
    </row>
    <row r="100" ht="15" customHeight="1">
      <c r="A100" t="inlineStr">
        <is>
          <t>A 46570-2021</t>
        </is>
      </c>
      <c r="B100" s="1" t="n">
        <v>44445.4953587963</v>
      </c>
      <c r="C100" s="1" t="n">
        <v>46158</v>
      </c>
      <c r="D100" t="inlineStr">
        <is>
          <t>ÖREBRO LÄN</t>
        </is>
      </c>
      <c r="E100" t="inlineStr">
        <is>
          <t>LINDESBERG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46158</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46158</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46158</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46158</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46158</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46158</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46158</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46158</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46158</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46158</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46158</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46158</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46158</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46158</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46158</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46158</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46158</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46158</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46158</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46158</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46158</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46158</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46158</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46158</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46158</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46158</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46158</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46158</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46158</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46158</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46158</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46158</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46158</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46158</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46158</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46158</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46158</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46158</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46158</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46158</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46158</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46158</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46158</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46158</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46158</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46158</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46158</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46158</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46158</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46158</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46158</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46158</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46158</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46158</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46158</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46158</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46158</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46158</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46158</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58103-2021</t>
        </is>
      </c>
      <c r="B160" s="1" t="n">
        <v>44487.51556712963</v>
      </c>
      <c r="C160" s="1" t="n">
        <v>46158</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46158</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46158</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46158</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46158</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46158</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46158</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46158</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46158</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46158</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46158</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46158</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46158</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46158</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46158</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46158</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46158</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46158</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46158</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46158</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46158</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46158</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46158</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46158</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46158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46158</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46158</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46158</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46158</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46158</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46158</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46158</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46158</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46158</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46158</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46158</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46158</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46158</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46158</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46158</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46158</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46158</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46158</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46158</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46158</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46158</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46158</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46158</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46158</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46158</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46158</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46158</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46158</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46158</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46158</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46158</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46158</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46158</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6161-2025</t>
        </is>
      </c>
      <c r="B218" s="1" t="n">
        <v>45698</v>
      </c>
      <c r="C218" s="1" t="n">
        <v>46158</v>
      </c>
      <c r="D218" t="inlineStr">
        <is>
          <t>ÖREBRO LÄN</t>
        </is>
      </c>
      <c r="E218" t="inlineStr">
        <is>
          <t>LINDESBERG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6165-2025</t>
        </is>
      </c>
      <c r="B219" s="1" t="n">
        <v>45698</v>
      </c>
      <c r="C219" s="1" t="n">
        <v>46158</v>
      </c>
      <c r="D219" t="inlineStr">
        <is>
          <t>ÖREBRO LÄN</t>
        </is>
      </c>
      <c r="E219" t="inlineStr">
        <is>
          <t>LINDESBERG</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6181-2025</t>
        </is>
      </c>
      <c r="B220" s="1" t="n">
        <v>45698</v>
      </c>
      <c r="C220" s="1" t="n">
        <v>46158</v>
      </c>
      <c r="D220" t="inlineStr">
        <is>
          <t>ÖREBRO LÄN</t>
        </is>
      </c>
      <c r="E220" t="inlineStr">
        <is>
          <t>LINDESBERG</t>
        </is>
      </c>
      <c r="G220" t="n">
        <v>2.8</v>
      </c>
      <c r="H220" t="n">
        <v>0</v>
      </c>
      <c r="I220" t="n">
        <v>0</v>
      </c>
      <c r="J220" t="n">
        <v>0</v>
      </c>
      <c r="K220" t="n">
        <v>0</v>
      </c>
      <c r="L220" t="n">
        <v>0</v>
      </c>
      <c r="M220" t="n">
        <v>0</v>
      </c>
      <c r="N220" t="n">
        <v>0</v>
      </c>
      <c r="O220" t="n">
        <v>0</v>
      </c>
      <c r="P220" t="n">
        <v>0</v>
      </c>
      <c r="Q220" t="n">
        <v>0</v>
      </c>
      <c r="R220" s="2" t="inlineStr"/>
    </row>
    <row r="221" ht="15" customHeight="1">
      <c r="A221" t="inlineStr">
        <is>
          <t>A 17104-2024</t>
        </is>
      </c>
      <c r="B221" s="1" t="n">
        <v>45412.54541666667</v>
      </c>
      <c r="C221" s="1" t="n">
        <v>46158</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19914-2024</t>
        </is>
      </c>
      <c r="B222" s="1" t="n">
        <v>45433.58099537037</v>
      </c>
      <c r="C222" s="1" t="n">
        <v>46158</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56217-2022</t>
        </is>
      </c>
      <c r="B223" s="1" t="n">
        <v>44890.46174768519</v>
      </c>
      <c r="C223" s="1" t="n">
        <v>46158</v>
      </c>
      <c r="D223" t="inlineStr">
        <is>
          <t>ÖREBRO LÄN</t>
        </is>
      </c>
      <c r="E223" t="inlineStr">
        <is>
          <t>LINDESBERG</t>
        </is>
      </c>
      <c r="G223" t="n">
        <v>6.9</v>
      </c>
      <c r="H223" t="n">
        <v>0</v>
      </c>
      <c r="I223" t="n">
        <v>0</v>
      </c>
      <c r="J223" t="n">
        <v>0</v>
      </c>
      <c r="K223" t="n">
        <v>0</v>
      </c>
      <c r="L223" t="n">
        <v>0</v>
      </c>
      <c r="M223" t="n">
        <v>0</v>
      </c>
      <c r="N223" t="n">
        <v>0</v>
      </c>
      <c r="O223" t="n">
        <v>0</v>
      </c>
      <c r="P223" t="n">
        <v>0</v>
      </c>
      <c r="Q223" t="n">
        <v>0</v>
      </c>
      <c r="R223" s="2" t="inlineStr"/>
    </row>
    <row r="224" ht="15" customHeight="1">
      <c r="A224" t="inlineStr">
        <is>
          <t>A 12739-2024</t>
        </is>
      </c>
      <c r="B224" s="1" t="n">
        <v>45384</v>
      </c>
      <c r="C224" s="1" t="n">
        <v>46158</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51656-2023</t>
        </is>
      </c>
      <c r="B225" s="1" t="n">
        <v>45222</v>
      </c>
      <c r="C225" s="1" t="n">
        <v>46158</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56561-2023</t>
        </is>
      </c>
      <c r="B226" s="1" t="n">
        <v>45243</v>
      </c>
      <c r="C226" s="1" t="n">
        <v>46158</v>
      </c>
      <c r="D226" t="inlineStr">
        <is>
          <t>ÖREBRO LÄN</t>
        </is>
      </c>
      <c r="E226" t="inlineStr">
        <is>
          <t>LINDESBERG</t>
        </is>
      </c>
      <c r="G226" t="n">
        <v>1.9</v>
      </c>
      <c r="H226" t="n">
        <v>0</v>
      </c>
      <c r="I226" t="n">
        <v>0</v>
      </c>
      <c r="J226" t="n">
        <v>0</v>
      </c>
      <c r="K226" t="n">
        <v>0</v>
      </c>
      <c r="L226" t="n">
        <v>0</v>
      </c>
      <c r="M226" t="n">
        <v>0</v>
      </c>
      <c r="N226" t="n">
        <v>0</v>
      </c>
      <c r="O226" t="n">
        <v>0</v>
      </c>
      <c r="P226" t="n">
        <v>0</v>
      </c>
      <c r="Q226" t="n">
        <v>0</v>
      </c>
      <c r="R226" s="2" t="inlineStr"/>
    </row>
    <row r="227" ht="15" customHeight="1">
      <c r="A227" t="inlineStr">
        <is>
          <t>A 56579-2023</t>
        </is>
      </c>
      <c r="B227" s="1" t="n">
        <v>45243.62420138889</v>
      </c>
      <c r="C227" s="1" t="n">
        <v>46158</v>
      </c>
      <c r="D227" t="inlineStr">
        <is>
          <t>ÖREBRO LÄN</t>
        </is>
      </c>
      <c r="E227" t="inlineStr">
        <is>
          <t>LINDESBERG</t>
        </is>
      </c>
      <c r="F227" t="inlineStr">
        <is>
          <t>Naturvårdsverket</t>
        </is>
      </c>
      <c r="G227" t="n">
        <v>1.6</v>
      </c>
      <c r="H227" t="n">
        <v>0</v>
      </c>
      <c r="I227" t="n">
        <v>0</v>
      </c>
      <c r="J227" t="n">
        <v>0</v>
      </c>
      <c r="K227" t="n">
        <v>0</v>
      </c>
      <c r="L227" t="n">
        <v>0</v>
      </c>
      <c r="M227" t="n">
        <v>0</v>
      </c>
      <c r="N227" t="n">
        <v>0</v>
      </c>
      <c r="O227" t="n">
        <v>0</v>
      </c>
      <c r="P227" t="n">
        <v>0</v>
      </c>
      <c r="Q227" t="n">
        <v>0</v>
      </c>
      <c r="R227" s="2" t="inlineStr"/>
    </row>
    <row r="228" ht="15" customHeight="1">
      <c r="A228" t="inlineStr">
        <is>
          <t>A 56582-2023</t>
        </is>
      </c>
      <c r="B228" s="1" t="n">
        <v>45243</v>
      </c>
      <c r="C228" s="1" t="n">
        <v>46158</v>
      </c>
      <c r="D228" t="inlineStr">
        <is>
          <t>ÖREBRO LÄN</t>
        </is>
      </c>
      <c r="E228" t="inlineStr">
        <is>
          <t>LINDESBERG</t>
        </is>
      </c>
      <c r="F228" t="inlineStr">
        <is>
          <t>Naturvårdsverket</t>
        </is>
      </c>
      <c r="G228" t="n">
        <v>2.3</v>
      </c>
      <c r="H228" t="n">
        <v>0</v>
      </c>
      <c r="I228" t="n">
        <v>0</v>
      </c>
      <c r="J228" t="n">
        <v>0</v>
      </c>
      <c r="K228" t="n">
        <v>0</v>
      </c>
      <c r="L228" t="n">
        <v>0</v>
      </c>
      <c r="M228" t="n">
        <v>0</v>
      </c>
      <c r="N228" t="n">
        <v>0</v>
      </c>
      <c r="O228" t="n">
        <v>0</v>
      </c>
      <c r="P228" t="n">
        <v>0</v>
      </c>
      <c r="Q228" t="n">
        <v>0</v>
      </c>
      <c r="R228" s="2" t="inlineStr"/>
    </row>
    <row r="229" ht="15" customHeight="1">
      <c r="A229" t="inlineStr">
        <is>
          <t>A 40305-2024</t>
        </is>
      </c>
      <c r="B229" s="1" t="n">
        <v>45554.71863425926</v>
      </c>
      <c r="C229" s="1" t="n">
        <v>46158</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27134-2024</t>
        </is>
      </c>
      <c r="B230" s="1" t="n">
        <v>45471.52878472222</v>
      </c>
      <c r="C230" s="1" t="n">
        <v>46158</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21012-2023</t>
        </is>
      </c>
      <c r="B231" s="1" t="n">
        <v>45061.52474537037</v>
      </c>
      <c r="C231" s="1" t="n">
        <v>46158</v>
      </c>
      <c r="D231" t="inlineStr">
        <is>
          <t>ÖREBRO LÄN</t>
        </is>
      </c>
      <c r="E231" t="inlineStr">
        <is>
          <t>LINDESBERG</t>
        </is>
      </c>
      <c r="G231" t="n">
        <v>0.5</v>
      </c>
      <c r="H231" t="n">
        <v>0</v>
      </c>
      <c r="I231" t="n">
        <v>0</v>
      </c>
      <c r="J231" t="n">
        <v>0</v>
      </c>
      <c r="K231" t="n">
        <v>0</v>
      </c>
      <c r="L231" t="n">
        <v>0</v>
      </c>
      <c r="M231" t="n">
        <v>0</v>
      </c>
      <c r="N231" t="n">
        <v>0</v>
      </c>
      <c r="O231" t="n">
        <v>0</v>
      </c>
      <c r="P231" t="n">
        <v>0</v>
      </c>
      <c r="Q231" t="n">
        <v>0</v>
      </c>
      <c r="R231" s="2" t="inlineStr"/>
    </row>
    <row r="232" ht="15" customHeight="1">
      <c r="A232" t="inlineStr">
        <is>
          <t>A 37432-2022</t>
        </is>
      </c>
      <c r="B232" s="1" t="n">
        <v>44809</v>
      </c>
      <c r="C232" s="1" t="n">
        <v>46158</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26093-2023</t>
        </is>
      </c>
      <c r="B233" s="1" t="n">
        <v>45091.39362268519</v>
      </c>
      <c r="C233" s="1" t="n">
        <v>46158</v>
      </c>
      <c r="D233" t="inlineStr">
        <is>
          <t>ÖREBRO LÄN</t>
        </is>
      </c>
      <c r="E233" t="inlineStr">
        <is>
          <t>LINDESBERG</t>
        </is>
      </c>
      <c r="G233" t="n">
        <v>0.4</v>
      </c>
      <c r="H233" t="n">
        <v>0</v>
      </c>
      <c r="I233" t="n">
        <v>0</v>
      </c>
      <c r="J233" t="n">
        <v>0</v>
      </c>
      <c r="K233" t="n">
        <v>0</v>
      </c>
      <c r="L233" t="n">
        <v>0</v>
      </c>
      <c r="M233" t="n">
        <v>0</v>
      </c>
      <c r="N233" t="n">
        <v>0</v>
      </c>
      <c r="O233" t="n">
        <v>0</v>
      </c>
      <c r="P233" t="n">
        <v>0</v>
      </c>
      <c r="Q233" t="n">
        <v>0</v>
      </c>
      <c r="R233" s="2" t="inlineStr"/>
    </row>
    <row r="234" ht="15" customHeight="1">
      <c r="A234" t="inlineStr">
        <is>
          <t>A 53054-2022</t>
        </is>
      </c>
      <c r="B234" s="1" t="n">
        <v>44876.35706018518</v>
      </c>
      <c r="C234" s="1" t="n">
        <v>46158</v>
      </c>
      <c r="D234" t="inlineStr">
        <is>
          <t>ÖREBRO LÄN</t>
        </is>
      </c>
      <c r="E234" t="inlineStr">
        <is>
          <t>LINDESBERG</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24944-2024</t>
        </is>
      </c>
      <c r="B235" s="1" t="n">
        <v>45461.62924768519</v>
      </c>
      <c r="C235" s="1" t="n">
        <v>46158</v>
      </c>
      <c r="D235" t="inlineStr">
        <is>
          <t>ÖREBRO LÄN</t>
        </is>
      </c>
      <c r="E235" t="inlineStr">
        <is>
          <t>LINDESBERG</t>
        </is>
      </c>
      <c r="F235" t="inlineStr">
        <is>
          <t>Kyrkan</t>
        </is>
      </c>
      <c r="G235" t="n">
        <v>13.7</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46158</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50619-2022</t>
        </is>
      </c>
      <c r="B237" s="1" t="n">
        <v>44866.79668981482</v>
      </c>
      <c r="C237" s="1" t="n">
        <v>46158</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46603-2021</t>
        </is>
      </c>
      <c r="B238" s="1" t="n">
        <v>44445</v>
      </c>
      <c r="C238" s="1" t="n">
        <v>46158</v>
      </c>
      <c r="D238" t="inlineStr">
        <is>
          <t>ÖREBRO LÄN</t>
        </is>
      </c>
      <c r="E238" t="inlineStr">
        <is>
          <t>LINDESBERG</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41343-2021</t>
        </is>
      </c>
      <c r="B239" s="1" t="n">
        <v>44424.61709490741</v>
      </c>
      <c r="C239" s="1" t="n">
        <v>46158</v>
      </c>
      <c r="D239" t="inlineStr">
        <is>
          <t>ÖREBRO LÄN</t>
        </is>
      </c>
      <c r="E239" t="inlineStr">
        <is>
          <t>LINDESBERG</t>
        </is>
      </c>
      <c r="G239" t="n">
        <v>8.9</v>
      </c>
      <c r="H239" t="n">
        <v>0</v>
      </c>
      <c r="I239" t="n">
        <v>0</v>
      </c>
      <c r="J239" t="n">
        <v>0</v>
      </c>
      <c r="K239" t="n">
        <v>0</v>
      </c>
      <c r="L239" t="n">
        <v>0</v>
      </c>
      <c r="M239" t="n">
        <v>0</v>
      </c>
      <c r="N239" t="n">
        <v>0</v>
      </c>
      <c r="O239" t="n">
        <v>0</v>
      </c>
      <c r="P239" t="n">
        <v>0</v>
      </c>
      <c r="Q239" t="n">
        <v>0</v>
      </c>
      <c r="R239" s="2" t="inlineStr"/>
    </row>
    <row r="240" ht="15" customHeight="1">
      <c r="A240" t="inlineStr">
        <is>
          <t>A 23641-2024</t>
        </is>
      </c>
      <c r="B240" s="1" t="n">
        <v>45454.49679398148</v>
      </c>
      <c r="C240" s="1" t="n">
        <v>46158</v>
      </c>
      <c r="D240" t="inlineStr">
        <is>
          <t>ÖREBRO LÄN</t>
        </is>
      </c>
      <c r="E240" t="inlineStr">
        <is>
          <t>LINDESBERG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42707-2023</t>
        </is>
      </c>
      <c r="B241" s="1" t="n">
        <v>45181</v>
      </c>
      <c r="C241" s="1" t="n">
        <v>46158</v>
      </c>
      <c r="D241" t="inlineStr">
        <is>
          <t>ÖREBRO LÄN</t>
        </is>
      </c>
      <c r="E241" t="inlineStr">
        <is>
          <t>LINDESBERG</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46158</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59641-2024</t>
        </is>
      </c>
      <c r="B243" s="1" t="n">
        <v>45639.30934027778</v>
      </c>
      <c r="C243" s="1" t="n">
        <v>46158</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17779-2024</t>
        </is>
      </c>
      <c r="B244" s="1" t="n">
        <v>45418.66800925926</v>
      </c>
      <c r="C244" s="1" t="n">
        <v>46158</v>
      </c>
      <c r="D244" t="inlineStr">
        <is>
          <t>ÖREBRO LÄN</t>
        </is>
      </c>
      <c r="E244" t="inlineStr">
        <is>
          <t>LINDESBERG</t>
        </is>
      </c>
      <c r="G244" t="n">
        <v>3.7</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46158</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21202-2024</t>
        </is>
      </c>
      <c r="B246" s="1" t="n">
        <v>45440.5433912037</v>
      </c>
      <c r="C246" s="1" t="n">
        <v>46158</v>
      </c>
      <c r="D246" t="inlineStr">
        <is>
          <t>ÖREBRO LÄN</t>
        </is>
      </c>
      <c r="E246" t="inlineStr">
        <is>
          <t>LINDESBERG</t>
        </is>
      </c>
      <c r="G246" t="n">
        <v>4</v>
      </c>
      <c r="H246" t="n">
        <v>0</v>
      </c>
      <c r="I246" t="n">
        <v>0</v>
      </c>
      <c r="J246" t="n">
        <v>0</v>
      </c>
      <c r="K246" t="n">
        <v>0</v>
      </c>
      <c r="L246" t="n">
        <v>0</v>
      </c>
      <c r="M246" t="n">
        <v>0</v>
      </c>
      <c r="N246" t="n">
        <v>0</v>
      </c>
      <c r="O246" t="n">
        <v>0</v>
      </c>
      <c r="P246" t="n">
        <v>0</v>
      </c>
      <c r="Q246" t="n">
        <v>0</v>
      </c>
      <c r="R246" s="2" t="inlineStr"/>
    </row>
    <row r="247" ht="15" customHeight="1">
      <c r="A247" t="inlineStr">
        <is>
          <t>A 1400-2025</t>
        </is>
      </c>
      <c r="B247" s="1" t="n">
        <v>45667</v>
      </c>
      <c r="C247" s="1" t="n">
        <v>46158</v>
      </c>
      <c r="D247" t="inlineStr">
        <is>
          <t>ÖREBRO LÄN</t>
        </is>
      </c>
      <c r="E247" t="inlineStr">
        <is>
          <t>LINDESBERG</t>
        </is>
      </c>
      <c r="F247" t="inlineStr">
        <is>
          <t>Allmännings- och besparingsskogar</t>
        </is>
      </c>
      <c r="G247" t="n">
        <v>11.3</v>
      </c>
      <c r="H247" t="n">
        <v>0</v>
      </c>
      <c r="I247" t="n">
        <v>0</v>
      </c>
      <c r="J247" t="n">
        <v>0</v>
      </c>
      <c r="K247" t="n">
        <v>0</v>
      </c>
      <c r="L247" t="n">
        <v>0</v>
      </c>
      <c r="M247" t="n">
        <v>0</v>
      </c>
      <c r="N247" t="n">
        <v>0</v>
      </c>
      <c r="O247" t="n">
        <v>0</v>
      </c>
      <c r="P247" t="n">
        <v>0</v>
      </c>
      <c r="Q247" t="n">
        <v>0</v>
      </c>
      <c r="R247" s="2" t="inlineStr"/>
    </row>
    <row r="248" ht="15" customHeight="1">
      <c r="A248" t="inlineStr">
        <is>
          <t>A 4067-2024</t>
        </is>
      </c>
      <c r="B248" s="1" t="n">
        <v>45323</v>
      </c>
      <c r="C248" s="1" t="n">
        <v>46158</v>
      </c>
      <c r="D248" t="inlineStr">
        <is>
          <t>ÖREBRO LÄN</t>
        </is>
      </c>
      <c r="E248" t="inlineStr">
        <is>
          <t>LINDESBERG</t>
        </is>
      </c>
      <c r="G248" t="n">
        <v>1</v>
      </c>
      <c r="H248" t="n">
        <v>0</v>
      </c>
      <c r="I248" t="n">
        <v>0</v>
      </c>
      <c r="J248" t="n">
        <v>0</v>
      </c>
      <c r="K248" t="n">
        <v>0</v>
      </c>
      <c r="L248" t="n">
        <v>0</v>
      </c>
      <c r="M248" t="n">
        <v>0</v>
      </c>
      <c r="N248" t="n">
        <v>0</v>
      </c>
      <c r="O248" t="n">
        <v>0</v>
      </c>
      <c r="P248" t="n">
        <v>0</v>
      </c>
      <c r="Q248" t="n">
        <v>0</v>
      </c>
      <c r="R248" s="2" t="inlineStr"/>
    </row>
    <row r="249" ht="15" customHeight="1">
      <c r="A249" t="inlineStr">
        <is>
          <t>A 23835-2025</t>
        </is>
      </c>
      <c r="B249" s="1" t="n">
        <v>45793.61047453704</v>
      </c>
      <c r="C249" s="1" t="n">
        <v>46158</v>
      </c>
      <c r="D249" t="inlineStr">
        <is>
          <t>ÖREBRO LÄN</t>
        </is>
      </c>
      <c r="E249" t="inlineStr">
        <is>
          <t>LINDESBERG</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24017-2025</t>
        </is>
      </c>
      <c r="B250" s="1" t="n">
        <v>45796.44885416667</v>
      </c>
      <c r="C250" s="1" t="n">
        <v>46158</v>
      </c>
      <c r="D250" t="inlineStr">
        <is>
          <t>ÖREBRO LÄN</t>
        </is>
      </c>
      <c r="E250" t="inlineStr">
        <is>
          <t>LINDESBERG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24107-2025</t>
        </is>
      </c>
      <c r="B251" s="1" t="n">
        <v>45796</v>
      </c>
      <c r="C251" s="1" t="n">
        <v>46158</v>
      </c>
      <c r="D251" t="inlineStr">
        <is>
          <t>ÖREBRO LÄN</t>
        </is>
      </c>
      <c r="E251" t="inlineStr">
        <is>
          <t>LINDESBERG</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23932-2025</t>
        </is>
      </c>
      <c r="B252" s="1" t="n">
        <v>45795.70912037037</v>
      </c>
      <c r="C252" s="1" t="n">
        <v>46158</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24011-2025</t>
        </is>
      </c>
      <c r="B253" s="1" t="n">
        <v>45796</v>
      </c>
      <c r="C253" s="1" t="n">
        <v>46158</v>
      </c>
      <c r="D253" t="inlineStr">
        <is>
          <t>ÖREBRO LÄN</t>
        </is>
      </c>
      <c r="E253" t="inlineStr">
        <is>
          <t>LINDESBERG</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24020-2025</t>
        </is>
      </c>
      <c r="B254" s="1" t="n">
        <v>45796.45054398148</v>
      </c>
      <c r="C254" s="1" t="n">
        <v>46158</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23897-2025</t>
        </is>
      </c>
      <c r="B255" s="1" t="n">
        <v>45794.33498842592</v>
      </c>
      <c r="C255" s="1" t="n">
        <v>46158</v>
      </c>
      <c r="D255" t="inlineStr">
        <is>
          <t>ÖREBRO LÄN</t>
        </is>
      </c>
      <c r="E255" t="inlineStr">
        <is>
          <t>LINDESBERG</t>
        </is>
      </c>
      <c r="G255" t="n">
        <v>5.6</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46158</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63508-2023</t>
        </is>
      </c>
      <c r="B257" s="1" t="n">
        <v>45274</v>
      </c>
      <c r="C257" s="1" t="n">
        <v>46158</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23898-2025</t>
        </is>
      </c>
      <c r="B258" s="1" t="n">
        <v>45794.3419212963</v>
      </c>
      <c r="C258" s="1" t="n">
        <v>46158</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23933-2025</t>
        </is>
      </c>
      <c r="B259" s="1" t="n">
        <v>45795.71300925926</v>
      </c>
      <c r="C259" s="1" t="n">
        <v>46158</v>
      </c>
      <c r="D259" t="inlineStr">
        <is>
          <t>ÖREBRO LÄN</t>
        </is>
      </c>
      <c r="E259" t="inlineStr">
        <is>
          <t>LINDESBERG</t>
        </is>
      </c>
      <c r="G259" t="n">
        <v>2.2</v>
      </c>
      <c r="H259" t="n">
        <v>0</v>
      </c>
      <c r="I259" t="n">
        <v>0</v>
      </c>
      <c r="J259" t="n">
        <v>0</v>
      </c>
      <c r="K259" t="n">
        <v>0</v>
      </c>
      <c r="L259" t="n">
        <v>0</v>
      </c>
      <c r="M259" t="n">
        <v>0</v>
      </c>
      <c r="N259" t="n">
        <v>0</v>
      </c>
      <c r="O259" t="n">
        <v>0</v>
      </c>
      <c r="P259" t="n">
        <v>0</v>
      </c>
      <c r="Q259" t="n">
        <v>0</v>
      </c>
      <c r="R259" s="2" t="inlineStr"/>
    </row>
    <row r="260" ht="15" customHeight="1">
      <c r="A260" t="inlineStr">
        <is>
          <t>A 36280-2023</t>
        </is>
      </c>
      <c r="B260" s="1" t="n">
        <v>45152.34586805556</v>
      </c>
      <c r="C260" s="1" t="n">
        <v>46158</v>
      </c>
      <c r="D260" t="inlineStr">
        <is>
          <t>ÖREBRO LÄN</t>
        </is>
      </c>
      <c r="E260" t="inlineStr">
        <is>
          <t>LINDESBERG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33284-2024</t>
        </is>
      </c>
      <c r="B261" s="1" t="n">
        <v>45518.71721064814</v>
      </c>
      <c r="C261" s="1" t="n">
        <v>46158</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33978-2023</t>
        </is>
      </c>
      <c r="B262" s="1" t="n">
        <v>45134.68158564815</v>
      </c>
      <c r="C262" s="1" t="n">
        <v>46158</v>
      </c>
      <c r="D262" t="inlineStr">
        <is>
          <t>ÖREBRO LÄN</t>
        </is>
      </c>
      <c r="E262" t="inlineStr">
        <is>
          <t>LINDESBERG</t>
        </is>
      </c>
      <c r="G262" t="n">
        <v>4.1</v>
      </c>
      <c r="H262" t="n">
        <v>0</v>
      </c>
      <c r="I262" t="n">
        <v>0</v>
      </c>
      <c r="J262" t="n">
        <v>0</v>
      </c>
      <c r="K262" t="n">
        <v>0</v>
      </c>
      <c r="L262" t="n">
        <v>0</v>
      </c>
      <c r="M262" t="n">
        <v>0</v>
      </c>
      <c r="N262" t="n">
        <v>0</v>
      </c>
      <c r="O262" t="n">
        <v>0</v>
      </c>
      <c r="P262" t="n">
        <v>0</v>
      </c>
      <c r="Q262" t="n">
        <v>0</v>
      </c>
      <c r="R262" s="2" t="inlineStr"/>
    </row>
    <row r="263" ht="15" customHeight="1">
      <c r="A263" t="inlineStr">
        <is>
          <t>A 38762-2021</t>
        </is>
      </c>
      <c r="B263" s="1" t="n">
        <v>44410.61837962963</v>
      </c>
      <c r="C263" s="1" t="n">
        <v>46158</v>
      </c>
      <c r="D263" t="inlineStr">
        <is>
          <t>ÖREBRO LÄN</t>
        </is>
      </c>
      <c r="E263" t="inlineStr">
        <is>
          <t>LINDESBERG</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23934-2025</t>
        </is>
      </c>
      <c r="B264" s="1" t="n">
        <v>45795.71547453704</v>
      </c>
      <c r="C264" s="1" t="n">
        <v>46158</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46158</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57944-2023</t>
        </is>
      </c>
      <c r="B266" s="1" t="n">
        <v>45244</v>
      </c>
      <c r="C266" s="1" t="n">
        <v>46158</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24043-2024</t>
        </is>
      </c>
      <c r="B267" s="1" t="n">
        <v>45456.48927083334</v>
      </c>
      <c r="C267" s="1" t="n">
        <v>46158</v>
      </c>
      <c r="D267" t="inlineStr">
        <is>
          <t>ÖREBRO LÄN</t>
        </is>
      </c>
      <c r="E267" t="inlineStr">
        <is>
          <t>LINDESBERG</t>
        </is>
      </c>
      <c r="G267" t="n">
        <v>6.2</v>
      </c>
      <c r="H267" t="n">
        <v>0</v>
      </c>
      <c r="I267" t="n">
        <v>0</v>
      </c>
      <c r="J267" t="n">
        <v>0</v>
      </c>
      <c r="K267" t="n">
        <v>0</v>
      </c>
      <c r="L267" t="n">
        <v>0</v>
      </c>
      <c r="M267" t="n">
        <v>0</v>
      </c>
      <c r="N267" t="n">
        <v>0</v>
      </c>
      <c r="O267" t="n">
        <v>0</v>
      </c>
      <c r="P267" t="n">
        <v>0</v>
      </c>
      <c r="Q267" t="n">
        <v>0</v>
      </c>
      <c r="R267" s="2" t="inlineStr"/>
    </row>
    <row r="268" ht="15" customHeight="1">
      <c r="A268" t="inlineStr">
        <is>
          <t>A 23844-2025</t>
        </is>
      </c>
      <c r="B268" s="1" t="n">
        <v>45793.62422453704</v>
      </c>
      <c r="C268" s="1" t="n">
        <v>46158</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36015-2021</t>
        </is>
      </c>
      <c r="B269" s="1" t="n">
        <v>44389</v>
      </c>
      <c r="C269" s="1" t="n">
        <v>46158</v>
      </c>
      <c r="D269" t="inlineStr">
        <is>
          <t>ÖREBRO LÄN</t>
        </is>
      </c>
      <c r="E269" t="inlineStr">
        <is>
          <t>LINDESBERG</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54705-2022</t>
        </is>
      </c>
      <c r="B270" s="1" t="n">
        <v>44883</v>
      </c>
      <c r="C270" s="1" t="n">
        <v>46158</v>
      </c>
      <c r="D270" t="inlineStr">
        <is>
          <t>ÖREBRO LÄN</t>
        </is>
      </c>
      <c r="E270" t="inlineStr">
        <is>
          <t>LINDESBERG</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46158</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36748-2024</t>
        </is>
      </c>
      <c r="B272" s="1" t="n">
        <v>45538.34460648148</v>
      </c>
      <c r="C272" s="1" t="n">
        <v>46158</v>
      </c>
      <c r="D272" t="inlineStr">
        <is>
          <t>ÖREBRO LÄN</t>
        </is>
      </c>
      <c r="E272" t="inlineStr">
        <is>
          <t>LINDESBERG</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38861-2025</t>
        </is>
      </c>
      <c r="B273" s="1" t="n">
        <v>45887.56101851852</v>
      </c>
      <c r="C273" s="1" t="n">
        <v>46158</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21390-2024</t>
        </is>
      </c>
      <c r="B274" s="1" t="n">
        <v>45441.30899305556</v>
      </c>
      <c r="C274" s="1" t="n">
        <v>46158</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21392-2024</t>
        </is>
      </c>
      <c r="B275" s="1" t="n">
        <v>45441.30998842593</v>
      </c>
      <c r="C275" s="1" t="n">
        <v>46158</v>
      </c>
      <c r="D275" t="inlineStr">
        <is>
          <t>ÖREBRO LÄN</t>
        </is>
      </c>
      <c r="E275" t="inlineStr">
        <is>
          <t>LINDESBERG</t>
        </is>
      </c>
      <c r="F275" t="inlineStr">
        <is>
          <t>Sveaskog</t>
        </is>
      </c>
      <c r="G275" t="n">
        <v>0.4</v>
      </c>
      <c r="H275" t="n">
        <v>0</v>
      </c>
      <c r="I275" t="n">
        <v>0</v>
      </c>
      <c r="J275" t="n">
        <v>0</v>
      </c>
      <c r="K275" t="n">
        <v>0</v>
      </c>
      <c r="L275" t="n">
        <v>0</v>
      </c>
      <c r="M275" t="n">
        <v>0</v>
      </c>
      <c r="N275" t="n">
        <v>0</v>
      </c>
      <c r="O275" t="n">
        <v>0</v>
      </c>
      <c r="P275" t="n">
        <v>0</v>
      </c>
      <c r="Q275" t="n">
        <v>0</v>
      </c>
      <c r="R275" s="2" t="inlineStr"/>
    </row>
    <row r="276" ht="15" customHeight="1">
      <c r="A276" t="inlineStr">
        <is>
          <t>A 48231-2024</t>
        </is>
      </c>
      <c r="B276" s="1" t="n">
        <v>45590.37590277778</v>
      </c>
      <c r="C276" s="1" t="n">
        <v>46158</v>
      </c>
      <c r="D276" t="inlineStr">
        <is>
          <t>ÖREBRO LÄN</t>
        </is>
      </c>
      <c r="E276" t="inlineStr">
        <is>
          <t>LINDESBERG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37125-2023</t>
        </is>
      </c>
      <c r="B277" s="1" t="n">
        <v>45155.5653125</v>
      </c>
      <c r="C277" s="1" t="n">
        <v>46158</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13305-2023</t>
        </is>
      </c>
      <c r="B278" s="1" t="n">
        <v>45005.35967592592</v>
      </c>
      <c r="C278" s="1" t="n">
        <v>46158</v>
      </c>
      <c r="D278" t="inlineStr">
        <is>
          <t>ÖREBRO LÄN</t>
        </is>
      </c>
      <c r="E278" t="inlineStr">
        <is>
          <t>LINDESBERG</t>
        </is>
      </c>
      <c r="G278" t="n">
        <v>5.5</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46158</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13368-2023</t>
        </is>
      </c>
      <c r="B280" s="1" t="n">
        <v>45005.47820601852</v>
      </c>
      <c r="C280" s="1" t="n">
        <v>46158</v>
      </c>
      <c r="D280" t="inlineStr">
        <is>
          <t>ÖREBRO LÄN</t>
        </is>
      </c>
      <c r="E280" t="inlineStr">
        <is>
          <t>LINDESBERG</t>
        </is>
      </c>
      <c r="F280" t="inlineStr">
        <is>
          <t>Kommuner</t>
        </is>
      </c>
      <c r="G280" t="n">
        <v>0.7</v>
      </c>
      <c r="H280" t="n">
        <v>0</v>
      </c>
      <c r="I280" t="n">
        <v>0</v>
      </c>
      <c r="J280" t="n">
        <v>0</v>
      </c>
      <c r="K280" t="n">
        <v>0</v>
      </c>
      <c r="L280" t="n">
        <v>0</v>
      </c>
      <c r="M280" t="n">
        <v>0</v>
      </c>
      <c r="N280" t="n">
        <v>0</v>
      </c>
      <c r="O280" t="n">
        <v>0</v>
      </c>
      <c r="P280" t="n">
        <v>0</v>
      </c>
      <c r="Q280" t="n">
        <v>0</v>
      </c>
      <c r="R280" s="2" t="inlineStr"/>
    </row>
    <row r="281" ht="15" customHeight="1">
      <c r="A281" t="inlineStr">
        <is>
          <t>A 29942-2024</t>
        </is>
      </c>
      <c r="B281" s="1" t="n">
        <v>45488.42258101852</v>
      </c>
      <c r="C281" s="1" t="n">
        <v>46158</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8834-2023</t>
        </is>
      </c>
      <c r="B282" s="1" t="n">
        <v>44978</v>
      </c>
      <c r="C282" s="1" t="n">
        <v>46158</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47110-2024</t>
        </is>
      </c>
      <c r="B283" s="1" t="n">
        <v>45586.55451388889</v>
      </c>
      <c r="C283" s="1" t="n">
        <v>46158</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46158</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46158</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39421-2025</t>
        </is>
      </c>
      <c r="B286" s="1" t="n">
        <v>45889.66935185185</v>
      </c>
      <c r="C286" s="1" t="n">
        <v>46158</v>
      </c>
      <c r="D286" t="inlineStr">
        <is>
          <t>ÖREBRO LÄN</t>
        </is>
      </c>
      <c r="E286" t="inlineStr">
        <is>
          <t>LINDESBERG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46158</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54855-2024</t>
        </is>
      </c>
      <c r="B288" s="1" t="n">
        <v>45618.58622685185</v>
      </c>
      <c r="C288" s="1" t="n">
        <v>46158</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6727-2022</t>
        </is>
      </c>
      <c r="B289" s="1" t="n">
        <v>44602.45490740741</v>
      </c>
      <c r="C289" s="1" t="n">
        <v>46158</v>
      </c>
      <c r="D289" t="inlineStr">
        <is>
          <t>ÖREBRO LÄN</t>
        </is>
      </c>
      <c r="E289" t="inlineStr">
        <is>
          <t>LINDESBERG</t>
        </is>
      </c>
      <c r="G289" t="n">
        <v>0.8</v>
      </c>
      <c r="H289" t="n">
        <v>0</v>
      </c>
      <c r="I289" t="n">
        <v>0</v>
      </c>
      <c r="J289" t="n">
        <v>0</v>
      </c>
      <c r="K289" t="n">
        <v>0</v>
      </c>
      <c r="L289" t="n">
        <v>0</v>
      </c>
      <c r="M289" t="n">
        <v>0</v>
      </c>
      <c r="N289" t="n">
        <v>0</v>
      </c>
      <c r="O289" t="n">
        <v>0</v>
      </c>
      <c r="P289" t="n">
        <v>0</v>
      </c>
      <c r="Q289" t="n">
        <v>0</v>
      </c>
      <c r="R289" s="2" t="inlineStr"/>
    </row>
    <row r="290" ht="15" customHeight="1">
      <c r="A290" t="inlineStr">
        <is>
          <t>A 6723-2022</t>
        </is>
      </c>
      <c r="B290" s="1" t="n">
        <v>44602.45162037037</v>
      </c>
      <c r="C290" s="1" t="n">
        <v>46158</v>
      </c>
      <c r="D290" t="inlineStr">
        <is>
          <t>ÖREBRO LÄN</t>
        </is>
      </c>
      <c r="E290" t="inlineStr">
        <is>
          <t>LINDESBERG</t>
        </is>
      </c>
      <c r="G290" t="n">
        <v>4.2</v>
      </c>
      <c r="H290" t="n">
        <v>0</v>
      </c>
      <c r="I290" t="n">
        <v>0</v>
      </c>
      <c r="J290" t="n">
        <v>0</v>
      </c>
      <c r="K290" t="n">
        <v>0</v>
      </c>
      <c r="L290" t="n">
        <v>0</v>
      </c>
      <c r="M290" t="n">
        <v>0</v>
      </c>
      <c r="N290" t="n">
        <v>0</v>
      </c>
      <c r="O290" t="n">
        <v>0</v>
      </c>
      <c r="P290" t="n">
        <v>0</v>
      </c>
      <c r="Q290" t="n">
        <v>0</v>
      </c>
      <c r="R290" s="2" t="inlineStr"/>
    </row>
    <row r="291" ht="15" customHeight="1">
      <c r="A291" t="inlineStr">
        <is>
          <t>A 11581-2024</t>
        </is>
      </c>
      <c r="B291" s="1" t="n">
        <v>45373.34383101852</v>
      </c>
      <c r="C291" s="1" t="n">
        <v>46158</v>
      </c>
      <c r="D291" t="inlineStr">
        <is>
          <t>ÖREBRO LÄN</t>
        </is>
      </c>
      <c r="E291" t="inlineStr">
        <is>
          <t>LINDESBERG</t>
        </is>
      </c>
      <c r="F291" t="inlineStr">
        <is>
          <t>BillerudKorsnäs AB</t>
        </is>
      </c>
      <c r="G291" t="n">
        <v>3.9</v>
      </c>
      <c r="H291" t="n">
        <v>0</v>
      </c>
      <c r="I291" t="n">
        <v>0</v>
      </c>
      <c r="J291" t="n">
        <v>0</v>
      </c>
      <c r="K291" t="n">
        <v>0</v>
      </c>
      <c r="L291" t="n">
        <v>0</v>
      </c>
      <c r="M291" t="n">
        <v>0</v>
      </c>
      <c r="N291" t="n">
        <v>0</v>
      </c>
      <c r="O291" t="n">
        <v>0</v>
      </c>
      <c r="P291" t="n">
        <v>0</v>
      </c>
      <c r="Q291" t="n">
        <v>0</v>
      </c>
      <c r="R291" s="2" t="inlineStr"/>
    </row>
    <row r="292" ht="15" customHeight="1">
      <c r="A292" t="inlineStr">
        <is>
          <t>A 4997-2024</t>
        </is>
      </c>
      <c r="B292" s="1" t="n">
        <v>45329</v>
      </c>
      <c r="C292" s="1" t="n">
        <v>46158</v>
      </c>
      <c r="D292" t="inlineStr">
        <is>
          <t>ÖREBRO LÄN</t>
        </is>
      </c>
      <c r="E292" t="inlineStr">
        <is>
          <t>LINDESBERG</t>
        </is>
      </c>
      <c r="F292" t="inlineStr">
        <is>
          <t>BillerudKorsnäs AB</t>
        </is>
      </c>
      <c r="G292" t="n">
        <v>3</v>
      </c>
      <c r="H292" t="n">
        <v>0</v>
      </c>
      <c r="I292" t="n">
        <v>0</v>
      </c>
      <c r="J292" t="n">
        <v>0</v>
      </c>
      <c r="K292" t="n">
        <v>0</v>
      </c>
      <c r="L292" t="n">
        <v>0</v>
      </c>
      <c r="M292" t="n">
        <v>0</v>
      </c>
      <c r="N292" t="n">
        <v>0</v>
      </c>
      <c r="O292" t="n">
        <v>0</v>
      </c>
      <c r="P292" t="n">
        <v>0</v>
      </c>
      <c r="Q292" t="n">
        <v>0</v>
      </c>
      <c r="R292" s="2" t="inlineStr"/>
    </row>
    <row r="293" ht="15" customHeight="1">
      <c r="A293" t="inlineStr">
        <is>
          <t>A 25842-2025</t>
        </is>
      </c>
      <c r="B293" s="1" t="n">
        <v>45804.45474537037</v>
      </c>
      <c r="C293" s="1" t="n">
        <v>46158</v>
      </c>
      <c r="D293" t="inlineStr">
        <is>
          <t>ÖREBRO LÄN</t>
        </is>
      </c>
      <c r="E293" t="inlineStr">
        <is>
          <t>LINDESBERG</t>
        </is>
      </c>
      <c r="G293" t="n">
        <v>1.7</v>
      </c>
      <c r="H293" t="n">
        <v>0</v>
      </c>
      <c r="I293" t="n">
        <v>0</v>
      </c>
      <c r="J293" t="n">
        <v>0</v>
      </c>
      <c r="K293" t="n">
        <v>0</v>
      </c>
      <c r="L293" t="n">
        <v>0</v>
      </c>
      <c r="M293" t="n">
        <v>0</v>
      </c>
      <c r="N293" t="n">
        <v>0</v>
      </c>
      <c r="O293" t="n">
        <v>0</v>
      </c>
      <c r="P293" t="n">
        <v>0</v>
      </c>
      <c r="Q293" t="n">
        <v>0</v>
      </c>
      <c r="R293" s="2" t="inlineStr"/>
    </row>
    <row r="294" ht="15" customHeight="1">
      <c r="A294" t="inlineStr">
        <is>
          <t>A 36893-2024</t>
        </is>
      </c>
      <c r="B294" s="1" t="n">
        <v>45538</v>
      </c>
      <c r="C294" s="1" t="n">
        <v>46158</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25643-2025</t>
        </is>
      </c>
      <c r="B295" s="1" t="n">
        <v>45803</v>
      </c>
      <c r="C295" s="1" t="n">
        <v>46158</v>
      </c>
      <c r="D295" t="inlineStr">
        <is>
          <t>ÖREBRO LÄN</t>
        </is>
      </c>
      <c r="E295" t="inlineStr">
        <is>
          <t>LINDESBERG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25843-2025</t>
        </is>
      </c>
      <c r="B296" s="1" t="n">
        <v>45804.45584490741</v>
      </c>
      <c r="C296" s="1" t="n">
        <v>46158</v>
      </c>
      <c r="D296" t="inlineStr">
        <is>
          <t>ÖREBRO LÄN</t>
        </is>
      </c>
      <c r="E296" t="inlineStr">
        <is>
          <t>LINDESBERG</t>
        </is>
      </c>
      <c r="G296" t="n">
        <v>4.6</v>
      </c>
      <c r="H296" t="n">
        <v>0</v>
      </c>
      <c r="I296" t="n">
        <v>0</v>
      </c>
      <c r="J296" t="n">
        <v>0</v>
      </c>
      <c r="K296" t="n">
        <v>0</v>
      </c>
      <c r="L296" t="n">
        <v>0</v>
      </c>
      <c r="M296" t="n">
        <v>0</v>
      </c>
      <c r="N296" t="n">
        <v>0</v>
      </c>
      <c r="O296" t="n">
        <v>0</v>
      </c>
      <c r="P296" t="n">
        <v>0</v>
      </c>
      <c r="Q296" t="n">
        <v>0</v>
      </c>
      <c r="R296" s="2" t="inlineStr"/>
    </row>
    <row r="297" ht="15" customHeight="1">
      <c r="A297" t="inlineStr">
        <is>
          <t>A 40366-2025</t>
        </is>
      </c>
      <c r="B297" s="1" t="n">
        <v>45895.49994212963</v>
      </c>
      <c r="C297" s="1" t="n">
        <v>46158</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26016-2025</t>
        </is>
      </c>
      <c r="B298" s="1" t="n">
        <v>45804.67795138889</v>
      </c>
      <c r="C298" s="1" t="n">
        <v>46158</v>
      </c>
      <c r="D298" t="inlineStr">
        <is>
          <t>ÖREBRO LÄN</t>
        </is>
      </c>
      <c r="E298" t="inlineStr">
        <is>
          <t>LINDESBERG</t>
        </is>
      </c>
      <c r="G298" t="n">
        <v>10</v>
      </c>
      <c r="H298" t="n">
        <v>0</v>
      </c>
      <c r="I298" t="n">
        <v>0</v>
      </c>
      <c r="J298" t="n">
        <v>0</v>
      </c>
      <c r="K298" t="n">
        <v>0</v>
      </c>
      <c r="L298" t="n">
        <v>0</v>
      </c>
      <c r="M298" t="n">
        <v>0</v>
      </c>
      <c r="N298" t="n">
        <v>0</v>
      </c>
      <c r="O298" t="n">
        <v>0</v>
      </c>
      <c r="P298" t="n">
        <v>0</v>
      </c>
      <c r="Q298" t="n">
        <v>0</v>
      </c>
      <c r="R298" s="2" t="inlineStr"/>
    </row>
    <row r="299" ht="15" customHeight="1">
      <c r="A299" t="inlineStr">
        <is>
          <t>A 40357-2025</t>
        </is>
      </c>
      <c r="B299" s="1" t="n">
        <v>45895.48927083334</v>
      </c>
      <c r="C299" s="1" t="n">
        <v>46158</v>
      </c>
      <c r="D299" t="inlineStr">
        <is>
          <t>ÖREBRO LÄN</t>
        </is>
      </c>
      <c r="E299" t="inlineStr">
        <is>
          <t>LINDESBERG</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13968-2025</t>
        </is>
      </c>
      <c r="B300" s="1" t="n">
        <v>45738.42981481482</v>
      </c>
      <c r="C300" s="1" t="n">
        <v>46158</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40351-2025</t>
        </is>
      </c>
      <c r="B301" s="1" t="n">
        <v>45895.48394675926</v>
      </c>
      <c r="C301" s="1" t="n">
        <v>46158</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40347-2025</t>
        </is>
      </c>
      <c r="B302" s="1" t="n">
        <v>45895.4790625</v>
      </c>
      <c r="C302" s="1" t="n">
        <v>46158</v>
      </c>
      <c r="D302" t="inlineStr">
        <is>
          <t>ÖREBRO LÄN</t>
        </is>
      </c>
      <c r="E302" t="inlineStr">
        <is>
          <t>LINDESBERG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46158</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40346-2025</t>
        </is>
      </c>
      <c r="B304" s="1" t="n">
        <v>45895.47704861111</v>
      </c>
      <c r="C304" s="1" t="n">
        <v>46158</v>
      </c>
      <c r="D304" t="inlineStr">
        <is>
          <t>ÖREBRO LÄN</t>
        </is>
      </c>
      <c r="E304" t="inlineStr">
        <is>
          <t>LINDESBERG</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14185-2024</t>
        </is>
      </c>
      <c r="B305" s="1" t="n">
        <v>45393.3562962963</v>
      </c>
      <c r="C305" s="1" t="n">
        <v>46158</v>
      </c>
      <c r="D305" t="inlineStr">
        <is>
          <t>ÖREBRO LÄN</t>
        </is>
      </c>
      <c r="E305" t="inlineStr">
        <is>
          <t>LINDESBERG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11218-2025</t>
        </is>
      </c>
      <c r="B306" s="1" t="n">
        <v>45726.33763888889</v>
      </c>
      <c r="C306" s="1" t="n">
        <v>46158</v>
      </c>
      <c r="D306" t="inlineStr">
        <is>
          <t>ÖREBRO LÄN</t>
        </is>
      </c>
      <c r="E306" t="inlineStr">
        <is>
          <t>LINDESBERG</t>
        </is>
      </c>
      <c r="G306" t="n">
        <v>0.4</v>
      </c>
      <c r="H306" t="n">
        <v>0</v>
      </c>
      <c r="I306" t="n">
        <v>0</v>
      </c>
      <c r="J306" t="n">
        <v>0</v>
      </c>
      <c r="K306" t="n">
        <v>0</v>
      </c>
      <c r="L306" t="n">
        <v>0</v>
      </c>
      <c r="M306" t="n">
        <v>0</v>
      </c>
      <c r="N306" t="n">
        <v>0</v>
      </c>
      <c r="O306" t="n">
        <v>0</v>
      </c>
      <c r="P306" t="n">
        <v>0</v>
      </c>
      <c r="Q306" t="n">
        <v>0</v>
      </c>
      <c r="R306" s="2" t="inlineStr"/>
    </row>
    <row r="307" ht="15" customHeight="1">
      <c r="A307" t="inlineStr">
        <is>
          <t>A 11220-2025</t>
        </is>
      </c>
      <c r="B307" s="1" t="n">
        <v>45726.34090277777</v>
      </c>
      <c r="C307" s="1" t="n">
        <v>46158</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43801-2024</t>
        </is>
      </c>
      <c r="B308" s="1" t="n">
        <v>45571.71736111111</v>
      </c>
      <c r="C308" s="1" t="n">
        <v>46158</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61222-2022</t>
        </is>
      </c>
      <c r="B309" s="1" t="n">
        <v>44909</v>
      </c>
      <c r="C309" s="1" t="n">
        <v>46158</v>
      </c>
      <c r="D309" t="inlineStr">
        <is>
          <t>ÖREBRO LÄN</t>
        </is>
      </c>
      <c r="E309" t="inlineStr">
        <is>
          <t>LINDESBERG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72331-2021</t>
        </is>
      </c>
      <c r="B310" s="1" t="n">
        <v>44544</v>
      </c>
      <c r="C310" s="1" t="n">
        <v>46158</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46158</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46158</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50964-2023</t>
        </is>
      </c>
      <c r="B313" s="1" t="n">
        <v>45218.488125</v>
      </c>
      <c r="C313" s="1" t="n">
        <v>46158</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41027-2025</t>
        </is>
      </c>
      <c r="B314" s="1" t="n">
        <v>45898.37138888889</v>
      </c>
      <c r="C314" s="1" t="n">
        <v>46158</v>
      </c>
      <c r="D314" t="inlineStr">
        <is>
          <t>ÖREBRO LÄN</t>
        </is>
      </c>
      <c r="E314" t="inlineStr">
        <is>
          <t>LINDESBERG</t>
        </is>
      </c>
      <c r="G314" t="n">
        <v>4.7</v>
      </c>
      <c r="H314" t="n">
        <v>0</v>
      </c>
      <c r="I314" t="n">
        <v>0</v>
      </c>
      <c r="J314" t="n">
        <v>0</v>
      </c>
      <c r="K314" t="n">
        <v>0</v>
      </c>
      <c r="L314" t="n">
        <v>0</v>
      </c>
      <c r="M314" t="n">
        <v>0</v>
      </c>
      <c r="N314" t="n">
        <v>0</v>
      </c>
      <c r="O314" t="n">
        <v>0</v>
      </c>
      <c r="P314" t="n">
        <v>0</v>
      </c>
      <c r="Q314" t="n">
        <v>0</v>
      </c>
      <c r="R314" s="2" t="inlineStr"/>
    </row>
    <row r="315" ht="15" customHeight="1">
      <c r="A315" t="inlineStr">
        <is>
          <t>A 60941-2024</t>
        </is>
      </c>
      <c r="B315" s="1" t="n">
        <v>45645.3712037037</v>
      </c>
      <c r="C315" s="1" t="n">
        <v>46158</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46158</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46158</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27300-2025</t>
        </is>
      </c>
      <c r="B318" s="1" t="n">
        <v>45812.57143518519</v>
      </c>
      <c r="C318" s="1" t="n">
        <v>46158</v>
      </c>
      <c r="D318" t="inlineStr">
        <is>
          <t>ÖREBRO LÄN</t>
        </is>
      </c>
      <c r="E318" t="inlineStr">
        <is>
          <t>LINDESBERG</t>
        </is>
      </c>
      <c r="F318" t="inlineStr">
        <is>
          <t>Sveaskog</t>
        </is>
      </c>
      <c r="G318" t="n">
        <v>19.7</v>
      </c>
      <c r="H318" t="n">
        <v>0</v>
      </c>
      <c r="I318" t="n">
        <v>0</v>
      </c>
      <c r="J318" t="n">
        <v>0</v>
      </c>
      <c r="K318" t="n">
        <v>0</v>
      </c>
      <c r="L318" t="n">
        <v>0</v>
      </c>
      <c r="M318" t="n">
        <v>0</v>
      </c>
      <c r="N318" t="n">
        <v>0</v>
      </c>
      <c r="O318" t="n">
        <v>0</v>
      </c>
      <c r="P318" t="n">
        <v>0</v>
      </c>
      <c r="Q318" t="n">
        <v>0</v>
      </c>
      <c r="R318" s="2" t="inlineStr"/>
    </row>
    <row r="319" ht="15" customHeight="1">
      <c r="A319" t="inlineStr">
        <is>
          <t>A 64365-2023</t>
        </is>
      </c>
      <c r="B319" s="1" t="n">
        <v>45280</v>
      </c>
      <c r="C319" s="1" t="n">
        <v>46158</v>
      </c>
      <c r="D319" t="inlineStr">
        <is>
          <t>ÖREBRO LÄN</t>
        </is>
      </c>
      <c r="E319" t="inlineStr">
        <is>
          <t>LINDESBERG</t>
        </is>
      </c>
      <c r="F319" t="inlineStr">
        <is>
          <t>Kyrkan</t>
        </is>
      </c>
      <c r="G319" t="n">
        <v>1.4</v>
      </c>
      <c r="H319" t="n">
        <v>0</v>
      </c>
      <c r="I319" t="n">
        <v>0</v>
      </c>
      <c r="J319" t="n">
        <v>0</v>
      </c>
      <c r="K319" t="n">
        <v>0</v>
      </c>
      <c r="L319" t="n">
        <v>0</v>
      </c>
      <c r="M319" t="n">
        <v>0</v>
      </c>
      <c r="N319" t="n">
        <v>0</v>
      </c>
      <c r="O319" t="n">
        <v>0</v>
      </c>
      <c r="P319" t="n">
        <v>0</v>
      </c>
      <c r="Q319" t="n">
        <v>0</v>
      </c>
      <c r="R319" s="2" t="inlineStr"/>
    </row>
    <row r="320" ht="15" customHeight="1">
      <c r="A320" t="inlineStr">
        <is>
          <t>A 37738-2024</t>
        </is>
      </c>
      <c r="B320" s="1" t="n">
        <v>45541.66916666667</v>
      </c>
      <c r="C320" s="1" t="n">
        <v>46158</v>
      </c>
      <c r="D320" t="inlineStr">
        <is>
          <t>ÖREBRO LÄN</t>
        </is>
      </c>
      <c r="E320" t="inlineStr">
        <is>
          <t>LINDESBERG</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27296-2025</t>
        </is>
      </c>
      <c r="B321" s="1" t="n">
        <v>45812.56952546296</v>
      </c>
      <c r="C321" s="1" t="n">
        <v>46158</v>
      </c>
      <c r="D321" t="inlineStr">
        <is>
          <t>ÖREBRO LÄN</t>
        </is>
      </c>
      <c r="E321" t="inlineStr">
        <is>
          <t>LINDESBERG</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33428-2024</t>
        </is>
      </c>
      <c r="B322" s="1" t="n">
        <v>45519.52319444445</v>
      </c>
      <c r="C322" s="1" t="n">
        <v>46158</v>
      </c>
      <c r="D322" t="inlineStr">
        <is>
          <t>ÖREBRO LÄN</t>
        </is>
      </c>
      <c r="E322" t="inlineStr">
        <is>
          <t>LINDESBERG</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41653-2025</t>
        </is>
      </c>
      <c r="B323" s="1" t="n">
        <v>45902.3406712963</v>
      </c>
      <c r="C323" s="1" t="n">
        <v>46158</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610-2026</t>
        </is>
      </c>
      <c r="B324" s="1" t="n">
        <v>46029</v>
      </c>
      <c r="C324" s="1" t="n">
        <v>46158</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59766-2022</t>
        </is>
      </c>
      <c r="B325" s="1" t="n">
        <v>44908.49152777778</v>
      </c>
      <c r="C325" s="1" t="n">
        <v>46158</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41340-2025</t>
        </is>
      </c>
      <c r="B326" s="1" t="n">
        <v>45899.38057870371</v>
      </c>
      <c r="C326" s="1" t="n">
        <v>46158</v>
      </c>
      <c r="D326" t="inlineStr">
        <is>
          <t>ÖREBRO LÄN</t>
        </is>
      </c>
      <c r="E326" t="inlineStr">
        <is>
          <t>LINDESBERG</t>
        </is>
      </c>
      <c r="G326" t="n">
        <v>16.5</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46158</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46158</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46158</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46158</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911-2026</t>
        </is>
      </c>
      <c r="B331" s="1" t="n">
        <v>46030.47725694445</v>
      </c>
      <c r="C331" s="1" t="n">
        <v>46158</v>
      </c>
      <c r="D331" t="inlineStr">
        <is>
          <t>ÖREBRO LÄN</t>
        </is>
      </c>
      <c r="E331" t="inlineStr">
        <is>
          <t>LINDESBERG</t>
        </is>
      </c>
      <c r="G331" t="n">
        <v>1.6</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46158</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46158</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46158</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46158</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5358-2022</t>
        </is>
      </c>
      <c r="B336" s="1" t="n">
        <v>44594.84091435185</v>
      </c>
      <c r="C336" s="1" t="n">
        <v>46158</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878-2026</t>
        </is>
      </c>
      <c r="B337" s="1" t="n">
        <v>46030.44277777777</v>
      </c>
      <c r="C337" s="1" t="n">
        <v>46158</v>
      </c>
      <c r="D337" t="inlineStr">
        <is>
          <t>ÖREBRO LÄN</t>
        </is>
      </c>
      <c r="E337" t="inlineStr">
        <is>
          <t>LINDESBERG</t>
        </is>
      </c>
      <c r="G337" t="n">
        <v>2.2</v>
      </c>
      <c r="H337" t="n">
        <v>0</v>
      </c>
      <c r="I337" t="n">
        <v>0</v>
      </c>
      <c r="J337" t="n">
        <v>0</v>
      </c>
      <c r="K337" t="n">
        <v>0</v>
      </c>
      <c r="L337" t="n">
        <v>0</v>
      </c>
      <c r="M337" t="n">
        <v>0</v>
      </c>
      <c r="N337" t="n">
        <v>0</v>
      </c>
      <c r="O337" t="n">
        <v>0</v>
      </c>
      <c r="P337" t="n">
        <v>0</v>
      </c>
      <c r="Q337" t="n">
        <v>0</v>
      </c>
      <c r="R337" s="2" t="inlineStr"/>
    </row>
    <row r="338" ht="15" customHeight="1">
      <c r="A338" t="inlineStr">
        <is>
          <t>A 13884-2023</t>
        </is>
      </c>
      <c r="B338" s="1" t="n">
        <v>45007</v>
      </c>
      <c r="C338" s="1" t="n">
        <v>46158</v>
      </c>
      <c r="D338" t="inlineStr">
        <is>
          <t>ÖREBRO LÄN</t>
        </is>
      </c>
      <c r="E338" t="inlineStr">
        <is>
          <t>LINDESBERG</t>
        </is>
      </c>
      <c r="F338" t="inlineStr">
        <is>
          <t>Kommuner</t>
        </is>
      </c>
      <c r="G338" t="n">
        <v>7.7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46158</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15324-2024</t>
        </is>
      </c>
      <c r="B340" s="1" t="n">
        <v>45400.66995370371</v>
      </c>
      <c r="C340" s="1" t="n">
        <v>46158</v>
      </c>
      <c r="D340" t="inlineStr">
        <is>
          <t>ÖREBRO LÄN</t>
        </is>
      </c>
      <c r="E340" t="inlineStr">
        <is>
          <t>LINDESBERG</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42630-2025</t>
        </is>
      </c>
      <c r="B341" s="1" t="n">
        <v>45905.89143518519</v>
      </c>
      <c r="C341" s="1" t="n">
        <v>46158</v>
      </c>
      <c r="D341" t="inlineStr">
        <is>
          <t>ÖREBRO LÄN</t>
        </is>
      </c>
      <c r="E341" t="inlineStr">
        <is>
          <t>LINDESBERG</t>
        </is>
      </c>
      <c r="F341" t="inlineStr">
        <is>
          <t>Sveaskog</t>
        </is>
      </c>
      <c r="G341" t="n">
        <v>9.9</v>
      </c>
      <c r="H341" t="n">
        <v>0</v>
      </c>
      <c r="I341" t="n">
        <v>0</v>
      </c>
      <c r="J341" t="n">
        <v>0</v>
      </c>
      <c r="K341" t="n">
        <v>0</v>
      </c>
      <c r="L341" t="n">
        <v>0</v>
      </c>
      <c r="M341" t="n">
        <v>0</v>
      </c>
      <c r="N341" t="n">
        <v>0</v>
      </c>
      <c r="O341" t="n">
        <v>0</v>
      </c>
      <c r="P341" t="n">
        <v>0</v>
      </c>
      <c r="Q341" t="n">
        <v>0</v>
      </c>
      <c r="R341" s="2" t="inlineStr"/>
    </row>
    <row r="342" ht="15" customHeight="1">
      <c r="A342" t="inlineStr">
        <is>
          <t>A 28877-2025</t>
        </is>
      </c>
      <c r="B342" s="1" t="n">
        <v>45820.61684027778</v>
      </c>
      <c r="C342" s="1" t="n">
        <v>46158</v>
      </c>
      <c r="D342" t="inlineStr">
        <is>
          <t>ÖREBRO LÄN</t>
        </is>
      </c>
      <c r="E342" t="inlineStr">
        <is>
          <t>LINDESBERG</t>
        </is>
      </c>
      <c r="G342" t="n">
        <v>4.4</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46158</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42632-2025</t>
        </is>
      </c>
      <c r="B344" s="1" t="n">
        <v>45905.89329861111</v>
      </c>
      <c r="C344" s="1" t="n">
        <v>46158</v>
      </c>
      <c r="D344" t="inlineStr">
        <is>
          <t>ÖREBRO LÄN</t>
        </is>
      </c>
      <c r="E344" t="inlineStr">
        <is>
          <t>LINDESBERG</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4539-2025</t>
        </is>
      </c>
      <c r="B345" s="1" t="n">
        <v>45687</v>
      </c>
      <c r="C345" s="1" t="n">
        <v>46158</v>
      </c>
      <c r="D345" t="inlineStr">
        <is>
          <t>ÖREBRO LÄN</t>
        </is>
      </c>
      <c r="E345" t="inlineStr">
        <is>
          <t>LINDESBERG</t>
        </is>
      </c>
      <c r="G345" t="n">
        <v>2.2</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46158</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1160-2026</t>
        </is>
      </c>
      <c r="B347" s="1" t="n">
        <v>46031</v>
      </c>
      <c r="C347" s="1" t="n">
        <v>46158</v>
      </c>
      <c r="D347" t="inlineStr">
        <is>
          <t>ÖREBRO LÄN</t>
        </is>
      </c>
      <c r="E347" t="inlineStr">
        <is>
          <t>LINDESBERG</t>
        </is>
      </c>
      <c r="G347" t="n">
        <v>12.2</v>
      </c>
      <c r="H347" t="n">
        <v>0</v>
      </c>
      <c r="I347" t="n">
        <v>0</v>
      </c>
      <c r="J347" t="n">
        <v>0</v>
      </c>
      <c r="K347" t="n">
        <v>0</v>
      </c>
      <c r="L347" t="n">
        <v>0</v>
      </c>
      <c r="M347" t="n">
        <v>0</v>
      </c>
      <c r="N347" t="n">
        <v>0</v>
      </c>
      <c r="O347" t="n">
        <v>0</v>
      </c>
      <c r="P347" t="n">
        <v>0</v>
      </c>
      <c r="Q347" t="n">
        <v>0</v>
      </c>
      <c r="R347" s="2" t="inlineStr"/>
    </row>
    <row r="348" ht="15" customHeight="1">
      <c r="A348" t="inlineStr">
        <is>
          <t>A 1749-2026</t>
        </is>
      </c>
      <c r="B348" s="1" t="n">
        <v>46034.65601851852</v>
      </c>
      <c r="C348" s="1" t="n">
        <v>46158</v>
      </c>
      <c r="D348" t="inlineStr">
        <is>
          <t>ÖREBRO LÄN</t>
        </is>
      </c>
      <c r="E348" t="inlineStr">
        <is>
          <t>LINDESBERG</t>
        </is>
      </c>
      <c r="G348" t="n">
        <v>2.2</v>
      </c>
      <c r="H348" t="n">
        <v>0</v>
      </c>
      <c r="I348" t="n">
        <v>0</v>
      </c>
      <c r="J348" t="n">
        <v>0</v>
      </c>
      <c r="K348" t="n">
        <v>0</v>
      </c>
      <c r="L348" t="n">
        <v>0</v>
      </c>
      <c r="M348" t="n">
        <v>0</v>
      </c>
      <c r="N348" t="n">
        <v>0</v>
      </c>
      <c r="O348" t="n">
        <v>0</v>
      </c>
      <c r="P348" t="n">
        <v>0</v>
      </c>
      <c r="Q348" t="n">
        <v>0</v>
      </c>
      <c r="R348" s="2" t="inlineStr"/>
    </row>
    <row r="349" ht="15" customHeight="1">
      <c r="A349" t="inlineStr">
        <is>
          <t>A 28991-2025</t>
        </is>
      </c>
      <c r="B349" s="1" t="n">
        <v>45821.37199074074</v>
      </c>
      <c r="C349" s="1" t="n">
        <v>46158</v>
      </c>
      <c r="D349" t="inlineStr">
        <is>
          <t>ÖREBRO LÄN</t>
        </is>
      </c>
      <c r="E349" t="inlineStr">
        <is>
          <t>LINDESBERG</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29037-2025</t>
        </is>
      </c>
      <c r="B350" s="1" t="n">
        <v>45821.44521990741</v>
      </c>
      <c r="C350" s="1" t="n">
        <v>46158</v>
      </c>
      <c r="D350" t="inlineStr">
        <is>
          <t>ÖREBRO LÄN</t>
        </is>
      </c>
      <c r="E350" t="inlineStr">
        <is>
          <t>LINDESBERG</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37843-2025</t>
        </is>
      </c>
      <c r="B351" s="1" t="n">
        <v>45881.43759259259</v>
      </c>
      <c r="C351" s="1" t="n">
        <v>46158</v>
      </c>
      <c r="D351" t="inlineStr">
        <is>
          <t>ÖREBRO LÄN</t>
        </is>
      </c>
      <c r="E351" t="inlineStr">
        <is>
          <t>LINDESBERG</t>
        </is>
      </c>
      <c r="G351" t="n">
        <v>5.2</v>
      </c>
      <c r="H351" t="n">
        <v>0</v>
      </c>
      <c r="I351" t="n">
        <v>0</v>
      </c>
      <c r="J351" t="n">
        <v>0</v>
      </c>
      <c r="K351" t="n">
        <v>0</v>
      </c>
      <c r="L351" t="n">
        <v>0</v>
      </c>
      <c r="M351" t="n">
        <v>0</v>
      </c>
      <c r="N351" t="n">
        <v>0</v>
      </c>
      <c r="O351" t="n">
        <v>0</v>
      </c>
      <c r="P351" t="n">
        <v>0</v>
      </c>
      <c r="Q351" t="n">
        <v>0</v>
      </c>
      <c r="R351" s="2" t="inlineStr"/>
    </row>
    <row r="352" ht="15" customHeight="1">
      <c r="A352" t="inlineStr">
        <is>
          <t>A 2556-2026</t>
        </is>
      </c>
      <c r="B352" s="1" t="n">
        <v>46035</v>
      </c>
      <c r="C352" s="1" t="n">
        <v>46158</v>
      </c>
      <c r="D352" t="inlineStr">
        <is>
          <t>ÖREBRO LÄN</t>
        </is>
      </c>
      <c r="E352" t="inlineStr">
        <is>
          <t>LINDESBERG</t>
        </is>
      </c>
      <c r="G352" t="n">
        <v>3.4</v>
      </c>
      <c r="H352" t="n">
        <v>0</v>
      </c>
      <c r="I352" t="n">
        <v>0</v>
      </c>
      <c r="J352" t="n">
        <v>0</v>
      </c>
      <c r="K352" t="n">
        <v>0</v>
      </c>
      <c r="L352" t="n">
        <v>0</v>
      </c>
      <c r="M352" t="n">
        <v>0</v>
      </c>
      <c r="N352" t="n">
        <v>0</v>
      </c>
      <c r="O352" t="n">
        <v>0</v>
      </c>
      <c r="P352" t="n">
        <v>0</v>
      </c>
      <c r="Q352" t="n">
        <v>0</v>
      </c>
      <c r="R352" s="2" t="inlineStr"/>
    </row>
    <row r="353" ht="15" customHeight="1">
      <c r="A353" t="inlineStr">
        <is>
          <t>A 29051-2025</t>
        </is>
      </c>
      <c r="B353" s="1" t="n">
        <v>45821.46486111111</v>
      </c>
      <c r="C353" s="1" t="n">
        <v>46158</v>
      </c>
      <c r="D353" t="inlineStr">
        <is>
          <t>ÖREBRO LÄN</t>
        </is>
      </c>
      <c r="E353" t="inlineStr">
        <is>
          <t>LINDESBERG</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29049-2025</t>
        </is>
      </c>
      <c r="B354" s="1" t="n">
        <v>45821.46135416667</v>
      </c>
      <c r="C354" s="1" t="n">
        <v>46158</v>
      </c>
      <c r="D354" t="inlineStr">
        <is>
          <t>ÖREBRO LÄN</t>
        </is>
      </c>
      <c r="E354" t="inlineStr">
        <is>
          <t>LINDESBERG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47066-2023</t>
        </is>
      </c>
      <c r="B355" s="1" t="n">
        <v>45201</v>
      </c>
      <c r="C355" s="1" t="n">
        <v>46158</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42410-2024</t>
        </is>
      </c>
      <c r="B356" s="1" t="n">
        <v>45565</v>
      </c>
      <c r="C356" s="1" t="n">
        <v>46158</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55631-2022</t>
        </is>
      </c>
      <c r="B357" s="1" t="n">
        <v>44888.4577662037</v>
      </c>
      <c r="C357" s="1" t="n">
        <v>46158</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42282-2024</t>
        </is>
      </c>
      <c r="B358" s="1" t="n">
        <v>45562.61158564815</v>
      </c>
      <c r="C358" s="1" t="n">
        <v>46158</v>
      </c>
      <c r="D358" t="inlineStr">
        <is>
          <t>ÖREBRO LÄN</t>
        </is>
      </c>
      <c r="E358" t="inlineStr">
        <is>
          <t>LINDESBERG</t>
        </is>
      </c>
      <c r="G358" t="n">
        <v>0.8</v>
      </c>
      <c r="H358" t="n">
        <v>0</v>
      </c>
      <c r="I358" t="n">
        <v>0</v>
      </c>
      <c r="J358" t="n">
        <v>0</v>
      </c>
      <c r="K358" t="n">
        <v>0</v>
      </c>
      <c r="L358" t="n">
        <v>0</v>
      </c>
      <c r="M358" t="n">
        <v>0</v>
      </c>
      <c r="N358" t="n">
        <v>0</v>
      </c>
      <c r="O358" t="n">
        <v>0</v>
      </c>
      <c r="P358" t="n">
        <v>0</v>
      </c>
      <c r="Q358" t="n">
        <v>0</v>
      </c>
      <c r="R358" s="2" t="inlineStr"/>
    </row>
    <row r="359" ht="15" customHeight="1">
      <c r="A359" t="inlineStr">
        <is>
          <t>A 42430-2024</t>
        </is>
      </c>
      <c r="B359" s="1" t="n">
        <v>45565.40700231482</v>
      </c>
      <c r="C359" s="1" t="n">
        <v>46158</v>
      </c>
      <c r="D359" t="inlineStr">
        <is>
          <t>ÖREBRO LÄN</t>
        </is>
      </c>
      <c r="E359" t="inlineStr">
        <is>
          <t>LINDESBERG</t>
        </is>
      </c>
      <c r="G359" t="n">
        <v>4</v>
      </c>
      <c r="H359" t="n">
        <v>0</v>
      </c>
      <c r="I359" t="n">
        <v>0</v>
      </c>
      <c r="J359" t="n">
        <v>0</v>
      </c>
      <c r="K359" t="n">
        <v>0</v>
      </c>
      <c r="L359" t="n">
        <v>0</v>
      </c>
      <c r="M359" t="n">
        <v>0</v>
      </c>
      <c r="N359" t="n">
        <v>0</v>
      </c>
      <c r="O359" t="n">
        <v>0</v>
      </c>
      <c r="P359" t="n">
        <v>0</v>
      </c>
      <c r="Q359" t="n">
        <v>0</v>
      </c>
      <c r="R359" s="2" t="inlineStr"/>
    </row>
    <row r="360" ht="15" customHeight="1">
      <c r="A360" t="inlineStr">
        <is>
          <t>A 43837-2025</t>
        </is>
      </c>
      <c r="B360" s="1" t="n">
        <v>45912.63451388889</v>
      </c>
      <c r="C360" s="1" t="n">
        <v>46158</v>
      </c>
      <c r="D360" t="inlineStr">
        <is>
          <t>ÖREBRO LÄN</t>
        </is>
      </c>
      <c r="E360" t="inlineStr">
        <is>
          <t>LINDESBERG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2958-2026</t>
        </is>
      </c>
      <c r="B361" s="1" t="n">
        <v>46038.61067129629</v>
      </c>
      <c r="C361" s="1" t="n">
        <v>46158</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2704-2026</t>
        </is>
      </c>
      <c r="B362" s="1" t="n">
        <v>46037.69133101852</v>
      </c>
      <c r="C362" s="1" t="n">
        <v>46158</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2859-2026</t>
        </is>
      </c>
      <c r="B363" s="1" t="n">
        <v>46038.49269675926</v>
      </c>
      <c r="C363" s="1" t="n">
        <v>46158</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2929-2026</t>
        </is>
      </c>
      <c r="B364" s="1" t="n">
        <v>46038.58241898148</v>
      </c>
      <c r="C364" s="1" t="n">
        <v>46158</v>
      </c>
      <c r="D364" t="inlineStr">
        <is>
          <t>ÖREBRO LÄN</t>
        </is>
      </c>
      <c r="E364" t="inlineStr">
        <is>
          <t>LINDESBERG</t>
        </is>
      </c>
      <c r="G364" t="n">
        <v>1.8</v>
      </c>
      <c r="H364" t="n">
        <v>0</v>
      </c>
      <c r="I364" t="n">
        <v>0</v>
      </c>
      <c r="J364" t="n">
        <v>0</v>
      </c>
      <c r="K364" t="n">
        <v>0</v>
      </c>
      <c r="L364" t="n">
        <v>0</v>
      </c>
      <c r="M364" t="n">
        <v>0</v>
      </c>
      <c r="N364" t="n">
        <v>0</v>
      </c>
      <c r="O364" t="n">
        <v>0</v>
      </c>
      <c r="P364" t="n">
        <v>0</v>
      </c>
      <c r="Q364" t="n">
        <v>0</v>
      </c>
      <c r="R364" s="2" t="inlineStr"/>
    </row>
    <row r="365" ht="15" customHeight="1">
      <c r="A365" t="inlineStr">
        <is>
          <t>A 2902-2026</t>
        </is>
      </c>
      <c r="B365" s="1" t="n">
        <v>46038.55849537037</v>
      </c>
      <c r="C365" s="1" t="n">
        <v>46158</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2949-2026</t>
        </is>
      </c>
      <c r="B366" s="1" t="n">
        <v>46038.59640046296</v>
      </c>
      <c r="C366" s="1" t="n">
        <v>46158</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43847-2025</t>
        </is>
      </c>
      <c r="B367" s="1" t="n">
        <v>45912.63751157407</v>
      </c>
      <c r="C367" s="1" t="n">
        <v>46158</v>
      </c>
      <c r="D367" t="inlineStr">
        <is>
          <t>ÖREBRO LÄN</t>
        </is>
      </c>
      <c r="E367" t="inlineStr">
        <is>
          <t>LINDESBERG</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2969-2026</t>
        </is>
      </c>
      <c r="B368" s="1" t="n">
        <v>46038.61912037037</v>
      </c>
      <c r="C368" s="1" t="n">
        <v>46158</v>
      </c>
      <c r="D368" t="inlineStr">
        <is>
          <t>ÖREBRO LÄN</t>
        </is>
      </c>
      <c r="E368" t="inlineStr">
        <is>
          <t>LINDESBERG</t>
        </is>
      </c>
      <c r="G368" t="n">
        <v>2.6</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46158</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15822-2024</t>
        </is>
      </c>
      <c r="B370" s="1" t="n">
        <v>45404.68190972223</v>
      </c>
      <c r="C370" s="1" t="n">
        <v>46158</v>
      </c>
      <c r="D370" t="inlineStr">
        <is>
          <t>ÖREBRO LÄN</t>
        </is>
      </c>
      <c r="E370" t="inlineStr">
        <is>
          <t>LINDESBERG</t>
        </is>
      </c>
      <c r="F370" t="inlineStr">
        <is>
          <t>Sveaskog</t>
        </is>
      </c>
      <c r="G370" t="n">
        <v>6.7</v>
      </c>
      <c r="H370" t="n">
        <v>0</v>
      </c>
      <c r="I370" t="n">
        <v>0</v>
      </c>
      <c r="J370" t="n">
        <v>0</v>
      </c>
      <c r="K370" t="n">
        <v>0</v>
      </c>
      <c r="L370" t="n">
        <v>0</v>
      </c>
      <c r="M370" t="n">
        <v>0</v>
      </c>
      <c r="N370" t="n">
        <v>0</v>
      </c>
      <c r="O370" t="n">
        <v>0</v>
      </c>
      <c r="P370" t="n">
        <v>0</v>
      </c>
      <c r="Q370" t="n">
        <v>0</v>
      </c>
      <c r="R370" s="2" t="inlineStr"/>
    </row>
    <row r="371" ht="15" customHeight="1">
      <c r="A371" t="inlineStr">
        <is>
          <t>A 3227-2026</t>
        </is>
      </c>
      <c r="B371" s="1" t="n">
        <v>46041.54181712963</v>
      </c>
      <c r="C371" s="1" t="n">
        <v>46158</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40038-2024</t>
        </is>
      </c>
      <c r="B372" s="1" t="n">
        <v>45553</v>
      </c>
      <c r="C372" s="1" t="n">
        <v>46158</v>
      </c>
      <c r="D372" t="inlineStr">
        <is>
          <t>ÖREBRO LÄN</t>
        </is>
      </c>
      <c r="E372" t="inlineStr">
        <is>
          <t>LINDESBERG</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8213-2023</t>
        </is>
      </c>
      <c r="B373" s="1" t="n">
        <v>44974.55693287037</v>
      </c>
      <c r="C373" s="1" t="n">
        <v>46158</v>
      </c>
      <c r="D373" t="inlineStr">
        <is>
          <t>ÖREBRO LÄN</t>
        </is>
      </c>
      <c r="E373" t="inlineStr">
        <is>
          <t>LINDESBERG</t>
        </is>
      </c>
      <c r="G373" t="n">
        <v>0.7</v>
      </c>
      <c r="H373" t="n">
        <v>0</v>
      </c>
      <c r="I373" t="n">
        <v>0</v>
      </c>
      <c r="J373" t="n">
        <v>0</v>
      </c>
      <c r="K373" t="n">
        <v>0</v>
      </c>
      <c r="L373" t="n">
        <v>0</v>
      </c>
      <c r="M373" t="n">
        <v>0</v>
      </c>
      <c r="N373" t="n">
        <v>0</v>
      </c>
      <c r="O373" t="n">
        <v>0</v>
      </c>
      <c r="P373" t="n">
        <v>0</v>
      </c>
      <c r="Q373" t="n">
        <v>0</v>
      </c>
      <c r="R373" s="2" t="inlineStr"/>
    </row>
    <row r="374" ht="15" customHeight="1">
      <c r="A374" t="inlineStr">
        <is>
          <t>A 3315-2026</t>
        </is>
      </c>
      <c r="B374" s="1" t="n">
        <v>46041.68443287037</v>
      </c>
      <c r="C374" s="1" t="n">
        <v>46158</v>
      </c>
      <c r="D374" t="inlineStr">
        <is>
          <t>ÖREBRO LÄN</t>
        </is>
      </c>
      <c r="E374" t="inlineStr">
        <is>
          <t>LINDESBERG</t>
        </is>
      </c>
      <c r="G374" t="n">
        <v>7.6</v>
      </c>
      <c r="H374" t="n">
        <v>0</v>
      </c>
      <c r="I374" t="n">
        <v>0</v>
      </c>
      <c r="J374" t="n">
        <v>0</v>
      </c>
      <c r="K374" t="n">
        <v>0</v>
      </c>
      <c r="L374" t="n">
        <v>0</v>
      </c>
      <c r="M374" t="n">
        <v>0</v>
      </c>
      <c r="N374" t="n">
        <v>0</v>
      </c>
      <c r="O374" t="n">
        <v>0</v>
      </c>
      <c r="P374" t="n">
        <v>0</v>
      </c>
      <c r="Q374" t="n">
        <v>0</v>
      </c>
      <c r="R374" s="2" t="inlineStr"/>
    </row>
    <row r="375" ht="15" customHeight="1">
      <c r="A375" t="inlineStr">
        <is>
          <t>A 30000-2025</t>
        </is>
      </c>
      <c r="B375" s="1" t="n">
        <v>45826.52024305556</v>
      </c>
      <c r="C375" s="1" t="n">
        <v>46158</v>
      </c>
      <c r="D375" t="inlineStr">
        <is>
          <t>ÖREBRO LÄN</t>
        </is>
      </c>
      <c r="E375" t="inlineStr">
        <is>
          <t>LINDESBERG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44041-2025</t>
        </is>
      </c>
      <c r="B376" s="1" t="n">
        <v>45915.49238425926</v>
      </c>
      <c r="C376" s="1" t="n">
        <v>46158</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46158</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3732-2023</t>
        </is>
      </c>
      <c r="B378" s="1" t="n">
        <v>44949</v>
      </c>
      <c r="C378" s="1" t="n">
        <v>46158</v>
      </c>
      <c r="D378" t="inlineStr">
        <is>
          <t>ÖREBRO LÄN</t>
        </is>
      </c>
      <c r="E378" t="inlineStr">
        <is>
          <t>LINDESBERG</t>
        </is>
      </c>
      <c r="G378" t="n">
        <v>3.3</v>
      </c>
      <c r="H378" t="n">
        <v>0</v>
      </c>
      <c r="I378" t="n">
        <v>0</v>
      </c>
      <c r="J378" t="n">
        <v>0</v>
      </c>
      <c r="K378" t="n">
        <v>0</v>
      </c>
      <c r="L378" t="n">
        <v>0</v>
      </c>
      <c r="M378" t="n">
        <v>0</v>
      </c>
      <c r="N378" t="n">
        <v>0</v>
      </c>
      <c r="O378" t="n">
        <v>0</v>
      </c>
      <c r="P378" t="n">
        <v>0</v>
      </c>
      <c r="Q378" t="n">
        <v>0</v>
      </c>
      <c r="R378" s="2" t="inlineStr"/>
    </row>
    <row r="379" ht="15" customHeight="1">
      <c r="A379" t="inlineStr">
        <is>
          <t>A 47155-2024</t>
        </is>
      </c>
      <c r="B379" s="1" t="n">
        <v>45586</v>
      </c>
      <c r="C379" s="1" t="n">
        <v>46158</v>
      </c>
      <c r="D379" t="inlineStr">
        <is>
          <t>ÖREBRO LÄN</t>
        </is>
      </c>
      <c r="E379" t="inlineStr">
        <is>
          <t>LINDESBERG</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30341-2025</t>
        </is>
      </c>
      <c r="B380" s="1" t="n">
        <v>45827.51862268519</v>
      </c>
      <c r="C380" s="1" t="n">
        <v>46158</v>
      </c>
      <c r="D380" t="inlineStr">
        <is>
          <t>ÖREBRO LÄN</t>
        </is>
      </c>
      <c r="E380" t="inlineStr">
        <is>
          <t>LINDESBERG</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46158</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2569-2023</t>
        </is>
      </c>
      <c r="B382" s="1" t="n">
        <v>44943.73792824074</v>
      </c>
      <c r="C382" s="1" t="n">
        <v>46158</v>
      </c>
      <c r="D382" t="inlineStr">
        <is>
          <t>ÖREBRO LÄN</t>
        </is>
      </c>
      <c r="E382" t="inlineStr">
        <is>
          <t>LINDESBERG</t>
        </is>
      </c>
      <c r="G382" t="n">
        <v>2.3</v>
      </c>
      <c r="H382" t="n">
        <v>0</v>
      </c>
      <c r="I382" t="n">
        <v>0</v>
      </c>
      <c r="J382" t="n">
        <v>0</v>
      </c>
      <c r="K382" t="n">
        <v>0</v>
      </c>
      <c r="L382" t="n">
        <v>0</v>
      </c>
      <c r="M382" t="n">
        <v>0</v>
      </c>
      <c r="N382" t="n">
        <v>0</v>
      </c>
      <c r="O382" t="n">
        <v>0</v>
      </c>
      <c r="P382" t="n">
        <v>0</v>
      </c>
      <c r="Q382" t="n">
        <v>0</v>
      </c>
      <c r="R382" s="2" t="inlineStr"/>
    </row>
    <row r="383" ht="15" customHeight="1">
      <c r="A383" t="inlineStr">
        <is>
          <t>A 30340-2025</t>
        </is>
      </c>
      <c r="B383" s="1" t="n">
        <v>45827.51753472222</v>
      </c>
      <c r="C383" s="1" t="n">
        <v>46158</v>
      </c>
      <c r="D383" t="inlineStr">
        <is>
          <t>ÖREBRO LÄN</t>
        </is>
      </c>
      <c r="E383" t="inlineStr">
        <is>
          <t>LINDESBERG</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30342-2025</t>
        </is>
      </c>
      <c r="B384" s="1" t="n">
        <v>45827.51956018519</v>
      </c>
      <c r="C384" s="1" t="n">
        <v>46158</v>
      </c>
      <c r="D384" t="inlineStr">
        <is>
          <t>ÖREBRO LÄN</t>
        </is>
      </c>
      <c r="E384" t="inlineStr">
        <is>
          <t>LINDESBERG</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30381-2025</t>
        </is>
      </c>
      <c r="B385" s="1" t="n">
        <v>45827.56939814815</v>
      </c>
      <c r="C385" s="1" t="n">
        <v>46158</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3660-2026</t>
        </is>
      </c>
      <c r="B386" s="1" t="n">
        <v>46043.38744212963</v>
      </c>
      <c r="C386" s="1" t="n">
        <v>46158</v>
      </c>
      <c r="D386" t="inlineStr">
        <is>
          <t>ÖREBRO LÄN</t>
        </is>
      </c>
      <c r="E386" t="inlineStr">
        <is>
          <t>LINDESBERG</t>
        </is>
      </c>
      <c r="G386" t="n">
        <v>3.4</v>
      </c>
      <c r="H386" t="n">
        <v>0</v>
      </c>
      <c r="I386" t="n">
        <v>0</v>
      </c>
      <c r="J386" t="n">
        <v>0</v>
      </c>
      <c r="K386" t="n">
        <v>0</v>
      </c>
      <c r="L386" t="n">
        <v>0</v>
      </c>
      <c r="M386" t="n">
        <v>0</v>
      </c>
      <c r="N386" t="n">
        <v>0</v>
      </c>
      <c r="O386" t="n">
        <v>0</v>
      </c>
      <c r="P386" t="n">
        <v>0</v>
      </c>
      <c r="Q386" t="n">
        <v>0</v>
      </c>
      <c r="R386" s="2" t="inlineStr"/>
    </row>
    <row r="387" ht="15" customHeight="1">
      <c r="A387" t="inlineStr">
        <is>
          <t>A 30339-2025</t>
        </is>
      </c>
      <c r="B387" s="1" t="n">
        <v>45827.51628472222</v>
      </c>
      <c r="C387" s="1" t="n">
        <v>46158</v>
      </c>
      <c r="D387" t="inlineStr">
        <is>
          <t>ÖREBRO LÄN</t>
        </is>
      </c>
      <c r="E387" t="inlineStr">
        <is>
          <t>LINDESBERG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9966-2023</t>
        </is>
      </c>
      <c r="B388" s="1" t="n">
        <v>44979</v>
      </c>
      <c r="C388" s="1" t="n">
        <v>46158</v>
      </c>
      <c r="D388" t="inlineStr">
        <is>
          <t>ÖREBRO LÄN</t>
        </is>
      </c>
      <c r="E388" t="inlineStr">
        <is>
          <t>LINDESBERG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31215-2025</t>
        </is>
      </c>
      <c r="B389" s="1" t="n">
        <v>45832.74418981482</v>
      </c>
      <c r="C389" s="1" t="n">
        <v>46158</v>
      </c>
      <c r="D389" t="inlineStr">
        <is>
          <t>ÖREBRO LÄN</t>
        </is>
      </c>
      <c r="E389" t="inlineStr">
        <is>
          <t>LINDESBERG</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34029-2024</t>
        </is>
      </c>
      <c r="B390" s="1" t="n">
        <v>45523</v>
      </c>
      <c r="C390" s="1" t="n">
        <v>46158</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31014-2025</t>
        </is>
      </c>
      <c r="B391" s="1" t="n">
        <v>45832.51028935185</v>
      </c>
      <c r="C391" s="1" t="n">
        <v>46158</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31049-2025</t>
        </is>
      </c>
      <c r="B392" s="1" t="n">
        <v>45832.55810185185</v>
      </c>
      <c r="C392" s="1" t="n">
        <v>46158</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31000-2025</t>
        </is>
      </c>
      <c r="B393" s="1" t="n">
        <v>45832.49325231482</v>
      </c>
      <c r="C393" s="1" t="n">
        <v>46158</v>
      </c>
      <c r="D393" t="inlineStr">
        <is>
          <t>ÖREBRO LÄN</t>
        </is>
      </c>
      <c r="E393" t="inlineStr">
        <is>
          <t>LINDESBERG</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31018-2025</t>
        </is>
      </c>
      <c r="B394" s="1" t="n">
        <v>45832.51255787037</v>
      </c>
      <c r="C394" s="1" t="n">
        <v>46158</v>
      </c>
      <c r="D394" t="inlineStr">
        <is>
          <t>ÖREBRO LÄN</t>
        </is>
      </c>
      <c r="E394" t="inlineStr">
        <is>
          <t>LINDESBERG</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47069-2023</t>
        </is>
      </c>
      <c r="B395" s="1" t="n">
        <v>45201</v>
      </c>
      <c r="C395" s="1" t="n">
        <v>46158</v>
      </c>
      <c r="D395" t="inlineStr">
        <is>
          <t>ÖREBRO LÄN</t>
        </is>
      </c>
      <c r="E395" t="inlineStr">
        <is>
          <t>LINDESBERG</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47074-2023</t>
        </is>
      </c>
      <c r="B396" s="1" t="n">
        <v>45201.60283564815</v>
      </c>
      <c r="C396" s="1" t="n">
        <v>46158</v>
      </c>
      <c r="D396" t="inlineStr">
        <is>
          <t>ÖREBRO LÄN</t>
        </is>
      </c>
      <c r="E396" t="inlineStr">
        <is>
          <t>LINDESBERG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44545-2025</t>
        </is>
      </c>
      <c r="B397" s="1" t="n">
        <v>45917.31780092593</v>
      </c>
      <c r="C397" s="1" t="n">
        <v>46158</v>
      </c>
      <c r="D397" t="inlineStr">
        <is>
          <t>ÖREBRO LÄN</t>
        </is>
      </c>
      <c r="E397" t="inlineStr">
        <is>
          <t>LINDESBERG</t>
        </is>
      </c>
      <c r="F397" t="inlineStr">
        <is>
          <t>Kommuner</t>
        </is>
      </c>
      <c r="G397" t="n">
        <v>2.3</v>
      </c>
      <c r="H397" t="n">
        <v>0</v>
      </c>
      <c r="I397" t="n">
        <v>0</v>
      </c>
      <c r="J397" t="n">
        <v>0</v>
      </c>
      <c r="K397" t="n">
        <v>0</v>
      </c>
      <c r="L397" t="n">
        <v>0</v>
      </c>
      <c r="M397" t="n">
        <v>0</v>
      </c>
      <c r="N397" t="n">
        <v>0</v>
      </c>
      <c r="O397" t="n">
        <v>0</v>
      </c>
      <c r="P397" t="n">
        <v>0</v>
      </c>
      <c r="Q397" t="n">
        <v>0</v>
      </c>
      <c r="R397" s="2" t="inlineStr"/>
    </row>
    <row r="398" ht="15" customHeight="1">
      <c r="A398" t="inlineStr">
        <is>
          <t>A 31003-2025</t>
        </is>
      </c>
      <c r="B398" s="1" t="n">
        <v>45832.49579861111</v>
      </c>
      <c r="C398" s="1" t="n">
        <v>46158</v>
      </c>
      <c r="D398" t="inlineStr">
        <is>
          <t>ÖREBRO LÄN</t>
        </is>
      </c>
      <c r="E398" t="inlineStr">
        <is>
          <t>LINDESBERG</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46158</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31213-2025</t>
        </is>
      </c>
      <c r="B400" s="1" t="n">
        <v>45832.72778935185</v>
      </c>
      <c r="C400" s="1" t="n">
        <v>46158</v>
      </c>
      <c r="D400" t="inlineStr">
        <is>
          <t>ÖREBRO LÄN</t>
        </is>
      </c>
      <c r="E400" t="inlineStr">
        <is>
          <t>LINDESBERG</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53352-2023</t>
        </is>
      </c>
      <c r="B401" s="1" t="n">
        <v>45229.66262731481</v>
      </c>
      <c r="C401" s="1" t="n">
        <v>46158</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3659-2026</t>
        </is>
      </c>
      <c r="B402" s="1" t="n">
        <v>46043</v>
      </c>
      <c r="C402" s="1" t="n">
        <v>46158</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15213-2025</t>
        </is>
      </c>
      <c r="B403" s="1" t="n">
        <v>45744.57851851852</v>
      </c>
      <c r="C403" s="1" t="n">
        <v>46158</v>
      </c>
      <c r="D403" t="inlineStr">
        <is>
          <t>ÖREBRO LÄN</t>
        </is>
      </c>
      <c r="E403" t="inlineStr">
        <is>
          <t>LINDESBERG</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46678-2023</t>
        </is>
      </c>
      <c r="B404" s="1" t="n">
        <v>45194</v>
      </c>
      <c r="C404" s="1" t="n">
        <v>46158</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26967-2022</t>
        </is>
      </c>
      <c r="B405" s="1" t="n">
        <v>44740.66997685185</v>
      </c>
      <c r="C405" s="1" t="n">
        <v>46158</v>
      </c>
      <c r="D405" t="inlineStr">
        <is>
          <t>ÖREBRO LÄN</t>
        </is>
      </c>
      <c r="E405" t="inlineStr">
        <is>
          <t>LINDESBERG</t>
        </is>
      </c>
      <c r="G405" t="n">
        <v>1.6</v>
      </c>
      <c r="H405" t="n">
        <v>0</v>
      </c>
      <c r="I405" t="n">
        <v>0</v>
      </c>
      <c r="J405" t="n">
        <v>0</v>
      </c>
      <c r="K405" t="n">
        <v>0</v>
      </c>
      <c r="L405" t="n">
        <v>0</v>
      </c>
      <c r="M405" t="n">
        <v>0</v>
      </c>
      <c r="N405" t="n">
        <v>0</v>
      </c>
      <c r="O405" t="n">
        <v>0</v>
      </c>
      <c r="P405" t="n">
        <v>0</v>
      </c>
      <c r="Q405" t="n">
        <v>0</v>
      </c>
      <c r="R405" s="2" t="inlineStr"/>
    </row>
    <row r="406" ht="15" customHeight="1">
      <c r="A406" t="inlineStr">
        <is>
          <t>A 3951-2026</t>
        </is>
      </c>
      <c r="B406" s="1" t="n">
        <v>46044</v>
      </c>
      <c r="C406" s="1" t="n">
        <v>46158</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45978-2021</t>
        </is>
      </c>
      <c r="B407" s="1" t="n">
        <v>44441.70047453704</v>
      </c>
      <c r="C407" s="1" t="n">
        <v>46158</v>
      </c>
      <c r="D407" t="inlineStr">
        <is>
          <t>ÖREBRO LÄN</t>
        </is>
      </c>
      <c r="E407" t="inlineStr">
        <is>
          <t>LINDESBERG</t>
        </is>
      </c>
      <c r="G407" t="n">
        <v>4.4</v>
      </c>
      <c r="H407" t="n">
        <v>0</v>
      </c>
      <c r="I407" t="n">
        <v>0</v>
      </c>
      <c r="J407" t="n">
        <v>0</v>
      </c>
      <c r="K407" t="n">
        <v>0</v>
      </c>
      <c r="L407" t="n">
        <v>0</v>
      </c>
      <c r="M407" t="n">
        <v>0</v>
      </c>
      <c r="N407" t="n">
        <v>0</v>
      </c>
      <c r="O407" t="n">
        <v>0</v>
      </c>
      <c r="P407" t="n">
        <v>0</v>
      </c>
      <c r="Q407" t="n">
        <v>0</v>
      </c>
      <c r="R407" s="2" t="inlineStr"/>
    </row>
    <row r="408" ht="15" customHeight="1">
      <c r="A408" t="inlineStr">
        <is>
          <t>A 31221-2025</t>
        </is>
      </c>
      <c r="B408" s="1" t="n">
        <v>45832.76491898148</v>
      </c>
      <c r="C408" s="1" t="n">
        <v>46158</v>
      </c>
      <c r="D408" t="inlineStr">
        <is>
          <t>ÖREBRO LÄN</t>
        </is>
      </c>
      <c r="E408" t="inlineStr">
        <is>
          <t>LINDESBERG</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14454-2024</t>
        </is>
      </c>
      <c r="B409" s="1" t="n">
        <v>45394.51289351852</v>
      </c>
      <c r="C409" s="1" t="n">
        <v>46158</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40303-2024</t>
        </is>
      </c>
      <c r="B410" s="1" t="n">
        <v>45554.7158912037</v>
      </c>
      <c r="C410" s="1" t="n">
        <v>46158</v>
      </c>
      <c r="D410" t="inlineStr">
        <is>
          <t>ÖREBRO LÄN</t>
        </is>
      </c>
      <c r="E410" t="inlineStr">
        <is>
          <t>LINDESBERG</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46484-2024</t>
        </is>
      </c>
      <c r="B411" s="1" t="n">
        <v>45582.57542824074</v>
      </c>
      <c r="C411" s="1" t="n">
        <v>46158</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19436-2025</t>
        </is>
      </c>
      <c r="B412" s="1" t="n">
        <v>45769.98449074074</v>
      </c>
      <c r="C412" s="1" t="n">
        <v>46158</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31220-2025</t>
        </is>
      </c>
      <c r="B413" s="1" t="n">
        <v>45832.76100694444</v>
      </c>
      <c r="C413" s="1" t="n">
        <v>46158</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13350-2024</t>
        </is>
      </c>
      <c r="B414" s="1" t="n">
        <v>45387.24732638889</v>
      </c>
      <c r="C414" s="1" t="n">
        <v>46158</v>
      </c>
      <c r="D414" t="inlineStr">
        <is>
          <t>ÖREBRO LÄN</t>
        </is>
      </c>
      <c r="E414" t="inlineStr">
        <is>
          <t>LINDESBERG</t>
        </is>
      </c>
      <c r="G414" t="n">
        <v>4.1</v>
      </c>
      <c r="H414" t="n">
        <v>0</v>
      </c>
      <c r="I414" t="n">
        <v>0</v>
      </c>
      <c r="J414" t="n">
        <v>0</v>
      </c>
      <c r="K414" t="n">
        <v>0</v>
      </c>
      <c r="L414" t="n">
        <v>0</v>
      </c>
      <c r="M414" t="n">
        <v>0</v>
      </c>
      <c r="N414" t="n">
        <v>0</v>
      </c>
      <c r="O414" t="n">
        <v>0</v>
      </c>
      <c r="P414" t="n">
        <v>0</v>
      </c>
      <c r="Q414" t="n">
        <v>0</v>
      </c>
      <c r="R414" s="2" t="inlineStr"/>
    </row>
    <row r="415" ht="15" customHeight="1">
      <c r="A415" t="inlineStr">
        <is>
          <t>A 13351-2024</t>
        </is>
      </c>
      <c r="B415" s="1" t="n">
        <v>45387.2521875</v>
      </c>
      <c r="C415" s="1" t="n">
        <v>46158</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46158</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32284-2025</t>
        </is>
      </c>
      <c r="B417" s="1" t="n">
        <v>45835.68443287037</v>
      </c>
      <c r="C417" s="1" t="n">
        <v>46158</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46158</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32502-2025</t>
        </is>
      </c>
      <c r="B419" s="1" t="n">
        <v>45838.46408564815</v>
      </c>
      <c r="C419" s="1" t="n">
        <v>46158</v>
      </c>
      <c r="D419" t="inlineStr">
        <is>
          <t>ÖREBRO LÄN</t>
        </is>
      </c>
      <c r="E419" t="inlineStr">
        <is>
          <t>LINDESBERG</t>
        </is>
      </c>
      <c r="F419" t="inlineStr">
        <is>
          <t>Sveaskog</t>
        </is>
      </c>
      <c r="G419" t="n">
        <v>17.7</v>
      </c>
      <c r="H419" t="n">
        <v>0</v>
      </c>
      <c r="I419" t="n">
        <v>0</v>
      </c>
      <c r="J419" t="n">
        <v>0</v>
      </c>
      <c r="K419" t="n">
        <v>0</v>
      </c>
      <c r="L419" t="n">
        <v>0</v>
      </c>
      <c r="M419" t="n">
        <v>0</v>
      </c>
      <c r="N419" t="n">
        <v>0</v>
      </c>
      <c r="O419" t="n">
        <v>0</v>
      </c>
      <c r="P419" t="n">
        <v>0</v>
      </c>
      <c r="Q419" t="n">
        <v>0</v>
      </c>
      <c r="R419" s="2" t="inlineStr"/>
    </row>
    <row r="420" ht="15" customHeight="1">
      <c r="A420" t="inlineStr">
        <is>
          <t>A 5235-2026</t>
        </is>
      </c>
      <c r="B420" s="1" t="n">
        <v>46049.84017361111</v>
      </c>
      <c r="C420" s="1" t="n">
        <v>46158</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46484-2025</t>
        </is>
      </c>
      <c r="B421" s="1" t="n">
        <v>45925.70290509259</v>
      </c>
      <c r="C421" s="1" t="n">
        <v>46158</v>
      </c>
      <c r="D421" t="inlineStr">
        <is>
          <t>ÖREBRO LÄN</t>
        </is>
      </c>
      <c r="E421" t="inlineStr">
        <is>
          <t>LINDESBERG</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46404-2025</t>
        </is>
      </c>
      <c r="B422" s="1" t="n">
        <v>45925.56173611111</v>
      </c>
      <c r="C422" s="1" t="n">
        <v>46158</v>
      </c>
      <c r="D422" t="inlineStr">
        <is>
          <t>ÖREBRO LÄN</t>
        </is>
      </c>
      <c r="E422" t="inlineStr">
        <is>
          <t>LINDESBERG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12053-2024</t>
        </is>
      </c>
      <c r="B423" s="1" t="n">
        <v>45377.48265046296</v>
      </c>
      <c r="C423" s="1" t="n">
        <v>46158</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46158</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32727-2024</t>
        </is>
      </c>
      <c r="B425" s="1" t="n">
        <v>45516.4221412037</v>
      </c>
      <c r="C425" s="1" t="n">
        <v>46158</v>
      </c>
      <c r="D425" t="inlineStr">
        <is>
          <t>ÖREBRO LÄN</t>
        </is>
      </c>
      <c r="E425" t="inlineStr">
        <is>
          <t>LINDESBERG</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39137-2024</t>
        </is>
      </c>
      <c r="B426" s="1" t="n">
        <v>45548</v>
      </c>
      <c r="C426" s="1" t="n">
        <v>46158</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39152-2024</t>
        </is>
      </c>
      <c r="B427" s="1" t="n">
        <v>45548</v>
      </c>
      <c r="C427" s="1" t="n">
        <v>46158</v>
      </c>
      <c r="D427" t="inlineStr">
        <is>
          <t>ÖREBRO LÄN</t>
        </is>
      </c>
      <c r="E427" t="inlineStr">
        <is>
          <t>LINDESBERG</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43529-2024</t>
        </is>
      </c>
      <c r="B428" s="1" t="n">
        <v>45569.35209490741</v>
      </c>
      <c r="C428" s="1" t="n">
        <v>46158</v>
      </c>
      <c r="D428" t="inlineStr">
        <is>
          <t>ÖREBRO LÄN</t>
        </is>
      </c>
      <c r="E428" t="inlineStr">
        <is>
          <t>LINDESBERG</t>
        </is>
      </c>
      <c r="G428" t="n">
        <v>2.8</v>
      </c>
      <c r="H428" t="n">
        <v>0</v>
      </c>
      <c r="I428" t="n">
        <v>0</v>
      </c>
      <c r="J428" t="n">
        <v>0</v>
      </c>
      <c r="K428" t="n">
        <v>0</v>
      </c>
      <c r="L428" t="n">
        <v>0</v>
      </c>
      <c r="M428" t="n">
        <v>0</v>
      </c>
      <c r="N428" t="n">
        <v>0</v>
      </c>
      <c r="O428" t="n">
        <v>0</v>
      </c>
      <c r="P428" t="n">
        <v>0</v>
      </c>
      <c r="Q428" t="n">
        <v>0</v>
      </c>
      <c r="R428" s="2" t="inlineStr"/>
    </row>
    <row r="429" ht="15" customHeight="1">
      <c r="A429" t="inlineStr">
        <is>
          <t>A 5715-2026</t>
        </is>
      </c>
      <c r="B429" s="1" t="n">
        <v>46051.53563657407</v>
      </c>
      <c r="C429" s="1" t="n">
        <v>46158</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5928-2026</t>
        </is>
      </c>
      <c r="B430" s="1" t="n">
        <v>46052.46519675926</v>
      </c>
      <c r="C430" s="1" t="n">
        <v>46158</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5717-2026</t>
        </is>
      </c>
      <c r="B431" s="1" t="n">
        <v>46051.53689814815</v>
      </c>
      <c r="C431" s="1" t="n">
        <v>46158</v>
      </c>
      <c r="D431" t="inlineStr">
        <is>
          <t>ÖREBRO LÄN</t>
        </is>
      </c>
      <c r="E431" t="inlineStr">
        <is>
          <t>LINDESBERG</t>
        </is>
      </c>
      <c r="G431" t="n">
        <v>6</v>
      </c>
      <c r="H431" t="n">
        <v>0</v>
      </c>
      <c r="I431" t="n">
        <v>0</v>
      </c>
      <c r="J431" t="n">
        <v>0</v>
      </c>
      <c r="K431" t="n">
        <v>0</v>
      </c>
      <c r="L431" t="n">
        <v>0</v>
      </c>
      <c r="M431" t="n">
        <v>0</v>
      </c>
      <c r="N431" t="n">
        <v>0</v>
      </c>
      <c r="O431" t="n">
        <v>0</v>
      </c>
      <c r="P431" t="n">
        <v>0</v>
      </c>
      <c r="Q431" t="n">
        <v>0</v>
      </c>
      <c r="R431" s="2" t="inlineStr"/>
    </row>
    <row r="432" ht="15" customHeight="1">
      <c r="A432" t="inlineStr">
        <is>
          <t>A 46607-2021</t>
        </is>
      </c>
      <c r="B432" s="1" t="n">
        <v>44445.55690972223</v>
      </c>
      <c r="C432" s="1" t="n">
        <v>46158</v>
      </c>
      <c r="D432" t="inlineStr">
        <is>
          <t>ÖREBRO LÄN</t>
        </is>
      </c>
      <c r="E432" t="inlineStr">
        <is>
          <t>LINDESBERG</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46158</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46158</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58710-2023</t>
        </is>
      </c>
      <c r="B435" s="1" t="n">
        <v>45251.696875</v>
      </c>
      <c r="C435" s="1" t="n">
        <v>46158</v>
      </c>
      <c r="D435" t="inlineStr">
        <is>
          <t>ÖREBRO LÄN</t>
        </is>
      </c>
      <c r="E435" t="inlineStr">
        <is>
          <t>LINDESBERG</t>
        </is>
      </c>
      <c r="G435" t="n">
        <v>6.3</v>
      </c>
      <c r="H435" t="n">
        <v>0</v>
      </c>
      <c r="I435" t="n">
        <v>0</v>
      </c>
      <c r="J435" t="n">
        <v>0</v>
      </c>
      <c r="K435" t="n">
        <v>0</v>
      </c>
      <c r="L435" t="n">
        <v>0</v>
      </c>
      <c r="M435" t="n">
        <v>0</v>
      </c>
      <c r="N435" t="n">
        <v>0</v>
      </c>
      <c r="O435" t="n">
        <v>0</v>
      </c>
      <c r="P435" t="n">
        <v>0</v>
      </c>
      <c r="Q435" t="n">
        <v>0</v>
      </c>
      <c r="R435" s="2" t="inlineStr"/>
    </row>
    <row r="436" ht="15" customHeight="1">
      <c r="A436" t="inlineStr">
        <is>
          <t>A 5772-2023</t>
        </is>
      </c>
      <c r="B436" s="1" t="n">
        <v>44963.37709490741</v>
      </c>
      <c r="C436" s="1" t="n">
        <v>46158</v>
      </c>
      <c r="D436" t="inlineStr">
        <is>
          <t>ÖREBRO LÄN</t>
        </is>
      </c>
      <c r="E436" t="inlineStr">
        <is>
          <t>LINDESBERG</t>
        </is>
      </c>
      <c r="G436" t="n">
        <v>3</v>
      </c>
      <c r="H436" t="n">
        <v>0</v>
      </c>
      <c r="I436" t="n">
        <v>0</v>
      </c>
      <c r="J436" t="n">
        <v>0</v>
      </c>
      <c r="K436" t="n">
        <v>0</v>
      </c>
      <c r="L436" t="n">
        <v>0</v>
      </c>
      <c r="M436" t="n">
        <v>0</v>
      </c>
      <c r="N436" t="n">
        <v>0</v>
      </c>
      <c r="O436" t="n">
        <v>0</v>
      </c>
      <c r="P436" t="n">
        <v>0</v>
      </c>
      <c r="Q436" t="n">
        <v>0</v>
      </c>
      <c r="R436" s="2" t="inlineStr"/>
    </row>
    <row r="437" ht="15" customHeight="1">
      <c r="A437" t="inlineStr">
        <is>
          <t>A 20210-2024</t>
        </is>
      </c>
      <c r="B437" s="1" t="n">
        <v>45434.65854166666</v>
      </c>
      <c r="C437" s="1" t="n">
        <v>46158</v>
      </c>
      <c r="D437" t="inlineStr">
        <is>
          <t>ÖREBRO LÄN</t>
        </is>
      </c>
      <c r="E437" t="inlineStr">
        <is>
          <t>LINDESBERG</t>
        </is>
      </c>
      <c r="G437" t="n">
        <v>5.5</v>
      </c>
      <c r="H437" t="n">
        <v>0</v>
      </c>
      <c r="I437" t="n">
        <v>0</v>
      </c>
      <c r="J437" t="n">
        <v>0</v>
      </c>
      <c r="K437" t="n">
        <v>0</v>
      </c>
      <c r="L437" t="n">
        <v>0</v>
      </c>
      <c r="M437" t="n">
        <v>0</v>
      </c>
      <c r="N437" t="n">
        <v>0</v>
      </c>
      <c r="O437" t="n">
        <v>0</v>
      </c>
      <c r="P437" t="n">
        <v>0</v>
      </c>
      <c r="Q437" t="n">
        <v>0</v>
      </c>
      <c r="R437" s="2" t="inlineStr"/>
    </row>
    <row r="438" ht="15" customHeight="1">
      <c r="A438" t="inlineStr">
        <is>
          <t>A 48061-2025</t>
        </is>
      </c>
      <c r="B438" s="1" t="n">
        <v>45932.68006944445</v>
      </c>
      <c r="C438" s="1" t="n">
        <v>46158</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47678-2025</t>
        </is>
      </c>
      <c r="B439" s="1" t="n">
        <v>45931.57967592592</v>
      </c>
      <c r="C439" s="1" t="n">
        <v>46158</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33574-2024</t>
        </is>
      </c>
      <c r="B440" s="1" t="n">
        <v>45520.32887731482</v>
      </c>
      <c r="C440" s="1" t="n">
        <v>46158</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26340-2022</t>
        </is>
      </c>
      <c r="B441" s="1" t="n">
        <v>44735.62539351852</v>
      </c>
      <c r="C441" s="1" t="n">
        <v>46158</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47676-2025</t>
        </is>
      </c>
      <c r="B442" s="1" t="n">
        <v>45931.57756944445</v>
      </c>
      <c r="C442" s="1" t="n">
        <v>46158</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34264-2025</t>
        </is>
      </c>
      <c r="B443" s="1" t="n">
        <v>45845.75200231482</v>
      </c>
      <c r="C443" s="1" t="n">
        <v>46158</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23536-2023</t>
        </is>
      </c>
      <c r="B444" s="1" t="n">
        <v>45077</v>
      </c>
      <c r="C444" s="1" t="n">
        <v>46158</v>
      </c>
      <c r="D444" t="inlineStr">
        <is>
          <t>ÖREBRO LÄN</t>
        </is>
      </c>
      <c r="E444" t="inlineStr">
        <is>
          <t>LINDESBERG</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34003-2025</t>
        </is>
      </c>
      <c r="B445" s="1" t="n">
        <v>45844.57527777777</v>
      </c>
      <c r="C445" s="1" t="n">
        <v>46158</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34097-2025</t>
        </is>
      </c>
      <c r="B446" s="1" t="n">
        <v>45845.4855787037</v>
      </c>
      <c r="C446" s="1" t="n">
        <v>46158</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61969-2023</t>
        </is>
      </c>
      <c r="B447" s="1" t="n">
        <v>45266.58394675926</v>
      </c>
      <c r="C447" s="1" t="n">
        <v>46158</v>
      </c>
      <c r="D447" t="inlineStr">
        <is>
          <t>ÖREBRO LÄN</t>
        </is>
      </c>
      <c r="E447" t="inlineStr">
        <is>
          <t>LINDESBERG</t>
        </is>
      </c>
      <c r="G447" t="n">
        <v>10.5</v>
      </c>
      <c r="H447" t="n">
        <v>0</v>
      </c>
      <c r="I447" t="n">
        <v>0</v>
      </c>
      <c r="J447" t="n">
        <v>0</v>
      </c>
      <c r="K447" t="n">
        <v>0</v>
      </c>
      <c r="L447" t="n">
        <v>0</v>
      </c>
      <c r="M447" t="n">
        <v>0</v>
      </c>
      <c r="N447" t="n">
        <v>0</v>
      </c>
      <c r="O447" t="n">
        <v>0</v>
      </c>
      <c r="P447" t="n">
        <v>0</v>
      </c>
      <c r="Q447" t="n">
        <v>0</v>
      </c>
      <c r="R447" s="2" t="inlineStr"/>
    </row>
    <row r="448" ht="15" customHeight="1">
      <c r="A448" t="inlineStr">
        <is>
          <t>A 48489-2025</t>
        </is>
      </c>
      <c r="B448" s="1" t="n">
        <v>45936.36637731481</v>
      </c>
      <c r="C448" s="1" t="n">
        <v>46158</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6962-2023</t>
        </is>
      </c>
      <c r="B449" s="1" t="n">
        <v>44967.60165509259</v>
      </c>
      <c r="C449" s="1" t="n">
        <v>46158</v>
      </c>
      <c r="D449" t="inlineStr">
        <is>
          <t>ÖREBRO LÄN</t>
        </is>
      </c>
      <c r="E449" t="inlineStr">
        <is>
          <t>LINDESBERG</t>
        </is>
      </c>
      <c r="G449" t="n">
        <v>11.4</v>
      </c>
      <c r="H449" t="n">
        <v>0</v>
      </c>
      <c r="I449" t="n">
        <v>0</v>
      </c>
      <c r="J449" t="n">
        <v>0</v>
      </c>
      <c r="K449" t="n">
        <v>0</v>
      </c>
      <c r="L449" t="n">
        <v>0</v>
      </c>
      <c r="M449" t="n">
        <v>0</v>
      </c>
      <c r="N449" t="n">
        <v>0</v>
      </c>
      <c r="O449" t="n">
        <v>0</v>
      </c>
      <c r="P449" t="n">
        <v>0</v>
      </c>
      <c r="Q449" t="n">
        <v>0</v>
      </c>
      <c r="R449" s="2" t="inlineStr"/>
    </row>
    <row r="450" ht="15" customHeight="1">
      <c r="A450" t="inlineStr">
        <is>
          <t>A 34104-2025</t>
        </is>
      </c>
      <c r="B450" s="1" t="n">
        <v>45845.49216435185</v>
      </c>
      <c r="C450" s="1" t="n">
        <v>46158</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34004-2025</t>
        </is>
      </c>
      <c r="B451" s="1" t="n">
        <v>45844.5775</v>
      </c>
      <c r="C451" s="1" t="n">
        <v>46158</v>
      </c>
      <c r="D451" t="inlineStr">
        <is>
          <t>ÖREBRO LÄN</t>
        </is>
      </c>
      <c r="E451" t="inlineStr">
        <is>
          <t>LINDESBERG</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48750-2025</t>
        </is>
      </c>
      <c r="B452" s="1" t="n">
        <v>45936.68452546297</v>
      </c>
      <c r="C452" s="1" t="n">
        <v>46158</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34267-2025</t>
        </is>
      </c>
      <c r="B453" s="1" t="n">
        <v>45845.76005787037</v>
      </c>
      <c r="C453" s="1" t="n">
        <v>46158</v>
      </c>
      <c r="D453" t="inlineStr">
        <is>
          <t>ÖREBRO LÄN</t>
        </is>
      </c>
      <c r="E453" t="inlineStr">
        <is>
          <t>LINDESBERG</t>
        </is>
      </c>
      <c r="G453" t="n">
        <v>4.6</v>
      </c>
      <c r="H453" t="n">
        <v>0</v>
      </c>
      <c r="I453" t="n">
        <v>0</v>
      </c>
      <c r="J453" t="n">
        <v>0</v>
      </c>
      <c r="K453" t="n">
        <v>0</v>
      </c>
      <c r="L453" t="n">
        <v>0</v>
      </c>
      <c r="M453" t="n">
        <v>0</v>
      </c>
      <c r="N453" t="n">
        <v>0</v>
      </c>
      <c r="O453" t="n">
        <v>0</v>
      </c>
      <c r="P453" t="n">
        <v>0</v>
      </c>
      <c r="Q453" t="n">
        <v>0</v>
      </c>
      <c r="R453" s="2" t="inlineStr"/>
    </row>
    <row r="454" ht="15" customHeight="1">
      <c r="A454" t="inlineStr">
        <is>
          <t>A 48495-2025</t>
        </is>
      </c>
      <c r="B454" s="1" t="n">
        <v>45936.37237268518</v>
      </c>
      <c r="C454" s="1" t="n">
        <v>46158</v>
      </c>
      <c r="D454" t="inlineStr">
        <is>
          <t>ÖREBRO LÄN</t>
        </is>
      </c>
      <c r="E454" t="inlineStr">
        <is>
          <t>LINDESBERG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7180-2023</t>
        </is>
      </c>
      <c r="B455" s="1" t="n">
        <v>44970.51849537037</v>
      </c>
      <c r="C455" s="1" t="n">
        <v>46158</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48618-2025</t>
        </is>
      </c>
      <c r="B456" s="1" t="n">
        <v>45936.49026620371</v>
      </c>
      <c r="C456" s="1" t="n">
        <v>46158</v>
      </c>
      <c r="D456" t="inlineStr">
        <is>
          <t>ÖREBRO LÄN</t>
        </is>
      </c>
      <c r="E456" t="inlineStr">
        <is>
          <t>LINDESBERG</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34002-2025</t>
        </is>
      </c>
      <c r="B457" s="1" t="n">
        <v>45844.57328703703</v>
      </c>
      <c r="C457" s="1" t="n">
        <v>46158</v>
      </c>
      <c r="D457" t="inlineStr">
        <is>
          <t>ÖREBRO LÄN</t>
        </is>
      </c>
      <c r="E457" t="inlineStr">
        <is>
          <t>LINDESBERG</t>
        </is>
      </c>
      <c r="F457" t="inlineStr">
        <is>
          <t>Sveaskog</t>
        </is>
      </c>
      <c r="G457" t="n">
        <v>4.6</v>
      </c>
      <c r="H457" t="n">
        <v>0</v>
      </c>
      <c r="I457" t="n">
        <v>0</v>
      </c>
      <c r="J457" t="n">
        <v>0</v>
      </c>
      <c r="K457" t="n">
        <v>0</v>
      </c>
      <c r="L457" t="n">
        <v>0</v>
      </c>
      <c r="M457" t="n">
        <v>0</v>
      </c>
      <c r="N457" t="n">
        <v>0</v>
      </c>
      <c r="O457" t="n">
        <v>0</v>
      </c>
      <c r="P457" t="n">
        <v>0</v>
      </c>
      <c r="Q457" t="n">
        <v>0</v>
      </c>
      <c r="R457" s="2" t="inlineStr"/>
    </row>
    <row r="458" ht="15" customHeight="1">
      <c r="A458" t="inlineStr">
        <is>
          <t>A 7661-2024</t>
        </is>
      </c>
      <c r="B458" s="1" t="n">
        <v>45348</v>
      </c>
      <c r="C458" s="1" t="n">
        <v>46158</v>
      </c>
      <c r="D458" t="inlineStr">
        <is>
          <t>ÖREBRO LÄN</t>
        </is>
      </c>
      <c r="E458" t="inlineStr">
        <is>
          <t>LINDESBERG</t>
        </is>
      </c>
      <c r="G458" t="n">
        <v>4.1</v>
      </c>
      <c r="H458" t="n">
        <v>0</v>
      </c>
      <c r="I458" t="n">
        <v>0</v>
      </c>
      <c r="J458" t="n">
        <v>0</v>
      </c>
      <c r="K458" t="n">
        <v>0</v>
      </c>
      <c r="L458" t="n">
        <v>0</v>
      </c>
      <c r="M458" t="n">
        <v>0</v>
      </c>
      <c r="N458" t="n">
        <v>0</v>
      </c>
      <c r="O458" t="n">
        <v>0</v>
      </c>
      <c r="P458" t="n">
        <v>0</v>
      </c>
      <c r="Q458" t="n">
        <v>0</v>
      </c>
      <c r="R458" s="2" t="inlineStr"/>
    </row>
    <row r="459" ht="15" customHeight="1">
      <c r="A459" t="inlineStr">
        <is>
          <t>A 48497-2025</t>
        </is>
      </c>
      <c r="B459" s="1" t="n">
        <v>45936.37523148148</v>
      </c>
      <c r="C459" s="1" t="n">
        <v>46158</v>
      </c>
      <c r="D459" t="inlineStr">
        <is>
          <t>ÖREBRO LÄN</t>
        </is>
      </c>
      <c r="E459" t="inlineStr">
        <is>
          <t>LINDESBERG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46158</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28031-2023</t>
        </is>
      </c>
      <c r="B461" s="1" t="n">
        <v>45099.27354166667</v>
      </c>
      <c r="C461" s="1" t="n">
        <v>46158</v>
      </c>
      <c r="D461" t="inlineStr">
        <is>
          <t>ÖREBRO LÄN</t>
        </is>
      </c>
      <c r="E461" t="inlineStr">
        <is>
          <t>LINDESBERG</t>
        </is>
      </c>
      <c r="F461" t="inlineStr">
        <is>
          <t>Kyrkan</t>
        </is>
      </c>
      <c r="G461" t="n">
        <v>1.2</v>
      </c>
      <c r="H461" t="n">
        <v>0</v>
      </c>
      <c r="I461" t="n">
        <v>0</v>
      </c>
      <c r="J461" t="n">
        <v>0</v>
      </c>
      <c r="K461" t="n">
        <v>0</v>
      </c>
      <c r="L461" t="n">
        <v>0</v>
      </c>
      <c r="M461" t="n">
        <v>0</v>
      </c>
      <c r="N461" t="n">
        <v>0</v>
      </c>
      <c r="O461" t="n">
        <v>0</v>
      </c>
      <c r="P461" t="n">
        <v>0</v>
      </c>
      <c r="Q461" t="n">
        <v>0</v>
      </c>
      <c r="R461" s="2" t="inlineStr"/>
    </row>
    <row r="462" ht="15" customHeight="1">
      <c r="A462" t="inlineStr">
        <is>
          <t>A 46039-2024</t>
        </is>
      </c>
      <c r="B462" s="1" t="n">
        <v>45580.73525462963</v>
      </c>
      <c r="C462" s="1" t="n">
        <v>46158</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48953-2025</t>
        </is>
      </c>
      <c r="B463" s="1" t="n">
        <v>45937.54697916667</v>
      </c>
      <c r="C463" s="1" t="n">
        <v>46158</v>
      </c>
      <c r="D463" t="inlineStr">
        <is>
          <t>ÖREBRO LÄN</t>
        </is>
      </c>
      <c r="E463" t="inlineStr">
        <is>
          <t>LINDESBERG</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48971-2025</t>
        </is>
      </c>
      <c r="B464" s="1" t="n">
        <v>45937.56420138889</v>
      </c>
      <c r="C464" s="1" t="n">
        <v>46158</v>
      </c>
      <c r="D464" t="inlineStr">
        <is>
          <t>ÖREBRO LÄN</t>
        </is>
      </c>
      <c r="E464" t="inlineStr">
        <is>
          <t>LINDESBERG</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48975-2025</t>
        </is>
      </c>
      <c r="B465" s="1" t="n">
        <v>45937.56798611111</v>
      </c>
      <c r="C465" s="1" t="n">
        <v>46158</v>
      </c>
      <c r="D465" t="inlineStr">
        <is>
          <t>ÖREBRO LÄN</t>
        </is>
      </c>
      <c r="E465" t="inlineStr">
        <is>
          <t>LINDESBERG</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48993-2025</t>
        </is>
      </c>
      <c r="B466" s="1" t="n">
        <v>45937.58590277778</v>
      </c>
      <c r="C466" s="1" t="n">
        <v>46158</v>
      </c>
      <c r="D466" t="inlineStr">
        <is>
          <t>ÖREBRO LÄN</t>
        </is>
      </c>
      <c r="E466" t="inlineStr">
        <is>
          <t>LINDESBERG</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49183-2025</t>
        </is>
      </c>
      <c r="B467" s="1" t="n">
        <v>45938.39741898148</v>
      </c>
      <c r="C467" s="1" t="n">
        <v>46158</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6520-2026</t>
        </is>
      </c>
      <c r="B468" s="1" t="n">
        <v>46056.40149305556</v>
      </c>
      <c r="C468" s="1" t="n">
        <v>46158</v>
      </c>
      <c r="D468" t="inlineStr">
        <is>
          <t>ÖREBRO LÄN</t>
        </is>
      </c>
      <c r="E468" t="inlineStr">
        <is>
          <t>LINDESBERG</t>
        </is>
      </c>
      <c r="G468" t="n">
        <v>2.2</v>
      </c>
      <c r="H468" t="n">
        <v>0</v>
      </c>
      <c r="I468" t="n">
        <v>0</v>
      </c>
      <c r="J468" t="n">
        <v>0</v>
      </c>
      <c r="K468" t="n">
        <v>0</v>
      </c>
      <c r="L468" t="n">
        <v>0</v>
      </c>
      <c r="M468" t="n">
        <v>0</v>
      </c>
      <c r="N468" t="n">
        <v>0</v>
      </c>
      <c r="O468" t="n">
        <v>0</v>
      </c>
      <c r="P468" t="n">
        <v>0</v>
      </c>
      <c r="Q468" t="n">
        <v>0</v>
      </c>
      <c r="R468" s="2" t="inlineStr"/>
    </row>
    <row r="469" ht="15" customHeight="1">
      <c r="A469" t="inlineStr">
        <is>
          <t>A 6524-2026</t>
        </is>
      </c>
      <c r="B469" s="1" t="n">
        <v>46056.40425925926</v>
      </c>
      <c r="C469" s="1" t="n">
        <v>46158</v>
      </c>
      <c r="D469" t="inlineStr">
        <is>
          <t>ÖREBRO LÄN</t>
        </is>
      </c>
      <c r="E469" t="inlineStr">
        <is>
          <t>LINDESBERG</t>
        </is>
      </c>
      <c r="G469" t="n">
        <v>0.6</v>
      </c>
      <c r="H469" t="n">
        <v>0</v>
      </c>
      <c r="I469" t="n">
        <v>0</v>
      </c>
      <c r="J469" t="n">
        <v>0</v>
      </c>
      <c r="K469" t="n">
        <v>0</v>
      </c>
      <c r="L469" t="n">
        <v>0</v>
      </c>
      <c r="M469" t="n">
        <v>0</v>
      </c>
      <c r="N469" t="n">
        <v>0</v>
      </c>
      <c r="O469" t="n">
        <v>0</v>
      </c>
      <c r="P469" t="n">
        <v>0</v>
      </c>
      <c r="Q469" t="n">
        <v>0</v>
      </c>
      <c r="R469" s="2" t="inlineStr"/>
    </row>
    <row r="470" ht="15" customHeight="1">
      <c r="A470" t="inlineStr">
        <is>
          <t>A 5677-2025</t>
        </is>
      </c>
      <c r="B470" s="1" t="n">
        <v>45694</v>
      </c>
      <c r="C470" s="1" t="n">
        <v>46158</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24916-2022</t>
        </is>
      </c>
      <c r="B471" s="1" t="n">
        <v>44728</v>
      </c>
      <c r="C471" s="1" t="n">
        <v>46158</v>
      </c>
      <c r="D471" t="inlineStr">
        <is>
          <t>ÖREBRO LÄN</t>
        </is>
      </c>
      <c r="E471" t="inlineStr">
        <is>
          <t>LINDESBERG</t>
        </is>
      </c>
      <c r="G471" t="n">
        <v>8.1</v>
      </c>
      <c r="H471" t="n">
        <v>0</v>
      </c>
      <c r="I471" t="n">
        <v>0</v>
      </c>
      <c r="J471" t="n">
        <v>0</v>
      </c>
      <c r="K471" t="n">
        <v>0</v>
      </c>
      <c r="L471" t="n">
        <v>0</v>
      </c>
      <c r="M471" t="n">
        <v>0</v>
      </c>
      <c r="N471" t="n">
        <v>0</v>
      </c>
      <c r="O471" t="n">
        <v>0</v>
      </c>
      <c r="P471" t="n">
        <v>0</v>
      </c>
      <c r="Q471" t="n">
        <v>0</v>
      </c>
      <c r="R471" s="2" t="inlineStr"/>
    </row>
    <row r="472" ht="15" customHeight="1">
      <c r="A472" t="inlineStr">
        <is>
          <t>A 49100-2025</t>
        </is>
      </c>
      <c r="B472" s="1" t="n">
        <v>45937.71556712963</v>
      </c>
      <c r="C472" s="1" t="n">
        <v>46158</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46158</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27702-2025</t>
        </is>
      </c>
      <c r="B474" s="1" t="n">
        <v>45813</v>
      </c>
      <c r="C474" s="1" t="n">
        <v>46158</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36670-2024</t>
        </is>
      </c>
      <c r="B475" s="1" t="n">
        <v>45537.64621527777</v>
      </c>
      <c r="C475" s="1" t="n">
        <v>46158</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48867-2025</t>
        </is>
      </c>
      <c r="B476" s="1" t="n">
        <v>45937.4484837963</v>
      </c>
      <c r="C476" s="1" t="n">
        <v>46158</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58741-2024</t>
        </is>
      </c>
      <c r="B477" s="1" t="n">
        <v>45635.69581018519</v>
      </c>
      <c r="C477" s="1" t="n">
        <v>46158</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35292-2025</t>
        </is>
      </c>
      <c r="B478" s="1" t="n">
        <v>45854</v>
      </c>
      <c r="C478" s="1" t="n">
        <v>46158</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49133-2025</t>
        </is>
      </c>
      <c r="B479" s="1" t="n">
        <v>45937.92319444445</v>
      </c>
      <c r="C479" s="1" t="n">
        <v>46158</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49707-2025</t>
        </is>
      </c>
      <c r="B480" s="1" t="n">
        <v>45939.67951388889</v>
      </c>
      <c r="C480" s="1" t="n">
        <v>46158</v>
      </c>
      <c r="D480" t="inlineStr">
        <is>
          <t>ÖREBRO LÄN</t>
        </is>
      </c>
      <c r="E480" t="inlineStr">
        <is>
          <t>LINDESBERG</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3994-2023</t>
        </is>
      </c>
      <c r="B481" s="1" t="n">
        <v>44950</v>
      </c>
      <c r="C481" s="1" t="n">
        <v>46158</v>
      </c>
      <c r="D481" t="inlineStr">
        <is>
          <t>ÖREBRO LÄN</t>
        </is>
      </c>
      <c r="E481" t="inlineStr">
        <is>
          <t>LINDESBERG</t>
        </is>
      </c>
      <c r="G481" t="n">
        <v>4.8</v>
      </c>
      <c r="H481" t="n">
        <v>0</v>
      </c>
      <c r="I481" t="n">
        <v>0</v>
      </c>
      <c r="J481" t="n">
        <v>0</v>
      </c>
      <c r="K481" t="n">
        <v>0</v>
      </c>
      <c r="L481" t="n">
        <v>0</v>
      </c>
      <c r="M481" t="n">
        <v>0</v>
      </c>
      <c r="N481" t="n">
        <v>0</v>
      </c>
      <c r="O481" t="n">
        <v>0</v>
      </c>
      <c r="P481" t="n">
        <v>0</v>
      </c>
      <c r="Q481" t="n">
        <v>0</v>
      </c>
      <c r="R481" s="2" t="inlineStr"/>
    </row>
    <row r="482" ht="15" customHeight="1">
      <c r="A482" t="inlineStr">
        <is>
          <t>A 35366-2025</t>
        </is>
      </c>
      <c r="B482" s="1" t="n">
        <v>45854</v>
      </c>
      <c r="C482" s="1" t="n">
        <v>46158</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6616-2026</t>
        </is>
      </c>
      <c r="B483" s="1" t="n">
        <v>46056.49075231481</v>
      </c>
      <c r="C483" s="1" t="n">
        <v>46158</v>
      </c>
      <c r="D483" t="inlineStr">
        <is>
          <t>ÖREBRO LÄN</t>
        </is>
      </c>
      <c r="E483" t="inlineStr">
        <is>
          <t>LINDESBERG</t>
        </is>
      </c>
      <c r="G483" t="n">
        <v>9</v>
      </c>
      <c r="H483" t="n">
        <v>0</v>
      </c>
      <c r="I483" t="n">
        <v>0</v>
      </c>
      <c r="J483" t="n">
        <v>0</v>
      </c>
      <c r="K483" t="n">
        <v>0</v>
      </c>
      <c r="L483" t="n">
        <v>0</v>
      </c>
      <c r="M483" t="n">
        <v>0</v>
      </c>
      <c r="N483" t="n">
        <v>0</v>
      </c>
      <c r="O483" t="n">
        <v>0</v>
      </c>
      <c r="P483" t="n">
        <v>0</v>
      </c>
      <c r="Q483" t="n">
        <v>0</v>
      </c>
      <c r="R483" s="2" t="inlineStr"/>
    </row>
    <row r="484" ht="15" customHeight="1">
      <c r="A484" t="inlineStr">
        <is>
          <t>A 49094-2024</t>
        </is>
      </c>
      <c r="B484" s="1" t="n">
        <v>45594.63747685185</v>
      </c>
      <c r="C484" s="1" t="n">
        <v>46158</v>
      </c>
      <c r="D484" t="inlineStr">
        <is>
          <t>ÖREBRO LÄN</t>
        </is>
      </c>
      <c r="E484" t="inlineStr">
        <is>
          <t>LINDESBERG</t>
        </is>
      </c>
      <c r="G484" t="n">
        <v>3.8</v>
      </c>
      <c r="H484" t="n">
        <v>0</v>
      </c>
      <c r="I484" t="n">
        <v>0</v>
      </c>
      <c r="J484" t="n">
        <v>0</v>
      </c>
      <c r="K484" t="n">
        <v>0</v>
      </c>
      <c r="L484" t="n">
        <v>0</v>
      </c>
      <c r="M484" t="n">
        <v>0</v>
      </c>
      <c r="N484" t="n">
        <v>0</v>
      </c>
      <c r="O484" t="n">
        <v>0</v>
      </c>
      <c r="P484" t="n">
        <v>0</v>
      </c>
      <c r="Q484" t="n">
        <v>0</v>
      </c>
      <c r="R484" s="2" t="inlineStr"/>
    </row>
    <row r="485" ht="15" customHeight="1">
      <c r="A485" t="inlineStr">
        <is>
          <t>A 49946-2025</t>
        </is>
      </c>
      <c r="B485" s="1" t="n">
        <v>45940.69862268519</v>
      </c>
      <c r="C485" s="1" t="n">
        <v>46158</v>
      </c>
      <c r="D485" t="inlineStr">
        <is>
          <t>ÖREBRO LÄN</t>
        </is>
      </c>
      <c r="E485" t="inlineStr">
        <is>
          <t>LINDESBERG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56907-2024</t>
        </is>
      </c>
      <c r="B486" s="1" t="n">
        <v>45628.58975694444</v>
      </c>
      <c r="C486" s="1" t="n">
        <v>46158</v>
      </c>
      <c r="D486" t="inlineStr">
        <is>
          <t>ÖREBRO LÄN</t>
        </is>
      </c>
      <c r="E486" t="inlineStr">
        <is>
          <t>LINDESBERG</t>
        </is>
      </c>
      <c r="G486" t="n">
        <v>1.1</v>
      </c>
      <c r="H486" t="n">
        <v>0</v>
      </c>
      <c r="I486" t="n">
        <v>0</v>
      </c>
      <c r="J486" t="n">
        <v>0</v>
      </c>
      <c r="K486" t="n">
        <v>0</v>
      </c>
      <c r="L486" t="n">
        <v>0</v>
      </c>
      <c r="M486" t="n">
        <v>0</v>
      </c>
      <c r="N486" t="n">
        <v>0</v>
      </c>
      <c r="O486" t="n">
        <v>0</v>
      </c>
      <c r="P486" t="n">
        <v>0</v>
      </c>
      <c r="Q486" t="n">
        <v>0</v>
      </c>
      <c r="R486" s="2" t="inlineStr"/>
    </row>
    <row r="487" ht="15" customHeight="1">
      <c r="A487" t="inlineStr">
        <is>
          <t>A 49944-2025</t>
        </is>
      </c>
      <c r="B487" s="1" t="n">
        <v>45940.69643518519</v>
      </c>
      <c r="C487" s="1" t="n">
        <v>46158</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49947-2025</t>
        </is>
      </c>
      <c r="B488" s="1" t="n">
        <v>45940.70018518518</v>
      </c>
      <c r="C488" s="1" t="n">
        <v>46158</v>
      </c>
      <c r="D488" t="inlineStr">
        <is>
          <t>ÖREBRO LÄN</t>
        </is>
      </c>
      <c r="E488" t="inlineStr">
        <is>
          <t>LINDESBERG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7201-2024</t>
        </is>
      </c>
      <c r="B489" s="1" t="n">
        <v>45344.6027662037</v>
      </c>
      <c r="C489" s="1" t="n">
        <v>46158</v>
      </c>
      <c r="D489" t="inlineStr">
        <is>
          <t>ÖREBRO LÄN</t>
        </is>
      </c>
      <c r="E489" t="inlineStr">
        <is>
          <t>LINDESBERG</t>
        </is>
      </c>
      <c r="G489" t="n">
        <v>4.7</v>
      </c>
      <c r="H489" t="n">
        <v>0</v>
      </c>
      <c r="I489" t="n">
        <v>0</v>
      </c>
      <c r="J489" t="n">
        <v>0</v>
      </c>
      <c r="K489" t="n">
        <v>0</v>
      </c>
      <c r="L489" t="n">
        <v>0</v>
      </c>
      <c r="M489" t="n">
        <v>0</v>
      </c>
      <c r="N489" t="n">
        <v>0</v>
      </c>
      <c r="O489" t="n">
        <v>0</v>
      </c>
      <c r="P489" t="n">
        <v>0</v>
      </c>
      <c r="Q489" t="n">
        <v>0</v>
      </c>
      <c r="R489" s="2" t="inlineStr"/>
    </row>
    <row r="490" ht="15" customHeight="1">
      <c r="A490" t="inlineStr">
        <is>
          <t>A 14190-2024</t>
        </is>
      </c>
      <c r="B490" s="1" t="n">
        <v>45393.36060185185</v>
      </c>
      <c r="C490" s="1" t="n">
        <v>46158</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49943-2025</t>
        </is>
      </c>
      <c r="B491" s="1" t="n">
        <v>45940.69521990741</v>
      </c>
      <c r="C491" s="1" t="n">
        <v>46158</v>
      </c>
      <c r="D491" t="inlineStr">
        <is>
          <t>ÖREBRO LÄN</t>
        </is>
      </c>
      <c r="E491" t="inlineStr">
        <is>
          <t>LINDESBERG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35702-2025</t>
        </is>
      </c>
      <c r="B492" s="1" t="n">
        <v>45860.36222222223</v>
      </c>
      <c r="C492" s="1" t="n">
        <v>46158</v>
      </c>
      <c r="D492" t="inlineStr">
        <is>
          <t>ÖREBRO LÄN</t>
        </is>
      </c>
      <c r="E492" t="inlineStr">
        <is>
          <t>LINDESBERG</t>
        </is>
      </c>
      <c r="G492" t="n">
        <v>5.3</v>
      </c>
      <c r="H492" t="n">
        <v>0</v>
      </c>
      <c r="I492" t="n">
        <v>0</v>
      </c>
      <c r="J492" t="n">
        <v>0</v>
      </c>
      <c r="K492" t="n">
        <v>0</v>
      </c>
      <c r="L492" t="n">
        <v>0</v>
      </c>
      <c r="M492" t="n">
        <v>0</v>
      </c>
      <c r="N492" t="n">
        <v>0</v>
      </c>
      <c r="O492" t="n">
        <v>0</v>
      </c>
      <c r="P492" t="n">
        <v>0</v>
      </c>
      <c r="Q492" t="n">
        <v>0</v>
      </c>
      <c r="R492" s="2" t="inlineStr"/>
    </row>
    <row r="493" ht="15" customHeight="1">
      <c r="A493" t="inlineStr">
        <is>
          <t>A 35710-2025</t>
        </is>
      </c>
      <c r="B493" s="1" t="n">
        <v>45860.3857175926</v>
      </c>
      <c r="C493" s="1" t="n">
        <v>46158</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17087-2023</t>
        </is>
      </c>
      <c r="B494" s="1" t="n">
        <v>45034.5174537037</v>
      </c>
      <c r="C494" s="1" t="n">
        <v>46158</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47304-2024</t>
        </is>
      </c>
      <c r="B495" s="1" t="n">
        <v>45587</v>
      </c>
      <c r="C495" s="1" t="n">
        <v>46158</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53189-2023</t>
        </is>
      </c>
      <c r="B496" s="1" t="n">
        <v>45194</v>
      </c>
      <c r="C496" s="1" t="n">
        <v>46158</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60926-2024</t>
        </is>
      </c>
      <c r="B497" s="1" t="n">
        <v>45645</v>
      </c>
      <c r="C497" s="1" t="n">
        <v>46158</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50072-2025</t>
        </is>
      </c>
      <c r="B498" s="1" t="n">
        <v>45943.45966435185</v>
      </c>
      <c r="C498" s="1" t="n">
        <v>46158</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50086-2025</t>
        </is>
      </c>
      <c r="B499" s="1" t="n">
        <v>45943.47649305555</v>
      </c>
      <c r="C499" s="1" t="n">
        <v>46158</v>
      </c>
      <c r="D499" t="inlineStr">
        <is>
          <t>ÖREBRO LÄN</t>
        </is>
      </c>
      <c r="E499" t="inlineStr">
        <is>
          <t>LINDESBERG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50073-2025</t>
        </is>
      </c>
      <c r="B500" s="1" t="n">
        <v>45943.4603125</v>
      </c>
      <c r="C500" s="1" t="n">
        <v>46158</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14231-2023</t>
        </is>
      </c>
      <c r="B501" s="1" t="n">
        <v>45009.64217592592</v>
      </c>
      <c r="C501" s="1" t="n">
        <v>46158</v>
      </c>
      <c r="D501" t="inlineStr">
        <is>
          <t>ÖREBRO LÄN</t>
        </is>
      </c>
      <c r="E501" t="inlineStr">
        <is>
          <t>LINDESBERG</t>
        </is>
      </c>
      <c r="G501" t="n">
        <v>4.3</v>
      </c>
      <c r="H501" t="n">
        <v>0</v>
      </c>
      <c r="I501" t="n">
        <v>0</v>
      </c>
      <c r="J501" t="n">
        <v>0</v>
      </c>
      <c r="K501" t="n">
        <v>0</v>
      </c>
      <c r="L501" t="n">
        <v>0</v>
      </c>
      <c r="M501" t="n">
        <v>0</v>
      </c>
      <c r="N501" t="n">
        <v>0</v>
      </c>
      <c r="O501" t="n">
        <v>0</v>
      </c>
      <c r="P501" t="n">
        <v>0</v>
      </c>
      <c r="Q501" t="n">
        <v>0</v>
      </c>
      <c r="R501" s="2" t="inlineStr"/>
    </row>
    <row r="502" ht="15" customHeight="1">
      <c r="A502" t="inlineStr">
        <is>
          <t>A 50936-2025</t>
        </is>
      </c>
      <c r="B502" s="1" t="n">
        <v>45946.69616898148</v>
      </c>
      <c r="C502" s="1" t="n">
        <v>46158</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62608-2021</t>
        </is>
      </c>
      <c r="B503" s="1" t="n">
        <v>44503</v>
      </c>
      <c r="C503" s="1" t="n">
        <v>46158</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35140-2023</t>
        </is>
      </c>
      <c r="B504" s="1" t="n">
        <v>45145</v>
      </c>
      <c r="C504" s="1" t="n">
        <v>46158</v>
      </c>
      <c r="D504" t="inlineStr">
        <is>
          <t>ÖREBRO LÄN</t>
        </is>
      </c>
      <c r="E504" t="inlineStr">
        <is>
          <t>LINDESBERG</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37616-2023</t>
        </is>
      </c>
      <c r="B505" s="1" t="n">
        <v>45159.44525462963</v>
      </c>
      <c r="C505" s="1" t="n">
        <v>46158</v>
      </c>
      <c r="D505" t="inlineStr">
        <is>
          <t>ÖREBRO LÄN</t>
        </is>
      </c>
      <c r="E505" t="inlineStr">
        <is>
          <t>LINDESBERG</t>
        </is>
      </c>
      <c r="G505" t="n">
        <v>5.3</v>
      </c>
      <c r="H505" t="n">
        <v>0</v>
      </c>
      <c r="I505" t="n">
        <v>0</v>
      </c>
      <c r="J505" t="n">
        <v>0</v>
      </c>
      <c r="K505" t="n">
        <v>0</v>
      </c>
      <c r="L505" t="n">
        <v>0</v>
      </c>
      <c r="M505" t="n">
        <v>0</v>
      </c>
      <c r="N505" t="n">
        <v>0</v>
      </c>
      <c r="O505" t="n">
        <v>0</v>
      </c>
      <c r="P505" t="n">
        <v>0</v>
      </c>
      <c r="Q505" t="n">
        <v>0</v>
      </c>
      <c r="R505" s="2" t="inlineStr"/>
    </row>
    <row r="506" ht="15" customHeight="1">
      <c r="A506" t="inlineStr">
        <is>
          <t>A 50765-2025</t>
        </is>
      </c>
      <c r="B506" s="1" t="n">
        <v>45946.44216435185</v>
      </c>
      <c r="C506" s="1" t="n">
        <v>46158</v>
      </c>
      <c r="D506" t="inlineStr">
        <is>
          <t>ÖREBRO LÄN</t>
        </is>
      </c>
      <c r="E506" t="inlineStr">
        <is>
          <t>LINDESBERG</t>
        </is>
      </c>
      <c r="F506" t="inlineStr">
        <is>
          <t>Sveaskog</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50933-2025</t>
        </is>
      </c>
      <c r="B507" s="1" t="n">
        <v>45946.68859953704</v>
      </c>
      <c r="C507" s="1" t="n">
        <v>46158</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29938-2024</t>
        </is>
      </c>
      <c r="B508" s="1" t="n">
        <v>45488.41480324074</v>
      </c>
      <c r="C508" s="1" t="n">
        <v>46158</v>
      </c>
      <c r="D508" t="inlineStr">
        <is>
          <t>ÖREBRO LÄN</t>
        </is>
      </c>
      <c r="E508" t="inlineStr">
        <is>
          <t>LINDESBERG</t>
        </is>
      </c>
      <c r="G508" t="n">
        <v>4</v>
      </c>
      <c r="H508" t="n">
        <v>0</v>
      </c>
      <c r="I508" t="n">
        <v>0</v>
      </c>
      <c r="J508" t="n">
        <v>0</v>
      </c>
      <c r="K508" t="n">
        <v>0</v>
      </c>
      <c r="L508" t="n">
        <v>0</v>
      </c>
      <c r="M508" t="n">
        <v>0</v>
      </c>
      <c r="N508" t="n">
        <v>0</v>
      </c>
      <c r="O508" t="n">
        <v>0</v>
      </c>
      <c r="P508" t="n">
        <v>0</v>
      </c>
      <c r="Q508" t="n">
        <v>0</v>
      </c>
      <c r="R508" s="2" t="inlineStr"/>
    </row>
    <row r="509" ht="15" customHeight="1">
      <c r="A509" t="inlineStr">
        <is>
          <t>A 24030-2023</t>
        </is>
      </c>
      <c r="B509" s="1" t="n">
        <v>45078.82620370371</v>
      </c>
      <c r="C509" s="1" t="n">
        <v>46158</v>
      </c>
      <c r="D509" t="inlineStr">
        <is>
          <t>ÖREBRO LÄN</t>
        </is>
      </c>
      <c r="E509" t="inlineStr">
        <is>
          <t>LINDESBERG</t>
        </is>
      </c>
      <c r="G509" t="n">
        <v>1.5</v>
      </c>
      <c r="H509" t="n">
        <v>0</v>
      </c>
      <c r="I509" t="n">
        <v>0</v>
      </c>
      <c r="J509" t="n">
        <v>0</v>
      </c>
      <c r="K509" t="n">
        <v>0</v>
      </c>
      <c r="L509" t="n">
        <v>0</v>
      </c>
      <c r="M509" t="n">
        <v>0</v>
      </c>
      <c r="N509" t="n">
        <v>0</v>
      </c>
      <c r="O509" t="n">
        <v>0</v>
      </c>
      <c r="P509" t="n">
        <v>0</v>
      </c>
      <c r="Q509" t="n">
        <v>0</v>
      </c>
      <c r="R509" s="2" t="inlineStr"/>
    </row>
    <row r="510" ht="15" customHeight="1">
      <c r="A510" t="inlineStr">
        <is>
          <t>A 45173-2024</t>
        </is>
      </c>
      <c r="B510" s="1" t="n">
        <v>45575.65721064815</v>
      </c>
      <c r="C510" s="1" t="n">
        <v>46158</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7069-2026</t>
        </is>
      </c>
      <c r="B511" s="1" t="n">
        <v>46058.30956018518</v>
      </c>
      <c r="C511" s="1" t="n">
        <v>46158</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46158</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36747-2024</t>
        </is>
      </c>
      <c r="B513" s="1" t="n">
        <v>45538.34193287037</v>
      </c>
      <c r="C513" s="1" t="n">
        <v>46158</v>
      </c>
      <c r="D513" t="inlineStr">
        <is>
          <t>ÖREBRO LÄN</t>
        </is>
      </c>
      <c r="E513" t="inlineStr">
        <is>
          <t>LINDESBERG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7098-2026</t>
        </is>
      </c>
      <c r="B514" s="1" t="n">
        <v>46058.35196759259</v>
      </c>
      <c r="C514" s="1" t="n">
        <v>46158</v>
      </c>
      <c r="D514" t="inlineStr">
        <is>
          <t>ÖREBRO LÄN</t>
        </is>
      </c>
      <c r="E514" t="inlineStr">
        <is>
          <t>LINDESBERG</t>
        </is>
      </c>
      <c r="G514" t="n">
        <v>1.9</v>
      </c>
      <c r="H514" t="n">
        <v>0</v>
      </c>
      <c r="I514" t="n">
        <v>0</v>
      </c>
      <c r="J514" t="n">
        <v>0</v>
      </c>
      <c r="K514" t="n">
        <v>0</v>
      </c>
      <c r="L514" t="n">
        <v>0</v>
      </c>
      <c r="M514" t="n">
        <v>0</v>
      </c>
      <c r="N514" t="n">
        <v>0</v>
      </c>
      <c r="O514" t="n">
        <v>0</v>
      </c>
      <c r="P514" t="n">
        <v>0</v>
      </c>
      <c r="Q514" t="n">
        <v>0</v>
      </c>
      <c r="R514" s="2" t="inlineStr"/>
    </row>
    <row r="515" ht="15" customHeight="1">
      <c r="A515" t="inlineStr">
        <is>
          <t>A 30514-2025</t>
        </is>
      </c>
      <c r="B515" s="1" t="n">
        <v>45831</v>
      </c>
      <c r="C515" s="1" t="n">
        <v>46158</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3756-2026</t>
        </is>
      </c>
      <c r="B516" s="1" t="n">
        <v>46043</v>
      </c>
      <c r="C516" s="1" t="n">
        <v>46158</v>
      </c>
      <c r="D516" t="inlineStr">
        <is>
          <t>ÖREBRO LÄN</t>
        </is>
      </c>
      <c r="E516" t="inlineStr">
        <is>
          <t>LINDESBERG</t>
        </is>
      </c>
      <c r="G516" t="n">
        <v>6.3</v>
      </c>
      <c r="H516" t="n">
        <v>0</v>
      </c>
      <c r="I516" t="n">
        <v>0</v>
      </c>
      <c r="J516" t="n">
        <v>0</v>
      </c>
      <c r="K516" t="n">
        <v>0</v>
      </c>
      <c r="L516" t="n">
        <v>0</v>
      </c>
      <c r="M516" t="n">
        <v>0</v>
      </c>
      <c r="N516" t="n">
        <v>0</v>
      </c>
      <c r="O516" t="n">
        <v>0</v>
      </c>
      <c r="P516" t="n">
        <v>0</v>
      </c>
      <c r="Q516" t="n">
        <v>0</v>
      </c>
      <c r="R516" s="2" t="inlineStr"/>
    </row>
    <row r="517" ht="15" customHeight="1">
      <c r="A517" t="inlineStr">
        <is>
          <t>A 36253-2024</t>
        </is>
      </c>
      <c r="B517" s="1" t="n">
        <v>45534.54032407407</v>
      </c>
      <c r="C517" s="1" t="n">
        <v>46158</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30512-2025</t>
        </is>
      </c>
      <c r="B518" s="1" t="n">
        <v>45831</v>
      </c>
      <c r="C518" s="1" t="n">
        <v>46158</v>
      </c>
      <c r="D518" t="inlineStr">
        <is>
          <t>ÖREBRO LÄN</t>
        </is>
      </c>
      <c r="E518" t="inlineStr">
        <is>
          <t>LINDESBERG</t>
        </is>
      </c>
      <c r="G518" t="n">
        <v>4.5</v>
      </c>
      <c r="H518" t="n">
        <v>0</v>
      </c>
      <c r="I518" t="n">
        <v>0</v>
      </c>
      <c r="J518" t="n">
        <v>0</v>
      </c>
      <c r="K518" t="n">
        <v>0</v>
      </c>
      <c r="L518" t="n">
        <v>0</v>
      </c>
      <c r="M518" t="n">
        <v>0</v>
      </c>
      <c r="N518" t="n">
        <v>0</v>
      </c>
      <c r="O518" t="n">
        <v>0</v>
      </c>
      <c r="P518" t="n">
        <v>0</v>
      </c>
      <c r="Q518" t="n">
        <v>0</v>
      </c>
      <c r="R518" s="2" t="inlineStr"/>
    </row>
    <row r="519" ht="15" customHeight="1">
      <c r="A519" t="inlineStr">
        <is>
          <t>A 32097-2024</t>
        </is>
      </c>
      <c r="B519" s="1" t="n">
        <v>45511.39445601852</v>
      </c>
      <c r="C519" s="1" t="n">
        <v>46158</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32099-2024</t>
        </is>
      </c>
      <c r="B520" s="1" t="n">
        <v>45511.40297453704</v>
      </c>
      <c r="C520" s="1" t="n">
        <v>46158</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46158</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61360-2024</t>
        </is>
      </c>
      <c r="B522" s="1" t="n">
        <v>45646</v>
      </c>
      <c r="C522" s="1" t="n">
        <v>46158</v>
      </c>
      <c r="D522" t="inlineStr">
        <is>
          <t>ÖREBRO LÄN</t>
        </is>
      </c>
      <c r="E522" t="inlineStr">
        <is>
          <t>LINDESBERG</t>
        </is>
      </c>
      <c r="F522" t="inlineStr">
        <is>
          <t>Sveaskog</t>
        </is>
      </c>
      <c r="G522" t="n">
        <v>6.5</v>
      </c>
      <c r="H522" t="n">
        <v>0</v>
      </c>
      <c r="I522" t="n">
        <v>0</v>
      </c>
      <c r="J522" t="n">
        <v>0</v>
      </c>
      <c r="K522" t="n">
        <v>0</v>
      </c>
      <c r="L522" t="n">
        <v>0</v>
      </c>
      <c r="M522" t="n">
        <v>0</v>
      </c>
      <c r="N522" t="n">
        <v>0</v>
      </c>
      <c r="O522" t="n">
        <v>0</v>
      </c>
      <c r="P522" t="n">
        <v>0</v>
      </c>
      <c r="Q522" t="n">
        <v>0</v>
      </c>
      <c r="R522" s="2" t="inlineStr"/>
    </row>
    <row r="523" ht="15" customHeight="1">
      <c r="A523" t="inlineStr">
        <is>
          <t>A 3803-2023</t>
        </is>
      </c>
      <c r="B523" s="1" t="n">
        <v>44951.5830324074</v>
      </c>
      <c r="C523" s="1" t="n">
        <v>46158</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60200-2024</t>
        </is>
      </c>
      <c r="B524" s="1" t="n">
        <v>45642.66184027777</v>
      </c>
      <c r="C524" s="1" t="n">
        <v>46158</v>
      </c>
      <c r="D524" t="inlineStr">
        <is>
          <t>ÖREBRO LÄN</t>
        </is>
      </c>
      <c r="E524" t="inlineStr">
        <is>
          <t>LINDESBERG</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46158</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51172-2025</t>
        </is>
      </c>
      <c r="B526" s="1" t="n">
        <v>45947.60508101852</v>
      </c>
      <c r="C526" s="1" t="n">
        <v>46158</v>
      </c>
      <c r="D526" t="inlineStr">
        <is>
          <t>ÖREBRO LÄN</t>
        </is>
      </c>
      <c r="E526" t="inlineStr">
        <is>
          <t>LINDESBERG</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36577-2025</t>
        </is>
      </c>
      <c r="B527" s="1" t="n">
        <v>45870</v>
      </c>
      <c r="C527" s="1" t="n">
        <v>46158</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7202-2026</t>
        </is>
      </c>
      <c r="B528" s="1" t="n">
        <v>46058.52864583334</v>
      </c>
      <c r="C528" s="1" t="n">
        <v>46158</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46158</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25229-2021</t>
        </is>
      </c>
      <c r="B530" s="1" t="n">
        <v>44342.39703703704</v>
      </c>
      <c r="C530" s="1" t="n">
        <v>46158</v>
      </c>
      <c r="D530" t="inlineStr">
        <is>
          <t>ÖREBRO LÄN</t>
        </is>
      </c>
      <c r="E530" t="inlineStr">
        <is>
          <t>LINDESBERG</t>
        </is>
      </c>
      <c r="F530" t="inlineStr">
        <is>
          <t>Kyrkan</t>
        </is>
      </c>
      <c r="G530" t="n">
        <v>1.5</v>
      </c>
      <c r="H530" t="n">
        <v>0</v>
      </c>
      <c r="I530" t="n">
        <v>0</v>
      </c>
      <c r="J530" t="n">
        <v>0</v>
      </c>
      <c r="K530" t="n">
        <v>0</v>
      </c>
      <c r="L530" t="n">
        <v>0</v>
      </c>
      <c r="M530" t="n">
        <v>0</v>
      </c>
      <c r="N530" t="n">
        <v>0</v>
      </c>
      <c r="O530" t="n">
        <v>0</v>
      </c>
      <c r="P530" t="n">
        <v>0</v>
      </c>
      <c r="Q530" t="n">
        <v>0</v>
      </c>
      <c r="R530" s="2" t="inlineStr"/>
    </row>
    <row r="531" ht="15" customHeight="1">
      <c r="A531" t="inlineStr">
        <is>
          <t>A 36579-2025</t>
        </is>
      </c>
      <c r="B531" s="1" t="n">
        <v>45870</v>
      </c>
      <c r="C531" s="1" t="n">
        <v>46158</v>
      </c>
      <c r="D531" t="inlineStr">
        <is>
          <t>ÖREBRO LÄN</t>
        </is>
      </c>
      <c r="E531" t="inlineStr">
        <is>
          <t>LINDESBERG</t>
        </is>
      </c>
      <c r="G531" t="n">
        <v>6</v>
      </c>
      <c r="H531" t="n">
        <v>0</v>
      </c>
      <c r="I531" t="n">
        <v>0</v>
      </c>
      <c r="J531" t="n">
        <v>0</v>
      </c>
      <c r="K531" t="n">
        <v>0</v>
      </c>
      <c r="L531" t="n">
        <v>0</v>
      </c>
      <c r="M531" t="n">
        <v>0</v>
      </c>
      <c r="N531" t="n">
        <v>0</v>
      </c>
      <c r="O531" t="n">
        <v>0</v>
      </c>
      <c r="P531" t="n">
        <v>0</v>
      </c>
      <c r="Q531" t="n">
        <v>0</v>
      </c>
      <c r="R531" s="2" t="inlineStr"/>
    </row>
    <row r="532" ht="15" customHeight="1">
      <c r="A532" t="inlineStr">
        <is>
          <t>A 52102-2025</t>
        </is>
      </c>
      <c r="B532" s="1" t="n">
        <v>45952.68358796297</v>
      </c>
      <c r="C532" s="1" t="n">
        <v>46158</v>
      </c>
      <c r="D532" t="inlineStr">
        <is>
          <t>ÖREBRO LÄN</t>
        </is>
      </c>
      <c r="E532" t="inlineStr">
        <is>
          <t>LINDESBERG</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52117-2025</t>
        </is>
      </c>
      <c r="B533" s="1" t="n">
        <v>45952.70765046297</v>
      </c>
      <c r="C533" s="1" t="n">
        <v>46158</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46158</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52098-2025</t>
        </is>
      </c>
      <c r="B535" s="1" t="n">
        <v>45952.68001157408</v>
      </c>
      <c r="C535" s="1" t="n">
        <v>46158</v>
      </c>
      <c r="D535" t="inlineStr">
        <is>
          <t>ÖREBRO LÄN</t>
        </is>
      </c>
      <c r="E535" t="inlineStr">
        <is>
          <t>LINDESBERG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52103-2025</t>
        </is>
      </c>
      <c r="B536" s="1" t="n">
        <v>45952.68439814815</v>
      </c>
      <c r="C536" s="1" t="n">
        <v>46158</v>
      </c>
      <c r="D536" t="inlineStr">
        <is>
          <t>ÖREBRO LÄN</t>
        </is>
      </c>
      <c r="E536" t="inlineStr">
        <is>
          <t>LINDESBERG</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52101-2025</t>
        </is>
      </c>
      <c r="B537" s="1" t="n">
        <v>45952.68271990741</v>
      </c>
      <c r="C537" s="1" t="n">
        <v>46158</v>
      </c>
      <c r="D537" t="inlineStr">
        <is>
          <t>ÖREBRO LÄN</t>
        </is>
      </c>
      <c r="E537" t="inlineStr">
        <is>
          <t>LINDESBERG</t>
        </is>
      </c>
      <c r="F537" t="inlineStr">
        <is>
          <t>Sveaskog</t>
        </is>
      </c>
      <c r="G537" t="n">
        <v>10.9</v>
      </c>
      <c r="H537" t="n">
        <v>0</v>
      </c>
      <c r="I537" t="n">
        <v>0</v>
      </c>
      <c r="J537" t="n">
        <v>0</v>
      </c>
      <c r="K537" t="n">
        <v>0</v>
      </c>
      <c r="L537" t="n">
        <v>0</v>
      </c>
      <c r="M537" t="n">
        <v>0</v>
      </c>
      <c r="N537" t="n">
        <v>0</v>
      </c>
      <c r="O537" t="n">
        <v>0</v>
      </c>
      <c r="P537" t="n">
        <v>0</v>
      </c>
      <c r="Q537" t="n">
        <v>0</v>
      </c>
      <c r="R537" s="2" t="inlineStr"/>
    </row>
    <row r="538" ht="15" customHeight="1">
      <c r="A538" t="inlineStr">
        <is>
          <t>A 52104-2025</t>
        </is>
      </c>
      <c r="B538" s="1" t="n">
        <v>45952.68524305556</v>
      </c>
      <c r="C538" s="1" t="n">
        <v>46158</v>
      </c>
      <c r="D538" t="inlineStr">
        <is>
          <t>ÖREBRO LÄN</t>
        </is>
      </c>
      <c r="E538" t="inlineStr">
        <is>
          <t>LINDESBERG</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58697-2024</t>
        </is>
      </c>
      <c r="B539" s="1" t="n">
        <v>45635.63706018519</v>
      </c>
      <c r="C539" s="1" t="n">
        <v>46158</v>
      </c>
      <c r="D539" t="inlineStr">
        <is>
          <t>ÖREBRO LÄN</t>
        </is>
      </c>
      <c r="E539" t="inlineStr">
        <is>
          <t>LINDESBERG</t>
        </is>
      </c>
      <c r="G539" t="n">
        <v>25.1</v>
      </c>
      <c r="H539" t="n">
        <v>0</v>
      </c>
      <c r="I539" t="n">
        <v>0</v>
      </c>
      <c r="J539" t="n">
        <v>0</v>
      </c>
      <c r="K539" t="n">
        <v>0</v>
      </c>
      <c r="L539" t="n">
        <v>0</v>
      </c>
      <c r="M539" t="n">
        <v>0</v>
      </c>
      <c r="N539" t="n">
        <v>0</v>
      </c>
      <c r="O539" t="n">
        <v>0</v>
      </c>
      <c r="P539" t="n">
        <v>0</v>
      </c>
      <c r="Q539" t="n">
        <v>0</v>
      </c>
      <c r="R539" s="2" t="inlineStr"/>
    </row>
    <row r="540" ht="15" customHeight="1">
      <c r="A540" t="inlineStr">
        <is>
          <t>A 36859-2025</t>
        </is>
      </c>
      <c r="B540" s="1" t="n">
        <v>45874.40503472222</v>
      </c>
      <c r="C540" s="1" t="n">
        <v>46158</v>
      </c>
      <c r="D540" t="inlineStr">
        <is>
          <t>ÖREBRO LÄN</t>
        </is>
      </c>
      <c r="E540" t="inlineStr">
        <is>
          <t>LINDESBERG</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46158</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46158</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17115-2025</t>
        </is>
      </c>
      <c r="B543" s="1" t="n">
        <v>45755.68247685185</v>
      </c>
      <c r="C543" s="1" t="n">
        <v>46158</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16054-2022</t>
        </is>
      </c>
      <c r="B544" s="1" t="n">
        <v>44665</v>
      </c>
      <c r="C544" s="1" t="n">
        <v>46158</v>
      </c>
      <c r="D544" t="inlineStr">
        <is>
          <t>ÖREBRO LÄN</t>
        </is>
      </c>
      <c r="E544" t="inlineStr">
        <is>
          <t>LINDESBERG</t>
        </is>
      </c>
      <c r="G544" t="n">
        <v>6.9</v>
      </c>
      <c r="H544" t="n">
        <v>0</v>
      </c>
      <c r="I544" t="n">
        <v>0</v>
      </c>
      <c r="J544" t="n">
        <v>0</v>
      </c>
      <c r="K544" t="n">
        <v>0</v>
      </c>
      <c r="L544" t="n">
        <v>0</v>
      </c>
      <c r="M544" t="n">
        <v>0</v>
      </c>
      <c r="N544" t="n">
        <v>0</v>
      </c>
      <c r="O544" t="n">
        <v>0</v>
      </c>
      <c r="P544" t="n">
        <v>0</v>
      </c>
      <c r="Q544" t="n">
        <v>0</v>
      </c>
      <c r="R544" s="2" t="inlineStr"/>
    </row>
    <row r="545" ht="15" customHeight="1">
      <c r="A545" t="inlineStr">
        <is>
          <t>A 36136-2023</t>
        </is>
      </c>
      <c r="B545" s="1" t="n">
        <v>45149</v>
      </c>
      <c r="C545" s="1" t="n">
        <v>46158</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52730-2025</t>
        </is>
      </c>
      <c r="B546" s="1" t="n">
        <v>45957.36386574074</v>
      </c>
      <c r="C546" s="1" t="n">
        <v>46158</v>
      </c>
      <c r="D546" t="inlineStr">
        <is>
          <t>ÖREBRO LÄN</t>
        </is>
      </c>
      <c r="E546" t="inlineStr">
        <is>
          <t>LINDESBERG</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13573-2025</t>
        </is>
      </c>
      <c r="B547" s="1" t="n">
        <v>45736</v>
      </c>
      <c r="C547" s="1" t="n">
        <v>46158</v>
      </c>
      <c r="D547" t="inlineStr">
        <is>
          <t>ÖREBRO LÄN</t>
        </is>
      </c>
      <c r="E547" t="inlineStr">
        <is>
          <t>LINDESBERG</t>
        </is>
      </c>
      <c r="G547" t="n">
        <v>11.7</v>
      </c>
      <c r="H547" t="n">
        <v>0</v>
      </c>
      <c r="I547" t="n">
        <v>0</v>
      </c>
      <c r="J547" t="n">
        <v>0</v>
      </c>
      <c r="K547" t="n">
        <v>0</v>
      </c>
      <c r="L547" t="n">
        <v>0</v>
      </c>
      <c r="M547" t="n">
        <v>0</v>
      </c>
      <c r="N547" t="n">
        <v>0</v>
      </c>
      <c r="O547" t="n">
        <v>0</v>
      </c>
      <c r="P547" t="n">
        <v>0</v>
      </c>
      <c r="Q547" t="n">
        <v>0</v>
      </c>
      <c r="R547" s="2" t="inlineStr"/>
    </row>
    <row r="548" ht="15" customHeight="1">
      <c r="A548" t="inlineStr">
        <is>
          <t>A 61601-2024</t>
        </is>
      </c>
      <c r="B548" s="1" t="n">
        <v>45646.63839120371</v>
      </c>
      <c r="C548" s="1" t="n">
        <v>46158</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37301-2025</t>
        </is>
      </c>
      <c r="B549" s="1" t="n">
        <v>45876.59166666667</v>
      </c>
      <c r="C549" s="1" t="n">
        <v>46158</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6989-2026</t>
        </is>
      </c>
      <c r="B550" s="1" t="n">
        <v>46057.60342592592</v>
      </c>
      <c r="C550" s="1" t="n">
        <v>46158</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53187-2025</t>
        </is>
      </c>
      <c r="B551" s="1" t="n">
        <v>45958.55577546296</v>
      </c>
      <c r="C551" s="1" t="n">
        <v>46158</v>
      </c>
      <c r="D551" t="inlineStr">
        <is>
          <t>ÖREBRO LÄN</t>
        </is>
      </c>
      <c r="E551" t="inlineStr">
        <is>
          <t>LINDESBERG</t>
        </is>
      </c>
      <c r="F551" t="inlineStr">
        <is>
          <t>Kommuner</t>
        </is>
      </c>
      <c r="G551" t="n">
        <v>2.7</v>
      </c>
      <c r="H551" t="n">
        <v>0</v>
      </c>
      <c r="I551" t="n">
        <v>0</v>
      </c>
      <c r="J551" t="n">
        <v>0</v>
      </c>
      <c r="K551" t="n">
        <v>0</v>
      </c>
      <c r="L551" t="n">
        <v>0</v>
      </c>
      <c r="M551" t="n">
        <v>0</v>
      </c>
      <c r="N551" t="n">
        <v>0</v>
      </c>
      <c r="O551" t="n">
        <v>0</v>
      </c>
      <c r="P551" t="n">
        <v>0</v>
      </c>
      <c r="Q551" t="n">
        <v>0</v>
      </c>
      <c r="R551" s="2" t="inlineStr"/>
    </row>
    <row r="552" ht="15" customHeight="1">
      <c r="A552" t="inlineStr">
        <is>
          <t>A 7121-2026</t>
        </is>
      </c>
      <c r="B552" s="1" t="n">
        <v>46058.38300925926</v>
      </c>
      <c r="C552" s="1" t="n">
        <v>46158</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40450-2023</t>
        </is>
      </c>
      <c r="B553" s="1" t="n">
        <v>45170</v>
      </c>
      <c r="C553" s="1" t="n">
        <v>46158</v>
      </c>
      <c r="D553" t="inlineStr">
        <is>
          <t>ÖREBRO LÄN</t>
        </is>
      </c>
      <c r="E553" t="inlineStr">
        <is>
          <t>LINDESBERG</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37500-2025</t>
        </is>
      </c>
      <c r="B554" s="1" t="n">
        <v>45877.64776620371</v>
      </c>
      <c r="C554" s="1" t="n">
        <v>46158</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37503-2025</t>
        </is>
      </c>
      <c r="B555" s="1" t="n">
        <v>45877.65075231482</v>
      </c>
      <c r="C555" s="1" t="n">
        <v>46158</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22824-2023</t>
        </is>
      </c>
      <c r="B556" s="1" t="n">
        <v>45072</v>
      </c>
      <c r="C556" s="1" t="n">
        <v>46158</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37501-2025</t>
        </is>
      </c>
      <c r="B557" s="1" t="n">
        <v>45877.64847222222</v>
      </c>
      <c r="C557" s="1" t="n">
        <v>46158</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37552-2025</t>
        </is>
      </c>
      <c r="B558" s="1" t="n">
        <v>45880.28673611111</v>
      </c>
      <c r="C558" s="1" t="n">
        <v>46158</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52402-2025</t>
        </is>
      </c>
      <c r="B559" s="1" t="n">
        <v>45954.35387731482</v>
      </c>
      <c r="C559" s="1" t="n">
        <v>46158</v>
      </c>
      <c r="D559" t="inlineStr">
        <is>
          <t>ÖREBRO LÄN</t>
        </is>
      </c>
      <c r="E559" t="inlineStr">
        <is>
          <t>LINDESBERG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72698-2021</t>
        </is>
      </c>
      <c r="B560" s="1" t="n">
        <v>44546.6679050926</v>
      </c>
      <c r="C560" s="1" t="n">
        <v>46158</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34237-2023</t>
        </is>
      </c>
      <c r="B561" s="1" t="n">
        <v>45138</v>
      </c>
      <c r="C561" s="1" t="n">
        <v>46158</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32994-2023</t>
        </is>
      </c>
      <c r="B562" s="1" t="n">
        <v>45113</v>
      </c>
      <c r="C562" s="1" t="n">
        <v>46158</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37491-2025</t>
        </is>
      </c>
      <c r="B563" s="1" t="n">
        <v>45877.64144675926</v>
      </c>
      <c r="C563" s="1" t="n">
        <v>46158</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37499-2025</t>
        </is>
      </c>
      <c r="B564" s="1" t="n">
        <v>45877.64605324074</v>
      </c>
      <c r="C564" s="1" t="n">
        <v>46158</v>
      </c>
      <c r="D564" t="inlineStr">
        <is>
          <t>ÖREBRO LÄN</t>
        </is>
      </c>
      <c r="E564" t="inlineStr">
        <is>
          <t>LINDESBERG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37602-2025</t>
        </is>
      </c>
      <c r="B565" s="1" t="n">
        <v>45880</v>
      </c>
      <c r="C565" s="1" t="n">
        <v>46158</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37625-2025</t>
        </is>
      </c>
      <c r="B566" s="1" t="n">
        <v>45880.46056712963</v>
      </c>
      <c r="C566" s="1" t="n">
        <v>46158</v>
      </c>
      <c r="D566" t="inlineStr">
        <is>
          <t>ÖREBRO LÄN</t>
        </is>
      </c>
      <c r="E566" t="inlineStr">
        <is>
          <t>LINDESBERG</t>
        </is>
      </c>
      <c r="G566" t="n">
        <v>12.5</v>
      </c>
      <c r="H566" t="n">
        <v>0</v>
      </c>
      <c r="I566" t="n">
        <v>0</v>
      </c>
      <c r="J566" t="n">
        <v>0</v>
      </c>
      <c r="K566" t="n">
        <v>0</v>
      </c>
      <c r="L566" t="n">
        <v>0</v>
      </c>
      <c r="M566" t="n">
        <v>0</v>
      </c>
      <c r="N566" t="n">
        <v>0</v>
      </c>
      <c r="O566" t="n">
        <v>0</v>
      </c>
      <c r="P566" t="n">
        <v>0</v>
      </c>
      <c r="Q566" t="n">
        <v>0</v>
      </c>
      <c r="R566" s="2" t="inlineStr"/>
    </row>
    <row r="567" ht="15" customHeight="1">
      <c r="A567" t="inlineStr">
        <is>
          <t>A 37553-2025</t>
        </is>
      </c>
      <c r="B567" s="1" t="n">
        <v>45880.3172337963</v>
      </c>
      <c r="C567" s="1" t="n">
        <v>46158</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37497-2025</t>
        </is>
      </c>
      <c r="B568" s="1" t="n">
        <v>45877.64431712963</v>
      </c>
      <c r="C568" s="1" t="n">
        <v>46158</v>
      </c>
      <c r="D568" t="inlineStr">
        <is>
          <t>ÖREBRO LÄN</t>
        </is>
      </c>
      <c r="E568" t="inlineStr">
        <is>
          <t>LINDESBERG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36170-2021</t>
        </is>
      </c>
      <c r="B569" s="1" t="n">
        <v>44389</v>
      </c>
      <c r="C569" s="1" t="n">
        <v>46158</v>
      </c>
      <c r="D569" t="inlineStr">
        <is>
          <t>ÖREBRO LÄN</t>
        </is>
      </c>
      <c r="E569" t="inlineStr">
        <is>
          <t>LINDESBERG</t>
        </is>
      </c>
      <c r="G569" t="n">
        <v>0.4</v>
      </c>
      <c r="H569" t="n">
        <v>0</v>
      </c>
      <c r="I569" t="n">
        <v>0</v>
      </c>
      <c r="J569" t="n">
        <v>0</v>
      </c>
      <c r="K569" t="n">
        <v>0</v>
      </c>
      <c r="L569" t="n">
        <v>0</v>
      </c>
      <c r="M569" t="n">
        <v>0</v>
      </c>
      <c r="N569" t="n">
        <v>0</v>
      </c>
      <c r="O569" t="n">
        <v>0</v>
      </c>
      <c r="P569" t="n">
        <v>0</v>
      </c>
      <c r="Q569" t="n">
        <v>0</v>
      </c>
      <c r="R569" s="2" t="inlineStr"/>
    </row>
    <row r="570" ht="15" customHeight="1">
      <c r="A570" t="inlineStr">
        <is>
          <t>A 37492-2025</t>
        </is>
      </c>
      <c r="B570" s="1" t="n">
        <v>45877.64230324074</v>
      </c>
      <c r="C570" s="1" t="n">
        <v>46158</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37490-2025</t>
        </is>
      </c>
      <c r="B571" s="1" t="n">
        <v>45877.63989583333</v>
      </c>
      <c r="C571" s="1" t="n">
        <v>46158</v>
      </c>
      <c r="D571" t="inlineStr">
        <is>
          <t>ÖREBRO LÄN</t>
        </is>
      </c>
      <c r="E571" t="inlineStr">
        <is>
          <t>LINDESBERG</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10822-2023</t>
        </is>
      </c>
      <c r="B572" s="1" t="n">
        <v>44990</v>
      </c>
      <c r="C572" s="1" t="n">
        <v>46158</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53723-2025</t>
        </is>
      </c>
      <c r="B573" s="1" t="n">
        <v>45960.62986111111</v>
      </c>
      <c r="C573" s="1" t="n">
        <v>46158</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53288-2025</t>
        </is>
      </c>
      <c r="B574" s="1" t="n">
        <v>45958.79287037037</v>
      </c>
      <c r="C574" s="1" t="n">
        <v>46158</v>
      </c>
      <c r="D574" t="inlineStr">
        <is>
          <t>ÖREBRO LÄN</t>
        </is>
      </c>
      <c r="E574" t="inlineStr">
        <is>
          <t>LINDESBERG</t>
        </is>
      </c>
      <c r="G574" t="n">
        <v>2.3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46158</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46158</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54070-2025</t>
        </is>
      </c>
      <c r="B577" s="1" t="n">
        <v>45964.34680555556</v>
      </c>
      <c r="C577" s="1" t="n">
        <v>46158</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35230-2024</t>
        </is>
      </c>
      <c r="B578" s="1" t="n">
        <v>45530</v>
      </c>
      <c r="C578" s="1" t="n">
        <v>46158</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37837-2025</t>
        </is>
      </c>
      <c r="B579" s="1" t="n">
        <v>45881.42791666667</v>
      </c>
      <c r="C579" s="1" t="n">
        <v>46158</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9198-2025</t>
        </is>
      </c>
      <c r="B580" s="1" t="n">
        <v>45714</v>
      </c>
      <c r="C580" s="1" t="n">
        <v>46158</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46158</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46158</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16618-2023</t>
        </is>
      </c>
      <c r="B583" s="1" t="n">
        <v>45030</v>
      </c>
      <c r="C583" s="1" t="n">
        <v>46158</v>
      </c>
      <c r="D583" t="inlineStr">
        <is>
          <t>ÖREBRO LÄN</t>
        </is>
      </c>
      <c r="E583" t="inlineStr">
        <is>
          <t>LINDESBERG</t>
        </is>
      </c>
      <c r="F583" t="inlineStr">
        <is>
          <t>Kommuner</t>
        </is>
      </c>
      <c r="G583" t="n">
        <v>4.6</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46158</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4298-2025</t>
        </is>
      </c>
      <c r="B585" s="1" t="n">
        <v>45685</v>
      </c>
      <c r="C585" s="1" t="n">
        <v>46158</v>
      </c>
      <c r="D585" t="inlineStr">
        <is>
          <t>ÖREBRO LÄN</t>
        </is>
      </c>
      <c r="E585" t="inlineStr">
        <is>
          <t>LINDESBERG</t>
        </is>
      </c>
      <c r="G585" t="n">
        <v>13.5</v>
      </c>
      <c r="H585" t="n">
        <v>0</v>
      </c>
      <c r="I585" t="n">
        <v>0</v>
      </c>
      <c r="J585" t="n">
        <v>0</v>
      </c>
      <c r="K585" t="n">
        <v>0</v>
      </c>
      <c r="L585" t="n">
        <v>0</v>
      </c>
      <c r="M585" t="n">
        <v>0</v>
      </c>
      <c r="N585" t="n">
        <v>0</v>
      </c>
      <c r="O585" t="n">
        <v>0</v>
      </c>
      <c r="P585" t="n">
        <v>0</v>
      </c>
      <c r="Q585" t="n">
        <v>0</v>
      </c>
      <c r="R585" s="2" t="inlineStr"/>
    </row>
    <row r="586" ht="15" customHeight="1">
      <c r="A586" t="inlineStr">
        <is>
          <t>A 54072-2025</t>
        </is>
      </c>
      <c r="B586" s="1" t="n">
        <v>45964.3550925926</v>
      </c>
      <c r="C586" s="1" t="n">
        <v>46158</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4999-2025</t>
        </is>
      </c>
      <c r="B587" s="1" t="n">
        <v>45691.36253472222</v>
      </c>
      <c r="C587" s="1" t="n">
        <v>46158</v>
      </c>
      <c r="D587" t="inlineStr">
        <is>
          <t>ÖREBRO LÄN</t>
        </is>
      </c>
      <c r="E587" t="inlineStr">
        <is>
          <t>LINDESBERG</t>
        </is>
      </c>
      <c r="G587" t="n">
        <v>4.7</v>
      </c>
      <c r="H587" t="n">
        <v>0</v>
      </c>
      <c r="I587" t="n">
        <v>0</v>
      </c>
      <c r="J587" t="n">
        <v>0</v>
      </c>
      <c r="K587" t="n">
        <v>0</v>
      </c>
      <c r="L587" t="n">
        <v>0</v>
      </c>
      <c r="M587" t="n">
        <v>0</v>
      </c>
      <c r="N587" t="n">
        <v>0</v>
      </c>
      <c r="O587" t="n">
        <v>0</v>
      </c>
      <c r="P587" t="n">
        <v>0</v>
      </c>
      <c r="Q587" t="n">
        <v>0</v>
      </c>
      <c r="R587" s="2" t="inlineStr"/>
    </row>
    <row r="588" ht="15" customHeight="1">
      <c r="A588" t="inlineStr">
        <is>
          <t>A 54249-2025</t>
        </is>
      </c>
      <c r="B588" s="1" t="n">
        <v>45964.64599537037</v>
      </c>
      <c r="C588" s="1" t="n">
        <v>46158</v>
      </c>
      <c r="D588" t="inlineStr">
        <is>
          <t>ÖREBRO LÄN</t>
        </is>
      </c>
      <c r="E588" t="inlineStr">
        <is>
          <t>LINDESBERG</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38509-2025</t>
        </is>
      </c>
      <c r="B589" s="1" t="n">
        <v>45884.38858796296</v>
      </c>
      <c r="C589" s="1" t="n">
        <v>46158</v>
      </c>
      <c r="D589" t="inlineStr">
        <is>
          <t>ÖREBRO LÄN</t>
        </is>
      </c>
      <c r="E589" t="inlineStr">
        <is>
          <t>LINDESBERG</t>
        </is>
      </c>
      <c r="G589" t="n">
        <v>14.9</v>
      </c>
      <c r="H589" t="n">
        <v>0</v>
      </c>
      <c r="I589" t="n">
        <v>0</v>
      </c>
      <c r="J589" t="n">
        <v>0</v>
      </c>
      <c r="K589" t="n">
        <v>0</v>
      </c>
      <c r="L589" t="n">
        <v>0</v>
      </c>
      <c r="M589" t="n">
        <v>0</v>
      </c>
      <c r="N589" t="n">
        <v>0</v>
      </c>
      <c r="O589" t="n">
        <v>0</v>
      </c>
      <c r="P589" t="n">
        <v>0</v>
      </c>
      <c r="Q589" t="n">
        <v>0</v>
      </c>
      <c r="R589" s="2" t="inlineStr"/>
    </row>
    <row r="590" ht="15" customHeight="1">
      <c r="A590" t="inlineStr">
        <is>
          <t>A 15892-2025</t>
        </is>
      </c>
      <c r="B590" s="1" t="n">
        <v>45749</v>
      </c>
      <c r="C590" s="1" t="n">
        <v>46158</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45428-2023</t>
        </is>
      </c>
      <c r="B591" s="1" t="n">
        <v>45194</v>
      </c>
      <c r="C591" s="1" t="n">
        <v>46158</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55255-2025</t>
        </is>
      </c>
      <c r="B592" s="1" t="n">
        <v>45968.63695601852</v>
      </c>
      <c r="C592" s="1" t="n">
        <v>46158</v>
      </c>
      <c r="D592" t="inlineStr">
        <is>
          <t>ÖREBRO LÄN</t>
        </is>
      </c>
      <c r="E592" t="inlineStr">
        <is>
          <t>LINDESBERG</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28082-2021</t>
        </is>
      </c>
      <c r="B593" s="1" t="n">
        <v>44355</v>
      </c>
      <c r="C593" s="1" t="n">
        <v>46158</v>
      </c>
      <c r="D593" t="inlineStr">
        <is>
          <t>ÖREBRO LÄN</t>
        </is>
      </c>
      <c r="E593" t="inlineStr">
        <is>
          <t>LINDESBERG</t>
        </is>
      </c>
      <c r="F593" t="inlineStr">
        <is>
          <t>Sveaskog</t>
        </is>
      </c>
      <c r="G593" t="n">
        <v>9.9</v>
      </c>
      <c r="H593" t="n">
        <v>0</v>
      </c>
      <c r="I593" t="n">
        <v>0</v>
      </c>
      <c r="J593" t="n">
        <v>0</v>
      </c>
      <c r="K593" t="n">
        <v>0</v>
      </c>
      <c r="L593" t="n">
        <v>0</v>
      </c>
      <c r="M593" t="n">
        <v>0</v>
      </c>
      <c r="N593" t="n">
        <v>0</v>
      </c>
      <c r="O593" t="n">
        <v>0</v>
      </c>
      <c r="P593" t="n">
        <v>0</v>
      </c>
      <c r="Q593" t="n">
        <v>0</v>
      </c>
      <c r="R593" s="2" t="inlineStr"/>
    </row>
    <row r="594" ht="15" customHeight="1">
      <c r="A594" t="inlineStr">
        <is>
          <t>A 57911-2022</t>
        </is>
      </c>
      <c r="B594" s="1" t="n">
        <v>44900.36149305556</v>
      </c>
      <c r="C594" s="1" t="n">
        <v>46158</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55065-2025</t>
        </is>
      </c>
      <c r="B595" s="1" t="n">
        <v>45967.7096875</v>
      </c>
      <c r="C595" s="1" t="n">
        <v>46158</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55477-2025</t>
        </is>
      </c>
      <c r="B596" s="1" t="n">
        <v>45971.56197916667</v>
      </c>
      <c r="C596" s="1" t="n">
        <v>46158</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46158</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64427-2021</t>
        </is>
      </c>
      <c r="B598" s="1" t="n">
        <v>44511</v>
      </c>
      <c r="C598" s="1" t="n">
        <v>46158</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19077-2025</t>
        </is>
      </c>
      <c r="B599" s="1" t="n">
        <v>45766.33309027777</v>
      </c>
      <c r="C599" s="1" t="n">
        <v>46158</v>
      </c>
      <c r="D599" t="inlineStr">
        <is>
          <t>ÖREBRO LÄN</t>
        </is>
      </c>
      <c r="E599" t="inlineStr">
        <is>
          <t>LINDESBERG</t>
        </is>
      </c>
      <c r="G599" t="n">
        <v>0</v>
      </c>
      <c r="H599" t="n">
        <v>0</v>
      </c>
      <c r="I599" t="n">
        <v>0</v>
      </c>
      <c r="J599" t="n">
        <v>0</v>
      </c>
      <c r="K599" t="n">
        <v>0</v>
      </c>
      <c r="L599" t="n">
        <v>0</v>
      </c>
      <c r="M599" t="n">
        <v>0</v>
      </c>
      <c r="N599" t="n">
        <v>0</v>
      </c>
      <c r="O599" t="n">
        <v>0</v>
      </c>
      <c r="P599" t="n">
        <v>0</v>
      </c>
      <c r="Q599" t="n">
        <v>0</v>
      </c>
      <c r="R599" s="2" t="inlineStr"/>
    </row>
    <row r="600" ht="15" customHeight="1">
      <c r="A600" t="inlineStr">
        <is>
          <t>A 56232-2025</t>
        </is>
      </c>
      <c r="B600" s="1" t="n">
        <v>45974.53239583333</v>
      </c>
      <c r="C600" s="1" t="n">
        <v>46158</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49544-2023</t>
        </is>
      </c>
      <c r="B601" s="1" t="n">
        <v>45211</v>
      </c>
      <c r="C601" s="1" t="n">
        <v>46158</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46158</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56226-2025</t>
        </is>
      </c>
      <c r="B603" s="1" t="n">
        <v>45974.51283564815</v>
      </c>
      <c r="C603" s="1" t="n">
        <v>46158</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56306-2025</t>
        </is>
      </c>
      <c r="B604" s="1" t="n">
        <v>45974.61217592593</v>
      </c>
      <c r="C604" s="1" t="n">
        <v>46158</v>
      </c>
      <c r="D604" t="inlineStr">
        <is>
          <t>ÖREBRO LÄN</t>
        </is>
      </c>
      <c r="E604" t="inlineStr">
        <is>
          <t>LINDESBERG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15094-2025</t>
        </is>
      </c>
      <c r="B605" s="1" t="n">
        <v>45744.32981481482</v>
      </c>
      <c r="C605" s="1" t="n">
        <v>46158</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13969-2025</t>
        </is>
      </c>
      <c r="B606" s="1" t="n">
        <v>45738.43714120371</v>
      </c>
      <c r="C606" s="1" t="n">
        <v>46158</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24352-2023</t>
        </is>
      </c>
      <c r="B607" s="1" t="n">
        <v>45082.31421296296</v>
      </c>
      <c r="C607" s="1" t="n">
        <v>46158</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46158</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9577-2026</t>
        </is>
      </c>
      <c r="B609" s="1" t="n">
        <v>46071.67334490741</v>
      </c>
      <c r="C609" s="1" t="n">
        <v>46158</v>
      </c>
      <c r="D609" t="inlineStr">
        <is>
          <t>ÖREBRO LÄN</t>
        </is>
      </c>
      <c r="E609" t="inlineStr">
        <is>
          <t>LINDESBERG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56982-2025</t>
        </is>
      </c>
      <c r="B610" s="1" t="n">
        <v>45978.71075231482</v>
      </c>
      <c r="C610" s="1" t="n">
        <v>46158</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36024-2021</t>
        </is>
      </c>
      <c r="B611" s="1" t="n">
        <v>44389</v>
      </c>
      <c r="C611" s="1" t="n">
        <v>46158</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10823-2023</t>
        </is>
      </c>
      <c r="B612" s="1" t="n">
        <v>44990</v>
      </c>
      <c r="C612" s="1" t="n">
        <v>46158</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9432-2026</t>
        </is>
      </c>
      <c r="B613" s="1" t="n">
        <v>46071.45568287037</v>
      </c>
      <c r="C613" s="1" t="n">
        <v>46158</v>
      </c>
      <c r="D613" t="inlineStr">
        <is>
          <t>ÖREBRO LÄN</t>
        </is>
      </c>
      <c r="E613" t="inlineStr">
        <is>
          <t>LINDESBERG</t>
        </is>
      </c>
      <c r="G613" t="n">
        <v>1.6</v>
      </c>
      <c r="H613" t="n">
        <v>0</v>
      </c>
      <c r="I613" t="n">
        <v>0</v>
      </c>
      <c r="J613" t="n">
        <v>0</v>
      </c>
      <c r="K613" t="n">
        <v>0</v>
      </c>
      <c r="L613" t="n">
        <v>0</v>
      </c>
      <c r="M613" t="n">
        <v>0</v>
      </c>
      <c r="N613" t="n">
        <v>0</v>
      </c>
      <c r="O613" t="n">
        <v>0</v>
      </c>
      <c r="P613" t="n">
        <v>0</v>
      </c>
      <c r="Q613" t="n">
        <v>0</v>
      </c>
      <c r="R613" s="2" t="inlineStr"/>
    </row>
    <row r="614" ht="15" customHeight="1">
      <c r="A614" t="inlineStr">
        <is>
          <t>A 57361-2025</t>
        </is>
      </c>
      <c r="B614" s="1" t="n">
        <v>45980.36988425926</v>
      </c>
      <c r="C614" s="1" t="n">
        <v>46158</v>
      </c>
      <c r="D614" t="inlineStr">
        <is>
          <t>ÖREBRO LÄN</t>
        </is>
      </c>
      <c r="E614" t="inlineStr">
        <is>
          <t>LINDESBERG</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57299-2025</t>
        </is>
      </c>
      <c r="B615" s="1" t="n">
        <v>45979.81347222222</v>
      </c>
      <c r="C615" s="1" t="n">
        <v>46158</v>
      </c>
      <c r="D615" t="inlineStr">
        <is>
          <t>ÖREBRO LÄN</t>
        </is>
      </c>
      <c r="E615" t="inlineStr">
        <is>
          <t>LINDESBERG</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57359-2025</t>
        </is>
      </c>
      <c r="B616" s="1" t="n">
        <v>45980.36866898148</v>
      </c>
      <c r="C616" s="1" t="n">
        <v>46158</v>
      </c>
      <c r="D616" t="inlineStr">
        <is>
          <t>ÖREBRO LÄN</t>
        </is>
      </c>
      <c r="E616" t="inlineStr">
        <is>
          <t>LINDESBERG</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57300-2025</t>
        </is>
      </c>
      <c r="B617" s="1" t="n">
        <v>45979.81403935186</v>
      </c>
      <c r="C617" s="1" t="n">
        <v>46158</v>
      </c>
      <c r="D617" t="inlineStr">
        <is>
          <t>ÖREBRO LÄN</t>
        </is>
      </c>
      <c r="E617" t="inlineStr">
        <is>
          <t>LINDESBERG</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57358-2025</t>
        </is>
      </c>
      <c r="B618" s="1" t="n">
        <v>45980.36679398148</v>
      </c>
      <c r="C618" s="1" t="n">
        <v>46158</v>
      </c>
      <c r="D618" t="inlineStr">
        <is>
          <t>ÖREBRO LÄN</t>
        </is>
      </c>
      <c r="E618" t="inlineStr">
        <is>
          <t>LINDESBERG</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57313-2025</t>
        </is>
      </c>
      <c r="B619" s="1" t="n">
        <v>45979.97458333334</v>
      </c>
      <c r="C619" s="1" t="n">
        <v>46158</v>
      </c>
      <c r="D619" t="inlineStr">
        <is>
          <t>ÖREBRO LÄN</t>
        </is>
      </c>
      <c r="E619" t="inlineStr">
        <is>
          <t>LINDESBERG</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57314-2025</t>
        </is>
      </c>
      <c r="B620" s="1" t="n">
        <v>45980.00710648148</v>
      </c>
      <c r="C620" s="1" t="n">
        <v>46158</v>
      </c>
      <c r="D620" t="inlineStr">
        <is>
          <t>ÖREBRO LÄN</t>
        </is>
      </c>
      <c r="E620" t="inlineStr">
        <is>
          <t>LINDESBERG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57315-2025</t>
        </is>
      </c>
      <c r="B621" s="1" t="n">
        <v>45980.00753472222</v>
      </c>
      <c r="C621" s="1" t="n">
        <v>46158</v>
      </c>
      <c r="D621" t="inlineStr">
        <is>
          <t>ÖREBRO LÄN</t>
        </is>
      </c>
      <c r="E621" t="inlineStr">
        <is>
          <t>LINDESBERG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57316-2025</t>
        </is>
      </c>
      <c r="B622" s="1" t="n">
        <v>45980.0115625</v>
      </c>
      <c r="C622" s="1" t="n">
        <v>46158</v>
      </c>
      <c r="D622" t="inlineStr">
        <is>
          <t>ÖREBRO LÄN</t>
        </is>
      </c>
      <c r="E622" t="inlineStr">
        <is>
          <t>LINDESBERG</t>
        </is>
      </c>
      <c r="F622" t="inlineStr">
        <is>
          <t>Sveaskog</t>
        </is>
      </c>
      <c r="G622" t="n">
        <v>6.5</v>
      </c>
      <c r="H622" t="n">
        <v>0</v>
      </c>
      <c r="I622" t="n">
        <v>0</v>
      </c>
      <c r="J622" t="n">
        <v>0</v>
      </c>
      <c r="K622" t="n">
        <v>0</v>
      </c>
      <c r="L622" t="n">
        <v>0</v>
      </c>
      <c r="M622" t="n">
        <v>0</v>
      </c>
      <c r="N622" t="n">
        <v>0</v>
      </c>
      <c r="O622" t="n">
        <v>0</v>
      </c>
      <c r="P622" t="n">
        <v>0</v>
      </c>
      <c r="Q622" t="n">
        <v>0</v>
      </c>
      <c r="R622" s="2" t="inlineStr"/>
    </row>
    <row r="623" ht="15" customHeight="1">
      <c r="A623" t="inlineStr">
        <is>
          <t>A 57320-2025</t>
        </is>
      </c>
      <c r="B623" s="1" t="n">
        <v>45980.01553240741</v>
      </c>
      <c r="C623" s="1" t="n">
        <v>46158</v>
      </c>
      <c r="D623" t="inlineStr">
        <is>
          <t>ÖREBRO LÄN</t>
        </is>
      </c>
      <c r="E623" t="inlineStr">
        <is>
          <t>LINDESBERG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57363-2025</t>
        </is>
      </c>
      <c r="B624" s="1" t="n">
        <v>45980.3716087963</v>
      </c>
      <c r="C624" s="1" t="n">
        <v>46158</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57317-2025</t>
        </is>
      </c>
      <c r="B625" s="1" t="n">
        <v>45980.01226851852</v>
      </c>
      <c r="C625" s="1" t="n">
        <v>46158</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46158</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58603-2023</t>
        </is>
      </c>
      <c r="B627" s="1" t="n">
        <v>45251</v>
      </c>
      <c r="C627" s="1" t="n">
        <v>46158</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13417-2025</t>
        </is>
      </c>
      <c r="B628" s="1" t="n">
        <v>45736.30940972222</v>
      </c>
      <c r="C628" s="1" t="n">
        <v>46158</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43066-2021</t>
        </is>
      </c>
      <c r="B629" s="1" t="n">
        <v>44431</v>
      </c>
      <c r="C629" s="1" t="n">
        <v>46158</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23603-2023</t>
        </is>
      </c>
      <c r="B630" s="1" t="n">
        <v>45077</v>
      </c>
      <c r="C630" s="1" t="n">
        <v>46158</v>
      </c>
      <c r="D630" t="inlineStr">
        <is>
          <t>ÖREBRO LÄN</t>
        </is>
      </c>
      <c r="E630" t="inlineStr">
        <is>
          <t>LINDESBERG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23607-2023</t>
        </is>
      </c>
      <c r="B631" s="1" t="n">
        <v>45077</v>
      </c>
      <c r="C631" s="1" t="n">
        <v>46158</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23612-2023</t>
        </is>
      </c>
      <c r="B632" s="1" t="n">
        <v>45077</v>
      </c>
      <c r="C632" s="1" t="n">
        <v>46158</v>
      </c>
      <c r="D632" t="inlineStr">
        <is>
          <t>ÖREBRO LÄN</t>
        </is>
      </c>
      <c r="E632" t="inlineStr">
        <is>
          <t>LINDESBERG</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58166-2025</t>
        </is>
      </c>
      <c r="B633" s="1" t="n">
        <v>45982.71017361111</v>
      </c>
      <c r="C633" s="1" t="n">
        <v>46158</v>
      </c>
      <c r="D633" t="inlineStr">
        <is>
          <t>ÖREBRO LÄN</t>
        </is>
      </c>
      <c r="E633" t="inlineStr">
        <is>
          <t>LINDESBERG</t>
        </is>
      </c>
      <c r="G633" t="n">
        <v>2.5</v>
      </c>
      <c r="H633" t="n">
        <v>0</v>
      </c>
      <c r="I633" t="n">
        <v>0</v>
      </c>
      <c r="J633" t="n">
        <v>0</v>
      </c>
      <c r="K633" t="n">
        <v>0</v>
      </c>
      <c r="L633" t="n">
        <v>0</v>
      </c>
      <c r="M633" t="n">
        <v>0</v>
      </c>
      <c r="N633" t="n">
        <v>0</v>
      </c>
      <c r="O633" t="n">
        <v>0</v>
      </c>
      <c r="P633" t="n">
        <v>0</v>
      </c>
      <c r="Q633" t="n">
        <v>0</v>
      </c>
      <c r="R633" s="2" t="inlineStr"/>
    </row>
    <row r="634" ht="15" customHeight="1">
      <c r="A634" t="inlineStr">
        <is>
          <t>A 23102-2023</t>
        </is>
      </c>
      <c r="B634" s="1" t="n">
        <v>45075.44152777778</v>
      </c>
      <c r="C634" s="1" t="n">
        <v>46158</v>
      </c>
      <c r="D634" t="inlineStr">
        <is>
          <t>ÖREBRO LÄN</t>
        </is>
      </c>
      <c r="E634" t="inlineStr">
        <is>
          <t>LINDESBERG</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15212-2025</t>
        </is>
      </c>
      <c r="B635" s="1" t="n">
        <v>45744.57673611111</v>
      </c>
      <c r="C635" s="1" t="n">
        <v>46158</v>
      </c>
      <c r="D635" t="inlineStr">
        <is>
          <t>ÖREBRO LÄN</t>
        </is>
      </c>
      <c r="E635" t="inlineStr">
        <is>
          <t>LINDESBERG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3148-2023</t>
        </is>
      </c>
      <c r="B636" s="1" t="n">
        <v>44946.54424768518</v>
      </c>
      <c r="C636" s="1" t="n">
        <v>46158</v>
      </c>
      <c r="D636" t="inlineStr">
        <is>
          <t>ÖREBRO LÄN</t>
        </is>
      </c>
      <c r="E636" t="inlineStr">
        <is>
          <t>LINDESBERG</t>
        </is>
      </c>
      <c r="G636" t="n">
        <v>5.5</v>
      </c>
      <c r="H636" t="n">
        <v>0</v>
      </c>
      <c r="I636" t="n">
        <v>0</v>
      </c>
      <c r="J636" t="n">
        <v>0</v>
      </c>
      <c r="K636" t="n">
        <v>0</v>
      </c>
      <c r="L636" t="n">
        <v>0</v>
      </c>
      <c r="M636" t="n">
        <v>0</v>
      </c>
      <c r="N636" t="n">
        <v>0</v>
      </c>
      <c r="O636" t="n">
        <v>0</v>
      </c>
      <c r="P636" t="n">
        <v>0</v>
      </c>
      <c r="Q636" t="n">
        <v>0</v>
      </c>
      <c r="R636" s="2" t="inlineStr"/>
    </row>
    <row r="637" ht="15" customHeight="1">
      <c r="A637" t="inlineStr">
        <is>
          <t>A 50225-2021</t>
        </is>
      </c>
      <c r="B637" s="1" t="n">
        <v>44457</v>
      </c>
      <c r="C637" s="1" t="n">
        <v>46158</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46158</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61202-2023</t>
        </is>
      </c>
      <c r="B639" s="1" t="n">
        <v>45264.38084490741</v>
      </c>
      <c r="C639" s="1" t="n">
        <v>46158</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14187-2024</t>
        </is>
      </c>
      <c r="B640" s="1" t="n">
        <v>45393.35787037037</v>
      </c>
      <c r="C640" s="1" t="n">
        <v>46158</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195-2022</t>
        </is>
      </c>
      <c r="B641" s="1" t="n">
        <v>44564</v>
      </c>
      <c r="C641" s="1" t="n">
        <v>46158</v>
      </c>
      <c r="D641" t="inlineStr">
        <is>
          <t>ÖREBRO LÄN</t>
        </is>
      </c>
      <c r="E641" t="inlineStr">
        <is>
          <t>LINDESBERG</t>
        </is>
      </c>
      <c r="G641" t="n">
        <v>4.7</v>
      </c>
      <c r="H641" t="n">
        <v>0</v>
      </c>
      <c r="I641" t="n">
        <v>0</v>
      </c>
      <c r="J641" t="n">
        <v>0</v>
      </c>
      <c r="K641" t="n">
        <v>0</v>
      </c>
      <c r="L641" t="n">
        <v>0</v>
      </c>
      <c r="M641" t="n">
        <v>0</v>
      </c>
      <c r="N641" t="n">
        <v>0</v>
      </c>
      <c r="O641" t="n">
        <v>0</v>
      </c>
      <c r="P641" t="n">
        <v>0</v>
      </c>
      <c r="Q641" t="n">
        <v>0</v>
      </c>
      <c r="R641" s="2" t="inlineStr"/>
    </row>
    <row r="642" ht="15" customHeight="1">
      <c r="A642" t="inlineStr">
        <is>
          <t>A 29500-2023</t>
        </is>
      </c>
      <c r="B642" s="1" t="n">
        <v>45106</v>
      </c>
      <c r="C642" s="1" t="n">
        <v>46158</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39140-2024</t>
        </is>
      </c>
      <c r="B643" s="1" t="n">
        <v>45548</v>
      </c>
      <c r="C643" s="1" t="n">
        <v>46158</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265-2023</t>
        </is>
      </c>
      <c r="B644" s="1" t="n">
        <v>44928</v>
      </c>
      <c r="C644" s="1" t="n">
        <v>46158</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41582-2021</t>
        </is>
      </c>
      <c r="B645" s="1" t="n">
        <v>44425.40297453704</v>
      </c>
      <c r="C645" s="1" t="n">
        <v>46158</v>
      </c>
      <c r="D645" t="inlineStr">
        <is>
          <t>ÖREBRO LÄN</t>
        </is>
      </c>
      <c r="E645" t="inlineStr">
        <is>
          <t>LINDESBERG</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19392-2025</t>
        </is>
      </c>
      <c r="B646" s="1" t="n">
        <v>45769.66260416667</v>
      </c>
      <c r="C646" s="1" t="n">
        <v>46158</v>
      </c>
      <c r="D646" t="inlineStr">
        <is>
          <t>ÖREBRO LÄN</t>
        </is>
      </c>
      <c r="E646" t="inlineStr">
        <is>
          <t>LINDESBERG</t>
        </is>
      </c>
      <c r="G646" t="n">
        <v>6.5</v>
      </c>
      <c r="H646" t="n">
        <v>0</v>
      </c>
      <c r="I646" t="n">
        <v>0</v>
      </c>
      <c r="J646" t="n">
        <v>0</v>
      </c>
      <c r="K646" t="n">
        <v>0</v>
      </c>
      <c r="L646" t="n">
        <v>0</v>
      </c>
      <c r="M646" t="n">
        <v>0</v>
      </c>
      <c r="N646" t="n">
        <v>0</v>
      </c>
      <c r="O646" t="n">
        <v>0</v>
      </c>
      <c r="P646" t="n">
        <v>0</v>
      </c>
      <c r="Q646" t="n">
        <v>0</v>
      </c>
      <c r="R646" s="2" t="inlineStr"/>
    </row>
    <row r="647" ht="15" customHeight="1">
      <c r="A647" t="inlineStr">
        <is>
          <t>A 59052-2023</t>
        </is>
      </c>
      <c r="B647" s="1" t="n">
        <v>45252.78021990741</v>
      </c>
      <c r="C647" s="1" t="n">
        <v>46158</v>
      </c>
      <c r="D647" t="inlineStr">
        <is>
          <t>ÖREBRO LÄN</t>
        </is>
      </c>
      <c r="E647" t="inlineStr">
        <is>
          <t>LINDESBERG</t>
        </is>
      </c>
      <c r="G647" t="n">
        <v>4.2</v>
      </c>
      <c r="H647" t="n">
        <v>0</v>
      </c>
      <c r="I647" t="n">
        <v>0</v>
      </c>
      <c r="J647" t="n">
        <v>0</v>
      </c>
      <c r="K647" t="n">
        <v>0</v>
      </c>
      <c r="L647" t="n">
        <v>0</v>
      </c>
      <c r="M647" t="n">
        <v>0</v>
      </c>
      <c r="N647" t="n">
        <v>0</v>
      </c>
      <c r="O647" t="n">
        <v>0</v>
      </c>
      <c r="P647" t="n">
        <v>0</v>
      </c>
      <c r="Q647" t="n">
        <v>0</v>
      </c>
      <c r="R647" s="2" t="inlineStr"/>
    </row>
    <row r="648" ht="15" customHeight="1">
      <c r="A648" t="inlineStr">
        <is>
          <t>A 6-2023</t>
        </is>
      </c>
      <c r="B648" s="1" t="n">
        <v>44927.72487268518</v>
      </c>
      <c r="C648" s="1" t="n">
        <v>46158</v>
      </c>
      <c r="D648" t="inlineStr">
        <is>
          <t>ÖREBRO LÄN</t>
        </is>
      </c>
      <c r="E648" t="inlineStr">
        <is>
          <t>LINDESBERG</t>
        </is>
      </c>
      <c r="G648" t="n">
        <v>2.8</v>
      </c>
      <c r="H648" t="n">
        <v>0</v>
      </c>
      <c r="I648" t="n">
        <v>0</v>
      </c>
      <c r="J648" t="n">
        <v>0</v>
      </c>
      <c r="K648" t="n">
        <v>0</v>
      </c>
      <c r="L648" t="n">
        <v>0</v>
      </c>
      <c r="M648" t="n">
        <v>0</v>
      </c>
      <c r="N648" t="n">
        <v>0</v>
      </c>
      <c r="O648" t="n">
        <v>0</v>
      </c>
      <c r="P648" t="n">
        <v>0</v>
      </c>
      <c r="Q648" t="n">
        <v>0</v>
      </c>
      <c r="R648" s="2" t="inlineStr"/>
    </row>
    <row r="649" ht="15" customHeight="1">
      <c r="A649" t="inlineStr">
        <is>
          <t>A 54864-2024</t>
        </is>
      </c>
      <c r="B649" s="1" t="n">
        <v>45618.59456018519</v>
      </c>
      <c r="C649" s="1" t="n">
        <v>46158</v>
      </c>
      <c r="D649" t="inlineStr">
        <is>
          <t>ÖREBRO LÄN</t>
        </is>
      </c>
      <c r="E649" t="inlineStr">
        <is>
          <t>LINDESBERG</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7211-2024</t>
        </is>
      </c>
      <c r="B650" s="1" t="n">
        <v>45344.623125</v>
      </c>
      <c r="C650" s="1" t="n">
        <v>46158</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15899-2025</t>
        </is>
      </c>
      <c r="B651" s="1" t="n">
        <v>45749.42258101852</v>
      </c>
      <c r="C651" s="1" t="n">
        <v>46158</v>
      </c>
      <c r="D651" t="inlineStr">
        <is>
          <t>ÖREBRO LÄN</t>
        </is>
      </c>
      <c r="E651" t="inlineStr">
        <is>
          <t>LINDESBERG</t>
        </is>
      </c>
      <c r="G651" t="n">
        <v>6.6</v>
      </c>
      <c r="H651" t="n">
        <v>0</v>
      </c>
      <c r="I651" t="n">
        <v>0</v>
      </c>
      <c r="J651" t="n">
        <v>0</v>
      </c>
      <c r="K651" t="n">
        <v>0</v>
      </c>
      <c r="L651" t="n">
        <v>0</v>
      </c>
      <c r="M651" t="n">
        <v>0</v>
      </c>
      <c r="N651" t="n">
        <v>0</v>
      </c>
      <c r="O651" t="n">
        <v>0</v>
      </c>
      <c r="P651" t="n">
        <v>0</v>
      </c>
      <c r="Q651" t="n">
        <v>0</v>
      </c>
      <c r="R651" s="2" t="inlineStr"/>
    </row>
    <row r="652" ht="15" customHeight="1">
      <c r="A652" t="inlineStr">
        <is>
          <t>A 50275-2024</t>
        </is>
      </c>
      <c r="B652" s="1" t="n">
        <v>45600.60071759259</v>
      </c>
      <c r="C652" s="1" t="n">
        <v>46158</v>
      </c>
      <c r="D652" t="inlineStr">
        <is>
          <t>ÖREBRO LÄN</t>
        </is>
      </c>
      <c r="E652" t="inlineStr">
        <is>
          <t>LINDESBERG</t>
        </is>
      </c>
      <c r="G652" t="n">
        <v>4.3</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46158</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7992-2025</t>
        </is>
      </c>
      <c r="B654" s="1" t="n">
        <v>45707</v>
      </c>
      <c r="C654" s="1" t="n">
        <v>46158</v>
      </c>
      <c r="D654" t="inlineStr">
        <is>
          <t>ÖREBRO LÄN</t>
        </is>
      </c>
      <c r="E654" t="inlineStr">
        <is>
          <t>LINDESBERG</t>
        </is>
      </c>
      <c r="G654" t="n">
        <v>4.8</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46158</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3294-2024</t>
        </is>
      </c>
      <c r="B656" s="1" t="n">
        <v>45316</v>
      </c>
      <c r="C656" s="1" t="n">
        <v>46158</v>
      </c>
      <c r="D656" t="inlineStr">
        <is>
          <t>ÖREBRO LÄN</t>
        </is>
      </c>
      <c r="E656" t="inlineStr">
        <is>
          <t>LINDESBERG</t>
        </is>
      </c>
      <c r="G656" t="n">
        <v>3</v>
      </c>
      <c r="H656" t="n">
        <v>0</v>
      </c>
      <c r="I656" t="n">
        <v>0</v>
      </c>
      <c r="J656" t="n">
        <v>0</v>
      </c>
      <c r="K656" t="n">
        <v>0</v>
      </c>
      <c r="L656" t="n">
        <v>0</v>
      </c>
      <c r="M656" t="n">
        <v>0</v>
      </c>
      <c r="N656" t="n">
        <v>0</v>
      </c>
      <c r="O656" t="n">
        <v>0</v>
      </c>
      <c r="P656" t="n">
        <v>0</v>
      </c>
      <c r="Q656" t="n">
        <v>0</v>
      </c>
      <c r="R656" s="2" t="inlineStr"/>
    </row>
    <row r="657" ht="15" customHeight="1">
      <c r="A657" t="inlineStr">
        <is>
          <t>A 17663-2026</t>
        </is>
      </c>
      <c r="B657" s="1" t="n">
        <v>46121.57420138889</v>
      </c>
      <c r="C657" s="1" t="n">
        <v>46158</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46158</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46158</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46158</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46158</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46158</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46158</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61761-2025</t>
        </is>
      </c>
      <c r="B664" s="1" t="n">
        <v>46002.62465277778</v>
      </c>
      <c r="C664" s="1" t="n">
        <v>46158</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61745-2025</t>
        </is>
      </c>
      <c r="B665" s="1" t="n">
        <v>46002.60324074074</v>
      </c>
      <c r="C665" s="1" t="n">
        <v>46158</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40085-2023</t>
        </is>
      </c>
      <c r="B666" s="1" t="n">
        <v>45168.92155092592</v>
      </c>
      <c r="C666" s="1" t="n">
        <v>46158</v>
      </c>
      <c r="D666" t="inlineStr">
        <is>
          <t>ÖREBRO LÄN</t>
        </is>
      </c>
      <c r="E666" t="inlineStr">
        <is>
          <t>LINDESBERG</t>
        </is>
      </c>
      <c r="G666" t="n">
        <v>6.1</v>
      </c>
      <c r="H666" t="n">
        <v>0</v>
      </c>
      <c r="I666" t="n">
        <v>0</v>
      </c>
      <c r="J666" t="n">
        <v>0</v>
      </c>
      <c r="K666" t="n">
        <v>0</v>
      </c>
      <c r="L666" t="n">
        <v>0</v>
      </c>
      <c r="M666" t="n">
        <v>0</v>
      </c>
      <c r="N666" t="n">
        <v>0</v>
      </c>
      <c r="O666" t="n">
        <v>0</v>
      </c>
      <c r="P666" t="n">
        <v>0</v>
      </c>
      <c r="Q666" t="n">
        <v>0</v>
      </c>
      <c r="R666" s="2" t="inlineStr"/>
    </row>
    <row r="667" ht="15" customHeight="1">
      <c r="A667" t="inlineStr">
        <is>
          <t>A 28470-2023</t>
        </is>
      </c>
      <c r="B667" s="1" t="n">
        <v>45103</v>
      </c>
      <c r="C667" s="1" t="n">
        <v>46158</v>
      </c>
      <c r="D667" t="inlineStr">
        <is>
          <t>ÖREBRO LÄN</t>
        </is>
      </c>
      <c r="E667" t="inlineStr">
        <is>
          <t>LINDESBERG</t>
        </is>
      </c>
      <c r="G667" t="n">
        <v>6.7</v>
      </c>
      <c r="H667" t="n">
        <v>0</v>
      </c>
      <c r="I667" t="n">
        <v>0</v>
      </c>
      <c r="J667" t="n">
        <v>0</v>
      </c>
      <c r="K667" t="n">
        <v>0</v>
      </c>
      <c r="L667" t="n">
        <v>0</v>
      </c>
      <c r="M667" t="n">
        <v>0</v>
      </c>
      <c r="N667" t="n">
        <v>0</v>
      </c>
      <c r="O667" t="n">
        <v>0</v>
      </c>
      <c r="P667" t="n">
        <v>0</v>
      </c>
      <c r="Q667" t="n">
        <v>0</v>
      </c>
      <c r="R667" s="2" t="inlineStr"/>
    </row>
    <row r="668" ht="15" customHeight="1">
      <c r="A668" t="inlineStr">
        <is>
          <t>A 32002-2023</t>
        </is>
      </c>
      <c r="B668" s="1" t="n">
        <v>45119.46452546296</v>
      </c>
      <c r="C668" s="1" t="n">
        <v>46158</v>
      </c>
      <c r="D668" t="inlineStr">
        <is>
          <t>ÖREBRO LÄN</t>
        </is>
      </c>
      <c r="E668" t="inlineStr">
        <is>
          <t>LINDESBERG</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61758-2025</t>
        </is>
      </c>
      <c r="B669" s="1" t="n">
        <v>46002.61762731482</v>
      </c>
      <c r="C669" s="1" t="n">
        <v>46158</v>
      </c>
      <c r="D669" t="inlineStr">
        <is>
          <t>ÖREBRO LÄN</t>
        </is>
      </c>
      <c r="E669" t="inlineStr">
        <is>
          <t>LINDESBERG</t>
        </is>
      </c>
      <c r="G669" t="n">
        <v>1.8</v>
      </c>
      <c r="H669" t="n">
        <v>0</v>
      </c>
      <c r="I669" t="n">
        <v>0</v>
      </c>
      <c r="J669" t="n">
        <v>0</v>
      </c>
      <c r="K669" t="n">
        <v>0</v>
      </c>
      <c r="L669" t="n">
        <v>0</v>
      </c>
      <c r="M669" t="n">
        <v>0</v>
      </c>
      <c r="N669" t="n">
        <v>0</v>
      </c>
      <c r="O669" t="n">
        <v>0</v>
      </c>
      <c r="P669" t="n">
        <v>0</v>
      </c>
      <c r="Q669" t="n">
        <v>0</v>
      </c>
      <c r="R669" s="2" t="inlineStr"/>
    </row>
    <row r="670" ht="15" customHeight="1">
      <c r="A670" t="inlineStr">
        <is>
          <t>A 29849-2023</t>
        </is>
      </c>
      <c r="B670" s="1" t="n">
        <v>45107</v>
      </c>
      <c r="C670" s="1" t="n">
        <v>46158</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62246-2025</t>
        </is>
      </c>
      <c r="B671" s="1" t="n">
        <v>46006.60633101852</v>
      </c>
      <c r="C671" s="1" t="n">
        <v>46158</v>
      </c>
      <c r="D671" t="inlineStr">
        <is>
          <t>ÖREBRO LÄN</t>
        </is>
      </c>
      <c r="E671" t="inlineStr">
        <is>
          <t>LINDESBERG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46158</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18061-2026</t>
        </is>
      </c>
      <c r="B673" s="1" t="n">
        <v>46125.46030092592</v>
      </c>
      <c r="C673" s="1" t="n">
        <v>46158</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46158</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62383-2025</t>
        </is>
      </c>
      <c r="B675" s="1" t="n">
        <v>46007.3708449074</v>
      </c>
      <c r="C675" s="1" t="n">
        <v>46158</v>
      </c>
      <c r="D675" t="inlineStr">
        <is>
          <t>ÖREBRO LÄN</t>
        </is>
      </c>
      <c r="E675" t="inlineStr">
        <is>
          <t>LINDESBERG</t>
        </is>
      </c>
      <c r="G675" t="n">
        <v>3.5</v>
      </c>
      <c r="H675" t="n">
        <v>0</v>
      </c>
      <c r="I675" t="n">
        <v>0</v>
      </c>
      <c r="J675" t="n">
        <v>0</v>
      </c>
      <c r="K675" t="n">
        <v>0</v>
      </c>
      <c r="L675" t="n">
        <v>0</v>
      </c>
      <c r="M675" t="n">
        <v>0</v>
      </c>
      <c r="N675" t="n">
        <v>0</v>
      </c>
      <c r="O675" t="n">
        <v>0</v>
      </c>
      <c r="P675" t="n">
        <v>0</v>
      </c>
      <c r="Q675" t="n">
        <v>0</v>
      </c>
      <c r="R675" s="2" t="inlineStr"/>
    </row>
    <row r="676" ht="15" customHeight="1">
      <c r="A676" t="inlineStr">
        <is>
          <t>A 62603-2025</t>
        </is>
      </c>
      <c r="B676" s="1" t="n">
        <v>46008.25765046296</v>
      </c>
      <c r="C676" s="1" t="n">
        <v>46158</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58056-2025</t>
        </is>
      </c>
      <c r="B677" s="1" t="n">
        <v>45982</v>
      </c>
      <c r="C677" s="1" t="n">
        <v>46158</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62604-2025</t>
        </is>
      </c>
      <c r="B678" s="1" t="n">
        <v>46008.26085648148</v>
      </c>
      <c r="C678" s="1" t="n">
        <v>46158</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69208-2021</t>
        </is>
      </c>
      <c r="B679" s="1" t="n">
        <v>44531.3575</v>
      </c>
      <c r="C679" s="1" t="n">
        <v>46158</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63078-2025</t>
        </is>
      </c>
      <c r="B680" s="1" t="n">
        <v>46009</v>
      </c>
      <c r="C680" s="1" t="n">
        <v>46158</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63083-2025</t>
        </is>
      </c>
      <c r="B681" s="1" t="n">
        <v>46009.67175925926</v>
      </c>
      <c r="C681" s="1" t="n">
        <v>46158</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61736-2025</t>
        </is>
      </c>
      <c r="B682" s="1" t="n">
        <v>46002</v>
      </c>
      <c r="C682" s="1" t="n">
        <v>46158</v>
      </c>
      <c r="D682" t="inlineStr">
        <is>
          <t>ÖREBRO LÄN</t>
        </is>
      </c>
      <c r="E682" t="inlineStr">
        <is>
          <t>LINDESBERG</t>
        </is>
      </c>
      <c r="G682" t="n">
        <v>4.5</v>
      </c>
      <c r="H682" t="n">
        <v>0</v>
      </c>
      <c r="I682" t="n">
        <v>0</v>
      </c>
      <c r="J682" t="n">
        <v>0</v>
      </c>
      <c r="K682" t="n">
        <v>0</v>
      </c>
      <c r="L682" t="n">
        <v>0</v>
      </c>
      <c r="M682" t="n">
        <v>0</v>
      </c>
      <c r="N682" t="n">
        <v>0</v>
      </c>
      <c r="O682" t="n">
        <v>0</v>
      </c>
      <c r="P682" t="n">
        <v>0</v>
      </c>
      <c r="Q682" t="n">
        <v>0</v>
      </c>
      <c r="R682" s="2" t="inlineStr"/>
    </row>
    <row r="683" ht="15" customHeight="1">
      <c r="A683" t="inlineStr">
        <is>
          <t>A 61739-2025</t>
        </is>
      </c>
      <c r="B683" s="1" t="n">
        <v>46002</v>
      </c>
      <c r="C683" s="1" t="n">
        <v>46158</v>
      </c>
      <c r="D683" t="inlineStr">
        <is>
          <t>ÖREBRO LÄN</t>
        </is>
      </c>
      <c r="E683" t="inlineStr">
        <is>
          <t>LINDESBERG</t>
        </is>
      </c>
      <c r="G683" t="n">
        <v>5.3</v>
      </c>
      <c r="H683" t="n">
        <v>0</v>
      </c>
      <c r="I683" t="n">
        <v>0</v>
      </c>
      <c r="J683" t="n">
        <v>0</v>
      </c>
      <c r="K683" t="n">
        <v>0</v>
      </c>
      <c r="L683" t="n">
        <v>0</v>
      </c>
      <c r="M683" t="n">
        <v>0</v>
      </c>
      <c r="N683" t="n">
        <v>0</v>
      </c>
      <c r="O683" t="n">
        <v>0</v>
      </c>
      <c r="P683" t="n">
        <v>0</v>
      </c>
      <c r="Q683" t="n">
        <v>0</v>
      </c>
      <c r="R683" s="2" t="inlineStr"/>
    </row>
    <row r="684" ht="15" customHeight="1">
      <c r="A684" t="inlineStr">
        <is>
          <t>A 45038-2024</t>
        </is>
      </c>
      <c r="B684" s="1" t="n">
        <v>45575.53331018519</v>
      </c>
      <c r="C684" s="1" t="n">
        <v>46158</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45046-2024</t>
        </is>
      </c>
      <c r="B685" s="1" t="n">
        <v>45575.54489583334</v>
      </c>
      <c r="C685" s="1" t="n">
        <v>46158</v>
      </c>
      <c r="D685" t="inlineStr">
        <is>
          <t>ÖREBRO LÄN</t>
        </is>
      </c>
      <c r="E685" t="inlineStr">
        <is>
          <t>LINDESBERG</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63526-2025</t>
        </is>
      </c>
      <c r="B686" s="1" t="n">
        <v>46013</v>
      </c>
      <c r="C686" s="1" t="n">
        <v>46158</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38552-2023</t>
        </is>
      </c>
      <c r="B687" s="1" t="n">
        <v>45162.5978125</v>
      </c>
      <c r="C687" s="1" t="n">
        <v>46158</v>
      </c>
      <c r="D687" t="inlineStr">
        <is>
          <t>ÖREBRO LÄN</t>
        </is>
      </c>
      <c r="E687" t="inlineStr">
        <is>
          <t>LINDESBERG</t>
        </is>
      </c>
      <c r="G687" t="n">
        <v>10.4</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46158</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33424-2024</t>
        </is>
      </c>
      <c r="B689" s="1" t="n">
        <v>45519.51627314815</v>
      </c>
      <c r="C689" s="1" t="n">
        <v>46158</v>
      </c>
      <c r="D689" t="inlineStr">
        <is>
          <t>ÖREBRO LÄN</t>
        </is>
      </c>
      <c r="E689" t="inlineStr">
        <is>
          <t>LINDESBERG</t>
        </is>
      </c>
      <c r="F689" t="inlineStr">
        <is>
          <t>Sveaskog</t>
        </is>
      </c>
      <c r="G689" t="n">
        <v>0.1</v>
      </c>
      <c r="H689" t="n">
        <v>0</v>
      </c>
      <c r="I689" t="n">
        <v>0</v>
      </c>
      <c r="J689" t="n">
        <v>0</v>
      </c>
      <c r="K689" t="n">
        <v>0</v>
      </c>
      <c r="L689" t="n">
        <v>0</v>
      </c>
      <c r="M689" t="n">
        <v>0</v>
      </c>
      <c r="N689" t="n">
        <v>0</v>
      </c>
      <c r="O689" t="n">
        <v>0</v>
      </c>
      <c r="P689" t="n">
        <v>0</v>
      </c>
      <c r="Q689" t="n">
        <v>0</v>
      </c>
      <c r="R689" s="2" t="inlineStr"/>
    </row>
    <row r="690" ht="15" customHeight="1">
      <c r="A690" t="inlineStr">
        <is>
          <t>A 33427-2024</t>
        </is>
      </c>
      <c r="B690" s="1" t="n">
        <v>45519.52232638889</v>
      </c>
      <c r="C690" s="1" t="n">
        <v>46158</v>
      </c>
      <c r="D690" t="inlineStr">
        <is>
          <t>ÖREBRO LÄN</t>
        </is>
      </c>
      <c r="E690" t="inlineStr">
        <is>
          <t>LINDESBERG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36509-2024</t>
        </is>
      </c>
      <c r="B691" s="1" t="n">
        <v>45537.42240740741</v>
      </c>
      <c r="C691" s="1" t="n">
        <v>46158</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18220-2026</t>
        </is>
      </c>
      <c r="B692" s="1" t="n">
        <v>46126.30818287037</v>
      </c>
      <c r="C692" s="1" t="n">
        <v>46158</v>
      </c>
      <c r="D692" t="inlineStr">
        <is>
          <t>ÖREBRO LÄN</t>
        </is>
      </c>
      <c r="E692" t="inlineStr">
        <is>
          <t>LINDESBERG</t>
        </is>
      </c>
      <c r="G692" t="n">
        <v>5.7</v>
      </c>
      <c r="H692" t="n">
        <v>0</v>
      </c>
      <c r="I692" t="n">
        <v>0</v>
      </c>
      <c r="J692" t="n">
        <v>0</v>
      </c>
      <c r="K692" t="n">
        <v>0</v>
      </c>
      <c r="L692" t="n">
        <v>0</v>
      </c>
      <c r="M692" t="n">
        <v>0</v>
      </c>
      <c r="N692" t="n">
        <v>0</v>
      </c>
      <c r="O692" t="n">
        <v>0</v>
      </c>
      <c r="P692" t="n">
        <v>0</v>
      </c>
      <c r="Q692" t="n">
        <v>0</v>
      </c>
      <c r="R692" s="2" t="inlineStr"/>
    </row>
    <row r="693" ht="15" customHeight="1">
      <c r="A693" t="inlineStr">
        <is>
          <t>A 29894-2023</t>
        </is>
      </c>
      <c r="B693" s="1" t="n">
        <v>45107</v>
      </c>
      <c r="C693" s="1" t="n">
        <v>46158</v>
      </c>
      <c r="D693" t="inlineStr">
        <is>
          <t>ÖREBRO LÄN</t>
        </is>
      </c>
      <c r="E693" t="inlineStr">
        <is>
          <t>LINDESBERG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11559-2024</t>
        </is>
      </c>
      <c r="B694" s="1" t="n">
        <v>45373.30434027778</v>
      </c>
      <c r="C694" s="1" t="n">
        <v>46158</v>
      </c>
      <c r="D694" t="inlineStr">
        <is>
          <t>ÖREBRO LÄN</t>
        </is>
      </c>
      <c r="E694" t="inlineStr">
        <is>
          <t>LINDESBERG</t>
        </is>
      </c>
      <c r="F694" t="inlineStr">
        <is>
          <t>BillerudKorsnäs AB</t>
        </is>
      </c>
      <c r="G694" t="n">
        <v>1.9</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46158</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46158</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18640-2026</t>
        </is>
      </c>
      <c r="B697" s="1" t="n">
        <v>46128.32461805556</v>
      </c>
      <c r="C697" s="1" t="n">
        <v>46158</v>
      </c>
      <c r="D697" t="inlineStr">
        <is>
          <t>ÖREBRO LÄN</t>
        </is>
      </c>
      <c r="E697" t="inlineStr">
        <is>
          <t>LINDESBERG</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38613-2024</t>
        </is>
      </c>
      <c r="B698" s="1" t="n">
        <v>45546.68743055555</v>
      </c>
      <c r="C698" s="1" t="n">
        <v>46158</v>
      </c>
      <c r="D698" t="inlineStr">
        <is>
          <t>ÖREBRO LÄN</t>
        </is>
      </c>
      <c r="E698" t="inlineStr">
        <is>
          <t>LINDESBERG</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18634-2026</t>
        </is>
      </c>
      <c r="B699" s="1" t="n">
        <v>46128.31271990741</v>
      </c>
      <c r="C699" s="1" t="n">
        <v>46158</v>
      </c>
      <c r="D699" t="inlineStr">
        <is>
          <t>ÖREBRO LÄN</t>
        </is>
      </c>
      <c r="E699" t="inlineStr">
        <is>
          <t>LINDESBERG</t>
        </is>
      </c>
      <c r="F699" t="inlineStr">
        <is>
          <t>Sveaskog</t>
        </is>
      </c>
      <c r="G699" t="n">
        <v>11.7</v>
      </c>
      <c r="H699" t="n">
        <v>0</v>
      </c>
      <c r="I699" t="n">
        <v>0</v>
      </c>
      <c r="J699" t="n">
        <v>0</v>
      </c>
      <c r="K699" t="n">
        <v>0</v>
      </c>
      <c r="L699" t="n">
        <v>0</v>
      </c>
      <c r="M699" t="n">
        <v>0</v>
      </c>
      <c r="N699" t="n">
        <v>0</v>
      </c>
      <c r="O699" t="n">
        <v>0</v>
      </c>
      <c r="P699" t="n">
        <v>0</v>
      </c>
      <c r="Q699" t="n">
        <v>0</v>
      </c>
      <c r="R699" s="2" t="inlineStr"/>
    </row>
    <row r="700" ht="15" customHeight="1">
      <c r="A700" t="inlineStr">
        <is>
          <t>A 18637-2026</t>
        </is>
      </c>
      <c r="B700" s="1" t="n">
        <v>46128.31604166667</v>
      </c>
      <c r="C700" s="1" t="n">
        <v>46158</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73500-2021</t>
        </is>
      </c>
      <c r="B701" s="1" t="n">
        <v>44551</v>
      </c>
      <c r="C701" s="1" t="n">
        <v>46158</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56507-2021</t>
        </is>
      </c>
      <c r="B702" s="1" t="n">
        <v>44480.58034722223</v>
      </c>
      <c r="C702" s="1" t="n">
        <v>46158</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65194-2023</t>
        </is>
      </c>
      <c r="B703" s="1" t="n">
        <v>45289</v>
      </c>
      <c r="C703" s="1" t="n">
        <v>46158</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18636-2026</t>
        </is>
      </c>
      <c r="B704" s="1" t="n">
        <v>46128.31521990741</v>
      </c>
      <c r="C704" s="1" t="n">
        <v>46158</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9436-2023</t>
        </is>
      </c>
      <c r="B705" s="1" t="n">
        <v>44981</v>
      </c>
      <c r="C705" s="1" t="n">
        <v>46158</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36121-2023</t>
        </is>
      </c>
      <c r="B706" s="1" t="n">
        <v>45148</v>
      </c>
      <c r="C706" s="1" t="n">
        <v>46158</v>
      </c>
      <c r="D706" t="inlineStr">
        <is>
          <t>ÖREBRO LÄN</t>
        </is>
      </c>
      <c r="E706" t="inlineStr">
        <is>
          <t>LINDESBERG</t>
        </is>
      </c>
      <c r="G706" t="n">
        <v>7.1</v>
      </c>
      <c r="H706" t="n">
        <v>0</v>
      </c>
      <c r="I706" t="n">
        <v>0</v>
      </c>
      <c r="J706" t="n">
        <v>0</v>
      </c>
      <c r="K706" t="n">
        <v>0</v>
      </c>
      <c r="L706" t="n">
        <v>0</v>
      </c>
      <c r="M706" t="n">
        <v>0</v>
      </c>
      <c r="N706" t="n">
        <v>0</v>
      </c>
      <c r="O706" t="n">
        <v>0</v>
      </c>
      <c r="P706" t="n">
        <v>0</v>
      </c>
      <c r="Q706" t="n">
        <v>0</v>
      </c>
      <c r="R706" s="2" t="inlineStr"/>
    </row>
    <row r="707" ht="15" customHeight="1">
      <c r="A707" t="inlineStr">
        <is>
          <t>A 34838-2023</t>
        </is>
      </c>
      <c r="B707" s="1" t="n">
        <v>45141.76530092592</v>
      </c>
      <c r="C707" s="1" t="n">
        <v>46158</v>
      </c>
      <c r="D707" t="inlineStr">
        <is>
          <t>ÖREBRO LÄN</t>
        </is>
      </c>
      <c r="E707" t="inlineStr">
        <is>
          <t>LINDESBERG</t>
        </is>
      </c>
      <c r="G707" t="n">
        <v>3</v>
      </c>
      <c r="H707" t="n">
        <v>0</v>
      </c>
      <c r="I707" t="n">
        <v>0</v>
      </c>
      <c r="J707" t="n">
        <v>0</v>
      </c>
      <c r="K707" t="n">
        <v>0</v>
      </c>
      <c r="L707" t="n">
        <v>0</v>
      </c>
      <c r="M707" t="n">
        <v>0</v>
      </c>
      <c r="N707" t="n">
        <v>0</v>
      </c>
      <c r="O707" t="n">
        <v>0</v>
      </c>
      <c r="P707" t="n">
        <v>0</v>
      </c>
      <c r="Q707" t="n">
        <v>0</v>
      </c>
      <c r="R707" s="2" t="inlineStr"/>
    </row>
    <row r="708" ht="15" customHeight="1">
      <c r="A708" t="inlineStr">
        <is>
          <t>A 31024-2023</t>
        </is>
      </c>
      <c r="B708" s="1" t="n">
        <v>45113</v>
      </c>
      <c r="C708" s="1" t="n">
        <v>46158</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19260-2026</t>
        </is>
      </c>
      <c r="B709" s="1" t="n">
        <v>46132.70711805556</v>
      </c>
      <c r="C709" s="1" t="n">
        <v>46158</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33281-2024</t>
        </is>
      </c>
      <c r="B710" s="1" t="n">
        <v>45518.71202546296</v>
      </c>
      <c r="C710" s="1" t="n">
        <v>46158</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19292-2026</t>
        </is>
      </c>
      <c r="B711" s="1" t="n">
        <v>46133.32493055556</v>
      </c>
      <c r="C711" s="1" t="n">
        <v>46158</v>
      </c>
      <c r="D711" t="inlineStr">
        <is>
          <t>ÖREBRO LÄN</t>
        </is>
      </c>
      <c r="E711" t="inlineStr">
        <is>
          <t>LINDESBERG</t>
        </is>
      </c>
      <c r="G711" t="n">
        <v>0.4</v>
      </c>
      <c r="H711" t="n">
        <v>0</v>
      </c>
      <c r="I711" t="n">
        <v>0</v>
      </c>
      <c r="J711" t="n">
        <v>0</v>
      </c>
      <c r="K711" t="n">
        <v>0</v>
      </c>
      <c r="L711" t="n">
        <v>0</v>
      </c>
      <c r="M711" t="n">
        <v>0</v>
      </c>
      <c r="N711" t="n">
        <v>0</v>
      </c>
      <c r="O711" t="n">
        <v>0</v>
      </c>
      <c r="P711" t="n">
        <v>0</v>
      </c>
      <c r="Q711" t="n">
        <v>0</v>
      </c>
      <c r="R711" s="2" t="inlineStr"/>
    </row>
    <row r="712" ht="15" customHeight="1">
      <c r="A712" t="inlineStr">
        <is>
          <t>A 33283-2024</t>
        </is>
      </c>
      <c r="B712" s="1" t="n">
        <v>45518.71591435185</v>
      </c>
      <c r="C712" s="1" t="n">
        <v>46158</v>
      </c>
      <c r="D712" t="inlineStr">
        <is>
          <t>ÖREBRO LÄN</t>
        </is>
      </c>
      <c r="E712" t="inlineStr">
        <is>
          <t>LINDESBERG</t>
        </is>
      </c>
      <c r="G712" t="n">
        <v>3.9</v>
      </c>
      <c r="H712" t="n">
        <v>0</v>
      </c>
      <c r="I712" t="n">
        <v>0</v>
      </c>
      <c r="J712" t="n">
        <v>0</v>
      </c>
      <c r="K712" t="n">
        <v>0</v>
      </c>
      <c r="L712" t="n">
        <v>0</v>
      </c>
      <c r="M712" t="n">
        <v>0</v>
      </c>
      <c r="N712" t="n">
        <v>0</v>
      </c>
      <c r="O712" t="n">
        <v>0</v>
      </c>
      <c r="P712" t="n">
        <v>0</v>
      </c>
      <c r="Q712" t="n">
        <v>0</v>
      </c>
      <c r="R712" s="2" t="inlineStr"/>
    </row>
    <row r="713" ht="15" customHeight="1">
      <c r="A713" t="inlineStr">
        <is>
          <t>A 61960-2024</t>
        </is>
      </c>
      <c r="B713" s="1" t="n">
        <v>45653.53664351852</v>
      </c>
      <c r="C713" s="1" t="n">
        <v>46158</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48756-2024</t>
        </is>
      </c>
      <c r="B714" s="1" t="n">
        <v>45593.59681712963</v>
      </c>
      <c r="C714" s="1" t="n">
        <v>46158</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60449-2024</t>
        </is>
      </c>
      <c r="B715" s="1" t="n">
        <v>45643</v>
      </c>
      <c r="C715" s="1" t="n">
        <v>46158</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15060-2024</t>
        </is>
      </c>
      <c r="B716" s="1" t="n">
        <v>45399.56596064815</v>
      </c>
      <c r="C716" s="1" t="n">
        <v>46158</v>
      </c>
      <c r="D716" t="inlineStr">
        <is>
          <t>ÖREBRO LÄN</t>
        </is>
      </c>
      <c r="E716" t="inlineStr">
        <is>
          <t>LINDESBERG</t>
        </is>
      </c>
      <c r="F716" t="inlineStr">
        <is>
          <t>Sveaskog</t>
        </is>
      </c>
      <c r="G716" t="n">
        <v>3.8</v>
      </c>
      <c r="H716" t="n">
        <v>0</v>
      </c>
      <c r="I716" t="n">
        <v>0</v>
      </c>
      <c r="J716" t="n">
        <v>0</v>
      </c>
      <c r="K716" t="n">
        <v>0</v>
      </c>
      <c r="L716" t="n">
        <v>0</v>
      </c>
      <c r="M716" t="n">
        <v>0</v>
      </c>
      <c r="N716" t="n">
        <v>0</v>
      </c>
      <c r="O716" t="n">
        <v>0</v>
      </c>
      <c r="P716" t="n">
        <v>0</v>
      </c>
      <c r="Q716" t="n">
        <v>0</v>
      </c>
      <c r="R716" s="2" t="inlineStr"/>
    </row>
    <row r="717" ht="15" customHeight="1">
      <c r="A717" t="inlineStr">
        <is>
          <t>A 53510-2024</t>
        </is>
      </c>
      <c r="B717" s="1" t="n">
        <v>45614.5968287037</v>
      </c>
      <c r="C717" s="1" t="n">
        <v>46158</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34676-2023</t>
        </is>
      </c>
      <c r="B718" s="1" t="n">
        <v>45140</v>
      </c>
      <c r="C718" s="1" t="n">
        <v>46158</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61594-2024</t>
        </is>
      </c>
      <c r="B719" s="1" t="n">
        <v>45646.63482638889</v>
      </c>
      <c r="C719" s="1" t="n">
        <v>46158</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40563-2023</t>
        </is>
      </c>
      <c r="B720" s="1" t="n">
        <v>45170.45921296296</v>
      </c>
      <c r="C720" s="1" t="n">
        <v>46158</v>
      </c>
      <c r="D720" t="inlineStr">
        <is>
          <t>ÖREBRO LÄN</t>
        </is>
      </c>
      <c r="E720" t="inlineStr">
        <is>
          <t>LINDESBERG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7026-2024</t>
        </is>
      </c>
      <c r="B721" s="1" t="n">
        <v>45343.58587962963</v>
      </c>
      <c r="C721" s="1" t="n">
        <v>46158</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20387-2026</t>
        </is>
      </c>
      <c r="B722" s="1" t="n">
        <v>46139.71047453704</v>
      </c>
      <c r="C722" s="1" t="n">
        <v>46158</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41353-2024</t>
        </is>
      </c>
      <c r="B723" s="1" t="n">
        <v>45559</v>
      </c>
      <c r="C723" s="1" t="n">
        <v>46158</v>
      </c>
      <c r="D723" t="inlineStr">
        <is>
          <t>ÖREBRO LÄN</t>
        </is>
      </c>
      <c r="E723" t="inlineStr">
        <is>
          <t>LINDESBERG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46158</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46158</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12307-2025</t>
        </is>
      </c>
      <c r="B726" s="1" t="n">
        <v>45729.76231481481</v>
      </c>
      <c r="C726" s="1" t="n">
        <v>46158</v>
      </c>
      <c r="D726" t="inlineStr">
        <is>
          <t>ÖREBRO LÄN</t>
        </is>
      </c>
      <c r="E726" t="inlineStr">
        <is>
          <t>LINDESBERG</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45056-2024</t>
        </is>
      </c>
      <c r="B727" s="1" t="n">
        <v>45575.55273148148</v>
      </c>
      <c r="C727" s="1" t="n">
        <v>46158</v>
      </c>
      <c r="D727" t="inlineStr">
        <is>
          <t>ÖREBRO LÄN</t>
        </is>
      </c>
      <c r="E727" t="inlineStr">
        <is>
          <t>LINDESBERG</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45058-2024</t>
        </is>
      </c>
      <c r="B728" s="1" t="n">
        <v>45575.5547337963</v>
      </c>
      <c r="C728" s="1" t="n">
        <v>46158</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45063-2024</t>
        </is>
      </c>
      <c r="B729" s="1" t="n">
        <v>45575.55684027778</v>
      </c>
      <c r="C729" s="1" t="n">
        <v>46158</v>
      </c>
      <c r="D729" t="inlineStr">
        <is>
          <t>ÖREBRO LÄN</t>
        </is>
      </c>
      <c r="E729" t="inlineStr">
        <is>
          <t>LINDESBERG</t>
        </is>
      </c>
      <c r="F729" t="inlineStr">
        <is>
          <t>Sveaskog</t>
        </is>
      </c>
      <c r="G729" t="n">
        <v>3.3</v>
      </c>
      <c r="H729" t="n">
        <v>0</v>
      </c>
      <c r="I729" t="n">
        <v>0</v>
      </c>
      <c r="J729" t="n">
        <v>0</v>
      </c>
      <c r="K729" t="n">
        <v>0</v>
      </c>
      <c r="L729" t="n">
        <v>0</v>
      </c>
      <c r="M729" t="n">
        <v>0</v>
      </c>
      <c r="N729" t="n">
        <v>0</v>
      </c>
      <c r="O729" t="n">
        <v>0</v>
      </c>
      <c r="P729" t="n">
        <v>0</v>
      </c>
      <c r="Q729" t="n">
        <v>0</v>
      </c>
      <c r="R729" s="2" t="inlineStr"/>
    </row>
    <row r="730" ht="15" customHeight="1">
      <c r="A730" t="inlineStr">
        <is>
          <t>A 45072-2024</t>
        </is>
      </c>
      <c r="B730" s="1" t="n">
        <v>45575.56686342593</v>
      </c>
      <c r="C730" s="1" t="n">
        <v>46158</v>
      </c>
      <c r="D730" t="inlineStr">
        <is>
          <t>ÖREBRO LÄN</t>
        </is>
      </c>
      <c r="E730" t="inlineStr">
        <is>
          <t>LINDESBERG</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45075-2024</t>
        </is>
      </c>
      <c r="B731" s="1" t="n">
        <v>45575.56820601852</v>
      </c>
      <c r="C731" s="1" t="n">
        <v>46158</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41948-2023</t>
        </is>
      </c>
      <c r="B732" s="1" t="n">
        <v>45177.33091435185</v>
      </c>
      <c r="C732" s="1" t="n">
        <v>46158</v>
      </c>
      <c r="D732" t="inlineStr">
        <is>
          <t>ÖREBRO LÄN</t>
        </is>
      </c>
      <c r="E732" t="inlineStr">
        <is>
          <t>LINDESBERG</t>
        </is>
      </c>
      <c r="F732" t="inlineStr">
        <is>
          <t>Kyrkan</t>
        </is>
      </c>
      <c r="G732" t="n">
        <v>1.4</v>
      </c>
      <c r="H732" t="n">
        <v>0</v>
      </c>
      <c r="I732" t="n">
        <v>0</v>
      </c>
      <c r="J732" t="n">
        <v>0</v>
      </c>
      <c r="K732" t="n">
        <v>0</v>
      </c>
      <c r="L732" t="n">
        <v>0</v>
      </c>
      <c r="M732" t="n">
        <v>0</v>
      </c>
      <c r="N732" t="n">
        <v>0</v>
      </c>
      <c r="O732" t="n">
        <v>0</v>
      </c>
      <c r="P732" t="n">
        <v>0</v>
      </c>
      <c r="Q732" t="n">
        <v>0</v>
      </c>
      <c r="R732" s="2" t="inlineStr"/>
    </row>
    <row r="733" ht="15" customHeight="1">
      <c r="A733" t="inlineStr">
        <is>
          <t>A 67016-2021</t>
        </is>
      </c>
      <c r="B733" s="1" t="n">
        <v>44522</v>
      </c>
      <c r="C733" s="1" t="n">
        <v>46158</v>
      </c>
      <c r="D733" t="inlineStr">
        <is>
          <t>ÖREBRO LÄN</t>
        </is>
      </c>
      <c r="E733" t="inlineStr">
        <is>
          <t>LINDESBERG</t>
        </is>
      </c>
      <c r="G733" t="n">
        <v>8</v>
      </c>
      <c r="H733" t="n">
        <v>0</v>
      </c>
      <c r="I733" t="n">
        <v>0</v>
      </c>
      <c r="J733" t="n">
        <v>0</v>
      </c>
      <c r="K733" t="n">
        <v>0</v>
      </c>
      <c r="L733" t="n">
        <v>0</v>
      </c>
      <c r="M733" t="n">
        <v>0</v>
      </c>
      <c r="N733" t="n">
        <v>0</v>
      </c>
      <c r="O733" t="n">
        <v>0</v>
      </c>
      <c r="P733" t="n">
        <v>0</v>
      </c>
      <c r="Q733" t="n">
        <v>0</v>
      </c>
      <c r="R733" s="2" t="inlineStr"/>
    </row>
    <row r="734" ht="15" customHeight="1">
      <c r="A734" t="inlineStr">
        <is>
          <t>A 10111-2022</t>
        </is>
      </c>
      <c r="B734" s="1" t="n">
        <v>44621.85737268518</v>
      </c>
      <c r="C734" s="1" t="n">
        <v>46158</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14034-2026</t>
        </is>
      </c>
      <c r="B735" s="1" t="n">
        <v>46098.79559027778</v>
      </c>
      <c r="C735" s="1" t="n">
        <v>46158</v>
      </c>
      <c r="D735" t="inlineStr">
        <is>
          <t>ÖREBRO LÄN</t>
        </is>
      </c>
      <c r="E735" t="inlineStr">
        <is>
          <t>LINDESBERG</t>
        </is>
      </c>
      <c r="F735" t="inlineStr">
        <is>
          <t>Sveaskog</t>
        </is>
      </c>
      <c r="G735" t="n">
        <v>2.9</v>
      </c>
      <c r="H735" t="n">
        <v>0</v>
      </c>
      <c r="I735" t="n">
        <v>0</v>
      </c>
      <c r="J735" t="n">
        <v>0</v>
      </c>
      <c r="K735" t="n">
        <v>0</v>
      </c>
      <c r="L735" t="n">
        <v>0</v>
      </c>
      <c r="M735" t="n">
        <v>0</v>
      </c>
      <c r="N735" t="n">
        <v>0</v>
      </c>
      <c r="O735" t="n">
        <v>0</v>
      </c>
      <c r="P735" t="n">
        <v>0</v>
      </c>
      <c r="Q735" t="n">
        <v>0</v>
      </c>
      <c r="R735" s="2" t="inlineStr"/>
    </row>
    <row r="736" ht="15" customHeight="1">
      <c r="A736" t="inlineStr">
        <is>
          <t>A 19960-2023</t>
        </is>
      </c>
      <c r="B736" s="1" t="n">
        <v>45054</v>
      </c>
      <c r="C736" s="1" t="n">
        <v>46158</v>
      </c>
      <c r="D736" t="inlineStr">
        <is>
          <t>ÖREBRO LÄN</t>
        </is>
      </c>
      <c r="E736" t="inlineStr">
        <is>
          <t>LINDESBERG</t>
        </is>
      </c>
      <c r="G736" t="n">
        <v>6.2</v>
      </c>
      <c r="H736" t="n">
        <v>0</v>
      </c>
      <c r="I736" t="n">
        <v>0</v>
      </c>
      <c r="J736" t="n">
        <v>0</v>
      </c>
      <c r="K736" t="n">
        <v>0</v>
      </c>
      <c r="L736" t="n">
        <v>0</v>
      </c>
      <c r="M736" t="n">
        <v>0</v>
      </c>
      <c r="N736" t="n">
        <v>0</v>
      </c>
      <c r="O736" t="n">
        <v>0</v>
      </c>
      <c r="P736" t="n">
        <v>0</v>
      </c>
      <c r="Q736" t="n">
        <v>0</v>
      </c>
      <c r="R736" s="2" t="inlineStr"/>
    </row>
    <row r="737" ht="15" customHeight="1">
      <c r="A737" t="inlineStr">
        <is>
          <t>A 50972-2023</t>
        </is>
      </c>
      <c r="B737" s="1" t="n">
        <v>45218</v>
      </c>
      <c r="C737" s="1" t="n">
        <v>46158</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20971-2026</t>
        </is>
      </c>
      <c r="B738" s="1" t="n">
        <v>46142.56399305556</v>
      </c>
      <c r="C738" s="1" t="n">
        <v>46158</v>
      </c>
      <c r="D738" t="inlineStr">
        <is>
          <t>ÖREBRO LÄN</t>
        </is>
      </c>
      <c r="E738" t="inlineStr">
        <is>
          <t>LINDESBERG</t>
        </is>
      </c>
      <c r="F738" t="inlineStr">
        <is>
          <t>Naturvårdsverket</t>
        </is>
      </c>
      <c r="G738" t="n">
        <v>4.5</v>
      </c>
      <c r="H738" t="n">
        <v>0</v>
      </c>
      <c r="I738" t="n">
        <v>0</v>
      </c>
      <c r="J738" t="n">
        <v>0</v>
      </c>
      <c r="K738" t="n">
        <v>0</v>
      </c>
      <c r="L738" t="n">
        <v>0</v>
      </c>
      <c r="M738" t="n">
        <v>0</v>
      </c>
      <c r="N738" t="n">
        <v>0</v>
      </c>
      <c r="O738" t="n">
        <v>0</v>
      </c>
      <c r="P738" t="n">
        <v>0</v>
      </c>
      <c r="Q738" t="n">
        <v>0</v>
      </c>
      <c r="R738" s="2" t="inlineStr"/>
    </row>
    <row r="739" ht="15" customHeight="1">
      <c r="A739" t="inlineStr">
        <is>
          <t>A 33507-2023</t>
        </is>
      </c>
      <c r="B739" s="1" t="n">
        <v>45131</v>
      </c>
      <c r="C739" s="1" t="n">
        <v>46158</v>
      </c>
      <c r="D739" t="inlineStr">
        <is>
          <t>ÖREBRO LÄN</t>
        </is>
      </c>
      <c r="E739" t="inlineStr">
        <is>
          <t>LINDESBERG</t>
        </is>
      </c>
      <c r="G739" t="n">
        <v>3.2</v>
      </c>
      <c r="H739" t="n">
        <v>0</v>
      </c>
      <c r="I739" t="n">
        <v>0</v>
      </c>
      <c r="J739" t="n">
        <v>0</v>
      </c>
      <c r="K739" t="n">
        <v>0</v>
      </c>
      <c r="L739" t="n">
        <v>0</v>
      </c>
      <c r="M739" t="n">
        <v>0</v>
      </c>
      <c r="N739" t="n">
        <v>0</v>
      </c>
      <c r="O739" t="n">
        <v>0</v>
      </c>
      <c r="P739" t="n">
        <v>0</v>
      </c>
      <c r="Q739" t="n">
        <v>0</v>
      </c>
      <c r="R739" s="2" t="inlineStr"/>
    </row>
    <row r="740" ht="15" customHeight="1">
      <c r="A740" t="inlineStr">
        <is>
          <t>A 2406-2024</t>
        </is>
      </c>
      <c r="B740" s="1" t="n">
        <v>45310</v>
      </c>
      <c r="C740" s="1" t="n">
        <v>46158</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20970-2026</t>
        </is>
      </c>
      <c r="B741" s="1" t="n">
        <v>46142.56342592592</v>
      </c>
      <c r="C741" s="1" t="n">
        <v>46158</v>
      </c>
      <c r="D741" t="inlineStr">
        <is>
          <t>ÖREBRO LÄN</t>
        </is>
      </c>
      <c r="E741" t="inlineStr">
        <is>
          <t>LINDESBERG</t>
        </is>
      </c>
      <c r="F741" t="inlineStr">
        <is>
          <t>Naturvårdsverket</t>
        </is>
      </c>
      <c r="G741" t="n">
        <v>5</v>
      </c>
      <c r="H741" t="n">
        <v>0</v>
      </c>
      <c r="I741" t="n">
        <v>0</v>
      </c>
      <c r="J741" t="n">
        <v>0</v>
      </c>
      <c r="K741" t="n">
        <v>0</v>
      </c>
      <c r="L741" t="n">
        <v>0</v>
      </c>
      <c r="M741" t="n">
        <v>0</v>
      </c>
      <c r="N741" t="n">
        <v>0</v>
      </c>
      <c r="O741" t="n">
        <v>0</v>
      </c>
      <c r="P741" t="n">
        <v>0</v>
      </c>
      <c r="Q741" t="n">
        <v>0</v>
      </c>
      <c r="R741" s="2" t="inlineStr"/>
    </row>
    <row r="742" ht="15" customHeight="1">
      <c r="A742" t="inlineStr">
        <is>
          <t>A 14680-2026</t>
        </is>
      </c>
      <c r="B742" s="1" t="n">
        <v>46101.48212962963</v>
      </c>
      <c r="C742" s="1" t="n">
        <v>46158</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17895-2022</t>
        </is>
      </c>
      <c r="B743" s="1" t="n">
        <v>44683</v>
      </c>
      <c r="C743" s="1" t="n">
        <v>46158</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1395-2025</t>
        </is>
      </c>
      <c r="B744" s="1" t="n">
        <v>45667</v>
      </c>
      <c r="C744" s="1" t="n">
        <v>46158</v>
      </c>
      <c r="D744" t="inlineStr">
        <is>
          <t>ÖREBRO LÄN</t>
        </is>
      </c>
      <c r="E744" t="inlineStr">
        <is>
          <t>LINDESBERG</t>
        </is>
      </c>
      <c r="G744" t="n">
        <v>4.6</v>
      </c>
      <c r="H744" t="n">
        <v>0</v>
      </c>
      <c r="I744" t="n">
        <v>0</v>
      </c>
      <c r="J744" t="n">
        <v>0</v>
      </c>
      <c r="K744" t="n">
        <v>0</v>
      </c>
      <c r="L744" t="n">
        <v>0</v>
      </c>
      <c r="M744" t="n">
        <v>0</v>
      </c>
      <c r="N744" t="n">
        <v>0</v>
      </c>
      <c r="O744" t="n">
        <v>0</v>
      </c>
      <c r="P744" t="n">
        <v>0</v>
      </c>
      <c r="Q744" t="n">
        <v>0</v>
      </c>
      <c r="R744" s="2" t="inlineStr"/>
    </row>
    <row r="745" ht="15" customHeight="1">
      <c r="A745" t="inlineStr">
        <is>
          <t>A 52928-2024</t>
        </is>
      </c>
      <c r="B745" s="1" t="n">
        <v>45610</v>
      </c>
      <c r="C745" s="1" t="n">
        <v>46158</v>
      </c>
      <c r="D745" t="inlineStr">
        <is>
          <t>ÖREBRO LÄN</t>
        </is>
      </c>
      <c r="E745" t="inlineStr">
        <is>
          <t>LINDESBERG</t>
        </is>
      </c>
      <c r="G745" t="n">
        <v>8.6</v>
      </c>
      <c r="H745" t="n">
        <v>0</v>
      </c>
      <c r="I745" t="n">
        <v>0</v>
      </c>
      <c r="J745" t="n">
        <v>0</v>
      </c>
      <c r="K745" t="n">
        <v>0</v>
      </c>
      <c r="L745" t="n">
        <v>0</v>
      </c>
      <c r="M745" t="n">
        <v>0</v>
      </c>
      <c r="N745" t="n">
        <v>0</v>
      </c>
      <c r="O745" t="n">
        <v>0</v>
      </c>
      <c r="P745" t="n">
        <v>0</v>
      </c>
      <c r="Q745" t="n">
        <v>0</v>
      </c>
      <c r="R745" s="2" t="inlineStr"/>
    </row>
    <row r="746" ht="15" customHeight="1">
      <c r="A746" t="inlineStr">
        <is>
          <t>A 33716-2021</t>
        </is>
      </c>
      <c r="B746" s="1" t="n">
        <v>44378.46857638889</v>
      </c>
      <c r="C746" s="1" t="n">
        <v>46158</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40970-2023</t>
        </is>
      </c>
      <c r="B747" s="1" t="n">
        <v>45173</v>
      </c>
      <c r="C747" s="1" t="n">
        <v>46158</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21084-2026</t>
        </is>
      </c>
      <c r="B748" s="1" t="n">
        <v>46146.43534722222</v>
      </c>
      <c r="C748" s="1" t="n">
        <v>46158</v>
      </c>
      <c r="D748" t="inlineStr">
        <is>
          <t>ÖREBRO LÄN</t>
        </is>
      </c>
      <c r="E748" t="inlineStr">
        <is>
          <t>LINDESBERG</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46158</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15050-2026</t>
        </is>
      </c>
      <c r="B750" s="1" t="n">
        <v>46104.67331018519</v>
      </c>
      <c r="C750" s="1" t="n">
        <v>46158</v>
      </c>
      <c r="D750" t="inlineStr">
        <is>
          <t>ÖREBRO LÄN</t>
        </is>
      </c>
      <c r="E750" t="inlineStr">
        <is>
          <t>LINDESBERG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60492-2024</t>
        </is>
      </c>
      <c r="B751" s="1" t="n">
        <v>45642</v>
      </c>
      <c r="C751" s="1" t="n">
        <v>46158</v>
      </c>
      <c r="D751" t="inlineStr">
        <is>
          <t>ÖREBRO LÄN</t>
        </is>
      </c>
      <c r="E751" t="inlineStr">
        <is>
          <t>LINDESBERG</t>
        </is>
      </c>
      <c r="G751" t="n">
        <v>2.6</v>
      </c>
      <c r="H751" t="n">
        <v>0</v>
      </c>
      <c r="I751" t="n">
        <v>0</v>
      </c>
      <c r="J751" t="n">
        <v>0</v>
      </c>
      <c r="K751" t="n">
        <v>0</v>
      </c>
      <c r="L751" t="n">
        <v>0</v>
      </c>
      <c r="M751" t="n">
        <v>0</v>
      </c>
      <c r="N751" t="n">
        <v>0</v>
      </c>
      <c r="O751" t="n">
        <v>0</v>
      </c>
      <c r="P751" t="n">
        <v>0</v>
      </c>
      <c r="Q751" t="n">
        <v>0</v>
      </c>
      <c r="R751" s="2" t="inlineStr"/>
    </row>
    <row r="752" ht="15" customHeight="1">
      <c r="A752" t="inlineStr">
        <is>
          <t>A 15126-2026</t>
        </is>
      </c>
      <c r="B752" s="1" t="n">
        <v>46105.37195601852</v>
      </c>
      <c r="C752" s="1" t="n">
        <v>46158</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40117-2023</t>
        </is>
      </c>
      <c r="B753" s="1" t="n">
        <v>45168.94197916667</v>
      </c>
      <c r="C753" s="1" t="n">
        <v>46158</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11366-2024</t>
        </is>
      </c>
      <c r="B754" s="1" t="n">
        <v>45372.40246527778</v>
      </c>
      <c r="C754" s="1" t="n">
        <v>46158</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60943-2024</t>
        </is>
      </c>
      <c r="B755" s="1" t="n">
        <v>45645.3737962963</v>
      </c>
      <c r="C755" s="1" t="n">
        <v>46158</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56912-2024</t>
        </is>
      </c>
      <c r="B756" s="1" t="n">
        <v>45628.59233796296</v>
      </c>
      <c r="C756" s="1" t="n">
        <v>46158</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47620-2023</t>
        </is>
      </c>
      <c r="B757" s="1" t="n">
        <v>45203.510625</v>
      </c>
      <c r="C757" s="1" t="n">
        <v>46158</v>
      </c>
      <c r="D757" t="inlineStr">
        <is>
          <t>ÖREBRO LÄN</t>
        </is>
      </c>
      <c r="E757" t="inlineStr">
        <is>
          <t>LINDESBERG</t>
        </is>
      </c>
      <c r="G757" t="n">
        <v>2.7</v>
      </c>
      <c r="H757" t="n">
        <v>0</v>
      </c>
      <c r="I757" t="n">
        <v>0</v>
      </c>
      <c r="J757" t="n">
        <v>0</v>
      </c>
      <c r="K757" t="n">
        <v>0</v>
      </c>
      <c r="L757" t="n">
        <v>0</v>
      </c>
      <c r="M757" t="n">
        <v>0</v>
      </c>
      <c r="N757" t="n">
        <v>0</v>
      </c>
      <c r="O757" t="n">
        <v>0</v>
      </c>
      <c r="P757" t="n">
        <v>0</v>
      </c>
      <c r="Q757" t="n">
        <v>0</v>
      </c>
      <c r="R757" s="2" t="inlineStr"/>
    </row>
    <row r="758" ht="15" customHeight="1">
      <c r="A758" t="inlineStr">
        <is>
          <t>A 44010-2023</t>
        </is>
      </c>
      <c r="B758" s="1" t="n">
        <v>45188</v>
      </c>
      <c r="C758" s="1" t="n">
        <v>46158</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2107-2022</t>
        </is>
      </c>
      <c r="B759" s="1" t="n">
        <v>44577.83484953704</v>
      </c>
      <c r="C759" s="1" t="n">
        <v>46158</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16864-2022</t>
        </is>
      </c>
      <c r="B760" s="1" t="n">
        <v>44675</v>
      </c>
      <c r="C760" s="1" t="n">
        <v>46158</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32928-2023</t>
        </is>
      </c>
      <c r="B761" s="1" t="n">
        <v>45125.41458333333</v>
      </c>
      <c r="C761" s="1" t="n">
        <v>46158</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46158</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40306-2022</t>
        </is>
      </c>
      <c r="B763" s="1" t="n">
        <v>44822</v>
      </c>
      <c r="C763" s="1" t="n">
        <v>46158</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21871-2026</t>
        </is>
      </c>
      <c r="B764" s="1" t="n">
        <v>46150.58001157407</v>
      </c>
      <c r="C764" s="1" t="n">
        <v>46158</v>
      </c>
      <c r="D764" t="inlineStr">
        <is>
          <t>ÖREBRO LÄN</t>
        </is>
      </c>
      <c r="E764" t="inlineStr">
        <is>
          <t>LINDESBERG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27440-2023</t>
        </is>
      </c>
      <c r="B765" s="1" t="n">
        <v>45097.39893518519</v>
      </c>
      <c r="C765" s="1" t="n">
        <v>46158</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40905-2023</t>
        </is>
      </c>
      <c r="B766" s="1" t="n">
        <v>45173.39315972223</v>
      </c>
      <c r="C766" s="1" t="n">
        <v>46158</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16090-2026</t>
        </is>
      </c>
      <c r="B767" s="1" t="n">
        <v>46108</v>
      </c>
      <c r="C767" s="1" t="n">
        <v>46158</v>
      </c>
      <c r="D767" t="inlineStr">
        <is>
          <t>ÖREBRO LÄN</t>
        </is>
      </c>
      <c r="E767" t="inlineStr">
        <is>
          <t>LINDESBERG</t>
        </is>
      </c>
      <c r="G767" t="n">
        <v>4</v>
      </c>
      <c r="H767" t="n">
        <v>0</v>
      </c>
      <c r="I767" t="n">
        <v>0</v>
      </c>
      <c r="J767" t="n">
        <v>0</v>
      </c>
      <c r="K767" t="n">
        <v>0</v>
      </c>
      <c r="L767" t="n">
        <v>0</v>
      </c>
      <c r="M767" t="n">
        <v>0</v>
      </c>
      <c r="N767" t="n">
        <v>0</v>
      </c>
      <c r="O767" t="n">
        <v>0</v>
      </c>
      <c r="P767" t="n">
        <v>0</v>
      </c>
      <c r="Q767" t="n">
        <v>0</v>
      </c>
      <c r="R767" s="2" t="inlineStr"/>
    </row>
    <row r="768" ht="15" customHeight="1">
      <c r="A768" t="inlineStr">
        <is>
          <t>A 16094-2026</t>
        </is>
      </c>
      <c r="B768" s="1" t="n">
        <v>46108</v>
      </c>
      <c r="C768" s="1" t="n">
        <v>46158</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41951-2023</t>
        </is>
      </c>
      <c r="B769" s="1" t="n">
        <v>45177.33991898148</v>
      </c>
      <c r="C769" s="1" t="n">
        <v>46158</v>
      </c>
      <c r="D769" t="inlineStr">
        <is>
          <t>ÖREBRO LÄN</t>
        </is>
      </c>
      <c r="E769" t="inlineStr">
        <is>
          <t>LINDESBERG</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46158</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21796-2026</t>
        </is>
      </c>
      <c r="B771" s="1" t="n">
        <v>46150.42483796296</v>
      </c>
      <c r="C771" s="1" t="n">
        <v>46158</v>
      </c>
      <c r="D771" t="inlineStr">
        <is>
          <t>ÖREBRO LÄN</t>
        </is>
      </c>
      <c r="E771" t="inlineStr">
        <is>
          <t>LINDESBERG</t>
        </is>
      </c>
      <c r="F771" t="inlineStr">
        <is>
          <t>Naturvårdsverket</t>
        </is>
      </c>
      <c r="G771" t="n">
        <v>5.1</v>
      </c>
      <c r="H771" t="n">
        <v>0</v>
      </c>
      <c r="I771" t="n">
        <v>0</v>
      </c>
      <c r="J771" t="n">
        <v>0</v>
      </c>
      <c r="K771" t="n">
        <v>0</v>
      </c>
      <c r="L771" t="n">
        <v>0</v>
      </c>
      <c r="M771" t="n">
        <v>0</v>
      </c>
      <c r="N771" t="n">
        <v>0</v>
      </c>
      <c r="O771" t="n">
        <v>0</v>
      </c>
      <c r="P771" t="n">
        <v>0</v>
      </c>
      <c r="Q771" t="n">
        <v>0</v>
      </c>
      <c r="R771" s="2" t="inlineStr"/>
    </row>
    <row r="772" ht="15" customHeight="1">
      <c r="A772" t="inlineStr">
        <is>
          <t>A 40758-2021</t>
        </is>
      </c>
      <c r="B772" s="1" t="n">
        <v>44420</v>
      </c>
      <c r="C772" s="1" t="n">
        <v>46158</v>
      </c>
      <c r="D772" t="inlineStr">
        <is>
          <t>ÖREBRO LÄN</t>
        </is>
      </c>
      <c r="E772" t="inlineStr">
        <is>
          <t>LINDESBERG</t>
        </is>
      </c>
      <c r="G772" t="n">
        <v>5</v>
      </c>
      <c r="H772" t="n">
        <v>0</v>
      </c>
      <c r="I772" t="n">
        <v>0</v>
      </c>
      <c r="J772" t="n">
        <v>0</v>
      </c>
      <c r="K772" t="n">
        <v>0</v>
      </c>
      <c r="L772" t="n">
        <v>0</v>
      </c>
      <c r="M772" t="n">
        <v>0</v>
      </c>
      <c r="N772" t="n">
        <v>0</v>
      </c>
      <c r="O772" t="n">
        <v>0</v>
      </c>
      <c r="P772" t="n">
        <v>0</v>
      </c>
      <c r="Q772" t="n">
        <v>0</v>
      </c>
      <c r="R772" s="2" t="inlineStr"/>
    </row>
    <row r="773" ht="15" customHeight="1">
      <c r="A773" t="inlineStr">
        <is>
          <t>A 34025-2024</t>
        </is>
      </c>
      <c r="B773" s="1" t="n">
        <v>45523.58565972222</v>
      </c>
      <c r="C773" s="1" t="n">
        <v>46158</v>
      </c>
      <c r="D773" t="inlineStr">
        <is>
          <t>ÖREBRO LÄN</t>
        </is>
      </c>
      <c r="E773" t="inlineStr">
        <is>
          <t>LINDESBERG</t>
        </is>
      </c>
      <c r="G773" t="n">
        <v>1.3</v>
      </c>
      <c r="H773" t="n">
        <v>0</v>
      </c>
      <c r="I773" t="n">
        <v>0</v>
      </c>
      <c r="J773" t="n">
        <v>0</v>
      </c>
      <c r="K773" t="n">
        <v>0</v>
      </c>
      <c r="L773" t="n">
        <v>0</v>
      </c>
      <c r="M773" t="n">
        <v>0</v>
      </c>
      <c r="N773" t="n">
        <v>0</v>
      </c>
      <c r="O773" t="n">
        <v>0</v>
      </c>
      <c r="P773" t="n">
        <v>0</v>
      </c>
      <c r="Q773" t="n">
        <v>0</v>
      </c>
      <c r="R773" s="2" t="inlineStr"/>
    </row>
    <row r="774" ht="15" customHeight="1">
      <c r="A774" t="inlineStr">
        <is>
          <t>A 16092-2026</t>
        </is>
      </c>
      <c r="B774" s="1" t="n">
        <v>46108</v>
      </c>
      <c r="C774" s="1" t="n">
        <v>46158</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16812-2026</t>
        </is>
      </c>
      <c r="B775" s="1" t="n">
        <v>46113.49563657407</v>
      </c>
      <c r="C775" s="1" t="n">
        <v>46158</v>
      </c>
      <c r="D775" t="inlineStr">
        <is>
          <t>ÖREBRO LÄN</t>
        </is>
      </c>
      <c r="E775" t="inlineStr">
        <is>
          <t>LINDESBERG</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7990-2025</t>
        </is>
      </c>
      <c r="B776" s="1" t="n">
        <v>45707</v>
      </c>
      <c r="C776" s="1" t="n">
        <v>46158</v>
      </c>
      <c r="D776" t="inlineStr">
        <is>
          <t>ÖREBRO LÄN</t>
        </is>
      </c>
      <c r="E776" t="inlineStr">
        <is>
          <t>LINDESBERG</t>
        </is>
      </c>
      <c r="G776" t="n">
        <v>4.4</v>
      </c>
      <c r="H776" t="n">
        <v>0</v>
      </c>
      <c r="I776" t="n">
        <v>0</v>
      </c>
      <c r="J776" t="n">
        <v>0</v>
      </c>
      <c r="K776" t="n">
        <v>0</v>
      </c>
      <c r="L776" t="n">
        <v>0</v>
      </c>
      <c r="M776" t="n">
        <v>0</v>
      </c>
      <c r="N776" t="n">
        <v>0</v>
      </c>
      <c r="O776" t="n">
        <v>0</v>
      </c>
      <c r="P776" t="n">
        <v>0</v>
      </c>
      <c r="Q776" t="n">
        <v>0</v>
      </c>
      <c r="R776" s="2" t="inlineStr"/>
    </row>
    <row r="777" ht="15" customHeight="1">
      <c r="A777" t="inlineStr">
        <is>
          <t>A 3026-2026</t>
        </is>
      </c>
      <c r="B777" s="1" t="n">
        <v>46038</v>
      </c>
      <c r="C777" s="1" t="n">
        <v>46158</v>
      </c>
      <c r="D777" t="inlineStr">
        <is>
          <t>ÖREBRO LÄN</t>
        </is>
      </c>
      <c r="E777" t="inlineStr">
        <is>
          <t>LINDESBERG</t>
        </is>
      </c>
      <c r="G777" t="n">
        <v>10.3</v>
      </c>
      <c r="H777" t="n">
        <v>0</v>
      </c>
      <c r="I777" t="n">
        <v>0</v>
      </c>
      <c r="J777" t="n">
        <v>0</v>
      </c>
      <c r="K777" t="n">
        <v>0</v>
      </c>
      <c r="L777" t="n">
        <v>0</v>
      </c>
      <c r="M777" t="n">
        <v>0</v>
      </c>
      <c r="N777" t="n">
        <v>0</v>
      </c>
      <c r="O777" t="n">
        <v>0</v>
      </c>
      <c r="P777" t="n">
        <v>0</v>
      </c>
      <c r="Q777" t="n">
        <v>0</v>
      </c>
      <c r="R777" s="2" t="inlineStr"/>
    </row>
    <row r="778" ht="15" customHeight="1">
      <c r="A778" t="inlineStr">
        <is>
          <t>A 61691-2023</t>
        </is>
      </c>
      <c r="B778" s="1" t="n">
        <v>45265.64142361111</v>
      </c>
      <c r="C778" s="1" t="n">
        <v>46158</v>
      </c>
      <c r="D778" t="inlineStr">
        <is>
          <t>ÖREBRO LÄN</t>
        </is>
      </c>
      <c r="E778" t="inlineStr">
        <is>
          <t>LINDESBERG</t>
        </is>
      </c>
      <c r="G778" t="n">
        <v>2.6</v>
      </c>
      <c r="H778" t="n">
        <v>0</v>
      </c>
      <c r="I778" t="n">
        <v>0</v>
      </c>
      <c r="J778" t="n">
        <v>0</v>
      </c>
      <c r="K778" t="n">
        <v>0</v>
      </c>
      <c r="L778" t="n">
        <v>0</v>
      </c>
      <c r="M778" t="n">
        <v>0</v>
      </c>
      <c r="N778" t="n">
        <v>0</v>
      </c>
      <c r="O778" t="n">
        <v>0</v>
      </c>
      <c r="P778" t="n">
        <v>0</v>
      </c>
      <c r="Q778" t="n">
        <v>0</v>
      </c>
      <c r="R778" s="2" t="inlineStr"/>
    </row>
    <row r="779" ht="15" customHeight="1">
      <c r="A779" t="inlineStr">
        <is>
          <t>A 37507-2023</t>
        </is>
      </c>
      <c r="B779" s="1" t="n">
        <v>45158.41768518519</v>
      </c>
      <c r="C779" s="1" t="n">
        <v>46158</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41576-2021</t>
        </is>
      </c>
      <c r="B780" s="1" t="n">
        <v>44425</v>
      </c>
      <c r="C780" s="1" t="n">
        <v>46158</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46675-2023</t>
        </is>
      </c>
      <c r="B781" s="1" t="n">
        <v>45194</v>
      </c>
      <c r="C781" s="1" t="n">
        <v>46158</v>
      </c>
      <c r="D781" t="inlineStr">
        <is>
          <t>ÖREBRO LÄN</t>
        </is>
      </c>
      <c r="E781" t="inlineStr">
        <is>
          <t>LINDESBERG</t>
        </is>
      </c>
      <c r="G781" t="n">
        <v>3.8</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46158</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17153-2026</t>
        </is>
      </c>
      <c r="B783" s="1" t="n">
        <v>46115.4727199074</v>
      </c>
      <c r="C783" s="1" t="n">
        <v>46158</v>
      </c>
      <c r="D783" t="inlineStr">
        <is>
          <t>ÖREBRO LÄN</t>
        </is>
      </c>
      <c r="E783" t="inlineStr">
        <is>
          <t>LINDESBERG</t>
        </is>
      </c>
      <c r="G783" t="n">
        <v>5.6</v>
      </c>
      <c r="H783" t="n">
        <v>0</v>
      </c>
      <c r="I783" t="n">
        <v>0</v>
      </c>
      <c r="J783" t="n">
        <v>0</v>
      </c>
      <c r="K783" t="n">
        <v>0</v>
      </c>
      <c r="L783" t="n">
        <v>0</v>
      </c>
      <c r="M783" t="n">
        <v>0</v>
      </c>
      <c r="N783" t="n">
        <v>0</v>
      </c>
      <c r="O783" t="n">
        <v>0</v>
      </c>
      <c r="P783" t="n">
        <v>0</v>
      </c>
      <c r="Q783" t="n">
        <v>0</v>
      </c>
      <c r="R783" s="2" t="inlineStr"/>
    </row>
    <row r="784" ht="15" customHeight="1">
      <c r="A784" t="inlineStr">
        <is>
          <t>A 17155-2026</t>
        </is>
      </c>
      <c r="B784" s="1" t="n">
        <v>46115.50295138889</v>
      </c>
      <c r="C784" s="1" t="n">
        <v>46158</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17156-2026</t>
        </is>
      </c>
      <c r="B785" s="1" t="n">
        <v>46115.51194444444</v>
      </c>
      <c r="C785" s="1" t="n">
        <v>46158</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17013-2026</t>
        </is>
      </c>
      <c r="B786" s="1" t="n">
        <v>46114</v>
      </c>
      <c r="C786" s="1" t="n">
        <v>46158</v>
      </c>
      <c r="D786" t="inlineStr">
        <is>
          <t>ÖREBRO LÄN</t>
        </is>
      </c>
      <c r="E786" t="inlineStr">
        <is>
          <t>LINDESBERG</t>
        </is>
      </c>
      <c r="G786" t="n">
        <v>1.3</v>
      </c>
      <c r="H786" t="n">
        <v>0</v>
      </c>
      <c r="I786" t="n">
        <v>0</v>
      </c>
      <c r="J786" t="n">
        <v>0</v>
      </c>
      <c r="K786" t="n">
        <v>0</v>
      </c>
      <c r="L786" t="n">
        <v>0</v>
      </c>
      <c r="M786" t="n">
        <v>0</v>
      </c>
      <c r="N786" t="n">
        <v>0</v>
      </c>
      <c r="O786" t="n">
        <v>0</v>
      </c>
      <c r="P786" t="n">
        <v>0</v>
      </c>
      <c r="Q786" t="n">
        <v>0</v>
      </c>
      <c r="R786" s="2" t="inlineStr"/>
    </row>
    <row r="787" ht="15" customHeight="1">
      <c r="A787" t="inlineStr">
        <is>
          <t>A 17010-2026</t>
        </is>
      </c>
      <c r="B787" s="1" t="n">
        <v>46114</v>
      </c>
      <c r="C787" s="1" t="n">
        <v>46158</v>
      </c>
      <c r="D787" t="inlineStr">
        <is>
          <t>ÖREBRO LÄN</t>
        </is>
      </c>
      <c r="E787" t="inlineStr">
        <is>
          <t>LINDESBERG</t>
        </is>
      </c>
      <c r="G787" t="n">
        <v>3.7</v>
      </c>
      <c r="H787" t="n">
        <v>0</v>
      </c>
      <c r="I787" t="n">
        <v>0</v>
      </c>
      <c r="J787" t="n">
        <v>0</v>
      </c>
      <c r="K787" t="n">
        <v>0</v>
      </c>
      <c r="L787" t="n">
        <v>0</v>
      </c>
      <c r="M787" t="n">
        <v>0</v>
      </c>
      <c r="N787" t="n">
        <v>0</v>
      </c>
      <c r="O787" t="n">
        <v>0</v>
      </c>
      <c r="P787" t="n">
        <v>0</v>
      </c>
      <c r="Q787" t="n">
        <v>0</v>
      </c>
      <c r="R787" s="2" t="inlineStr"/>
    </row>
    <row r="788" ht="15" customHeight="1">
      <c r="A788" t="inlineStr">
        <is>
          <t>A 17159-2026</t>
        </is>
      </c>
      <c r="B788" s="1" t="n">
        <v>46115.57298611111</v>
      </c>
      <c r="C788" s="1" t="n">
        <v>46158</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22748-2026</t>
        </is>
      </c>
      <c r="B789" s="1" t="n">
        <v>46157.43287037037</v>
      </c>
      <c r="C789" s="1" t="n">
        <v>46158</v>
      </c>
      <c r="D789" t="inlineStr">
        <is>
          <t>ÖREBRO LÄN</t>
        </is>
      </c>
      <c r="E789" t="inlineStr">
        <is>
          <t>LINDESBERG</t>
        </is>
      </c>
      <c r="G789" t="n">
        <v>3.1</v>
      </c>
      <c r="H789" t="n">
        <v>0</v>
      </c>
      <c r="I789" t="n">
        <v>0</v>
      </c>
      <c r="J789" t="n">
        <v>0</v>
      </c>
      <c r="K789" t="n">
        <v>0</v>
      </c>
      <c r="L789" t="n">
        <v>0</v>
      </c>
      <c r="M789" t="n">
        <v>0</v>
      </c>
      <c r="N789" t="n">
        <v>0</v>
      </c>
      <c r="O789" t="n">
        <v>0</v>
      </c>
      <c r="P789" t="n">
        <v>0</v>
      </c>
      <c r="Q789" t="n">
        <v>0</v>
      </c>
      <c r="R789" s="2" t="inlineStr"/>
    </row>
    <row r="790" ht="15" customHeight="1">
      <c r="A790" t="inlineStr">
        <is>
          <t>A 22745-2026</t>
        </is>
      </c>
      <c r="B790" s="1" t="n">
        <v>46157.4291087963</v>
      </c>
      <c r="C790" s="1" t="n">
        <v>46158</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22752-2026</t>
        </is>
      </c>
      <c r="B791" s="1" t="n">
        <v>46157.44695601852</v>
      </c>
      <c r="C791" s="1" t="n">
        <v>46158</v>
      </c>
      <c r="D791" t="inlineStr">
        <is>
          <t>ÖREBRO LÄN</t>
        </is>
      </c>
      <c r="E791" t="inlineStr">
        <is>
          <t>LINDESBERG</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17154-2026</t>
        </is>
      </c>
      <c r="B792" s="1" t="n">
        <v>46115.49298611111</v>
      </c>
      <c r="C792" s="1" t="n">
        <v>46158</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17157-2026</t>
        </is>
      </c>
      <c r="B793" s="1" t="n">
        <v>46115.52068287037</v>
      </c>
      <c r="C793" s="1" t="n">
        <v>46158</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17162-2026</t>
        </is>
      </c>
      <c r="B794" s="1" t="n">
        <v>46115.60453703703</v>
      </c>
      <c r="C794" s="1" t="n">
        <v>46158</v>
      </c>
      <c r="D794" t="inlineStr">
        <is>
          <t>ÖREBRO LÄN</t>
        </is>
      </c>
      <c r="E794" t="inlineStr">
        <is>
          <t>LINDESBERG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22747-2026</t>
        </is>
      </c>
      <c r="B795" s="1" t="n">
        <v>46157.43127314815</v>
      </c>
      <c r="C795" s="1" t="n">
        <v>46158</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54432-2023</t>
        </is>
      </c>
      <c r="B796" s="1" t="n">
        <v>45233.42121527778</v>
      </c>
      <c r="C796" s="1" t="n">
        <v>46158</v>
      </c>
      <c r="D796" t="inlineStr">
        <is>
          <t>ÖREBRO LÄN</t>
        </is>
      </c>
      <c r="E796" t="inlineStr">
        <is>
          <t>LINDESBERG</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17158-2026</t>
        </is>
      </c>
      <c r="B797" s="1" t="n">
        <v>46115.55826388889</v>
      </c>
      <c r="C797" s="1" t="n">
        <v>46158</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15933-2025</t>
        </is>
      </c>
      <c r="B798" s="1" t="n">
        <v>45749.47251157407</v>
      </c>
      <c r="C798" s="1" t="n">
        <v>46158</v>
      </c>
      <c r="D798" t="inlineStr">
        <is>
          <t>ÖREBRO LÄN</t>
        </is>
      </c>
      <c r="E798" t="inlineStr">
        <is>
          <t>LINDESBERG</t>
        </is>
      </c>
      <c r="G798" t="n">
        <v>6.1</v>
      </c>
      <c r="H798" t="n">
        <v>0</v>
      </c>
      <c r="I798" t="n">
        <v>0</v>
      </c>
      <c r="J798" t="n">
        <v>0</v>
      </c>
      <c r="K798" t="n">
        <v>0</v>
      </c>
      <c r="L798" t="n">
        <v>0</v>
      </c>
      <c r="M798" t="n">
        <v>0</v>
      </c>
      <c r="N798" t="n">
        <v>0</v>
      </c>
      <c r="O798" t="n">
        <v>0</v>
      </c>
      <c r="P798" t="n">
        <v>0</v>
      </c>
      <c r="Q798" t="n">
        <v>0</v>
      </c>
      <c r="R798" s="2" t="inlineStr"/>
    </row>
    <row r="799" ht="15" customHeight="1">
      <c r="A799" t="inlineStr">
        <is>
          <t>A 15936-2025</t>
        </is>
      </c>
      <c r="B799" s="1" t="n">
        <v>45749.4737962963</v>
      </c>
      <c r="C799" s="1" t="n">
        <v>46158</v>
      </c>
      <c r="D799" t="inlineStr">
        <is>
          <t>ÖREBRO LÄN</t>
        </is>
      </c>
      <c r="E799" t="inlineStr">
        <is>
          <t>LINDESBERG</t>
        </is>
      </c>
      <c r="G799" t="n">
        <v>22.3</v>
      </c>
      <c r="H799" t="n">
        <v>0</v>
      </c>
      <c r="I799" t="n">
        <v>0</v>
      </c>
      <c r="J799" t="n">
        <v>0</v>
      </c>
      <c r="K799" t="n">
        <v>0</v>
      </c>
      <c r="L799" t="n">
        <v>0</v>
      </c>
      <c r="M799" t="n">
        <v>0</v>
      </c>
      <c r="N799" t="n">
        <v>0</v>
      </c>
      <c r="O799" t="n">
        <v>0</v>
      </c>
      <c r="P799" t="n">
        <v>0</v>
      </c>
      <c r="Q799" t="n">
        <v>0</v>
      </c>
      <c r="R799" s="2" t="inlineStr"/>
    </row>
    <row r="800" ht="15" customHeight="1">
      <c r="A800" t="inlineStr">
        <is>
          <t>A 17161-2026</t>
        </is>
      </c>
      <c r="B800" s="1" t="n">
        <v>46115.59534722222</v>
      </c>
      <c r="C800" s="1" t="n">
        <v>46158</v>
      </c>
      <c r="D800" t="inlineStr">
        <is>
          <t>ÖREBRO LÄN</t>
        </is>
      </c>
      <c r="E800" t="inlineStr">
        <is>
          <t>LINDESBERG</t>
        </is>
      </c>
      <c r="G800" t="n">
        <v>3.3</v>
      </c>
      <c r="H800" t="n">
        <v>0</v>
      </c>
      <c r="I800" t="n">
        <v>0</v>
      </c>
      <c r="J800" t="n">
        <v>0</v>
      </c>
      <c r="K800" t="n">
        <v>0</v>
      </c>
      <c r="L800" t="n">
        <v>0</v>
      </c>
      <c r="M800" t="n">
        <v>0</v>
      </c>
      <c r="N800" t="n">
        <v>0</v>
      </c>
      <c r="O800" t="n">
        <v>0</v>
      </c>
      <c r="P800" t="n">
        <v>0</v>
      </c>
      <c r="Q800" t="n">
        <v>0</v>
      </c>
      <c r="R800" s="2" t="inlineStr"/>
    </row>
    <row r="801" ht="15" customHeight="1">
      <c r="A801" t="inlineStr">
        <is>
          <t>A 1490-2024</t>
        </is>
      </c>
      <c r="B801" s="1" t="n">
        <v>45305</v>
      </c>
      <c r="C801" s="1" t="n">
        <v>46158</v>
      </c>
      <c r="D801" t="inlineStr">
        <is>
          <t>ÖREBRO LÄN</t>
        </is>
      </c>
      <c r="E801" t="inlineStr">
        <is>
          <t>LINDESBERG</t>
        </is>
      </c>
      <c r="G801" t="n">
        <v>17.6</v>
      </c>
      <c r="H801" t="n">
        <v>0</v>
      </c>
      <c r="I801" t="n">
        <v>0</v>
      </c>
      <c r="J801" t="n">
        <v>0</v>
      </c>
      <c r="K801" t="n">
        <v>0</v>
      </c>
      <c r="L801" t="n">
        <v>0</v>
      </c>
      <c r="M801" t="n">
        <v>0</v>
      </c>
      <c r="N801" t="n">
        <v>0</v>
      </c>
      <c r="O801" t="n">
        <v>0</v>
      </c>
      <c r="P801" t="n">
        <v>0</v>
      </c>
      <c r="Q801" t="n">
        <v>0</v>
      </c>
      <c r="R801" s="2" t="inlineStr"/>
    </row>
    <row r="802" ht="15" customHeight="1">
      <c r="A802" t="inlineStr">
        <is>
          <t>A 53168-2023</t>
        </is>
      </c>
      <c r="B802" s="1" t="n">
        <v>45229</v>
      </c>
      <c r="C802" s="1" t="n">
        <v>46158</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17242-2025</t>
        </is>
      </c>
      <c r="B803" s="1" t="n">
        <v>45756.49009259259</v>
      </c>
      <c r="C803" s="1" t="n">
        <v>46158</v>
      </c>
      <c r="D803" t="inlineStr">
        <is>
          <t>ÖREBRO LÄN</t>
        </is>
      </c>
      <c r="E803" t="inlineStr">
        <is>
          <t>LINDESBERG</t>
        </is>
      </c>
      <c r="G803" t="n">
        <v>7.3</v>
      </c>
      <c r="H803" t="n">
        <v>0</v>
      </c>
      <c r="I803" t="n">
        <v>0</v>
      </c>
      <c r="J803" t="n">
        <v>0</v>
      </c>
      <c r="K803" t="n">
        <v>0</v>
      </c>
      <c r="L803" t="n">
        <v>0</v>
      </c>
      <c r="M803" t="n">
        <v>0</v>
      </c>
      <c r="N803" t="n">
        <v>0</v>
      </c>
      <c r="O803" t="n">
        <v>0</v>
      </c>
      <c r="P803" t="n">
        <v>0</v>
      </c>
      <c r="Q803" t="n">
        <v>0</v>
      </c>
      <c r="R803" s="2" t="inlineStr"/>
    </row>
    <row r="804" ht="15" customHeight="1">
      <c r="A804" t="inlineStr">
        <is>
          <t>A 4603-2024</t>
        </is>
      </c>
      <c r="B804" s="1" t="n">
        <v>45328</v>
      </c>
      <c r="C804" s="1" t="n">
        <v>46158</v>
      </c>
      <c r="D804" t="inlineStr">
        <is>
          <t>ÖREBRO LÄN</t>
        </is>
      </c>
      <c r="E804" t="inlineStr">
        <is>
          <t>LINDESBERG</t>
        </is>
      </c>
      <c r="F804" t="inlineStr">
        <is>
          <t>BillerudKorsnäs AB</t>
        </is>
      </c>
      <c r="G804" t="n">
        <v>4.3</v>
      </c>
      <c r="H804" t="n">
        <v>0</v>
      </c>
      <c r="I804" t="n">
        <v>0</v>
      </c>
      <c r="J804" t="n">
        <v>0</v>
      </c>
      <c r="K804" t="n">
        <v>0</v>
      </c>
      <c r="L804" t="n">
        <v>0</v>
      </c>
      <c r="M804" t="n">
        <v>0</v>
      </c>
      <c r="N804" t="n">
        <v>0</v>
      </c>
      <c r="O804" t="n">
        <v>0</v>
      </c>
      <c r="P804" t="n">
        <v>0</v>
      </c>
      <c r="Q804" t="n">
        <v>0</v>
      </c>
      <c r="R804" s="2" t="inlineStr"/>
    </row>
    <row r="805" ht="15" customHeight="1">
      <c r="A805" t="inlineStr">
        <is>
          <t>A 53062-2023</t>
        </is>
      </c>
      <c r="B805" s="1" t="n">
        <v>45227.31859953704</v>
      </c>
      <c r="C805" s="1" t="n">
        <v>46158</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8902-2024</t>
        </is>
      </c>
      <c r="B806" s="1" t="n">
        <v>45357.34521990741</v>
      </c>
      <c r="C806" s="1" t="n">
        <v>46158</v>
      </c>
      <c r="D806" t="inlineStr">
        <is>
          <t>ÖREBRO LÄN</t>
        </is>
      </c>
      <c r="E806" t="inlineStr">
        <is>
          <t>LINDESBERG</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46158</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19110-2025</t>
        </is>
      </c>
      <c r="B808" s="1" t="n">
        <v>45768.49947916667</v>
      </c>
      <c r="C808" s="1" t="n">
        <v>46158</v>
      </c>
      <c r="D808" t="inlineStr">
        <is>
          <t>ÖREBRO LÄN</t>
        </is>
      </c>
      <c r="E808" t="inlineStr">
        <is>
          <t>LINDESBERG</t>
        </is>
      </c>
      <c r="G808" t="n">
        <v>2.6</v>
      </c>
      <c r="H808" t="n">
        <v>0</v>
      </c>
      <c r="I808" t="n">
        <v>0</v>
      </c>
      <c r="J808" t="n">
        <v>0</v>
      </c>
      <c r="K808" t="n">
        <v>0</v>
      </c>
      <c r="L808" t="n">
        <v>0</v>
      </c>
      <c r="M808" t="n">
        <v>0</v>
      </c>
      <c r="N808" t="n">
        <v>0</v>
      </c>
      <c r="O808" t="n">
        <v>0</v>
      </c>
      <c r="P808" t="n">
        <v>0</v>
      </c>
      <c r="Q808" t="n">
        <v>0</v>
      </c>
      <c r="R808" s="2" t="inlineStr"/>
    </row>
    <row r="809" ht="15" customHeight="1">
      <c r="A809" t="inlineStr">
        <is>
          <t>A 21245-2024</t>
        </is>
      </c>
      <c r="B809" s="1" t="n">
        <v>45440</v>
      </c>
      <c r="C809" s="1" t="n">
        <v>46158</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29350-2022</t>
        </is>
      </c>
      <c r="B810" s="1" t="n">
        <v>44753</v>
      </c>
      <c r="C810" s="1" t="n">
        <v>46158</v>
      </c>
      <c r="D810" t="inlineStr">
        <is>
          <t>ÖREBRO LÄN</t>
        </is>
      </c>
      <c r="E810" t="inlineStr">
        <is>
          <t>LINDESBERG</t>
        </is>
      </c>
      <c r="G810" t="n">
        <v>7.7</v>
      </c>
      <c r="H810" t="n">
        <v>0</v>
      </c>
      <c r="I810" t="n">
        <v>0</v>
      </c>
      <c r="J810" t="n">
        <v>0</v>
      </c>
      <c r="K810" t="n">
        <v>0</v>
      </c>
      <c r="L810" t="n">
        <v>0</v>
      </c>
      <c r="M810" t="n">
        <v>0</v>
      </c>
      <c r="N810" t="n">
        <v>0</v>
      </c>
      <c r="O810" t="n">
        <v>0</v>
      </c>
      <c r="P810" t="n">
        <v>0</v>
      </c>
      <c r="Q810" t="n">
        <v>0</v>
      </c>
      <c r="R810" s="2" t="inlineStr"/>
    </row>
    <row r="811" ht="15" customHeight="1">
      <c r="A811" t="inlineStr">
        <is>
          <t>A 10836-2024</t>
        </is>
      </c>
      <c r="B811" s="1" t="n">
        <v>45369</v>
      </c>
      <c r="C811" s="1" t="n">
        <v>46158</v>
      </c>
      <c r="D811" t="inlineStr">
        <is>
          <t>ÖREBRO LÄN</t>
        </is>
      </c>
      <c r="E811" t="inlineStr">
        <is>
          <t>LINDESBERG</t>
        </is>
      </c>
      <c r="G811" t="n">
        <v>2.8</v>
      </c>
      <c r="H811" t="n">
        <v>0</v>
      </c>
      <c r="I811" t="n">
        <v>0</v>
      </c>
      <c r="J811" t="n">
        <v>0</v>
      </c>
      <c r="K811" t="n">
        <v>0</v>
      </c>
      <c r="L811" t="n">
        <v>0</v>
      </c>
      <c r="M811" t="n">
        <v>0</v>
      </c>
      <c r="N811" t="n">
        <v>0</v>
      </c>
      <c r="O811" t="n">
        <v>0</v>
      </c>
      <c r="P811" t="n">
        <v>0</v>
      </c>
      <c r="Q811" t="n">
        <v>0</v>
      </c>
      <c r="R811" s="2" t="inlineStr"/>
    </row>
    <row r="812" ht="15" customHeight="1">
      <c r="A812" t="inlineStr">
        <is>
          <t>A 2414-2024</t>
        </is>
      </c>
      <c r="B812" s="1" t="n">
        <v>45310.87931712963</v>
      </c>
      <c r="C812" s="1" t="n">
        <v>46158</v>
      </c>
      <c r="D812" t="inlineStr">
        <is>
          <t>ÖREBRO LÄN</t>
        </is>
      </c>
      <c r="E812" t="inlineStr">
        <is>
          <t>LINDESBERG</t>
        </is>
      </c>
      <c r="G812" t="n">
        <v>7.2</v>
      </c>
      <c r="H812" t="n">
        <v>0</v>
      </c>
      <c r="I812" t="n">
        <v>0</v>
      </c>
      <c r="J812" t="n">
        <v>0</v>
      </c>
      <c r="K812" t="n">
        <v>0</v>
      </c>
      <c r="L812" t="n">
        <v>0</v>
      </c>
      <c r="M812" t="n">
        <v>0</v>
      </c>
      <c r="N812" t="n">
        <v>0</v>
      </c>
      <c r="O812" t="n">
        <v>0</v>
      </c>
      <c r="P812" t="n">
        <v>0</v>
      </c>
      <c r="Q812" t="n">
        <v>0</v>
      </c>
      <c r="R812" s="2" t="inlineStr"/>
    </row>
    <row r="813" ht="15" customHeight="1">
      <c r="A813" t="inlineStr">
        <is>
          <t>A 28463-2024</t>
        </is>
      </c>
      <c r="B813" s="1" t="n">
        <v>45477.70315972222</v>
      </c>
      <c r="C813" s="1" t="n">
        <v>46158</v>
      </c>
      <c r="D813" t="inlineStr">
        <is>
          <t>ÖREBRO LÄN</t>
        </is>
      </c>
      <c r="E813" t="inlineStr">
        <is>
          <t>LINDESBERG</t>
        </is>
      </c>
      <c r="G813" t="n">
        <v>6.3</v>
      </c>
      <c r="H813" t="n">
        <v>0</v>
      </c>
      <c r="I813" t="n">
        <v>0</v>
      </c>
      <c r="J813" t="n">
        <v>0</v>
      </c>
      <c r="K813" t="n">
        <v>0</v>
      </c>
      <c r="L813" t="n">
        <v>0</v>
      </c>
      <c r="M813" t="n">
        <v>0</v>
      </c>
      <c r="N813" t="n">
        <v>0</v>
      </c>
      <c r="O813" t="n">
        <v>0</v>
      </c>
      <c r="P813" t="n">
        <v>0</v>
      </c>
      <c r="Q813" t="n">
        <v>0</v>
      </c>
      <c r="R813" s="2" t="inlineStr"/>
    </row>
    <row r="814" ht="15" customHeight="1">
      <c r="A814" t="inlineStr">
        <is>
          <t>A 63668-2023</t>
        </is>
      </c>
      <c r="B814" s="1" t="n">
        <v>45274</v>
      </c>
      <c r="C814" s="1" t="n">
        <v>46158</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8139-2023</t>
        </is>
      </c>
      <c r="B815" s="1" t="n">
        <v>44970</v>
      </c>
      <c r="C815" s="1" t="n">
        <v>46158</v>
      </c>
      <c r="D815" t="inlineStr">
        <is>
          <t>ÖREBRO LÄN</t>
        </is>
      </c>
      <c r="E815" t="inlineStr">
        <is>
          <t>LINDESBERG</t>
        </is>
      </c>
      <c r="G815" t="n">
        <v>3.6</v>
      </c>
      <c r="H815" t="n">
        <v>0</v>
      </c>
      <c r="I815" t="n">
        <v>0</v>
      </c>
      <c r="J815" t="n">
        <v>0</v>
      </c>
      <c r="K815" t="n">
        <v>0</v>
      </c>
      <c r="L815" t="n">
        <v>0</v>
      </c>
      <c r="M815" t="n">
        <v>0</v>
      </c>
      <c r="N815" t="n">
        <v>0</v>
      </c>
      <c r="O815" t="n">
        <v>0</v>
      </c>
      <c r="P815" t="n">
        <v>0</v>
      </c>
      <c r="Q815" t="n">
        <v>0</v>
      </c>
      <c r="R815" s="2" t="inlineStr"/>
    </row>
    <row r="816" ht="15" customHeight="1">
      <c r="A816" t="inlineStr">
        <is>
          <t>A 12276-2025</t>
        </is>
      </c>
      <c r="B816" s="1" t="n">
        <v>45729.65061342593</v>
      </c>
      <c r="C816" s="1" t="n">
        <v>46158</v>
      </c>
      <c r="D816" t="inlineStr">
        <is>
          <t>ÖREBRO LÄN</t>
        </is>
      </c>
      <c r="E816" t="inlineStr">
        <is>
          <t>LINDESBERG</t>
        </is>
      </c>
      <c r="G816" t="n">
        <v>7.6</v>
      </c>
      <c r="H816" t="n">
        <v>0</v>
      </c>
      <c r="I816" t="n">
        <v>0</v>
      </c>
      <c r="J816" t="n">
        <v>0</v>
      </c>
      <c r="K816" t="n">
        <v>0</v>
      </c>
      <c r="L816" t="n">
        <v>0</v>
      </c>
      <c r="M816" t="n">
        <v>0</v>
      </c>
      <c r="N816" t="n">
        <v>0</v>
      </c>
      <c r="O816" t="n">
        <v>0</v>
      </c>
      <c r="P816" t="n">
        <v>0</v>
      </c>
      <c r="Q816" t="n">
        <v>0</v>
      </c>
      <c r="R816" s="2" t="inlineStr"/>
    </row>
    <row r="817" ht="15" customHeight="1">
      <c r="A817" t="inlineStr">
        <is>
          <t>A 36291-2022</t>
        </is>
      </c>
      <c r="B817" s="1" t="n">
        <v>44803.64361111111</v>
      </c>
      <c r="C817" s="1" t="n">
        <v>46158</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61597-2023</t>
        </is>
      </c>
      <c r="B818" s="1" t="n">
        <v>45265.49225694445</v>
      </c>
      <c r="C818" s="1" t="n">
        <v>46158</v>
      </c>
      <c r="D818" t="inlineStr">
        <is>
          <t>ÖREBRO LÄN</t>
        </is>
      </c>
      <c r="E818" t="inlineStr">
        <is>
          <t>LINDESBERG</t>
        </is>
      </c>
      <c r="G818" t="n">
        <v>10.3</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46158</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46158</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46158</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62866-2023</t>
        </is>
      </c>
      <c r="B822" s="1" t="n">
        <v>45272.36168981482</v>
      </c>
      <c r="C822" s="1" t="n">
        <v>46158</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46158</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4013-2025</t>
        </is>
      </c>
      <c r="B824" s="1" t="n">
        <v>45684.5790162037</v>
      </c>
      <c r="C824" s="1" t="n">
        <v>46158</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44803-2024</t>
        </is>
      </c>
      <c r="B825" s="1" t="n">
        <v>45574.65087962963</v>
      </c>
      <c r="C825" s="1" t="n">
        <v>46158</v>
      </c>
      <c r="D825" t="inlineStr">
        <is>
          <t>ÖREBRO LÄN</t>
        </is>
      </c>
      <c r="E825" t="inlineStr">
        <is>
          <t>LINDESBERG</t>
        </is>
      </c>
      <c r="F825" t="inlineStr">
        <is>
          <t>Sveaskog</t>
        </is>
      </c>
      <c r="G825" t="n">
        <v>6.8</v>
      </c>
      <c r="H825" t="n">
        <v>0</v>
      </c>
      <c r="I825" t="n">
        <v>0</v>
      </c>
      <c r="J825" t="n">
        <v>0</v>
      </c>
      <c r="K825" t="n">
        <v>0</v>
      </c>
      <c r="L825" t="n">
        <v>0</v>
      </c>
      <c r="M825" t="n">
        <v>0</v>
      </c>
      <c r="N825" t="n">
        <v>0</v>
      </c>
      <c r="O825" t="n">
        <v>0</v>
      </c>
      <c r="P825" t="n">
        <v>0</v>
      </c>
      <c r="Q825" t="n">
        <v>0</v>
      </c>
      <c r="R825" s="2" t="inlineStr"/>
    </row>
    <row r="826" ht="15" customHeight="1">
      <c r="A826" t="inlineStr">
        <is>
          <t>A 27130-2024</t>
        </is>
      </c>
      <c r="B826" s="1" t="n">
        <v>45471.52072916667</v>
      </c>
      <c r="C826" s="1" t="n">
        <v>46158</v>
      </c>
      <c r="D826" t="inlineStr">
        <is>
          <t>ÖREBRO LÄN</t>
        </is>
      </c>
      <c r="E826" t="inlineStr">
        <is>
          <t>LINDESBERG</t>
        </is>
      </c>
      <c r="G826" t="n">
        <v>2</v>
      </c>
      <c r="H826" t="n">
        <v>0</v>
      </c>
      <c r="I826" t="n">
        <v>0</v>
      </c>
      <c r="J826" t="n">
        <v>0</v>
      </c>
      <c r="K826" t="n">
        <v>0</v>
      </c>
      <c r="L826" t="n">
        <v>0</v>
      </c>
      <c r="M826" t="n">
        <v>0</v>
      </c>
      <c r="N826" t="n">
        <v>0</v>
      </c>
      <c r="O826" t="n">
        <v>0</v>
      </c>
      <c r="P826" t="n">
        <v>0</v>
      </c>
      <c r="Q826" t="n">
        <v>0</v>
      </c>
      <c r="R826" s="2" t="inlineStr"/>
    </row>
    <row r="827" ht="15" customHeight="1">
      <c r="A827" t="inlineStr">
        <is>
          <t>A 59804-2023</t>
        </is>
      </c>
      <c r="B827" s="1" t="n">
        <v>45257.48188657407</v>
      </c>
      <c r="C827" s="1" t="n">
        <v>46158</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27434-2023</t>
        </is>
      </c>
      <c r="B828" s="1" t="n">
        <v>45097.38688657407</v>
      </c>
      <c r="C828" s="1" t="n">
        <v>46158</v>
      </c>
      <c r="D828" t="inlineStr">
        <is>
          <t>ÖREBRO LÄN</t>
        </is>
      </c>
      <c r="E828" t="inlineStr">
        <is>
          <t>LINDESBERG</t>
        </is>
      </c>
      <c r="G828" t="n">
        <v>10.7</v>
      </c>
      <c r="H828" t="n">
        <v>0</v>
      </c>
      <c r="I828" t="n">
        <v>0</v>
      </c>
      <c r="J828" t="n">
        <v>0</v>
      </c>
      <c r="K828" t="n">
        <v>0</v>
      </c>
      <c r="L828" t="n">
        <v>0</v>
      </c>
      <c r="M828" t="n">
        <v>0</v>
      </c>
      <c r="N828" t="n">
        <v>0</v>
      </c>
      <c r="O828" t="n">
        <v>0</v>
      </c>
      <c r="P828" t="n">
        <v>0</v>
      </c>
      <c r="Q828" t="n">
        <v>0</v>
      </c>
      <c r="R828" s="2" t="inlineStr"/>
    </row>
    <row r="829" ht="15" customHeight="1">
      <c r="A829" t="inlineStr">
        <is>
          <t>A 45060-2024</t>
        </is>
      </c>
      <c r="B829" s="1" t="n">
        <v>45575.55570601852</v>
      </c>
      <c r="C829" s="1" t="n">
        <v>46158</v>
      </c>
      <c r="D829" t="inlineStr">
        <is>
          <t>ÖREBRO LÄN</t>
        </is>
      </c>
      <c r="E829" t="inlineStr">
        <is>
          <t>LINDESBERG</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72706-2021</t>
        </is>
      </c>
      <c r="B830" s="1" t="n">
        <v>44546.67222222222</v>
      </c>
      <c r="C830" s="1" t="n">
        <v>46158</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53366-2023</t>
        </is>
      </c>
      <c r="B831" s="1" t="n">
        <v>45229</v>
      </c>
      <c r="C831" s="1" t="n">
        <v>46158</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19219-2023</t>
        </is>
      </c>
      <c r="B832" s="1" t="n">
        <v>45048</v>
      </c>
      <c r="C832" s="1" t="n">
        <v>46158</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19043-2023</t>
        </is>
      </c>
      <c r="B833" s="1" t="n">
        <v>45047.7181712963</v>
      </c>
      <c r="C833" s="1" t="n">
        <v>46158</v>
      </c>
      <c r="D833" t="inlineStr">
        <is>
          <t>ÖREBRO LÄN</t>
        </is>
      </c>
      <c r="E833" t="inlineStr">
        <is>
          <t>LINDESBERG</t>
        </is>
      </c>
      <c r="G833" t="n">
        <v>2.6</v>
      </c>
      <c r="H833" t="n">
        <v>0</v>
      </c>
      <c r="I833" t="n">
        <v>0</v>
      </c>
      <c r="J833" t="n">
        <v>0</v>
      </c>
      <c r="K833" t="n">
        <v>0</v>
      </c>
      <c r="L833" t="n">
        <v>0</v>
      </c>
      <c r="M833" t="n">
        <v>0</v>
      </c>
      <c r="N833" t="n">
        <v>0</v>
      </c>
      <c r="O833" t="n">
        <v>0</v>
      </c>
      <c r="P833" t="n">
        <v>0</v>
      </c>
      <c r="Q833" t="n">
        <v>0</v>
      </c>
      <c r="R833" s="2" t="inlineStr"/>
    </row>
    <row r="834" ht="15" customHeight="1">
      <c r="A834" t="inlineStr">
        <is>
          <t>A 27031-2024</t>
        </is>
      </c>
      <c r="B834" s="1" t="n">
        <v>45471.42659722222</v>
      </c>
      <c r="C834" s="1" t="n">
        <v>46158</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38696-2024</t>
        </is>
      </c>
      <c r="B835" s="1" t="n">
        <v>45547.36590277778</v>
      </c>
      <c r="C835" s="1" t="n">
        <v>46158</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54663-2021</t>
        </is>
      </c>
      <c r="B836" s="1" t="n">
        <v>44473.6343287037</v>
      </c>
      <c r="C836" s="1" t="n">
        <v>46158</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32262-2021</t>
        </is>
      </c>
      <c r="B837" s="1" t="n">
        <v>44371.47609953704</v>
      </c>
      <c r="C837" s="1" t="n">
        <v>46158</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48265-2021</t>
        </is>
      </c>
      <c r="B838" s="1" t="n">
        <v>44449</v>
      </c>
      <c r="C838" s="1" t="n">
        <v>46158</v>
      </c>
      <c r="D838" t="inlineStr">
        <is>
          <t>ÖREBRO LÄN</t>
        </is>
      </c>
      <c r="E838" t="inlineStr">
        <is>
          <t>LINDESBERG</t>
        </is>
      </c>
      <c r="G838" t="n">
        <v>23.7</v>
      </c>
      <c r="H838" t="n">
        <v>0</v>
      </c>
      <c r="I838" t="n">
        <v>0</v>
      </c>
      <c r="J838" t="n">
        <v>0</v>
      </c>
      <c r="K838" t="n">
        <v>0</v>
      </c>
      <c r="L838" t="n">
        <v>0</v>
      </c>
      <c r="M838" t="n">
        <v>0</v>
      </c>
      <c r="N838" t="n">
        <v>0</v>
      </c>
      <c r="O838" t="n">
        <v>0</v>
      </c>
      <c r="P838" t="n">
        <v>0</v>
      </c>
      <c r="Q838" t="n">
        <v>0</v>
      </c>
      <c r="R838" s="2" t="inlineStr"/>
    </row>
    <row r="839" ht="15" customHeight="1">
      <c r="A839" t="inlineStr">
        <is>
          <t>A 14028-2023</t>
        </is>
      </c>
      <c r="B839" s="1" t="n">
        <v>45008</v>
      </c>
      <c r="C839" s="1" t="n">
        <v>46158</v>
      </c>
      <c r="D839" t="inlineStr">
        <is>
          <t>ÖREBRO LÄN</t>
        </is>
      </c>
      <c r="E839" t="inlineStr">
        <is>
          <t>LINDESBERG</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57069-2022</t>
        </is>
      </c>
      <c r="B840" s="1" t="n">
        <v>44895</v>
      </c>
      <c r="C840" s="1" t="n">
        <v>46158</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61405-2022</t>
        </is>
      </c>
      <c r="B841" s="1" t="n">
        <v>44916</v>
      </c>
      <c r="C841" s="1" t="n">
        <v>46158</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9961-2023</t>
        </is>
      </c>
      <c r="B842" s="1" t="n">
        <v>44979</v>
      </c>
      <c r="C842" s="1" t="n">
        <v>46158</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45041-2024</t>
        </is>
      </c>
      <c r="B843" s="1" t="n">
        <v>45575.53690972222</v>
      </c>
      <c r="C843" s="1" t="n">
        <v>46158</v>
      </c>
      <c r="D843" t="inlineStr">
        <is>
          <t>ÖREBRO LÄN</t>
        </is>
      </c>
      <c r="E843" t="inlineStr">
        <is>
          <t>LINDESBERG</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45068-2024</t>
        </is>
      </c>
      <c r="B844" s="1" t="n">
        <v>45575.56256944445</v>
      </c>
      <c r="C844" s="1" t="n">
        <v>46158</v>
      </c>
      <c r="D844" t="inlineStr">
        <is>
          <t>ÖREBRO LÄN</t>
        </is>
      </c>
      <c r="E844" t="inlineStr">
        <is>
          <t>LINDESBERG</t>
        </is>
      </c>
      <c r="F844" t="inlineStr">
        <is>
          <t>Sveaskog</t>
        </is>
      </c>
      <c r="G844" t="n">
        <v>16.5</v>
      </c>
      <c r="H844" t="n">
        <v>0</v>
      </c>
      <c r="I844" t="n">
        <v>0</v>
      </c>
      <c r="J844" t="n">
        <v>0</v>
      </c>
      <c r="K844" t="n">
        <v>0</v>
      </c>
      <c r="L844" t="n">
        <v>0</v>
      </c>
      <c r="M844" t="n">
        <v>0</v>
      </c>
      <c r="N844" t="n">
        <v>0</v>
      </c>
      <c r="O844" t="n">
        <v>0</v>
      </c>
      <c r="P844" t="n">
        <v>0</v>
      </c>
      <c r="Q844" t="n">
        <v>0</v>
      </c>
      <c r="R844" s="2" t="inlineStr"/>
    </row>
    <row r="845" ht="15" customHeight="1">
      <c r="A845" t="inlineStr">
        <is>
          <t>A 39419-2023</t>
        </is>
      </c>
      <c r="B845" s="1" t="n">
        <v>45166.68493055556</v>
      </c>
      <c r="C845" s="1" t="n">
        <v>46158</v>
      </c>
      <c r="D845" t="inlineStr">
        <is>
          <t>ÖREBRO LÄN</t>
        </is>
      </c>
      <c r="E845" t="inlineStr">
        <is>
          <t>LINDESBERG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15745-2024</t>
        </is>
      </c>
      <c r="B846" s="1" t="n">
        <v>45404.55239583334</v>
      </c>
      <c r="C846" s="1" t="n">
        <v>46158</v>
      </c>
      <c r="D846" t="inlineStr">
        <is>
          <t>ÖREBRO LÄN</t>
        </is>
      </c>
      <c r="E846" t="inlineStr">
        <is>
          <t>LINDESBERG</t>
        </is>
      </c>
      <c r="F846" t="inlineStr">
        <is>
          <t>Sveaskog</t>
        </is>
      </c>
      <c r="G846" t="n">
        <v>6.2</v>
      </c>
      <c r="H846" t="n">
        <v>0</v>
      </c>
      <c r="I846" t="n">
        <v>0</v>
      </c>
      <c r="J846" t="n">
        <v>0</v>
      </c>
      <c r="K846" t="n">
        <v>0</v>
      </c>
      <c r="L846" t="n">
        <v>0</v>
      </c>
      <c r="M846" t="n">
        <v>0</v>
      </c>
      <c r="N846" t="n">
        <v>0</v>
      </c>
      <c r="O846" t="n">
        <v>0</v>
      </c>
      <c r="P846" t="n">
        <v>0</v>
      </c>
      <c r="Q846" t="n">
        <v>0</v>
      </c>
      <c r="R846" s="2" t="inlineStr"/>
    </row>
    <row r="847" ht="15" customHeight="1">
      <c r="A847" t="inlineStr">
        <is>
          <t>A 15750-2024</t>
        </is>
      </c>
      <c r="B847" s="1" t="n">
        <v>45404.55601851852</v>
      </c>
      <c r="C847" s="1" t="n">
        <v>46158</v>
      </c>
      <c r="D847" t="inlineStr">
        <is>
          <t>ÖREBRO LÄN</t>
        </is>
      </c>
      <c r="E847" t="inlineStr">
        <is>
          <t>LINDESBERG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60115-2022</t>
        </is>
      </c>
      <c r="B848" s="1" t="n">
        <v>44902</v>
      </c>
      <c r="C848" s="1" t="n">
        <v>46158</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29857-2023</t>
        </is>
      </c>
      <c r="B849" s="1" t="n">
        <v>45107</v>
      </c>
      <c r="C849" s="1" t="n">
        <v>46158</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44664-2023</t>
        </is>
      </c>
      <c r="B850" s="1" t="n">
        <v>45189</v>
      </c>
      <c r="C850" s="1" t="n">
        <v>46158</v>
      </c>
      <c r="D850" t="inlineStr">
        <is>
          <t>ÖREBRO LÄN</t>
        </is>
      </c>
      <c r="E850" t="inlineStr">
        <is>
          <t>LINDESBERG</t>
        </is>
      </c>
      <c r="G850" t="n">
        <v>2.1</v>
      </c>
      <c r="H850" t="n">
        <v>0</v>
      </c>
      <c r="I850" t="n">
        <v>0</v>
      </c>
      <c r="J850" t="n">
        <v>0</v>
      </c>
      <c r="K850" t="n">
        <v>0</v>
      </c>
      <c r="L850" t="n">
        <v>0</v>
      </c>
      <c r="M850" t="n">
        <v>0</v>
      </c>
      <c r="N850" t="n">
        <v>0</v>
      </c>
      <c r="O850" t="n">
        <v>0</v>
      </c>
      <c r="P850" t="n">
        <v>0</v>
      </c>
      <c r="Q850" t="n">
        <v>0</v>
      </c>
      <c r="R850" s="2" t="inlineStr"/>
    </row>
    <row r="851" ht="15" customHeight="1">
      <c r="A851" t="inlineStr">
        <is>
          <t>A 47535-2022</t>
        </is>
      </c>
      <c r="B851" s="1" t="n">
        <v>44853.79818287037</v>
      </c>
      <c r="C851" s="1" t="n">
        <v>46158</v>
      </c>
      <c r="D851" t="inlineStr">
        <is>
          <t>ÖREBRO LÄN</t>
        </is>
      </c>
      <c r="E851" t="inlineStr">
        <is>
          <t>LINDESBERG</t>
        </is>
      </c>
      <c r="G851" t="n">
        <v>3</v>
      </c>
      <c r="H851" t="n">
        <v>0</v>
      </c>
      <c r="I851" t="n">
        <v>0</v>
      </c>
      <c r="J851" t="n">
        <v>0</v>
      </c>
      <c r="K851" t="n">
        <v>0</v>
      </c>
      <c r="L851" t="n">
        <v>0</v>
      </c>
      <c r="M851" t="n">
        <v>0</v>
      </c>
      <c r="N851" t="n">
        <v>0</v>
      </c>
      <c r="O851" t="n">
        <v>0</v>
      </c>
      <c r="P851" t="n">
        <v>0</v>
      </c>
      <c r="Q851" t="n">
        <v>0</v>
      </c>
      <c r="R851" s="2" t="inlineStr"/>
    </row>
    <row r="852" ht="15" customHeight="1">
      <c r="A852" t="inlineStr">
        <is>
          <t>A 30830-2024</t>
        </is>
      </c>
      <c r="B852" s="1" t="n">
        <v>45497</v>
      </c>
      <c r="C852" s="1" t="n">
        <v>46158</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59395-2022</t>
        </is>
      </c>
      <c r="B853" s="1" t="n">
        <v>44906.73321759259</v>
      </c>
      <c r="C853" s="1" t="n">
        <v>46158</v>
      </c>
      <c r="D853" t="inlineStr">
        <is>
          <t>ÖREBRO LÄN</t>
        </is>
      </c>
      <c r="E853" t="inlineStr">
        <is>
          <t>LINDESBERG</t>
        </is>
      </c>
      <c r="G853" t="n">
        <v>4.3</v>
      </c>
      <c r="H853" t="n">
        <v>0</v>
      </c>
      <c r="I853" t="n">
        <v>0</v>
      </c>
      <c r="J853" t="n">
        <v>0</v>
      </c>
      <c r="K853" t="n">
        <v>0</v>
      </c>
      <c r="L853" t="n">
        <v>0</v>
      </c>
      <c r="M853" t="n">
        <v>0</v>
      </c>
      <c r="N853" t="n">
        <v>0</v>
      </c>
      <c r="O853" t="n">
        <v>0</v>
      </c>
      <c r="P853" t="n">
        <v>0</v>
      </c>
      <c r="Q853" t="n">
        <v>0</v>
      </c>
      <c r="R853" s="2" t="inlineStr"/>
    </row>
    <row r="854" ht="15" customHeight="1">
      <c r="A854" t="inlineStr">
        <is>
          <t>A 55272-2023</t>
        </is>
      </c>
      <c r="B854" s="1" t="n">
        <v>45237.67819444444</v>
      </c>
      <c r="C854" s="1" t="n">
        <v>46158</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53597-2024</t>
        </is>
      </c>
      <c r="B855" s="1" t="n">
        <v>45614.68083333333</v>
      </c>
      <c r="C855" s="1" t="n">
        <v>46158</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27576-2024</t>
        </is>
      </c>
      <c r="B856" s="1" t="n">
        <v>45474.65005787037</v>
      </c>
      <c r="C856" s="1" t="n">
        <v>46158</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21986-2023</t>
        </is>
      </c>
      <c r="B857" s="1" t="n">
        <v>45068</v>
      </c>
      <c r="C857" s="1" t="n">
        <v>46158</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52930-2024</t>
        </is>
      </c>
      <c r="B858" s="1" t="n">
        <v>45610.7466087963</v>
      </c>
      <c r="C858" s="1" t="n">
        <v>46158</v>
      </c>
      <c r="D858" t="inlineStr">
        <is>
          <t>ÖREBRO LÄN</t>
        </is>
      </c>
      <c r="E858" t="inlineStr">
        <is>
          <t>LINDESBERG</t>
        </is>
      </c>
      <c r="G858" t="n">
        <v>2.8</v>
      </c>
      <c r="H858" t="n">
        <v>0</v>
      </c>
      <c r="I858" t="n">
        <v>0</v>
      </c>
      <c r="J858" t="n">
        <v>0</v>
      </c>
      <c r="K858" t="n">
        <v>0</v>
      </c>
      <c r="L858" t="n">
        <v>0</v>
      </c>
      <c r="M858" t="n">
        <v>0</v>
      </c>
      <c r="N858" t="n">
        <v>0</v>
      </c>
      <c r="O858" t="n">
        <v>0</v>
      </c>
      <c r="P858" t="n">
        <v>0</v>
      </c>
      <c r="Q858" t="n">
        <v>0</v>
      </c>
      <c r="R858" s="2" t="inlineStr"/>
    </row>
    <row r="859" ht="15" customHeight="1">
      <c r="A859" t="inlineStr">
        <is>
          <t>A 2103-2022</t>
        </is>
      </c>
      <c r="B859" s="1" t="n">
        <v>44577.81121527778</v>
      </c>
      <c r="C859" s="1" t="n">
        <v>46158</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54860-2024</t>
        </is>
      </c>
      <c r="B860" s="1" t="n">
        <v>45618.59219907408</v>
      </c>
      <c r="C860" s="1" t="n">
        <v>46158</v>
      </c>
      <c r="D860" t="inlineStr">
        <is>
          <t>ÖREBRO LÄN</t>
        </is>
      </c>
      <c r="E860" t="inlineStr">
        <is>
          <t>LINDESBERG</t>
        </is>
      </c>
      <c r="F860" t="inlineStr">
        <is>
          <t>Sveaskog</t>
        </is>
      </c>
      <c r="G860" t="n">
        <v>0.3</v>
      </c>
      <c r="H860" t="n">
        <v>0</v>
      </c>
      <c r="I860" t="n">
        <v>0</v>
      </c>
      <c r="J860" t="n">
        <v>0</v>
      </c>
      <c r="K860" t="n">
        <v>0</v>
      </c>
      <c r="L860" t="n">
        <v>0</v>
      </c>
      <c r="M860" t="n">
        <v>0</v>
      </c>
      <c r="N860" t="n">
        <v>0</v>
      </c>
      <c r="O860" t="n">
        <v>0</v>
      </c>
      <c r="P860" t="n">
        <v>0</v>
      </c>
      <c r="Q860" t="n">
        <v>0</v>
      </c>
      <c r="R860" s="2" t="inlineStr"/>
    </row>
    <row r="861" ht="15" customHeight="1">
      <c r="A861" t="inlineStr">
        <is>
          <t>A 49358-2023</t>
        </is>
      </c>
      <c r="B861" s="1" t="n">
        <v>45211</v>
      </c>
      <c r="C861" s="1" t="n">
        <v>46158</v>
      </c>
      <c r="D861" t="inlineStr">
        <is>
          <t>ÖREBRO LÄN</t>
        </is>
      </c>
      <c r="E861" t="inlineStr">
        <is>
          <t>LINDESBERG</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23579-2022</t>
        </is>
      </c>
      <c r="B862" s="1" t="n">
        <v>44721.52627314815</v>
      </c>
      <c r="C862" s="1" t="n">
        <v>46158</v>
      </c>
      <c r="D862" t="inlineStr">
        <is>
          <t>ÖREBRO LÄN</t>
        </is>
      </c>
      <c r="E862" t="inlineStr">
        <is>
          <t>LINDESBERG</t>
        </is>
      </c>
      <c r="G862" t="n">
        <v>0.7</v>
      </c>
      <c r="H862" t="n">
        <v>0</v>
      </c>
      <c r="I862" t="n">
        <v>0</v>
      </c>
      <c r="J862" t="n">
        <v>0</v>
      </c>
      <c r="K862" t="n">
        <v>0</v>
      </c>
      <c r="L862" t="n">
        <v>0</v>
      </c>
      <c r="M862" t="n">
        <v>0</v>
      </c>
      <c r="N862" t="n">
        <v>0</v>
      </c>
      <c r="O862" t="n">
        <v>0</v>
      </c>
      <c r="P862" t="n">
        <v>0</v>
      </c>
      <c r="Q862" t="n">
        <v>0</v>
      </c>
      <c r="R862" s="2" t="inlineStr"/>
    </row>
    <row r="863" ht="15" customHeight="1">
      <c r="A863" t="inlineStr">
        <is>
          <t>A 32009-2023</t>
        </is>
      </c>
      <c r="B863" s="1" t="n">
        <v>45119</v>
      </c>
      <c r="C863" s="1" t="n">
        <v>46158</v>
      </c>
      <c r="D863" t="inlineStr">
        <is>
          <t>ÖREBRO LÄN</t>
        </is>
      </c>
      <c r="E863" t="inlineStr">
        <is>
          <t>LINDESBERG</t>
        </is>
      </c>
      <c r="F863" t="inlineStr">
        <is>
          <t>Kyrkan</t>
        </is>
      </c>
      <c r="G863" t="n">
        <v>0.8</v>
      </c>
      <c r="H863" t="n">
        <v>0</v>
      </c>
      <c r="I863" t="n">
        <v>0</v>
      </c>
      <c r="J863" t="n">
        <v>0</v>
      </c>
      <c r="K863" t="n">
        <v>0</v>
      </c>
      <c r="L863" t="n">
        <v>0</v>
      </c>
      <c r="M863" t="n">
        <v>0</v>
      </c>
      <c r="N863" t="n">
        <v>0</v>
      </c>
      <c r="O863" t="n">
        <v>0</v>
      </c>
      <c r="P863" t="n">
        <v>0</v>
      </c>
      <c r="Q863" t="n">
        <v>0</v>
      </c>
      <c r="R863" s="2" t="inlineStr"/>
    </row>
    <row r="864" ht="15" customHeight="1">
      <c r="A864" t="inlineStr">
        <is>
          <t>A 46647-2024</t>
        </is>
      </c>
      <c r="B864" s="1" t="n">
        <v>45583</v>
      </c>
      <c r="C864" s="1" t="n">
        <v>46158</v>
      </c>
      <c r="D864" t="inlineStr">
        <is>
          <t>ÖREBRO LÄN</t>
        </is>
      </c>
      <c r="E864" t="inlineStr">
        <is>
          <t>LINDESBERG</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23260-2024</t>
        </is>
      </c>
      <c r="B865" s="1" t="n">
        <v>45453.36664351852</v>
      </c>
      <c r="C865" s="1" t="n">
        <v>46158</v>
      </c>
      <c r="D865" t="inlineStr">
        <is>
          <t>ÖREBRO LÄN</t>
        </is>
      </c>
      <c r="E865" t="inlineStr">
        <is>
          <t>LINDESBERG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26067-2022</t>
        </is>
      </c>
      <c r="B866" s="1" t="n">
        <v>44734.64337962963</v>
      </c>
      <c r="C866" s="1" t="n">
        <v>46158</v>
      </c>
      <c r="D866" t="inlineStr">
        <is>
          <t>ÖREBRO LÄN</t>
        </is>
      </c>
      <c r="E866" t="inlineStr">
        <is>
          <t>LINDESBERG</t>
        </is>
      </c>
      <c r="G866" t="n">
        <v>3.1</v>
      </c>
      <c r="H866" t="n">
        <v>0</v>
      </c>
      <c r="I866" t="n">
        <v>0</v>
      </c>
      <c r="J866" t="n">
        <v>0</v>
      </c>
      <c r="K866" t="n">
        <v>0</v>
      </c>
      <c r="L866" t="n">
        <v>0</v>
      </c>
      <c r="M866" t="n">
        <v>0</v>
      </c>
      <c r="N866" t="n">
        <v>0</v>
      </c>
      <c r="O866" t="n">
        <v>0</v>
      </c>
      <c r="P866" t="n">
        <v>0</v>
      </c>
      <c r="Q866" t="n">
        <v>0</v>
      </c>
      <c r="R866" s="2" t="inlineStr"/>
    </row>
    <row r="867" ht="15" customHeight="1">
      <c r="A867" t="inlineStr">
        <is>
          <t>A 3233-2023</t>
        </is>
      </c>
      <c r="B867" s="1" t="n">
        <v>44946</v>
      </c>
      <c r="C867" s="1" t="n">
        <v>46158</v>
      </c>
      <c r="D867" t="inlineStr">
        <is>
          <t>ÖREBRO LÄN</t>
        </is>
      </c>
      <c r="E867" t="inlineStr">
        <is>
          <t>LINDESBERG</t>
        </is>
      </c>
      <c r="G867" t="n">
        <v>3</v>
      </c>
      <c r="H867" t="n">
        <v>0</v>
      </c>
      <c r="I867" t="n">
        <v>0</v>
      </c>
      <c r="J867" t="n">
        <v>0</v>
      </c>
      <c r="K867" t="n">
        <v>0</v>
      </c>
      <c r="L867" t="n">
        <v>0</v>
      </c>
      <c r="M867" t="n">
        <v>0</v>
      </c>
      <c r="N867" t="n">
        <v>0</v>
      </c>
      <c r="O867" t="n">
        <v>0</v>
      </c>
      <c r="P867" t="n">
        <v>0</v>
      </c>
      <c r="Q867" t="n">
        <v>0</v>
      </c>
      <c r="R867" s="2" t="inlineStr"/>
    </row>
    <row r="868" ht="15" customHeight="1">
      <c r="A868" t="inlineStr">
        <is>
          <t>A 5047-2023</t>
        </is>
      </c>
      <c r="B868" s="1" t="n">
        <v>44958.58982638889</v>
      </c>
      <c r="C868" s="1" t="n">
        <v>46158</v>
      </c>
      <c r="D868" t="inlineStr">
        <is>
          <t>ÖREBRO LÄN</t>
        </is>
      </c>
      <c r="E868" t="inlineStr">
        <is>
          <t>LINDESBERG</t>
        </is>
      </c>
      <c r="G868" t="n">
        <v>2</v>
      </c>
      <c r="H868" t="n">
        <v>0</v>
      </c>
      <c r="I868" t="n">
        <v>0</v>
      </c>
      <c r="J868" t="n">
        <v>0</v>
      </c>
      <c r="K868" t="n">
        <v>0</v>
      </c>
      <c r="L868" t="n">
        <v>0</v>
      </c>
      <c r="M868" t="n">
        <v>0</v>
      </c>
      <c r="N868" t="n">
        <v>0</v>
      </c>
      <c r="O868" t="n">
        <v>0</v>
      </c>
      <c r="P868" t="n">
        <v>0</v>
      </c>
      <c r="Q868" t="n">
        <v>0</v>
      </c>
      <c r="R868" s="2" t="inlineStr"/>
    </row>
    <row r="869" ht="15" customHeight="1">
      <c r="A869" t="inlineStr">
        <is>
          <t>A 8836-2023</t>
        </is>
      </c>
      <c r="B869" s="1" t="n">
        <v>44978</v>
      </c>
      <c r="C869" s="1" t="n">
        <v>46158</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38460-2024</t>
        </is>
      </c>
      <c r="B870" s="1" t="n">
        <v>45546.46497685185</v>
      </c>
      <c r="C870" s="1" t="n">
        <v>46158</v>
      </c>
      <c r="D870" t="inlineStr">
        <is>
          <t>ÖREBRO LÄN</t>
        </is>
      </c>
      <c r="E870" t="inlineStr">
        <is>
          <t>LINDESBERG</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46219-2022</t>
        </is>
      </c>
      <c r="B871" s="1" t="n">
        <v>44846</v>
      </c>
      <c r="C871" s="1" t="n">
        <v>46158</v>
      </c>
      <c r="D871" t="inlineStr">
        <is>
          <t>ÖREBRO LÄN</t>
        </is>
      </c>
      <c r="E871" t="inlineStr">
        <is>
          <t>LINDESBERG</t>
        </is>
      </c>
      <c r="G871" t="n">
        <v>6</v>
      </c>
      <c r="H871" t="n">
        <v>0</v>
      </c>
      <c r="I871" t="n">
        <v>0</v>
      </c>
      <c r="J871" t="n">
        <v>0</v>
      </c>
      <c r="K871" t="n">
        <v>0</v>
      </c>
      <c r="L871" t="n">
        <v>0</v>
      </c>
      <c r="M871" t="n">
        <v>0</v>
      </c>
      <c r="N871" t="n">
        <v>0</v>
      </c>
      <c r="O871" t="n">
        <v>0</v>
      </c>
      <c r="P871" t="n">
        <v>0</v>
      </c>
      <c r="Q871" t="n">
        <v>0</v>
      </c>
      <c r="R871" s="2" t="inlineStr"/>
    </row>
    <row r="872" ht="15" customHeight="1">
      <c r="A872" t="inlineStr">
        <is>
          <t>A 11953-2024</t>
        </is>
      </c>
      <c r="B872" s="1" t="n">
        <v>45376.70292824074</v>
      </c>
      <c r="C872" s="1" t="n">
        <v>46158</v>
      </c>
      <c r="D872" t="inlineStr">
        <is>
          <t>ÖREBRO LÄN</t>
        </is>
      </c>
      <c r="E872" t="inlineStr">
        <is>
          <t>LINDESBERG</t>
        </is>
      </c>
      <c r="G872" t="n">
        <v>5.7</v>
      </c>
      <c r="H872" t="n">
        <v>0</v>
      </c>
      <c r="I872" t="n">
        <v>0</v>
      </c>
      <c r="J872" t="n">
        <v>0</v>
      </c>
      <c r="K872" t="n">
        <v>0</v>
      </c>
      <c r="L872" t="n">
        <v>0</v>
      </c>
      <c r="M872" t="n">
        <v>0</v>
      </c>
      <c r="N872" t="n">
        <v>0</v>
      </c>
      <c r="O872" t="n">
        <v>0</v>
      </c>
      <c r="P872" t="n">
        <v>0</v>
      </c>
      <c r="Q872" t="n">
        <v>0</v>
      </c>
      <c r="R872" s="2" t="inlineStr"/>
    </row>
    <row r="873" ht="15" customHeight="1">
      <c r="A873" t="inlineStr">
        <is>
          <t>A 4440-2024</t>
        </is>
      </c>
      <c r="B873" s="1" t="n">
        <v>45327</v>
      </c>
      <c r="C873" s="1" t="n">
        <v>46158</v>
      </c>
      <c r="D873" t="inlineStr">
        <is>
          <t>ÖREBRO LÄN</t>
        </is>
      </c>
      <c r="E873" t="inlineStr">
        <is>
          <t>LINDESBERG</t>
        </is>
      </c>
      <c r="F873" t="inlineStr">
        <is>
          <t>BillerudKorsnäs AB</t>
        </is>
      </c>
      <c r="G873" t="n">
        <v>2</v>
      </c>
      <c r="H873" t="n">
        <v>0</v>
      </c>
      <c r="I873" t="n">
        <v>0</v>
      </c>
      <c r="J873" t="n">
        <v>0</v>
      </c>
      <c r="K873" t="n">
        <v>0</v>
      </c>
      <c r="L873" t="n">
        <v>0</v>
      </c>
      <c r="M873" t="n">
        <v>0</v>
      </c>
      <c r="N873" t="n">
        <v>0</v>
      </c>
      <c r="O873" t="n">
        <v>0</v>
      </c>
      <c r="P873" t="n">
        <v>0</v>
      </c>
      <c r="Q873" t="n">
        <v>0</v>
      </c>
      <c r="R873" s="2" t="inlineStr"/>
    </row>
    <row r="874" ht="15" customHeight="1">
      <c r="A874" t="inlineStr">
        <is>
          <t>A 48244-2024</t>
        </is>
      </c>
      <c r="B874" s="1" t="n">
        <v>45590.39471064815</v>
      </c>
      <c r="C874" s="1" t="n">
        <v>46158</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59633-2023</t>
        </is>
      </c>
      <c r="B875" s="1" t="n">
        <v>45254</v>
      </c>
      <c r="C875" s="1" t="n">
        <v>46158</v>
      </c>
      <c r="D875" t="inlineStr">
        <is>
          <t>ÖREBRO LÄN</t>
        </is>
      </c>
      <c r="E875" t="inlineStr">
        <is>
          <t>LINDESBERG</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18418-2025</t>
        </is>
      </c>
      <c r="B876" s="1" t="n">
        <v>45762.61817129629</v>
      </c>
      <c r="C876" s="1" t="n">
        <v>46158</v>
      </c>
      <c r="D876" t="inlineStr">
        <is>
          <t>ÖREBRO LÄN</t>
        </is>
      </c>
      <c r="E876" t="inlineStr">
        <is>
          <t>LINDESBERG</t>
        </is>
      </c>
      <c r="G876" t="n">
        <v>2.3</v>
      </c>
      <c r="H876" t="n">
        <v>0</v>
      </c>
      <c r="I876" t="n">
        <v>0</v>
      </c>
      <c r="J876" t="n">
        <v>0</v>
      </c>
      <c r="K876" t="n">
        <v>0</v>
      </c>
      <c r="L876" t="n">
        <v>0</v>
      </c>
      <c r="M876" t="n">
        <v>0</v>
      </c>
      <c r="N876" t="n">
        <v>0</v>
      </c>
      <c r="O876" t="n">
        <v>0</v>
      </c>
      <c r="P876" t="n">
        <v>0</v>
      </c>
      <c r="Q876" t="n">
        <v>0</v>
      </c>
      <c r="R876" s="2" t="inlineStr"/>
    </row>
    <row r="877" ht="15" customHeight="1">
      <c r="A877" t="inlineStr">
        <is>
          <t>A 23649-2023</t>
        </is>
      </c>
      <c r="B877" s="1" t="n">
        <v>45074</v>
      </c>
      <c r="C877" s="1" t="n">
        <v>46158</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43081-2021</t>
        </is>
      </c>
      <c r="B878" s="1" t="n">
        <v>44431</v>
      </c>
      <c r="C878" s="1" t="n">
        <v>46158</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51071-2022</t>
        </is>
      </c>
      <c r="B879" s="1" t="n">
        <v>44868.36924768519</v>
      </c>
      <c r="C879" s="1" t="n">
        <v>46158</v>
      </c>
      <c r="D879" t="inlineStr">
        <is>
          <t>ÖREBRO LÄN</t>
        </is>
      </c>
      <c r="E879" t="inlineStr">
        <is>
          <t>LINDESBERG</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44449-2023</t>
        </is>
      </c>
      <c r="B880" s="1" t="n">
        <v>45189.38135416667</v>
      </c>
      <c r="C880" s="1" t="n">
        <v>46158</v>
      </c>
      <c r="D880" t="inlineStr">
        <is>
          <t>ÖREBRO LÄN</t>
        </is>
      </c>
      <c r="E880" t="inlineStr">
        <is>
          <t>LINDESBERG</t>
        </is>
      </c>
      <c r="G880" t="n">
        <v>13.7</v>
      </c>
      <c r="H880" t="n">
        <v>0</v>
      </c>
      <c r="I880" t="n">
        <v>0</v>
      </c>
      <c r="J880" t="n">
        <v>0</v>
      </c>
      <c r="K880" t="n">
        <v>0</v>
      </c>
      <c r="L880" t="n">
        <v>0</v>
      </c>
      <c r="M880" t="n">
        <v>0</v>
      </c>
      <c r="N880" t="n">
        <v>0</v>
      </c>
      <c r="O880" t="n">
        <v>0</v>
      </c>
      <c r="P880" t="n">
        <v>0</v>
      </c>
      <c r="Q880" t="n">
        <v>0</v>
      </c>
      <c r="R880" s="2" t="inlineStr"/>
    </row>
    <row r="881" ht="15" customHeight="1">
      <c r="A881" t="inlineStr">
        <is>
          <t>A 15894-2025</t>
        </is>
      </c>
      <c r="B881" s="1" t="n">
        <v>45749</v>
      </c>
      <c r="C881" s="1" t="n">
        <v>46158</v>
      </c>
      <c r="D881" t="inlineStr">
        <is>
          <t>ÖREBRO LÄN</t>
        </is>
      </c>
      <c r="E881" t="inlineStr">
        <is>
          <t>LINDESBERG</t>
        </is>
      </c>
      <c r="G881" t="n">
        <v>1.5</v>
      </c>
      <c r="H881" t="n">
        <v>0</v>
      </c>
      <c r="I881" t="n">
        <v>0</v>
      </c>
      <c r="J881" t="n">
        <v>0</v>
      </c>
      <c r="K881" t="n">
        <v>0</v>
      </c>
      <c r="L881" t="n">
        <v>0</v>
      </c>
      <c r="M881" t="n">
        <v>0</v>
      </c>
      <c r="N881" t="n">
        <v>0</v>
      </c>
      <c r="O881" t="n">
        <v>0</v>
      </c>
      <c r="P881" t="n">
        <v>0</v>
      </c>
      <c r="Q881" t="n">
        <v>0</v>
      </c>
      <c r="R881" s="2" t="inlineStr"/>
    </row>
    <row r="882" ht="15" customHeight="1">
      <c r="A882" t="inlineStr">
        <is>
          <t>A 34436-2023</t>
        </is>
      </c>
      <c r="B882" s="1" t="n">
        <v>45139.64328703703</v>
      </c>
      <c r="C882" s="1" t="n">
        <v>46158</v>
      </c>
      <c r="D882" t="inlineStr">
        <is>
          <t>ÖREBRO LÄN</t>
        </is>
      </c>
      <c r="E882" t="inlineStr">
        <is>
          <t>LINDESBERG</t>
        </is>
      </c>
      <c r="F882" t="inlineStr">
        <is>
          <t>Kyrkan</t>
        </is>
      </c>
      <c r="G882" t="n">
        <v>5.8</v>
      </c>
      <c r="H882" t="n">
        <v>0</v>
      </c>
      <c r="I882" t="n">
        <v>0</v>
      </c>
      <c r="J882" t="n">
        <v>0</v>
      </c>
      <c r="K882" t="n">
        <v>0</v>
      </c>
      <c r="L882" t="n">
        <v>0</v>
      </c>
      <c r="M882" t="n">
        <v>0</v>
      </c>
      <c r="N882" t="n">
        <v>0</v>
      </c>
      <c r="O882" t="n">
        <v>0</v>
      </c>
      <c r="P882" t="n">
        <v>0</v>
      </c>
      <c r="Q882" t="n">
        <v>0</v>
      </c>
      <c r="R882" s="2" t="inlineStr"/>
    </row>
    <row r="883" ht="15" customHeight="1">
      <c r="A883" t="inlineStr">
        <is>
          <t>A 45078-2024</t>
        </is>
      </c>
      <c r="B883" s="1" t="n">
        <v>45575.57104166667</v>
      </c>
      <c r="C883" s="1" t="n">
        <v>46158</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27001-2024</t>
        </is>
      </c>
      <c r="B884" s="1" t="n">
        <v>45471.38995370371</v>
      </c>
      <c r="C884" s="1" t="n">
        <v>46158</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20467-2023</t>
        </is>
      </c>
      <c r="B885" s="1" t="n">
        <v>45057</v>
      </c>
      <c r="C885" s="1" t="n">
        <v>46158</v>
      </c>
      <c r="D885" t="inlineStr">
        <is>
          <t>ÖREBRO LÄN</t>
        </is>
      </c>
      <c r="E885" t="inlineStr">
        <is>
          <t>LINDESBERG</t>
        </is>
      </c>
      <c r="G885" t="n">
        <v>2.1</v>
      </c>
      <c r="H885" t="n">
        <v>0</v>
      </c>
      <c r="I885" t="n">
        <v>0</v>
      </c>
      <c r="J885" t="n">
        <v>0</v>
      </c>
      <c r="K885" t="n">
        <v>0</v>
      </c>
      <c r="L885" t="n">
        <v>0</v>
      </c>
      <c r="M885" t="n">
        <v>0</v>
      </c>
      <c r="N885" t="n">
        <v>0</v>
      </c>
      <c r="O885" t="n">
        <v>0</v>
      </c>
      <c r="P885" t="n">
        <v>0</v>
      </c>
      <c r="Q885" t="n">
        <v>0</v>
      </c>
      <c r="R885" s="2" t="inlineStr"/>
    </row>
    <row r="886" ht="15" customHeight="1">
      <c r="A886" t="inlineStr">
        <is>
          <t>A 25012-2023</t>
        </is>
      </c>
      <c r="B886" s="1" t="n">
        <v>45085</v>
      </c>
      <c r="C886" s="1" t="n">
        <v>46158</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26778-2023</t>
        </is>
      </c>
      <c r="B887" s="1" t="n">
        <v>45093.48221064815</v>
      </c>
      <c r="C887" s="1" t="n">
        <v>46158</v>
      </c>
      <c r="D887" t="inlineStr">
        <is>
          <t>ÖREBRO LÄN</t>
        </is>
      </c>
      <c r="E887" t="inlineStr">
        <is>
          <t>LINDESBERG</t>
        </is>
      </c>
      <c r="G887" t="n">
        <v>7.5</v>
      </c>
      <c r="H887" t="n">
        <v>0</v>
      </c>
      <c r="I887" t="n">
        <v>0</v>
      </c>
      <c r="J887" t="n">
        <v>0</v>
      </c>
      <c r="K887" t="n">
        <v>0</v>
      </c>
      <c r="L887" t="n">
        <v>0</v>
      </c>
      <c r="M887" t="n">
        <v>0</v>
      </c>
      <c r="N887" t="n">
        <v>0</v>
      </c>
      <c r="O887" t="n">
        <v>0</v>
      </c>
      <c r="P887" t="n">
        <v>0</v>
      </c>
      <c r="Q887" t="n">
        <v>0</v>
      </c>
      <c r="R887" s="2" t="inlineStr"/>
    </row>
    <row r="888" ht="15" customHeight="1">
      <c r="A888" t="inlineStr">
        <is>
          <t>A 50170-2022</t>
        </is>
      </c>
      <c r="B888" s="1" t="n">
        <v>44865.600625</v>
      </c>
      <c r="C888" s="1" t="n">
        <v>46158</v>
      </c>
      <c r="D888" t="inlineStr">
        <is>
          <t>ÖREBRO LÄN</t>
        </is>
      </c>
      <c r="E888" t="inlineStr">
        <is>
          <t>LINDESBERG</t>
        </is>
      </c>
      <c r="G888" t="n">
        <v>2.1</v>
      </c>
      <c r="H888" t="n">
        <v>0</v>
      </c>
      <c r="I888" t="n">
        <v>0</v>
      </c>
      <c r="J888" t="n">
        <v>0</v>
      </c>
      <c r="K888" t="n">
        <v>0</v>
      </c>
      <c r="L888" t="n">
        <v>0</v>
      </c>
      <c r="M888" t="n">
        <v>0</v>
      </c>
      <c r="N888" t="n">
        <v>0</v>
      </c>
      <c r="O888" t="n">
        <v>0</v>
      </c>
      <c r="P888" t="n">
        <v>0</v>
      </c>
      <c r="Q888" t="n">
        <v>0</v>
      </c>
      <c r="R888" s="2" t="inlineStr"/>
    </row>
    <row r="889" ht="15" customHeight="1">
      <c r="A889" t="inlineStr">
        <is>
          <t>A 1354-2024</t>
        </is>
      </c>
      <c r="B889" s="1" t="n">
        <v>45303</v>
      </c>
      <c r="C889" s="1" t="n">
        <v>46158</v>
      </c>
      <c r="D889" t="inlineStr">
        <is>
          <t>ÖREBRO LÄN</t>
        </is>
      </c>
      <c r="E889" t="inlineStr">
        <is>
          <t>LINDESBERG</t>
        </is>
      </c>
      <c r="G889" t="n">
        <v>2.1</v>
      </c>
      <c r="H889" t="n">
        <v>0</v>
      </c>
      <c r="I889" t="n">
        <v>0</v>
      </c>
      <c r="J889" t="n">
        <v>0</v>
      </c>
      <c r="K889" t="n">
        <v>0</v>
      </c>
      <c r="L889" t="n">
        <v>0</v>
      </c>
      <c r="M889" t="n">
        <v>0</v>
      </c>
      <c r="N889" t="n">
        <v>0</v>
      </c>
      <c r="O889" t="n">
        <v>0</v>
      </c>
      <c r="P889" t="n">
        <v>0</v>
      </c>
      <c r="Q889" t="n">
        <v>0</v>
      </c>
      <c r="R889" s="2" t="inlineStr"/>
    </row>
    <row r="890" ht="15" customHeight="1">
      <c r="A890" t="inlineStr">
        <is>
          <t>A 33886-2024</t>
        </is>
      </c>
      <c r="B890" s="1" t="n">
        <v>45523.31621527778</v>
      </c>
      <c r="C890" s="1" t="n">
        <v>46158</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50285-2022</t>
        </is>
      </c>
      <c r="B891" s="1" t="n">
        <v>44865.87770833333</v>
      </c>
      <c r="C891" s="1" t="n">
        <v>46158</v>
      </c>
      <c r="D891" t="inlineStr">
        <is>
          <t>ÖREBRO LÄN</t>
        </is>
      </c>
      <c r="E891" t="inlineStr">
        <is>
          <t>LINDESBERG</t>
        </is>
      </c>
      <c r="G891" t="n">
        <v>2.5</v>
      </c>
      <c r="H891" t="n">
        <v>0</v>
      </c>
      <c r="I891" t="n">
        <v>0</v>
      </c>
      <c r="J891" t="n">
        <v>0</v>
      </c>
      <c r="K891" t="n">
        <v>0</v>
      </c>
      <c r="L891" t="n">
        <v>0</v>
      </c>
      <c r="M891" t="n">
        <v>0</v>
      </c>
      <c r="N891" t="n">
        <v>0</v>
      </c>
      <c r="O891" t="n">
        <v>0</v>
      </c>
      <c r="P891" t="n">
        <v>0</v>
      </c>
      <c r="Q891" t="n">
        <v>0</v>
      </c>
      <c r="R891" s="2" t="inlineStr"/>
    </row>
    <row r="892" ht="15" customHeight="1">
      <c r="A892" t="inlineStr">
        <is>
          <t>A 1405-2025</t>
        </is>
      </c>
      <c r="B892" s="1" t="n">
        <v>45667</v>
      </c>
      <c r="C892" s="1" t="n">
        <v>46158</v>
      </c>
      <c r="D892" t="inlineStr">
        <is>
          <t>ÖREBRO LÄN</t>
        </is>
      </c>
      <c r="E892" t="inlineStr">
        <is>
          <t>LINDESBERG</t>
        </is>
      </c>
      <c r="F892" t="inlineStr">
        <is>
          <t>Allmännings- och besparingsskogar</t>
        </is>
      </c>
      <c r="G892" t="n">
        <v>3.1</v>
      </c>
      <c r="H892" t="n">
        <v>0</v>
      </c>
      <c r="I892" t="n">
        <v>0</v>
      </c>
      <c r="J892" t="n">
        <v>0</v>
      </c>
      <c r="K892" t="n">
        <v>0</v>
      </c>
      <c r="L892" t="n">
        <v>0</v>
      </c>
      <c r="M892" t="n">
        <v>0</v>
      </c>
      <c r="N892" t="n">
        <v>0</v>
      </c>
      <c r="O892" t="n">
        <v>0</v>
      </c>
      <c r="P892" t="n">
        <v>0</v>
      </c>
      <c r="Q892" t="n">
        <v>0</v>
      </c>
      <c r="R892" s="2" t="inlineStr"/>
    </row>
    <row r="893" ht="15" customHeight="1">
      <c r="A893" t="inlineStr">
        <is>
          <t>A 40456-2023</t>
        </is>
      </c>
      <c r="B893" s="1" t="n">
        <v>45170</v>
      </c>
      <c r="C893" s="1" t="n">
        <v>46158</v>
      </c>
      <c r="D893" t="inlineStr">
        <is>
          <t>ÖREBRO LÄN</t>
        </is>
      </c>
      <c r="E893" t="inlineStr">
        <is>
          <t>LINDESBERG</t>
        </is>
      </c>
      <c r="F893" t="inlineStr">
        <is>
          <t>Kyrkan</t>
        </is>
      </c>
      <c r="G893" t="n">
        <v>0.6</v>
      </c>
      <c r="H893" t="n">
        <v>0</v>
      </c>
      <c r="I893" t="n">
        <v>0</v>
      </c>
      <c r="J893" t="n">
        <v>0</v>
      </c>
      <c r="K893" t="n">
        <v>0</v>
      </c>
      <c r="L893" t="n">
        <v>0</v>
      </c>
      <c r="M893" t="n">
        <v>0</v>
      </c>
      <c r="N893" t="n">
        <v>0</v>
      </c>
      <c r="O893" t="n">
        <v>0</v>
      </c>
      <c r="P893" t="n">
        <v>0</v>
      </c>
      <c r="Q893" t="n">
        <v>0</v>
      </c>
      <c r="R893" s="2" t="inlineStr"/>
    </row>
    <row r="894" ht="15" customHeight="1">
      <c r="A894" t="inlineStr">
        <is>
          <t>A 28562-2023</t>
        </is>
      </c>
      <c r="B894" s="1" t="n">
        <v>45103.53614583334</v>
      </c>
      <c r="C894" s="1" t="n">
        <v>46158</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17463-2023</t>
        </is>
      </c>
      <c r="B895" s="1" t="n">
        <v>45036</v>
      </c>
      <c r="C895" s="1" t="n">
        <v>46158</v>
      </c>
      <c r="D895" t="inlineStr">
        <is>
          <t>ÖREBRO LÄN</t>
        </is>
      </c>
      <c r="E895" t="inlineStr">
        <is>
          <t>LINDESBERG</t>
        </is>
      </c>
      <c r="G895" t="n">
        <v>0.6</v>
      </c>
      <c r="H895" t="n">
        <v>0</v>
      </c>
      <c r="I895" t="n">
        <v>0</v>
      </c>
      <c r="J895" t="n">
        <v>0</v>
      </c>
      <c r="K895" t="n">
        <v>0</v>
      </c>
      <c r="L895" t="n">
        <v>0</v>
      </c>
      <c r="M895" t="n">
        <v>0</v>
      </c>
      <c r="N895" t="n">
        <v>0</v>
      </c>
      <c r="O895" t="n">
        <v>0</v>
      </c>
      <c r="P895" t="n">
        <v>0</v>
      </c>
      <c r="Q895" t="n">
        <v>0</v>
      </c>
      <c r="R895" s="2" t="inlineStr"/>
    </row>
    <row r="896" ht="15" customHeight="1">
      <c r="A896" t="inlineStr">
        <is>
          <t>A 6511-2025</t>
        </is>
      </c>
      <c r="B896" s="1" t="n">
        <v>45699.65424768518</v>
      </c>
      <c r="C896" s="1" t="n">
        <v>46158</v>
      </c>
      <c r="D896" t="inlineStr">
        <is>
          <t>ÖREBRO LÄN</t>
        </is>
      </c>
      <c r="E896" t="inlineStr">
        <is>
          <t>LINDESBERG</t>
        </is>
      </c>
      <c r="G896" t="n">
        <v>9.1</v>
      </c>
      <c r="H896" t="n">
        <v>0</v>
      </c>
      <c r="I896" t="n">
        <v>0</v>
      </c>
      <c r="J896" t="n">
        <v>0</v>
      </c>
      <c r="K896" t="n">
        <v>0</v>
      </c>
      <c r="L896" t="n">
        <v>0</v>
      </c>
      <c r="M896" t="n">
        <v>0</v>
      </c>
      <c r="N896" t="n">
        <v>0</v>
      </c>
      <c r="O896" t="n">
        <v>0</v>
      </c>
      <c r="P896" t="n">
        <v>0</v>
      </c>
      <c r="Q896" t="n">
        <v>0</v>
      </c>
      <c r="R896" s="2" t="inlineStr"/>
    </row>
    <row r="897" ht="15" customHeight="1">
      <c r="A897" t="inlineStr">
        <is>
          <t>A 22829-2023</t>
        </is>
      </c>
      <c r="B897" s="1" t="n">
        <v>45072.42776620371</v>
      </c>
      <c r="C897" s="1" t="n">
        <v>46158</v>
      </c>
      <c r="D897" t="inlineStr">
        <is>
          <t>ÖREBRO LÄN</t>
        </is>
      </c>
      <c r="E897" t="inlineStr">
        <is>
          <t>LINDESBERG</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60105-2022</t>
        </is>
      </c>
      <c r="B898" s="1" t="n">
        <v>44902</v>
      </c>
      <c r="C898" s="1" t="n">
        <v>46158</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53046-2024</t>
        </is>
      </c>
      <c r="B899" s="1" t="n">
        <v>45611.44960648148</v>
      </c>
      <c r="C899" s="1" t="n">
        <v>46158</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18590-2023</t>
        </is>
      </c>
      <c r="B900" s="1" t="n">
        <v>45043.40300925926</v>
      </c>
      <c r="C900" s="1" t="n">
        <v>46158</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51539-2024</t>
        </is>
      </c>
      <c r="B901" s="1" t="n">
        <v>45604.58837962963</v>
      </c>
      <c r="C901" s="1" t="n">
        <v>46158</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15852-2025</t>
        </is>
      </c>
      <c r="B902" s="1" t="n">
        <v>45749</v>
      </c>
      <c r="C902" s="1" t="n">
        <v>46158</v>
      </c>
      <c r="D902" t="inlineStr">
        <is>
          <t>ÖREBRO LÄN</t>
        </is>
      </c>
      <c r="E902" t="inlineStr">
        <is>
          <t>LINDESBERG</t>
        </is>
      </c>
      <c r="G902" t="n">
        <v>8.9</v>
      </c>
      <c r="H902" t="n">
        <v>0</v>
      </c>
      <c r="I902" t="n">
        <v>0</v>
      </c>
      <c r="J902" t="n">
        <v>0</v>
      </c>
      <c r="K902" t="n">
        <v>0</v>
      </c>
      <c r="L902" t="n">
        <v>0</v>
      </c>
      <c r="M902" t="n">
        <v>0</v>
      </c>
      <c r="N902" t="n">
        <v>0</v>
      </c>
      <c r="O902" t="n">
        <v>0</v>
      </c>
      <c r="P902" t="n">
        <v>0</v>
      </c>
      <c r="Q902" t="n">
        <v>0</v>
      </c>
      <c r="R902" s="2" t="inlineStr"/>
    </row>
    <row r="903" ht="15" customHeight="1">
      <c r="A903" t="inlineStr">
        <is>
          <t>A 34539-2024</t>
        </is>
      </c>
      <c r="B903" s="1" t="n">
        <v>45525.7374537037</v>
      </c>
      <c r="C903" s="1" t="n">
        <v>46158</v>
      </c>
      <c r="D903" t="inlineStr">
        <is>
          <t>ÖREBRO LÄN</t>
        </is>
      </c>
      <c r="E903" t="inlineStr">
        <is>
          <t>LINDESBERG</t>
        </is>
      </c>
      <c r="G903" t="n">
        <v>5.4</v>
      </c>
      <c r="H903" t="n">
        <v>0</v>
      </c>
      <c r="I903" t="n">
        <v>0</v>
      </c>
      <c r="J903" t="n">
        <v>0</v>
      </c>
      <c r="K903" t="n">
        <v>0</v>
      </c>
      <c r="L903" t="n">
        <v>0</v>
      </c>
      <c r="M903" t="n">
        <v>0</v>
      </c>
      <c r="N903" t="n">
        <v>0</v>
      </c>
      <c r="O903" t="n">
        <v>0</v>
      </c>
      <c r="P903" t="n">
        <v>0</v>
      </c>
      <c r="Q903" t="n">
        <v>0</v>
      </c>
      <c r="R903" s="2" t="inlineStr"/>
    </row>
    <row r="904" ht="15" customHeight="1">
      <c r="A904" t="inlineStr">
        <is>
          <t>A 35739-2024</t>
        </is>
      </c>
      <c r="B904" s="1" t="n">
        <v>45532</v>
      </c>
      <c r="C904" s="1" t="n">
        <v>46158</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1383-2025</t>
        </is>
      </c>
      <c r="B905" s="1" t="n">
        <v>45667</v>
      </c>
      <c r="C905" s="1" t="n">
        <v>46158</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10057-2025</t>
        </is>
      </c>
      <c r="B906" s="1" t="n">
        <v>45719.52871527777</v>
      </c>
      <c r="C906" s="1" t="n">
        <v>46158</v>
      </c>
      <c r="D906" t="inlineStr">
        <is>
          <t>ÖREBRO LÄN</t>
        </is>
      </c>
      <c r="E906" t="inlineStr">
        <is>
          <t>LINDESBERG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43247-2023</t>
        </is>
      </c>
      <c r="B907" s="1" t="n">
        <v>45183.48666666666</v>
      </c>
      <c r="C907" s="1" t="n">
        <v>46158</v>
      </c>
      <c r="D907" t="inlineStr">
        <is>
          <t>ÖREBRO LÄN</t>
        </is>
      </c>
      <c r="E907" t="inlineStr">
        <is>
          <t>LINDESBERG</t>
        </is>
      </c>
      <c r="G907" t="n">
        <v>3</v>
      </c>
      <c r="H907" t="n">
        <v>0</v>
      </c>
      <c r="I907" t="n">
        <v>0</v>
      </c>
      <c r="J907" t="n">
        <v>0</v>
      </c>
      <c r="K907" t="n">
        <v>0</v>
      </c>
      <c r="L907" t="n">
        <v>0</v>
      </c>
      <c r="M907" t="n">
        <v>0</v>
      </c>
      <c r="N907" t="n">
        <v>0</v>
      </c>
      <c r="O907" t="n">
        <v>0</v>
      </c>
      <c r="P907" t="n">
        <v>0</v>
      </c>
      <c r="Q907" t="n">
        <v>0</v>
      </c>
      <c r="R907" s="2" t="inlineStr"/>
    </row>
    <row r="908" ht="15" customHeight="1">
      <c r="A908" t="inlineStr">
        <is>
          <t>A 626-2025</t>
        </is>
      </c>
      <c r="B908" s="1" t="n">
        <v>45664</v>
      </c>
      <c r="C908" s="1" t="n">
        <v>46158</v>
      </c>
      <c r="D908" t="inlineStr">
        <is>
          <t>ÖREBRO LÄN</t>
        </is>
      </c>
      <c r="E908" t="inlineStr">
        <is>
          <t>LINDESBERG</t>
        </is>
      </c>
      <c r="G908" t="n">
        <v>0.5</v>
      </c>
      <c r="H908" t="n">
        <v>0</v>
      </c>
      <c r="I908" t="n">
        <v>0</v>
      </c>
      <c r="J908" t="n">
        <v>0</v>
      </c>
      <c r="K908" t="n">
        <v>0</v>
      </c>
      <c r="L908" t="n">
        <v>0</v>
      </c>
      <c r="M908" t="n">
        <v>0</v>
      </c>
      <c r="N908" t="n">
        <v>0</v>
      </c>
      <c r="O908" t="n">
        <v>0</v>
      </c>
      <c r="P908" t="n">
        <v>0</v>
      </c>
      <c r="Q908" t="n">
        <v>0</v>
      </c>
      <c r="R908" s="2" t="inlineStr"/>
    </row>
    <row r="909" ht="15" customHeight="1">
      <c r="A909" t="inlineStr">
        <is>
          <t>A 43046-2022</t>
        </is>
      </c>
      <c r="B909" s="1" t="n">
        <v>44833</v>
      </c>
      <c r="C909" s="1" t="n">
        <v>46158</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57795-2021</t>
        </is>
      </c>
      <c r="B910" s="1" t="n">
        <v>44484</v>
      </c>
      <c r="C910" s="1" t="n">
        <v>46158</v>
      </c>
      <c r="D910" t="inlineStr">
        <is>
          <t>ÖREBRO LÄN</t>
        </is>
      </c>
      <c r="E910" t="inlineStr">
        <is>
          <t>LINDESBERG</t>
        </is>
      </c>
      <c r="G910" t="n">
        <v>39.4</v>
      </c>
      <c r="H910" t="n">
        <v>0</v>
      </c>
      <c r="I910" t="n">
        <v>0</v>
      </c>
      <c r="J910" t="n">
        <v>0</v>
      </c>
      <c r="K910" t="n">
        <v>0</v>
      </c>
      <c r="L910" t="n">
        <v>0</v>
      </c>
      <c r="M910" t="n">
        <v>0</v>
      </c>
      <c r="N910" t="n">
        <v>0</v>
      </c>
      <c r="O910" t="n">
        <v>0</v>
      </c>
      <c r="P910" t="n">
        <v>0</v>
      </c>
      <c r="Q910" t="n">
        <v>0</v>
      </c>
      <c r="R910" s="2" t="inlineStr"/>
    </row>
    <row r="911" ht="15" customHeight="1">
      <c r="A911" t="inlineStr">
        <is>
          <t>A 43433-2024</t>
        </is>
      </c>
      <c r="B911" s="1" t="n">
        <v>45568.64523148148</v>
      </c>
      <c r="C911" s="1" t="n">
        <v>46158</v>
      </c>
      <c r="D911" t="inlineStr">
        <is>
          <t>ÖREBRO LÄN</t>
        </is>
      </c>
      <c r="E911" t="inlineStr">
        <is>
          <t>LINDESBERG</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6604-2024</t>
        </is>
      </c>
      <c r="B912" s="1" t="n">
        <v>45341.56577546296</v>
      </c>
      <c r="C912" s="1" t="n">
        <v>46158</v>
      </c>
      <c r="D912" t="inlineStr">
        <is>
          <t>ÖREBRO LÄN</t>
        </is>
      </c>
      <c r="E912" t="inlineStr">
        <is>
          <t>LINDESBERG</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5550-2024</t>
        </is>
      </c>
      <c r="B913" s="1" t="n">
        <v>45334</v>
      </c>
      <c r="C913" s="1" t="n">
        <v>46158</v>
      </c>
      <c r="D913" t="inlineStr">
        <is>
          <t>ÖREBRO LÄN</t>
        </is>
      </c>
      <c r="E913" t="inlineStr">
        <is>
          <t>LINDESBERG</t>
        </is>
      </c>
      <c r="G913" t="n">
        <v>0.6</v>
      </c>
      <c r="H913" t="n">
        <v>0</v>
      </c>
      <c r="I913" t="n">
        <v>0</v>
      </c>
      <c r="J913" t="n">
        <v>0</v>
      </c>
      <c r="K913" t="n">
        <v>0</v>
      </c>
      <c r="L913" t="n">
        <v>0</v>
      </c>
      <c r="M913" t="n">
        <v>0</v>
      </c>
      <c r="N913" t="n">
        <v>0</v>
      </c>
      <c r="O913" t="n">
        <v>0</v>
      </c>
      <c r="P913" t="n">
        <v>0</v>
      </c>
      <c r="Q913" t="n">
        <v>0</v>
      </c>
      <c r="R913" s="2" t="inlineStr"/>
    </row>
    <row r="914" ht="15" customHeight="1">
      <c r="A914" t="inlineStr">
        <is>
          <t>A 63125-2023</t>
        </is>
      </c>
      <c r="B914" s="1" t="n">
        <v>45273</v>
      </c>
      <c r="C914" s="1" t="n">
        <v>46158</v>
      </c>
      <c r="D914" t="inlineStr">
        <is>
          <t>ÖREBRO LÄN</t>
        </is>
      </c>
      <c r="E914" t="inlineStr">
        <is>
          <t>LINDESBERG</t>
        </is>
      </c>
      <c r="G914" t="n">
        <v>1.7</v>
      </c>
      <c r="H914" t="n">
        <v>0</v>
      </c>
      <c r="I914" t="n">
        <v>0</v>
      </c>
      <c r="J914" t="n">
        <v>0</v>
      </c>
      <c r="K914" t="n">
        <v>0</v>
      </c>
      <c r="L914" t="n">
        <v>0</v>
      </c>
      <c r="M914" t="n">
        <v>0</v>
      </c>
      <c r="N914" t="n">
        <v>0</v>
      </c>
      <c r="O914" t="n">
        <v>0</v>
      </c>
      <c r="P914" t="n">
        <v>0</v>
      </c>
      <c r="Q914" t="n">
        <v>0</v>
      </c>
      <c r="R914" s="2" t="inlineStr"/>
    </row>
    <row r="915" ht="15" customHeight="1">
      <c r="A915" t="inlineStr">
        <is>
          <t>A 15752-2024</t>
        </is>
      </c>
      <c r="B915" s="1" t="n">
        <v>45404.55681712963</v>
      </c>
      <c r="C915" s="1" t="n">
        <v>46158</v>
      </c>
      <c r="D915" t="inlineStr">
        <is>
          <t>ÖREBRO LÄN</t>
        </is>
      </c>
      <c r="E915" t="inlineStr">
        <is>
          <t>LINDESBERG</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35229-2024</t>
        </is>
      </c>
      <c r="B916" s="1" t="n">
        <v>45530</v>
      </c>
      <c r="C916" s="1" t="n">
        <v>46158</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50986-2023</t>
        </is>
      </c>
      <c r="B917" s="1" t="n">
        <v>45218</v>
      </c>
      <c r="C917" s="1" t="n">
        <v>46158</v>
      </c>
      <c r="D917" t="inlineStr">
        <is>
          <t>ÖREBRO LÄN</t>
        </is>
      </c>
      <c r="E917" t="inlineStr">
        <is>
          <t>LINDESBERG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25046-2024</t>
        </is>
      </c>
      <c r="B918" s="1" t="n">
        <v>45462</v>
      </c>
      <c r="C918" s="1" t="n">
        <v>46158</v>
      </c>
      <c r="D918" t="inlineStr">
        <is>
          <t>ÖREBRO LÄN</t>
        </is>
      </c>
      <c r="E918" t="inlineStr">
        <is>
          <t>LINDESBERG</t>
        </is>
      </c>
      <c r="G918" t="n">
        <v>4.1</v>
      </c>
      <c r="H918" t="n">
        <v>0</v>
      </c>
      <c r="I918" t="n">
        <v>0</v>
      </c>
      <c r="J918" t="n">
        <v>0</v>
      </c>
      <c r="K918" t="n">
        <v>0</v>
      </c>
      <c r="L918" t="n">
        <v>0</v>
      </c>
      <c r="M918" t="n">
        <v>0</v>
      </c>
      <c r="N918" t="n">
        <v>0</v>
      </c>
      <c r="O918" t="n">
        <v>0</v>
      </c>
      <c r="P918" t="n">
        <v>0</v>
      </c>
      <c r="Q918" t="n">
        <v>0</v>
      </c>
      <c r="R918" s="2" t="inlineStr"/>
    </row>
    <row r="919" ht="15" customHeight="1">
      <c r="A919" t="inlineStr">
        <is>
          <t>A 44675-2021</t>
        </is>
      </c>
      <c r="B919" s="1" t="n">
        <v>44438</v>
      </c>
      <c r="C919" s="1" t="n">
        <v>46158</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32829-2024</t>
        </is>
      </c>
      <c r="B920" s="1" t="n">
        <v>45516.59447916667</v>
      </c>
      <c r="C920" s="1" t="n">
        <v>46158</v>
      </c>
      <c r="D920" t="inlineStr">
        <is>
          <t>ÖREBRO LÄN</t>
        </is>
      </c>
      <c r="E920" t="inlineStr">
        <is>
          <t>LINDESBERG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43416-2024</t>
        </is>
      </c>
      <c r="B921" s="1" t="n">
        <v>45568.62625</v>
      </c>
      <c r="C921" s="1" t="n">
        <v>46158</v>
      </c>
      <c r="D921" t="inlineStr">
        <is>
          <t>ÖREBRO LÄN</t>
        </is>
      </c>
      <c r="E921" t="inlineStr">
        <is>
          <t>LINDESBERG</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54859-2024</t>
        </is>
      </c>
      <c r="B922" s="1" t="n">
        <v>45618.58962962963</v>
      </c>
      <c r="C922" s="1" t="n">
        <v>46158</v>
      </c>
      <c r="D922" t="inlineStr">
        <is>
          <t>ÖREBRO LÄN</t>
        </is>
      </c>
      <c r="E922" t="inlineStr">
        <is>
          <t>LINDESBERG</t>
        </is>
      </c>
      <c r="F922" t="inlineStr">
        <is>
          <t>Sveaskog</t>
        </is>
      </c>
      <c r="G922" t="n">
        <v>5.3</v>
      </c>
      <c r="H922" t="n">
        <v>0</v>
      </c>
      <c r="I922" t="n">
        <v>0</v>
      </c>
      <c r="J922" t="n">
        <v>0</v>
      </c>
      <c r="K922" t="n">
        <v>0</v>
      </c>
      <c r="L922" t="n">
        <v>0</v>
      </c>
      <c r="M922" t="n">
        <v>0</v>
      </c>
      <c r="N922" t="n">
        <v>0</v>
      </c>
      <c r="O922" t="n">
        <v>0</v>
      </c>
      <c r="P922" t="n">
        <v>0</v>
      </c>
      <c r="Q922" t="n">
        <v>0</v>
      </c>
      <c r="R922" s="2" t="inlineStr"/>
    </row>
    <row r="923" ht="15" customHeight="1">
      <c r="A923" t="inlineStr">
        <is>
          <t>A 10654-2023</t>
        </is>
      </c>
      <c r="B923" s="1" t="n">
        <v>44984</v>
      </c>
      <c r="C923" s="1" t="n">
        <v>46158</v>
      </c>
      <c r="D923" t="inlineStr">
        <is>
          <t>ÖREBRO LÄN</t>
        </is>
      </c>
      <c r="E923" t="inlineStr">
        <is>
          <t>LINDESBERG</t>
        </is>
      </c>
      <c r="G923" t="n">
        <v>1.2</v>
      </c>
      <c r="H923" t="n">
        <v>0</v>
      </c>
      <c r="I923" t="n">
        <v>0</v>
      </c>
      <c r="J923" t="n">
        <v>0</v>
      </c>
      <c r="K923" t="n">
        <v>0</v>
      </c>
      <c r="L923" t="n">
        <v>0</v>
      </c>
      <c r="M923" t="n">
        <v>0</v>
      </c>
      <c r="N923" t="n">
        <v>0</v>
      </c>
      <c r="O923" t="n">
        <v>0</v>
      </c>
      <c r="P923" t="n">
        <v>0</v>
      </c>
      <c r="Q923" t="n">
        <v>0</v>
      </c>
      <c r="R923" s="2" t="inlineStr"/>
    </row>
    <row r="924" ht="15" customHeight="1">
      <c r="A924" t="inlineStr">
        <is>
          <t>A 30534-2023</t>
        </is>
      </c>
      <c r="B924" s="1" t="n">
        <v>45111</v>
      </c>
      <c r="C924" s="1" t="n">
        <v>46158</v>
      </c>
      <c r="D924" t="inlineStr">
        <is>
          <t>ÖREBRO LÄN</t>
        </is>
      </c>
      <c r="E924" t="inlineStr">
        <is>
          <t>LINDESBERG</t>
        </is>
      </c>
      <c r="G924" t="n">
        <v>0.7</v>
      </c>
      <c r="H924" t="n">
        <v>0</v>
      </c>
      <c r="I924" t="n">
        <v>0</v>
      </c>
      <c r="J924" t="n">
        <v>0</v>
      </c>
      <c r="K924" t="n">
        <v>0</v>
      </c>
      <c r="L924" t="n">
        <v>0</v>
      </c>
      <c r="M924" t="n">
        <v>0</v>
      </c>
      <c r="N924" t="n">
        <v>0</v>
      </c>
      <c r="O924" t="n">
        <v>0</v>
      </c>
      <c r="P924" t="n">
        <v>0</v>
      </c>
      <c r="Q924" t="n">
        <v>0</v>
      </c>
      <c r="R924" s="2" t="inlineStr"/>
    </row>
    <row r="925" ht="15" customHeight="1">
      <c r="A925" t="inlineStr">
        <is>
          <t>A 27013-2024</t>
        </is>
      </c>
      <c r="B925" s="1" t="n">
        <v>45471.40384259259</v>
      </c>
      <c r="C925" s="1" t="n">
        <v>46158</v>
      </c>
      <c r="D925" t="inlineStr">
        <is>
          <t>ÖREBRO LÄN</t>
        </is>
      </c>
      <c r="E925" t="inlineStr">
        <is>
          <t>LINDESBERG</t>
        </is>
      </c>
      <c r="G925" t="n">
        <v>5.2</v>
      </c>
      <c r="H925" t="n">
        <v>0</v>
      </c>
      <c r="I925" t="n">
        <v>0</v>
      </c>
      <c r="J925" t="n">
        <v>0</v>
      </c>
      <c r="K925" t="n">
        <v>0</v>
      </c>
      <c r="L925" t="n">
        <v>0</v>
      </c>
      <c r="M925" t="n">
        <v>0</v>
      </c>
      <c r="N925" t="n">
        <v>0</v>
      </c>
      <c r="O925" t="n">
        <v>0</v>
      </c>
      <c r="P925" t="n">
        <v>0</v>
      </c>
      <c r="Q925" t="n">
        <v>0</v>
      </c>
      <c r="R925" s="2" t="inlineStr"/>
    </row>
    <row r="926" ht="15" customHeight="1">
      <c r="A926" t="inlineStr">
        <is>
          <t>A 9140-2025</t>
        </is>
      </c>
      <c r="B926" s="1" t="n">
        <v>45714.31533564815</v>
      </c>
      <c r="C926" s="1" t="n">
        <v>46158</v>
      </c>
      <c r="D926" t="inlineStr">
        <is>
          <t>ÖREBRO LÄN</t>
        </is>
      </c>
      <c r="E926" t="inlineStr">
        <is>
          <t>LINDESBERG</t>
        </is>
      </c>
      <c r="G926" t="n">
        <v>0.8</v>
      </c>
      <c r="H926" t="n">
        <v>0</v>
      </c>
      <c r="I926" t="n">
        <v>0</v>
      </c>
      <c r="J926" t="n">
        <v>0</v>
      </c>
      <c r="K926" t="n">
        <v>0</v>
      </c>
      <c r="L926" t="n">
        <v>0</v>
      </c>
      <c r="M926" t="n">
        <v>0</v>
      </c>
      <c r="N926" t="n">
        <v>0</v>
      </c>
      <c r="O926" t="n">
        <v>0</v>
      </c>
      <c r="P926" t="n">
        <v>0</v>
      </c>
      <c r="Q926" t="n">
        <v>0</v>
      </c>
      <c r="R926" s="2" t="inlineStr"/>
    </row>
    <row r="927" ht="15" customHeight="1">
      <c r="A927" t="inlineStr">
        <is>
          <t>A 28469-2023</t>
        </is>
      </c>
      <c r="B927" s="1" t="n">
        <v>45103</v>
      </c>
      <c r="C927" s="1" t="n">
        <v>46158</v>
      </c>
      <c r="D927" t="inlineStr">
        <is>
          <t>ÖREBRO LÄN</t>
        </is>
      </c>
      <c r="E927" t="inlineStr">
        <is>
          <t>LINDESBERG</t>
        </is>
      </c>
      <c r="G927" t="n">
        <v>0.3</v>
      </c>
      <c r="H927" t="n">
        <v>0</v>
      </c>
      <c r="I927" t="n">
        <v>0</v>
      </c>
      <c r="J927" t="n">
        <v>0</v>
      </c>
      <c r="K927" t="n">
        <v>0</v>
      </c>
      <c r="L927" t="n">
        <v>0</v>
      </c>
      <c r="M927" t="n">
        <v>0</v>
      </c>
      <c r="N927" t="n">
        <v>0</v>
      </c>
      <c r="O927" t="n">
        <v>0</v>
      </c>
      <c r="P927" t="n">
        <v>0</v>
      </c>
      <c r="Q927" t="n">
        <v>0</v>
      </c>
      <c r="R927" s="2" t="inlineStr"/>
    </row>
    <row r="928" ht="15" customHeight="1">
      <c r="A928" t="inlineStr">
        <is>
          <t>A 12278-2025</t>
        </is>
      </c>
      <c r="B928" s="1" t="n">
        <v>45729.65171296296</v>
      </c>
      <c r="C928" s="1" t="n">
        <v>46158</v>
      </c>
      <c r="D928" t="inlineStr">
        <is>
          <t>ÖREBRO LÄN</t>
        </is>
      </c>
      <c r="E928" t="inlineStr">
        <is>
          <t>LINDESBERG</t>
        </is>
      </c>
      <c r="G928" t="n">
        <v>3.2</v>
      </c>
      <c r="H928" t="n">
        <v>0</v>
      </c>
      <c r="I928" t="n">
        <v>0</v>
      </c>
      <c r="J928" t="n">
        <v>0</v>
      </c>
      <c r="K928" t="n">
        <v>0</v>
      </c>
      <c r="L928" t="n">
        <v>0</v>
      </c>
      <c r="M928" t="n">
        <v>0</v>
      </c>
      <c r="N928" t="n">
        <v>0</v>
      </c>
      <c r="O928" t="n">
        <v>0</v>
      </c>
      <c r="P928" t="n">
        <v>0</v>
      </c>
      <c r="Q928" t="n">
        <v>0</v>
      </c>
      <c r="R928" s="2" t="inlineStr"/>
    </row>
    <row r="929" ht="15" customHeight="1">
      <c r="A929" t="inlineStr">
        <is>
          <t>A 20954-2024</t>
        </is>
      </c>
      <c r="B929" s="1" t="n">
        <v>45439.56605324074</v>
      </c>
      <c r="C929" s="1" t="n">
        <v>46158</v>
      </c>
      <c r="D929" t="inlineStr">
        <is>
          <t>ÖREBRO LÄN</t>
        </is>
      </c>
      <c r="E929" t="inlineStr">
        <is>
          <t>LINDESBERG</t>
        </is>
      </c>
      <c r="G929" t="n">
        <v>0.9</v>
      </c>
      <c r="H929" t="n">
        <v>0</v>
      </c>
      <c r="I929" t="n">
        <v>0</v>
      </c>
      <c r="J929" t="n">
        <v>0</v>
      </c>
      <c r="K929" t="n">
        <v>0</v>
      </c>
      <c r="L929" t="n">
        <v>0</v>
      </c>
      <c r="M929" t="n">
        <v>0</v>
      </c>
      <c r="N929" t="n">
        <v>0</v>
      </c>
      <c r="O929" t="n">
        <v>0</v>
      </c>
      <c r="P929" t="n">
        <v>0</v>
      </c>
      <c r="Q929" t="n">
        <v>0</v>
      </c>
      <c r="R929" s="2" t="inlineStr"/>
    </row>
    <row r="930" ht="15" customHeight="1">
      <c r="A930" t="inlineStr">
        <is>
          <t>A 7120-2025</t>
        </is>
      </c>
      <c r="B930" s="1" t="n">
        <v>45702</v>
      </c>
      <c r="C930" s="1" t="n">
        <v>46158</v>
      </c>
      <c r="D930" t="inlineStr">
        <is>
          <t>ÖREBRO LÄN</t>
        </is>
      </c>
      <c r="E930" t="inlineStr">
        <is>
          <t>LINDESBERG</t>
        </is>
      </c>
      <c r="G930" t="n">
        <v>0.5</v>
      </c>
      <c r="H930" t="n">
        <v>0</v>
      </c>
      <c r="I930" t="n">
        <v>0</v>
      </c>
      <c r="J930" t="n">
        <v>0</v>
      </c>
      <c r="K930" t="n">
        <v>0</v>
      </c>
      <c r="L930" t="n">
        <v>0</v>
      </c>
      <c r="M930" t="n">
        <v>0</v>
      </c>
      <c r="N930" t="n">
        <v>0</v>
      </c>
      <c r="O930" t="n">
        <v>0</v>
      </c>
      <c r="P930" t="n">
        <v>0</v>
      </c>
      <c r="Q930" t="n">
        <v>0</v>
      </c>
      <c r="R930" s="2" t="inlineStr"/>
    </row>
    <row r="931" ht="15" customHeight="1">
      <c r="A931" t="inlineStr">
        <is>
          <t>A 36773-2024</t>
        </is>
      </c>
      <c r="B931" s="1" t="n">
        <v>45538</v>
      </c>
      <c r="C931" s="1" t="n">
        <v>46158</v>
      </c>
      <c r="D931" t="inlineStr">
        <is>
          <t>ÖREBRO LÄN</t>
        </is>
      </c>
      <c r="E931" t="inlineStr">
        <is>
          <t>LINDESBERG</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53897-2024</t>
        </is>
      </c>
      <c r="B932" s="1" t="n">
        <v>45615.69570601852</v>
      </c>
      <c r="C932" s="1" t="n">
        <v>46158</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12692-2024</t>
        </is>
      </c>
      <c r="B933" s="1" t="n">
        <v>45384.43418981481</v>
      </c>
      <c r="C933" s="1" t="n">
        <v>46158</v>
      </c>
      <c r="D933" t="inlineStr">
        <is>
          <t>ÖREBRO LÄN</t>
        </is>
      </c>
      <c r="E933" t="inlineStr">
        <is>
          <t>LINDESBERG</t>
        </is>
      </c>
      <c r="G933" t="n">
        <v>5.2</v>
      </c>
      <c r="H933" t="n">
        <v>0</v>
      </c>
      <c r="I933" t="n">
        <v>0</v>
      </c>
      <c r="J933" t="n">
        <v>0</v>
      </c>
      <c r="K933" t="n">
        <v>0</v>
      </c>
      <c r="L933" t="n">
        <v>0</v>
      </c>
      <c r="M933" t="n">
        <v>0</v>
      </c>
      <c r="N933" t="n">
        <v>0</v>
      </c>
      <c r="O933" t="n">
        <v>0</v>
      </c>
      <c r="P933" t="n">
        <v>0</v>
      </c>
      <c r="Q933" t="n">
        <v>0</v>
      </c>
      <c r="R933" s="2" t="inlineStr"/>
    </row>
    <row r="934" ht="15" customHeight="1">
      <c r="A934" t="inlineStr">
        <is>
          <t>A 15325-2024</t>
        </is>
      </c>
      <c r="B934" s="1" t="n">
        <v>45400.6709837963</v>
      </c>
      <c r="C934" s="1" t="n">
        <v>46158</v>
      </c>
      <c r="D934" t="inlineStr">
        <is>
          <t>ÖREBRO LÄN</t>
        </is>
      </c>
      <c r="E934" t="inlineStr">
        <is>
          <t>LINDESBERG</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7119-2025</t>
        </is>
      </c>
      <c r="B935" s="1" t="n">
        <v>45702</v>
      </c>
      <c r="C935" s="1" t="n">
        <v>46158</v>
      </c>
      <c r="D935" t="inlineStr">
        <is>
          <t>ÖREBRO LÄN</t>
        </is>
      </c>
      <c r="E935" t="inlineStr">
        <is>
          <t>LINDESBERG</t>
        </is>
      </c>
      <c r="G935" t="n">
        <v>0.9</v>
      </c>
      <c r="H935" t="n">
        <v>0</v>
      </c>
      <c r="I935" t="n">
        <v>0</v>
      </c>
      <c r="J935" t="n">
        <v>0</v>
      </c>
      <c r="K935" t="n">
        <v>0</v>
      </c>
      <c r="L935" t="n">
        <v>0</v>
      </c>
      <c r="M935" t="n">
        <v>0</v>
      </c>
      <c r="N935" t="n">
        <v>0</v>
      </c>
      <c r="O935" t="n">
        <v>0</v>
      </c>
      <c r="P935" t="n">
        <v>0</v>
      </c>
      <c r="Q935" t="n">
        <v>0</v>
      </c>
      <c r="R935" s="2" t="inlineStr"/>
    </row>
    <row r="936" ht="15" customHeight="1">
      <c r="A936" t="inlineStr">
        <is>
          <t>A 20804-2025</t>
        </is>
      </c>
      <c r="B936" s="1" t="n">
        <v>45776.65518518518</v>
      </c>
      <c r="C936" s="1" t="n">
        <v>46158</v>
      </c>
      <c r="D936" t="inlineStr">
        <is>
          <t>ÖREBRO LÄN</t>
        </is>
      </c>
      <c r="E936" t="inlineStr">
        <is>
          <t>LINDESBERG</t>
        </is>
      </c>
      <c r="G936" t="n">
        <v>3.2</v>
      </c>
      <c r="H936" t="n">
        <v>0</v>
      </c>
      <c r="I936" t="n">
        <v>0</v>
      </c>
      <c r="J936" t="n">
        <v>0</v>
      </c>
      <c r="K936" t="n">
        <v>0</v>
      </c>
      <c r="L936" t="n">
        <v>0</v>
      </c>
      <c r="M936" t="n">
        <v>0</v>
      </c>
      <c r="N936" t="n">
        <v>0</v>
      </c>
      <c r="O936" t="n">
        <v>0</v>
      </c>
      <c r="P936" t="n">
        <v>0</v>
      </c>
      <c r="Q936" t="n">
        <v>0</v>
      </c>
      <c r="R936" s="2" t="inlineStr"/>
    </row>
    <row r="937" ht="15" customHeight="1">
      <c r="A937" t="inlineStr">
        <is>
          <t>A 20923-2025</t>
        </is>
      </c>
      <c r="B937" s="1" t="n">
        <v>45777.41673611111</v>
      </c>
      <c r="C937" s="1" t="n">
        <v>46158</v>
      </c>
      <c r="D937" t="inlineStr">
        <is>
          <t>ÖREBRO LÄN</t>
        </is>
      </c>
      <c r="E937" t="inlineStr">
        <is>
          <t>LINDESBERG</t>
        </is>
      </c>
      <c r="F937" t="inlineStr">
        <is>
          <t>Sveaskog</t>
        </is>
      </c>
      <c r="G937" t="n">
        <v>10.3</v>
      </c>
      <c r="H937" t="n">
        <v>0</v>
      </c>
      <c r="I937" t="n">
        <v>0</v>
      </c>
      <c r="J937" t="n">
        <v>0</v>
      </c>
      <c r="K937" t="n">
        <v>0</v>
      </c>
      <c r="L937" t="n">
        <v>0</v>
      </c>
      <c r="M937" t="n">
        <v>0</v>
      </c>
      <c r="N937" t="n">
        <v>0</v>
      </c>
      <c r="O937" t="n">
        <v>0</v>
      </c>
      <c r="P937" t="n">
        <v>0</v>
      </c>
      <c r="Q937" t="n">
        <v>0</v>
      </c>
      <c r="R937" s="2" t="inlineStr"/>
    </row>
    <row r="938" ht="15" customHeight="1">
      <c r="A938" t="inlineStr">
        <is>
          <t>A 20950-2025</t>
        </is>
      </c>
      <c r="B938" s="1" t="n">
        <v>45777.43878472222</v>
      </c>
      <c r="C938" s="1" t="n">
        <v>46158</v>
      </c>
      <c r="D938" t="inlineStr">
        <is>
          <t>ÖREBRO LÄN</t>
        </is>
      </c>
      <c r="E938" t="inlineStr">
        <is>
          <t>LINDESBERG</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12795-2025</t>
        </is>
      </c>
      <c r="B939" s="1" t="n">
        <v>45733.60959490741</v>
      </c>
      <c r="C939" s="1" t="n">
        <v>46158</v>
      </c>
      <c r="D939" t="inlineStr">
        <is>
          <t>ÖREBRO LÄN</t>
        </is>
      </c>
      <c r="E939" t="inlineStr">
        <is>
          <t>LINDESBERG</t>
        </is>
      </c>
      <c r="G939" t="n">
        <v>10.8</v>
      </c>
      <c r="H939" t="n">
        <v>0</v>
      </c>
      <c r="I939" t="n">
        <v>0</v>
      </c>
      <c r="J939" t="n">
        <v>0</v>
      </c>
      <c r="K939" t="n">
        <v>0</v>
      </c>
      <c r="L939" t="n">
        <v>0</v>
      </c>
      <c r="M939" t="n">
        <v>0</v>
      </c>
      <c r="N939" t="n">
        <v>0</v>
      </c>
      <c r="O939" t="n">
        <v>0</v>
      </c>
      <c r="P939" t="n">
        <v>0</v>
      </c>
      <c r="Q939" t="n">
        <v>0</v>
      </c>
      <c r="R939" s="2" t="inlineStr"/>
    </row>
    <row r="940" ht="15" customHeight="1">
      <c r="A940" t="inlineStr">
        <is>
          <t>A 20930-2025</t>
        </is>
      </c>
      <c r="B940" s="1" t="n">
        <v>45777.42628472222</v>
      </c>
      <c r="C940" s="1" t="n">
        <v>46158</v>
      </c>
      <c r="D940" t="inlineStr">
        <is>
          <t>ÖREBRO LÄN</t>
        </is>
      </c>
      <c r="E940" t="inlineStr">
        <is>
          <t>LINDESBERG</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20944-2025</t>
        </is>
      </c>
      <c r="B941" s="1" t="n">
        <v>45777</v>
      </c>
      <c r="C941" s="1" t="n">
        <v>46158</v>
      </c>
      <c r="D941" t="inlineStr">
        <is>
          <t>ÖREBRO LÄN</t>
        </is>
      </c>
      <c r="E941" t="inlineStr">
        <is>
          <t>LINDESBERG</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21812-2025</t>
        </is>
      </c>
      <c r="B942" s="1" t="n">
        <v>45783.71833333333</v>
      </c>
      <c r="C942" s="1" t="n">
        <v>46158</v>
      </c>
      <c r="D942" t="inlineStr">
        <is>
          <t>ÖREBRO LÄN</t>
        </is>
      </c>
      <c r="E942" t="inlineStr">
        <is>
          <t>LINDESBERG</t>
        </is>
      </c>
      <c r="G942" t="n">
        <v>0.9</v>
      </c>
      <c r="H942" t="n">
        <v>0</v>
      </c>
      <c r="I942" t="n">
        <v>0</v>
      </c>
      <c r="J942" t="n">
        <v>0</v>
      </c>
      <c r="K942" t="n">
        <v>0</v>
      </c>
      <c r="L942" t="n">
        <v>0</v>
      </c>
      <c r="M942" t="n">
        <v>0</v>
      </c>
      <c r="N942" t="n">
        <v>0</v>
      </c>
      <c r="O942" t="n">
        <v>0</v>
      </c>
      <c r="P942" t="n">
        <v>0</v>
      </c>
      <c r="Q942" t="n">
        <v>0</v>
      </c>
      <c r="R942" s="2" t="inlineStr"/>
    </row>
    <row r="943" ht="15" customHeight="1">
      <c r="A943" t="inlineStr">
        <is>
          <t>A 31861-2024</t>
        </is>
      </c>
      <c r="B943" s="1" t="n">
        <v>45509.73383101852</v>
      </c>
      <c r="C943" s="1" t="n">
        <v>46158</v>
      </c>
      <c r="D943" t="inlineStr">
        <is>
          <t>ÖREBRO LÄN</t>
        </is>
      </c>
      <c r="E943" t="inlineStr">
        <is>
          <t>LINDESBERG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43195-2024</t>
        </is>
      </c>
      <c r="B944" s="1" t="n">
        <v>45567.68003472222</v>
      </c>
      <c r="C944" s="1" t="n">
        <v>46158</v>
      </c>
      <c r="D944" t="inlineStr">
        <is>
          <t>ÖREBRO LÄN</t>
        </is>
      </c>
      <c r="E944" t="inlineStr">
        <is>
          <t>LINDESBERG</t>
        </is>
      </c>
      <c r="G944" t="n">
        <v>27.8</v>
      </c>
      <c r="H944" t="n">
        <v>0</v>
      </c>
      <c r="I944" t="n">
        <v>0</v>
      </c>
      <c r="J944" t="n">
        <v>0</v>
      </c>
      <c r="K944" t="n">
        <v>0</v>
      </c>
      <c r="L944" t="n">
        <v>0</v>
      </c>
      <c r="M944" t="n">
        <v>0</v>
      </c>
      <c r="N944" t="n">
        <v>0</v>
      </c>
      <c r="O944" t="n">
        <v>0</v>
      </c>
      <c r="P944" t="n">
        <v>0</v>
      </c>
      <c r="Q944" t="n">
        <v>0</v>
      </c>
      <c r="R944" s="2" t="inlineStr"/>
    </row>
    <row r="945" ht="15" customHeight="1">
      <c r="A945" t="inlineStr">
        <is>
          <t>A 24583-2024</t>
        </is>
      </c>
      <c r="B945" s="1" t="n">
        <v>45460.46358796296</v>
      </c>
      <c r="C945" s="1" t="n">
        <v>46158</v>
      </c>
      <c r="D945" t="inlineStr">
        <is>
          <t>ÖREBRO LÄN</t>
        </is>
      </c>
      <c r="E945" t="inlineStr">
        <is>
          <t>LINDESBERG</t>
        </is>
      </c>
      <c r="G945" t="n">
        <v>13.7</v>
      </c>
      <c r="H945" t="n">
        <v>0</v>
      </c>
      <c r="I945" t="n">
        <v>0</v>
      </c>
      <c r="J945" t="n">
        <v>0</v>
      </c>
      <c r="K945" t="n">
        <v>0</v>
      </c>
      <c r="L945" t="n">
        <v>0</v>
      </c>
      <c r="M945" t="n">
        <v>0</v>
      </c>
      <c r="N945" t="n">
        <v>0</v>
      </c>
      <c r="O945" t="n">
        <v>0</v>
      </c>
      <c r="P945" t="n">
        <v>0</v>
      </c>
      <c r="Q945" t="n">
        <v>0</v>
      </c>
      <c r="R945" s="2" t="inlineStr"/>
    </row>
    <row r="946" ht="15" customHeight="1">
      <c r="A946" t="inlineStr">
        <is>
          <t>A 28776-2023</t>
        </is>
      </c>
      <c r="B946" s="1" t="n">
        <v>45104.34107638889</v>
      </c>
      <c r="C946" s="1" t="n">
        <v>46158</v>
      </c>
      <c r="D946" t="inlineStr">
        <is>
          <t>ÖREBRO LÄN</t>
        </is>
      </c>
      <c r="E946" t="inlineStr">
        <is>
          <t>LINDESBERG</t>
        </is>
      </c>
      <c r="F946" t="inlineStr">
        <is>
          <t>Sveaskog</t>
        </is>
      </c>
      <c r="G946" t="n">
        <v>4.1</v>
      </c>
      <c r="H946" t="n">
        <v>0</v>
      </c>
      <c r="I946" t="n">
        <v>0</v>
      </c>
      <c r="J946" t="n">
        <v>0</v>
      </c>
      <c r="K946" t="n">
        <v>0</v>
      </c>
      <c r="L946" t="n">
        <v>0</v>
      </c>
      <c r="M946" t="n">
        <v>0</v>
      </c>
      <c r="N946" t="n">
        <v>0</v>
      </c>
      <c r="O946" t="n">
        <v>0</v>
      </c>
      <c r="P946" t="n">
        <v>0</v>
      </c>
      <c r="Q946" t="n">
        <v>0</v>
      </c>
      <c r="R946" s="2" t="inlineStr"/>
    </row>
    <row r="947" ht="15" customHeight="1">
      <c r="A947" t="inlineStr">
        <is>
          <t>A 22438-2025</t>
        </is>
      </c>
      <c r="B947" s="1" t="n">
        <v>45786</v>
      </c>
      <c r="C947" s="1" t="n">
        <v>46158</v>
      </c>
      <c r="D947" t="inlineStr">
        <is>
          <t>ÖREBRO LÄN</t>
        </is>
      </c>
      <c r="E947" t="inlineStr">
        <is>
          <t>LINDESBERG</t>
        </is>
      </c>
      <c r="F947" t="inlineStr">
        <is>
          <t>Sveaskog</t>
        </is>
      </c>
      <c r="G947" t="n">
        <v>6.1</v>
      </c>
      <c r="H947" t="n">
        <v>0</v>
      </c>
      <c r="I947" t="n">
        <v>0</v>
      </c>
      <c r="J947" t="n">
        <v>0</v>
      </c>
      <c r="K947" t="n">
        <v>0</v>
      </c>
      <c r="L947" t="n">
        <v>0</v>
      </c>
      <c r="M947" t="n">
        <v>0</v>
      </c>
      <c r="N947" t="n">
        <v>0</v>
      </c>
      <c r="O947" t="n">
        <v>0</v>
      </c>
      <c r="P947" t="n">
        <v>0</v>
      </c>
      <c r="Q947" t="n">
        <v>0</v>
      </c>
      <c r="R947" s="2" t="inlineStr"/>
    </row>
    <row r="948" ht="15" customHeight="1">
      <c r="A948" t="inlineStr">
        <is>
          <t>A 43532-2024</t>
        </is>
      </c>
      <c r="B948" s="1" t="n">
        <v>45569.3533912037</v>
      </c>
      <c r="C948" s="1" t="n">
        <v>46158</v>
      </c>
      <c r="D948" t="inlineStr">
        <is>
          <t>ÖREBRO LÄN</t>
        </is>
      </c>
      <c r="E948" t="inlineStr">
        <is>
          <t>LINDESBERG</t>
        </is>
      </c>
      <c r="G948" t="n">
        <v>2.4</v>
      </c>
      <c r="H948" t="n">
        <v>0</v>
      </c>
      <c r="I948" t="n">
        <v>0</v>
      </c>
      <c r="J948" t="n">
        <v>0</v>
      </c>
      <c r="K948" t="n">
        <v>0</v>
      </c>
      <c r="L948" t="n">
        <v>0</v>
      </c>
      <c r="M948" t="n">
        <v>0</v>
      </c>
      <c r="N948" t="n">
        <v>0</v>
      </c>
      <c r="O948" t="n">
        <v>0</v>
      </c>
      <c r="P948" t="n">
        <v>0</v>
      </c>
      <c r="Q948" t="n">
        <v>0</v>
      </c>
      <c r="R948" s="2" t="inlineStr"/>
    </row>
    <row r="949" ht="15" customHeight="1">
      <c r="A949" t="inlineStr">
        <is>
          <t>A 59282-2023</t>
        </is>
      </c>
      <c r="B949" s="1" t="n">
        <v>45253</v>
      </c>
      <c r="C949" s="1" t="n">
        <v>46158</v>
      </c>
      <c r="D949" t="inlineStr">
        <is>
          <t>ÖREBRO LÄN</t>
        </is>
      </c>
      <c r="E949" t="inlineStr">
        <is>
          <t>LINDESBERG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47601-2023</t>
        </is>
      </c>
      <c r="B950" s="1" t="n">
        <v>45203.45681712963</v>
      </c>
      <c r="C950" s="1" t="n">
        <v>46158</v>
      </c>
      <c r="D950" t="inlineStr">
        <is>
          <t>ÖREBRO LÄN</t>
        </is>
      </c>
      <c r="E950" t="inlineStr">
        <is>
          <t>LINDESBERG</t>
        </is>
      </c>
      <c r="G950" t="n">
        <v>37.6</v>
      </c>
      <c r="H950" t="n">
        <v>0</v>
      </c>
      <c r="I950" t="n">
        <v>0</v>
      </c>
      <c r="J950" t="n">
        <v>0</v>
      </c>
      <c r="K950" t="n">
        <v>0</v>
      </c>
      <c r="L950" t="n">
        <v>0</v>
      </c>
      <c r="M950" t="n">
        <v>0</v>
      </c>
      <c r="N950" t="n">
        <v>0</v>
      </c>
      <c r="O950" t="n">
        <v>0</v>
      </c>
      <c r="P950" t="n">
        <v>0</v>
      </c>
      <c r="Q950" t="n">
        <v>0</v>
      </c>
      <c r="R950" s="2" t="inlineStr"/>
    </row>
    <row r="951" ht="15" customHeight="1">
      <c r="A951" t="inlineStr">
        <is>
          <t>A 62308-2023</t>
        </is>
      </c>
      <c r="B951" s="1" t="n">
        <v>45267.69052083333</v>
      </c>
      <c r="C951" s="1" t="n">
        <v>46158</v>
      </c>
      <c r="D951" t="inlineStr">
        <is>
          <t>ÖREBRO LÄN</t>
        </is>
      </c>
      <c r="E951" t="inlineStr">
        <is>
          <t>LINDESBERG</t>
        </is>
      </c>
      <c r="F951" t="inlineStr">
        <is>
          <t>Naturvårdsverket</t>
        </is>
      </c>
      <c r="G951" t="n">
        <v>3.1</v>
      </c>
      <c r="H951" t="n">
        <v>0</v>
      </c>
      <c r="I951" t="n">
        <v>0</v>
      </c>
      <c r="J951" t="n">
        <v>0</v>
      </c>
      <c r="K951" t="n">
        <v>0</v>
      </c>
      <c r="L951" t="n">
        <v>0</v>
      </c>
      <c r="M951" t="n">
        <v>0</v>
      </c>
      <c r="N951" t="n">
        <v>0</v>
      </c>
      <c r="O951" t="n">
        <v>0</v>
      </c>
      <c r="P951" t="n">
        <v>0</v>
      </c>
      <c r="Q951" t="n">
        <v>0</v>
      </c>
      <c r="R951" s="2" t="inlineStr"/>
    </row>
    <row r="952" ht="15" customHeight="1">
      <c r="A952" t="inlineStr">
        <is>
          <t>A 22078-2025</t>
        </is>
      </c>
      <c r="B952" s="1" t="n">
        <v>45785.4253125</v>
      </c>
      <c r="C952" s="1" t="n">
        <v>46158</v>
      </c>
      <c r="D952" t="inlineStr">
        <is>
          <t>ÖREBRO LÄN</t>
        </is>
      </c>
      <c r="E952" t="inlineStr">
        <is>
          <t>LINDESBERG</t>
        </is>
      </c>
      <c r="G952" t="n">
        <v>2.4</v>
      </c>
      <c r="H952" t="n">
        <v>0</v>
      </c>
      <c r="I952" t="n">
        <v>0</v>
      </c>
      <c r="J952" t="n">
        <v>0</v>
      </c>
      <c r="K952" t="n">
        <v>0</v>
      </c>
      <c r="L952" t="n">
        <v>0</v>
      </c>
      <c r="M952" t="n">
        <v>0</v>
      </c>
      <c r="N952" t="n">
        <v>0</v>
      </c>
      <c r="O952" t="n">
        <v>0</v>
      </c>
      <c r="P952" t="n">
        <v>0</v>
      </c>
      <c r="Q952" t="n">
        <v>0</v>
      </c>
      <c r="R952" s="2" t="inlineStr"/>
    </row>
    <row r="953" ht="15" customHeight="1">
      <c r="A953" t="inlineStr">
        <is>
          <t>A 36686-2024</t>
        </is>
      </c>
      <c r="B953" s="1" t="n">
        <v>45537.665</v>
      </c>
      <c r="C953" s="1" t="n">
        <v>46158</v>
      </c>
      <c r="D953" t="inlineStr">
        <is>
          <t>ÖREBRO LÄN</t>
        </is>
      </c>
      <c r="E953" t="inlineStr">
        <is>
          <t>LINDESBERG</t>
        </is>
      </c>
      <c r="F953" t="inlineStr">
        <is>
          <t>Sveaskog</t>
        </is>
      </c>
      <c r="G953" t="n">
        <v>3.9</v>
      </c>
      <c r="H953" t="n">
        <v>0</v>
      </c>
      <c r="I953" t="n">
        <v>0</v>
      </c>
      <c r="J953" t="n">
        <v>0</v>
      </c>
      <c r="K953" t="n">
        <v>0</v>
      </c>
      <c r="L953" t="n">
        <v>0</v>
      </c>
      <c r="M953" t="n">
        <v>0</v>
      </c>
      <c r="N953" t="n">
        <v>0</v>
      </c>
      <c r="O953" t="n">
        <v>0</v>
      </c>
      <c r="P953" t="n">
        <v>0</v>
      </c>
      <c r="Q953" t="n">
        <v>0</v>
      </c>
      <c r="R953" s="2" t="inlineStr"/>
    </row>
    <row r="954" ht="15" customHeight="1">
      <c r="A954" t="inlineStr">
        <is>
          <t>A 53355-2023</t>
        </is>
      </c>
      <c r="B954" s="1" t="n">
        <v>45229.66430555555</v>
      </c>
      <c r="C954" s="1" t="n">
        <v>46158</v>
      </c>
      <c r="D954" t="inlineStr">
        <is>
          <t>ÖREBRO LÄN</t>
        </is>
      </c>
      <c r="E954" t="inlineStr">
        <is>
          <t>LINDESBERG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36680-2024</t>
        </is>
      </c>
      <c r="B955" s="1" t="n">
        <v>45537.65305555556</v>
      </c>
      <c r="C955" s="1" t="n">
        <v>46158</v>
      </c>
      <c r="D955" t="inlineStr">
        <is>
          <t>ÖREBRO LÄN</t>
        </is>
      </c>
      <c r="E955" t="inlineStr">
        <is>
          <t>LINDESBERG</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54793-2024</t>
        </is>
      </c>
      <c r="B956" s="1" t="n">
        <v>45618</v>
      </c>
      <c r="C956" s="1" t="n">
        <v>46158</v>
      </c>
      <c r="D956" t="inlineStr">
        <is>
          <t>ÖREBRO LÄN</t>
        </is>
      </c>
      <c r="E956" t="inlineStr">
        <is>
          <t>LINDESBERG</t>
        </is>
      </c>
      <c r="G956" t="n">
        <v>3</v>
      </c>
      <c r="H956" t="n">
        <v>0</v>
      </c>
      <c r="I956" t="n">
        <v>0</v>
      </c>
      <c r="J956" t="n">
        <v>0</v>
      </c>
      <c r="K956" t="n">
        <v>0</v>
      </c>
      <c r="L956" t="n">
        <v>0</v>
      </c>
      <c r="M956" t="n">
        <v>0</v>
      </c>
      <c r="N956" t="n">
        <v>0</v>
      </c>
      <c r="O956" t="n">
        <v>0</v>
      </c>
      <c r="P956" t="n">
        <v>0</v>
      </c>
      <c r="Q956" t="n">
        <v>0</v>
      </c>
      <c r="R956" s="2" t="inlineStr"/>
    </row>
    <row r="957" ht="15" customHeight="1">
      <c r="A957" t="inlineStr">
        <is>
          <t>A 22543-2025</t>
        </is>
      </c>
      <c r="B957" s="1" t="n">
        <v>45788.42467592593</v>
      </c>
      <c r="C957" s="1" t="n">
        <v>46158</v>
      </c>
      <c r="D957" t="inlineStr">
        <is>
          <t>ÖREBRO LÄN</t>
        </is>
      </c>
      <c r="E957" t="inlineStr">
        <is>
          <t>LINDESBERG</t>
        </is>
      </c>
      <c r="G957" t="n">
        <v>6.7</v>
      </c>
      <c r="H957" t="n">
        <v>0</v>
      </c>
      <c r="I957" t="n">
        <v>0</v>
      </c>
      <c r="J957" t="n">
        <v>0</v>
      </c>
      <c r="K957" t="n">
        <v>0</v>
      </c>
      <c r="L957" t="n">
        <v>0</v>
      </c>
      <c r="M957" t="n">
        <v>0</v>
      </c>
      <c r="N957" t="n">
        <v>0</v>
      </c>
      <c r="O957" t="n">
        <v>0</v>
      </c>
      <c r="P957" t="n">
        <v>0</v>
      </c>
      <c r="Q957" t="n">
        <v>0</v>
      </c>
      <c r="R957" s="2" t="inlineStr"/>
    </row>
    <row r="958">
      <c r="A958" t="inlineStr">
        <is>
          <t>A 23245-2025</t>
        </is>
      </c>
      <c r="B958" s="1" t="n">
        <v>45791.50862268519</v>
      </c>
      <c r="C958" s="1" t="n">
        <v>46158</v>
      </c>
      <c r="D958" t="inlineStr">
        <is>
          <t>ÖREBRO LÄN</t>
        </is>
      </c>
      <c r="E958" t="inlineStr">
        <is>
          <t>LINDESBERG</t>
        </is>
      </c>
      <c r="G958" t="n">
        <v>6.8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2026-05-16T12:14:27Z</dcterms:created>
  <dcterms:modified xmlns:dcterms="http://purl.org/dc/terms/" xmlns:xsi="http://www.w3.org/2001/XMLSchema-instance" xsi:type="dcterms:W3CDTF">2026-05-16T12:14:28Z</dcterms:modified>
</cp:coreProperties>
</file>