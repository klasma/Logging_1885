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45972</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45972</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45972</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45972</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45972</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45972</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45972</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45972</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45972</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50989-2023</t>
        </is>
      </c>
      <c r="B19" s="1" t="n">
        <v>45218</v>
      </c>
      <c r="C19" s="1" t="n">
        <v>45972</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45972</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54020-2024</t>
        </is>
      </c>
      <c r="B21" s="1" t="n">
        <v>45616.38605324074</v>
      </c>
      <c r="C21" s="1" t="n">
        <v>45972</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49945-2025</t>
        </is>
      </c>
      <c r="B22" s="1" t="n">
        <v>45940.69754629629</v>
      </c>
      <c r="C22" s="1" t="n">
        <v>45972</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45972</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45972</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45972</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45972</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14807-2021</t>
        </is>
      </c>
      <c r="B27" s="1" t="n">
        <v>44280</v>
      </c>
      <c r="C27" s="1" t="n">
        <v>45972</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45972</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1475-2025</t>
        </is>
      </c>
      <c r="B29" s="1" t="n">
        <v>45670</v>
      </c>
      <c r="C29" s="1" t="n">
        <v>45972</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34292-2023</t>
        </is>
      </c>
      <c r="B30" s="1" t="n">
        <v>45138</v>
      </c>
      <c r="C30" s="1" t="n">
        <v>45972</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53686-2024</t>
        </is>
      </c>
      <c r="B31" s="1" t="n">
        <v>45615</v>
      </c>
      <c r="C31" s="1" t="n">
        <v>45972</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42629-2025</t>
        </is>
      </c>
      <c r="B32" s="1" t="n">
        <v>45905.88938657408</v>
      </c>
      <c r="C32" s="1" t="n">
        <v>45972</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54093-2025</t>
        </is>
      </c>
      <c r="B33" s="1" t="n">
        <v>45964.40112268519</v>
      </c>
      <c r="C33" s="1" t="n">
        <v>45972</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45972</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45972</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45972</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45972</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21181-2021</t>
        </is>
      </c>
      <c r="B38" s="1" t="n">
        <v>44320</v>
      </c>
      <c r="C38" s="1" t="n">
        <v>45972</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45051-2024</t>
        </is>
      </c>
      <c r="B39" s="1" t="n">
        <v>45575.54934027778</v>
      </c>
      <c r="C39" s="1" t="n">
        <v>45972</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45972</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6192-2025</t>
        </is>
      </c>
      <c r="B41" s="1" t="n">
        <v>45698.46697916667</v>
      </c>
      <c r="C41" s="1" t="n">
        <v>45972</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45972</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28569-2024</t>
        </is>
      </c>
      <c r="B43" s="1" t="n">
        <v>45478.39592592593</v>
      </c>
      <c r="C43" s="1" t="n">
        <v>45972</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45972</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45972</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67013-2021</t>
        </is>
      </c>
      <c r="B46" s="1" t="n">
        <v>44522</v>
      </c>
      <c r="C46" s="1" t="n">
        <v>45972</v>
      </c>
      <c r="D46" t="inlineStr">
        <is>
          <t>ÖREBRO LÄN</t>
        </is>
      </c>
      <c r="E46" t="inlineStr">
        <is>
          <t>LINDESBERG</t>
        </is>
      </c>
      <c r="G46" t="n">
        <v>0.5</v>
      </c>
      <c r="H46" t="n">
        <v>0</v>
      </c>
      <c r="I46" t="n">
        <v>0</v>
      </c>
      <c r="J46" t="n">
        <v>1</v>
      </c>
      <c r="K46" t="n">
        <v>0</v>
      </c>
      <c r="L46" t="n">
        <v>0</v>
      </c>
      <c r="M46" t="n">
        <v>0</v>
      </c>
      <c r="N46" t="n">
        <v>0</v>
      </c>
      <c r="O46" t="n">
        <v>1</v>
      </c>
      <c r="P46" t="n">
        <v>0</v>
      </c>
      <c r="Q46" t="n">
        <v>1</v>
      </c>
      <c r="R46" s="2" t="inlineStr">
        <is>
          <t>Skogsklocka</t>
        </is>
      </c>
      <c r="S46">
        <f>HYPERLINK("https://klasma.github.io/Logging_1885/artfynd/A 67013-2021 artfynd.xlsx", "A 67013-2021")</f>
        <v/>
      </c>
      <c r="T46">
        <f>HYPERLINK("https://klasma.github.io/Logging_1885/kartor/A 67013-2021 karta.png", "A 67013-2021")</f>
        <v/>
      </c>
      <c r="V46">
        <f>HYPERLINK("https://klasma.github.io/Logging_1885/klagomål/A 67013-2021 FSC-klagomål.docx", "A 67013-2021")</f>
        <v/>
      </c>
      <c r="W46">
        <f>HYPERLINK("https://klasma.github.io/Logging_1885/klagomålsmail/A 67013-2021 FSC-klagomål mail.docx", "A 67013-2021")</f>
        <v/>
      </c>
      <c r="X46">
        <f>HYPERLINK("https://klasma.github.io/Logging_1885/tillsyn/A 67013-2021 tillsynsbegäran.docx", "A 67013-2021")</f>
        <v/>
      </c>
      <c r="Y46">
        <f>HYPERLINK("https://klasma.github.io/Logging_1885/tillsynsmail/A 67013-2021 tillsynsbegäran mail.docx", "A 67013-2021")</f>
        <v/>
      </c>
    </row>
    <row r="47" ht="15" customHeight="1">
      <c r="A47" t="inlineStr">
        <is>
          <t>A 33286-2024</t>
        </is>
      </c>
      <c r="B47" s="1" t="n">
        <v>45518</v>
      </c>
      <c r="C47" s="1" t="n">
        <v>45972</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61132-2024</t>
        </is>
      </c>
      <c r="B48" s="1" t="n">
        <v>45645</v>
      </c>
      <c r="C48" s="1" t="n">
        <v>45972</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3729-2023</t>
        </is>
      </c>
      <c r="B49" s="1" t="n">
        <v>44949</v>
      </c>
      <c r="C49" s="1" t="n">
        <v>45972</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28787-2023</t>
        </is>
      </c>
      <c r="B50" s="1" t="n">
        <v>45104.3483912037</v>
      </c>
      <c r="C50" s="1" t="n">
        <v>45972</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27900-2024</t>
        </is>
      </c>
      <c r="B51" s="1" t="n">
        <v>45475.92849537037</v>
      </c>
      <c r="C51" s="1" t="n">
        <v>45972</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48956-2025</t>
        </is>
      </c>
      <c r="B52" s="1" t="n">
        <v>45937.54982638889</v>
      </c>
      <c r="C52" s="1" t="n">
        <v>45972</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21440-2025</t>
        </is>
      </c>
      <c r="B53" s="1" t="n">
        <v>45782.5300462963</v>
      </c>
      <c r="C53" s="1" t="n">
        <v>45972</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21779-2025</t>
        </is>
      </c>
      <c r="B54" s="1" t="n">
        <v>45783.66537037037</v>
      </c>
      <c r="C54" s="1" t="n">
        <v>45972</v>
      </c>
      <c r="D54" t="inlineStr">
        <is>
          <t>ÖREBRO LÄN</t>
        </is>
      </c>
      <c r="E54" t="inlineStr">
        <is>
          <t>LINDESBERG</t>
        </is>
      </c>
      <c r="G54" t="n">
        <v>8.5</v>
      </c>
      <c r="H54" t="n">
        <v>1</v>
      </c>
      <c r="I54" t="n">
        <v>0</v>
      </c>
      <c r="J54" t="n">
        <v>0</v>
      </c>
      <c r="K54" t="n">
        <v>0</v>
      </c>
      <c r="L54" t="n">
        <v>0</v>
      </c>
      <c r="M54" t="n">
        <v>0</v>
      </c>
      <c r="N54" t="n">
        <v>0</v>
      </c>
      <c r="O54" t="n">
        <v>0</v>
      </c>
      <c r="P54" t="n">
        <v>0</v>
      </c>
      <c r="Q54" t="n">
        <v>1</v>
      </c>
      <c r="R54" s="2" t="inlineStr">
        <is>
          <t>Mindre vattensalamander</t>
        </is>
      </c>
      <c r="S54">
        <f>HYPERLINK("https://klasma.github.io/Logging_1885/artfynd/A 21779-2025 artfynd.xlsx", "A 21779-2025")</f>
        <v/>
      </c>
      <c r="T54">
        <f>HYPERLINK("https://klasma.github.io/Logging_1885/kartor/A 21779-2025 karta.png", "A 21779-2025")</f>
        <v/>
      </c>
      <c r="V54">
        <f>HYPERLINK("https://klasma.github.io/Logging_1885/klagomål/A 21779-2025 FSC-klagomål.docx", "A 21779-2025")</f>
        <v/>
      </c>
      <c r="W54">
        <f>HYPERLINK("https://klasma.github.io/Logging_1885/klagomålsmail/A 21779-2025 FSC-klagomål mail.docx", "A 21779-2025")</f>
        <v/>
      </c>
      <c r="X54">
        <f>HYPERLINK("https://klasma.github.io/Logging_1885/tillsyn/A 21779-2025 tillsynsbegäran.docx", "A 21779-2025")</f>
        <v/>
      </c>
      <c r="Y54">
        <f>HYPERLINK("https://klasma.github.io/Logging_1885/tillsynsmail/A 21779-2025 tillsynsbegäran mail.docx", "A 21779-2025")</f>
        <v/>
      </c>
    </row>
    <row r="55" ht="15" customHeight="1">
      <c r="A55" t="inlineStr">
        <is>
          <t>A 53598-2024</t>
        </is>
      </c>
      <c r="B55" s="1" t="n">
        <v>45614.68287037037</v>
      </c>
      <c r="C55" s="1" t="n">
        <v>45972</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30347-2025</t>
        </is>
      </c>
      <c r="B56" s="1" t="n">
        <v>45827.53077546296</v>
      </c>
      <c r="C56" s="1" t="n">
        <v>45972</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70466-2021</t>
        </is>
      </c>
      <c r="B57" s="1" t="n">
        <v>44536</v>
      </c>
      <c r="C57" s="1" t="n">
        <v>45972</v>
      </c>
      <c r="D57" t="inlineStr">
        <is>
          <t>ÖREBRO LÄN</t>
        </is>
      </c>
      <c r="E57" t="inlineStr">
        <is>
          <t>LINDESBERG</t>
        </is>
      </c>
      <c r="G57" t="n">
        <v>4.4</v>
      </c>
      <c r="H57" t="n">
        <v>1</v>
      </c>
      <c r="I57" t="n">
        <v>0</v>
      </c>
      <c r="J57" t="n">
        <v>0</v>
      </c>
      <c r="K57" t="n">
        <v>1</v>
      </c>
      <c r="L57" t="n">
        <v>0</v>
      </c>
      <c r="M57" t="n">
        <v>0</v>
      </c>
      <c r="N57" t="n">
        <v>0</v>
      </c>
      <c r="O57" t="n">
        <v>1</v>
      </c>
      <c r="P57" t="n">
        <v>1</v>
      </c>
      <c r="Q57" t="n">
        <v>1</v>
      </c>
      <c r="R57" s="2" t="inlineStr">
        <is>
          <t>Knärot</t>
        </is>
      </c>
      <c r="S57">
        <f>HYPERLINK("https://klasma.github.io/Logging_1885/artfynd/A 70466-2021 artfynd.xlsx", "A 70466-2021")</f>
        <v/>
      </c>
      <c r="T57">
        <f>HYPERLINK("https://klasma.github.io/Logging_1885/kartor/A 70466-2021 karta.png", "A 70466-2021")</f>
        <v/>
      </c>
      <c r="U57">
        <f>HYPERLINK("https://klasma.github.io/Logging_1885/knärot/A 70466-2021 karta knärot.png", "A 70466-2021")</f>
        <v/>
      </c>
      <c r="V57">
        <f>HYPERLINK("https://klasma.github.io/Logging_1885/klagomål/A 70466-2021 FSC-klagomål.docx", "A 70466-2021")</f>
        <v/>
      </c>
      <c r="W57">
        <f>HYPERLINK("https://klasma.github.io/Logging_1885/klagomålsmail/A 70466-2021 FSC-klagomål mail.docx", "A 70466-2021")</f>
        <v/>
      </c>
      <c r="X57">
        <f>HYPERLINK("https://klasma.github.io/Logging_1885/tillsyn/A 70466-2021 tillsynsbegäran.docx", "A 70466-2021")</f>
        <v/>
      </c>
      <c r="Y57">
        <f>HYPERLINK("https://klasma.github.io/Logging_1885/tillsynsmail/A 70466-2021 tillsynsbegäran mail.docx", "A 70466-2021")</f>
        <v/>
      </c>
    </row>
    <row r="58" ht="15" customHeight="1">
      <c r="A58" t="inlineStr">
        <is>
          <t>A 50777-2025</t>
        </is>
      </c>
      <c r="B58" s="1" t="n">
        <v>45946.45171296296</v>
      </c>
      <c r="C58" s="1" t="n">
        <v>45972</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53600-2024</t>
        </is>
      </c>
      <c r="B59" s="1" t="n">
        <v>45614.68596064814</v>
      </c>
      <c r="C59" s="1" t="n">
        <v>45972</v>
      </c>
      <c r="D59" t="inlineStr">
        <is>
          <t>ÖREBRO LÄN</t>
        </is>
      </c>
      <c r="E59" t="inlineStr">
        <is>
          <t>LINDESBERG</t>
        </is>
      </c>
      <c r="G59" t="n">
        <v>2.2</v>
      </c>
      <c r="H59" t="n">
        <v>1</v>
      </c>
      <c r="I59" t="n">
        <v>0</v>
      </c>
      <c r="J59" t="n">
        <v>0</v>
      </c>
      <c r="K59" t="n">
        <v>0</v>
      </c>
      <c r="L59" t="n">
        <v>1</v>
      </c>
      <c r="M59" t="n">
        <v>0</v>
      </c>
      <c r="N59" t="n">
        <v>0</v>
      </c>
      <c r="O59" t="n">
        <v>1</v>
      </c>
      <c r="P59" t="n">
        <v>1</v>
      </c>
      <c r="Q59" t="n">
        <v>1</v>
      </c>
      <c r="R59" s="2" t="inlineStr">
        <is>
          <t>Asknätfjäril</t>
        </is>
      </c>
      <c r="S59">
        <f>HYPERLINK("https://klasma.github.io/Logging_1885/artfynd/A 53600-2024 artfynd.xlsx", "A 53600-2024")</f>
        <v/>
      </c>
      <c r="T59">
        <f>HYPERLINK("https://klasma.github.io/Logging_1885/kartor/A 53600-2024 karta.png", "A 53600-2024")</f>
        <v/>
      </c>
      <c r="V59">
        <f>HYPERLINK("https://klasma.github.io/Logging_1885/klagomål/A 53600-2024 FSC-klagomål.docx", "A 53600-2024")</f>
        <v/>
      </c>
      <c r="W59">
        <f>HYPERLINK("https://klasma.github.io/Logging_1885/klagomålsmail/A 53600-2024 FSC-klagomål mail.docx", "A 53600-2024")</f>
        <v/>
      </c>
      <c r="X59">
        <f>HYPERLINK("https://klasma.github.io/Logging_1885/tillsyn/A 53600-2024 tillsynsbegäran.docx", "A 53600-2024")</f>
        <v/>
      </c>
      <c r="Y59">
        <f>HYPERLINK("https://klasma.github.io/Logging_1885/tillsynsmail/A 53600-2024 tillsynsbegäran mail.docx", "A 53600-2024")</f>
        <v/>
      </c>
    </row>
    <row r="60" ht="15" customHeight="1">
      <c r="A60" t="inlineStr">
        <is>
          <t>A 50766-2025</t>
        </is>
      </c>
      <c r="B60" s="1" t="n">
        <v>45946.44423611111</v>
      </c>
      <c r="C60" s="1" t="n">
        <v>45972</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45972</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45972</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45972</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31052-2025</t>
        </is>
      </c>
      <c r="B64" s="1" t="n">
        <v>45832.56153935185</v>
      </c>
      <c r="C64" s="1" t="n">
        <v>45972</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34266-2025</t>
        </is>
      </c>
      <c r="B65" s="1" t="n">
        <v>45845.75751157408</v>
      </c>
      <c r="C65" s="1" t="n">
        <v>45972</v>
      </c>
      <c r="D65" t="inlineStr">
        <is>
          <t>ÖREBRO LÄN</t>
        </is>
      </c>
      <c r="E65" t="inlineStr">
        <is>
          <t>LINDESBERG</t>
        </is>
      </c>
      <c r="G65" t="n">
        <v>4.5</v>
      </c>
      <c r="H65" t="n">
        <v>0</v>
      </c>
      <c r="I65" t="n">
        <v>1</v>
      </c>
      <c r="J65" t="n">
        <v>0</v>
      </c>
      <c r="K65" t="n">
        <v>0</v>
      </c>
      <c r="L65" t="n">
        <v>0</v>
      </c>
      <c r="M65" t="n">
        <v>0</v>
      </c>
      <c r="N65" t="n">
        <v>0</v>
      </c>
      <c r="O65" t="n">
        <v>0</v>
      </c>
      <c r="P65" t="n">
        <v>0</v>
      </c>
      <c r="Q65" t="n">
        <v>1</v>
      </c>
      <c r="R65" s="2" t="inlineStr">
        <is>
          <t>Dropptaggsvamp</t>
        </is>
      </c>
      <c r="S65">
        <f>HYPERLINK("https://klasma.github.io/Logging_1885/artfynd/A 34266-2025 artfynd.xlsx", "A 34266-2025")</f>
        <v/>
      </c>
      <c r="T65">
        <f>HYPERLINK("https://klasma.github.io/Logging_1885/kartor/A 34266-2025 karta.png", "A 34266-2025")</f>
        <v/>
      </c>
      <c r="V65">
        <f>HYPERLINK("https://klasma.github.io/Logging_1885/klagomål/A 34266-2025 FSC-klagomål.docx", "A 34266-2025")</f>
        <v/>
      </c>
      <c r="W65">
        <f>HYPERLINK("https://klasma.github.io/Logging_1885/klagomålsmail/A 34266-2025 FSC-klagomål mail.docx", "A 34266-2025")</f>
        <v/>
      </c>
      <c r="X65">
        <f>HYPERLINK("https://klasma.github.io/Logging_1885/tillsyn/A 34266-2025 tillsynsbegäran.docx", "A 34266-2025")</f>
        <v/>
      </c>
      <c r="Y65">
        <f>HYPERLINK("https://klasma.github.io/Logging_1885/tillsynsmail/A 34266-2025 tillsynsbegäran mail.docx", "A 34266-2025")</f>
        <v/>
      </c>
    </row>
    <row r="66" ht="15" customHeight="1">
      <c r="A66" t="inlineStr">
        <is>
          <t>A 36669-2024</t>
        </is>
      </c>
      <c r="B66" s="1" t="n">
        <v>45537.64484953704</v>
      </c>
      <c r="C66" s="1" t="n">
        <v>45972</v>
      </c>
      <c r="D66" t="inlineStr">
        <is>
          <t>ÖREBRO LÄN</t>
        </is>
      </c>
      <c r="E66" t="inlineStr">
        <is>
          <t>LINDESBERG</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HYPERLINK("https://klasma.github.io/Logging_1885/artfynd/A 36669-2024 artfynd.xlsx", "A 36669-2024")</f>
        <v/>
      </c>
      <c r="T66">
        <f>HYPERLINK("https://klasma.github.io/Logging_1885/kartor/A 36669-2024 karta.png", "A 36669-2024")</f>
        <v/>
      </c>
      <c r="V66">
        <f>HYPERLINK("https://klasma.github.io/Logging_1885/klagomål/A 36669-2024 FSC-klagomål.docx", "A 36669-2024")</f>
        <v/>
      </c>
      <c r="W66">
        <f>HYPERLINK("https://klasma.github.io/Logging_1885/klagomålsmail/A 36669-2024 FSC-klagomål mail.docx", "A 36669-2024")</f>
        <v/>
      </c>
      <c r="X66">
        <f>HYPERLINK("https://klasma.github.io/Logging_1885/tillsyn/A 36669-2024 tillsynsbegäran.docx", "A 36669-2024")</f>
        <v/>
      </c>
      <c r="Y66">
        <f>HYPERLINK("https://klasma.github.io/Logging_1885/tillsynsmail/A 36669-2024 tillsynsbegäran mail.docx", "A 36669-2024")</f>
        <v/>
      </c>
    </row>
    <row r="67" ht="15" customHeight="1">
      <c r="A67" t="inlineStr">
        <is>
          <t>A 45467-2025</t>
        </is>
      </c>
      <c r="B67" s="1" t="n">
        <v>45922.49990740741</v>
      </c>
      <c r="C67" s="1" t="n">
        <v>45972</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54092-2025</t>
        </is>
      </c>
      <c r="B68" s="1" t="n">
        <v>45964.3965625</v>
      </c>
      <c r="C68" s="1" t="n">
        <v>45972</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37834-2025</t>
        </is>
      </c>
      <c r="B69" s="1" t="n">
        <v>45881.42446759259</v>
      </c>
      <c r="C69" s="1" t="n">
        <v>45972</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59721-2020</t>
        </is>
      </c>
      <c r="B70" s="1" t="n">
        <v>44151</v>
      </c>
      <c r="C70" s="1" t="n">
        <v>45972</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45972</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45972</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45972</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45972</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45972</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45972</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45972</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45972</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60302-2021</t>
        </is>
      </c>
      <c r="B79" s="1" t="n">
        <v>44495.87667824074</v>
      </c>
      <c r="C79" s="1" t="n">
        <v>45972</v>
      </c>
      <c r="D79" t="inlineStr">
        <is>
          <t>ÖREBRO LÄN</t>
        </is>
      </c>
      <c r="E79" t="inlineStr">
        <is>
          <t>LINDESBERG</t>
        </is>
      </c>
      <c r="G79" t="n">
        <v>3.2</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45972</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45972</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45972</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45972</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45972</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45972</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45972</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45972</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45972</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45972</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45972</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45972</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45972</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45972</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45972</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45972</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45972</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58638-2020</t>
        </is>
      </c>
      <c r="B97" s="1" t="n">
        <v>44145</v>
      </c>
      <c r="C97" s="1" t="n">
        <v>45972</v>
      </c>
      <c r="D97" t="inlineStr">
        <is>
          <t>ÖREBRO LÄN</t>
        </is>
      </c>
      <c r="E97" t="inlineStr">
        <is>
          <t>LINDESBERG</t>
        </is>
      </c>
      <c r="G97" t="n">
        <v>2.9</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45972</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45972</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45972</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45972</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45972</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45972</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45972</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45972</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45972</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45972</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45972</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45972</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45972</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45972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45972</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45972</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45972</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45972</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45972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45972</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45972</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45972</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45972</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45972</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45972</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45972</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45972</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45972</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45972</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45972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45972</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45972</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45972</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45972</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45972</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45972</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45972</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45972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45972</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45972</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45972</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45972</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45972</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45972</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45972</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45972</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45972</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45972</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45972</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45972</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45972</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45972</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45972</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45972</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45972</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45972</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45972</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45972</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45972</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45972</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45972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45972</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45972</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45972</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45972</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45972</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45972</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45972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45972</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11271-2022</t>
        </is>
      </c>
      <c r="B167" s="1" t="n">
        <v>44629</v>
      </c>
      <c r="C167" s="1" t="n">
        <v>45972</v>
      </c>
      <c r="D167" t="inlineStr">
        <is>
          <t>ÖREBRO LÄN</t>
        </is>
      </c>
      <c r="E167" t="inlineStr">
        <is>
          <t>LINDESBERG</t>
        </is>
      </c>
      <c r="G167" t="n">
        <v>7.8</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45972</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45972</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45972</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45972</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45972</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45972</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45972</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45972</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48365-2021</t>
        </is>
      </c>
      <c r="B176" s="1" t="n">
        <v>44451.78710648148</v>
      </c>
      <c r="C176" s="1" t="n">
        <v>45972</v>
      </c>
      <c r="D176" t="inlineStr">
        <is>
          <t>ÖREBRO LÄN</t>
        </is>
      </c>
      <c r="E176" t="inlineStr">
        <is>
          <t>LINDESBERG</t>
        </is>
      </c>
      <c r="G176" t="n">
        <v>0.7</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45972</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45972</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45972</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45972</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45972</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30122-2021</t>
        </is>
      </c>
      <c r="B182" s="1" t="n">
        <v>44363</v>
      </c>
      <c r="C182" s="1" t="n">
        <v>45972</v>
      </c>
      <c r="D182" t="inlineStr">
        <is>
          <t>ÖREBRO LÄN</t>
        </is>
      </c>
      <c r="E182" t="inlineStr">
        <is>
          <t>LINDESBERG</t>
        </is>
      </c>
      <c r="G182" t="n">
        <v>3.3</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45972</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45972</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1230-2021</t>
        </is>
      </c>
      <c r="B185" s="1" t="n">
        <v>44208</v>
      </c>
      <c r="C185" s="1" t="n">
        <v>45972</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45972</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45972</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12511-2021</t>
        </is>
      </c>
      <c r="B188" s="1" t="n">
        <v>44268.55900462963</v>
      </c>
      <c r="C188" s="1" t="n">
        <v>45972</v>
      </c>
      <c r="D188" t="inlineStr">
        <is>
          <t>ÖREBRO LÄN</t>
        </is>
      </c>
      <c r="E188" t="inlineStr">
        <is>
          <t>LINDESBERG</t>
        </is>
      </c>
      <c r="G188" t="n">
        <v>5.2</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45972</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45972</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59006-2021</t>
        </is>
      </c>
      <c r="B191" s="1" t="n">
        <v>44490</v>
      </c>
      <c r="C191" s="1" t="n">
        <v>45972</v>
      </c>
      <c r="D191" t="inlineStr">
        <is>
          <t>ÖREBRO LÄN</t>
        </is>
      </c>
      <c r="E191" t="inlineStr">
        <is>
          <t>LINDESBERG</t>
        </is>
      </c>
      <c r="G191" t="n">
        <v>5.6</v>
      </c>
      <c r="H191" t="n">
        <v>0</v>
      </c>
      <c r="I191" t="n">
        <v>0</v>
      </c>
      <c r="J191" t="n">
        <v>0</v>
      </c>
      <c r="K191" t="n">
        <v>0</v>
      </c>
      <c r="L191" t="n">
        <v>0</v>
      </c>
      <c r="M191" t="n">
        <v>0</v>
      </c>
      <c r="N191" t="n">
        <v>0</v>
      </c>
      <c r="O191" t="n">
        <v>0</v>
      </c>
      <c r="P191" t="n">
        <v>0</v>
      </c>
      <c r="Q191" t="n">
        <v>0</v>
      </c>
      <c r="R191" s="2" t="inlineStr"/>
    </row>
    <row r="192" ht="15" customHeight="1">
      <c r="A192" t="inlineStr">
        <is>
          <t>A 70475-2021</t>
        </is>
      </c>
      <c r="B192" s="1" t="n">
        <v>44536</v>
      </c>
      <c r="C192" s="1" t="n">
        <v>45972</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20238-2022</t>
        </is>
      </c>
      <c r="B193" s="1" t="n">
        <v>44698.62354166667</v>
      </c>
      <c r="C193" s="1" t="n">
        <v>45972</v>
      </c>
      <c r="D193" t="inlineStr">
        <is>
          <t>ÖREBRO LÄN</t>
        </is>
      </c>
      <c r="E193" t="inlineStr">
        <is>
          <t>LINDESBERG</t>
        </is>
      </c>
      <c r="F193" t="inlineStr">
        <is>
          <t>Naturvårdsverket</t>
        </is>
      </c>
      <c r="G193" t="n">
        <v>2.9</v>
      </c>
      <c r="H193" t="n">
        <v>0</v>
      </c>
      <c r="I193" t="n">
        <v>0</v>
      </c>
      <c r="J193" t="n">
        <v>0</v>
      </c>
      <c r="K193" t="n">
        <v>0</v>
      </c>
      <c r="L193" t="n">
        <v>0</v>
      </c>
      <c r="M193" t="n">
        <v>0</v>
      </c>
      <c r="N193" t="n">
        <v>0</v>
      </c>
      <c r="O193" t="n">
        <v>0</v>
      </c>
      <c r="P193" t="n">
        <v>0</v>
      </c>
      <c r="Q193" t="n">
        <v>0</v>
      </c>
      <c r="R193" s="2" t="inlineStr"/>
    </row>
    <row r="194" ht="15" customHeight="1">
      <c r="A194" t="inlineStr">
        <is>
          <t>A 66676-2020</t>
        </is>
      </c>
      <c r="B194" s="1" t="n">
        <v>44179</v>
      </c>
      <c r="C194" s="1" t="n">
        <v>45972</v>
      </c>
      <c r="D194" t="inlineStr">
        <is>
          <t>ÖREBRO LÄN</t>
        </is>
      </c>
      <c r="E194" t="inlineStr">
        <is>
          <t>LINDESBERG</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32818-2022</t>
        </is>
      </c>
      <c r="B195" s="1" t="n">
        <v>44784.38697916667</v>
      </c>
      <c r="C195" s="1" t="n">
        <v>45972</v>
      </c>
      <c r="D195" t="inlineStr">
        <is>
          <t>ÖREBRO LÄN</t>
        </is>
      </c>
      <c r="E195" t="inlineStr">
        <is>
          <t>LINDESBERG</t>
        </is>
      </c>
      <c r="G195" t="n">
        <v>1.5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45972</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36001-2021</t>
        </is>
      </c>
      <c r="B197" s="1" t="n">
        <v>44389</v>
      </c>
      <c r="C197" s="1" t="n">
        <v>45972</v>
      </c>
      <c r="D197" t="inlineStr">
        <is>
          <t>ÖREBRO LÄN</t>
        </is>
      </c>
      <c r="E197" t="inlineStr">
        <is>
          <t>LINDESBERG</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68491-2021</t>
        </is>
      </c>
      <c r="B198" s="1" t="n">
        <v>44526</v>
      </c>
      <c r="C198" s="1" t="n">
        <v>45972</v>
      </c>
      <c r="D198" t="inlineStr">
        <is>
          <t>ÖREBRO LÄN</t>
        </is>
      </c>
      <c r="E198" t="inlineStr">
        <is>
          <t>LINDESBERG</t>
        </is>
      </c>
      <c r="G198" t="n">
        <v>1</v>
      </c>
      <c r="H198" t="n">
        <v>0</v>
      </c>
      <c r="I198" t="n">
        <v>0</v>
      </c>
      <c r="J198" t="n">
        <v>0</v>
      </c>
      <c r="K198" t="n">
        <v>0</v>
      </c>
      <c r="L198" t="n">
        <v>0</v>
      </c>
      <c r="M198" t="n">
        <v>0</v>
      </c>
      <c r="N198" t="n">
        <v>0</v>
      </c>
      <c r="O198" t="n">
        <v>0</v>
      </c>
      <c r="P198" t="n">
        <v>0</v>
      </c>
      <c r="Q198" t="n">
        <v>0</v>
      </c>
      <c r="R198" s="2" t="inlineStr"/>
    </row>
    <row r="199" ht="15" customHeight="1">
      <c r="A199" t="inlineStr">
        <is>
          <t>A 36221-2021</t>
        </is>
      </c>
      <c r="B199" s="1" t="n">
        <v>44389</v>
      </c>
      <c r="C199" s="1" t="n">
        <v>45972</v>
      </c>
      <c r="D199" t="inlineStr">
        <is>
          <t>ÖREBRO LÄN</t>
        </is>
      </c>
      <c r="E199" t="inlineStr">
        <is>
          <t>LINDESBERG</t>
        </is>
      </c>
      <c r="G199" t="n">
        <v>5.9</v>
      </c>
      <c r="H199" t="n">
        <v>0</v>
      </c>
      <c r="I199" t="n">
        <v>0</v>
      </c>
      <c r="J199" t="n">
        <v>0</v>
      </c>
      <c r="K199" t="n">
        <v>0</v>
      </c>
      <c r="L199" t="n">
        <v>0</v>
      </c>
      <c r="M199" t="n">
        <v>0</v>
      </c>
      <c r="N199" t="n">
        <v>0</v>
      </c>
      <c r="O199" t="n">
        <v>0</v>
      </c>
      <c r="P199" t="n">
        <v>0</v>
      </c>
      <c r="Q199" t="n">
        <v>0</v>
      </c>
      <c r="R199" s="2" t="inlineStr"/>
    </row>
    <row r="200" ht="15" customHeight="1">
      <c r="A200" t="inlineStr">
        <is>
          <t>A 6470-2024</t>
        </is>
      </c>
      <c r="B200" s="1" t="n">
        <v>45338</v>
      </c>
      <c r="C200" s="1" t="n">
        <v>45972</v>
      </c>
      <c r="D200" t="inlineStr">
        <is>
          <t>ÖREBRO LÄN</t>
        </is>
      </c>
      <c r="E200" t="inlineStr">
        <is>
          <t>LINDESBERG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45972</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45972</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45972</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45972</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47044-2021</t>
        </is>
      </c>
      <c r="B205" s="1" t="n">
        <v>44446</v>
      </c>
      <c r="C205" s="1" t="n">
        <v>45972</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49055-2022</t>
        </is>
      </c>
      <c r="B206" s="1" t="n">
        <v>44860</v>
      </c>
      <c r="C206" s="1" t="n">
        <v>45972</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56123-2022</t>
        </is>
      </c>
      <c r="B207" s="1" t="n">
        <v>44889.68100694445</v>
      </c>
      <c r="C207" s="1" t="n">
        <v>45972</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45972</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45972</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45972</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45972</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45972</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6726-2022</t>
        </is>
      </c>
      <c r="B213" s="1" t="n">
        <v>44602</v>
      </c>
      <c r="C213" s="1" t="n">
        <v>45972</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52153-2022</t>
        </is>
      </c>
      <c r="B214" s="1" t="n">
        <v>44873.47148148148</v>
      </c>
      <c r="C214" s="1" t="n">
        <v>45972</v>
      </c>
      <c r="D214" t="inlineStr">
        <is>
          <t>ÖREBRO LÄN</t>
        </is>
      </c>
      <c r="E214" t="inlineStr">
        <is>
          <t>LINDESBERG</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7598-2022</t>
        </is>
      </c>
      <c r="B215" s="1" t="n">
        <v>44607.64115740741</v>
      </c>
      <c r="C215" s="1" t="n">
        <v>45972</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56907-2024</t>
        </is>
      </c>
      <c r="B216" s="1" t="n">
        <v>45628.58975694444</v>
      </c>
      <c r="C216" s="1" t="n">
        <v>45972</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7859-2022</t>
        </is>
      </c>
      <c r="B217" s="1" t="n">
        <v>44608</v>
      </c>
      <c r="C217" s="1" t="n">
        <v>45972</v>
      </c>
      <c r="D217" t="inlineStr">
        <is>
          <t>ÖREBRO LÄN</t>
        </is>
      </c>
      <c r="E217" t="inlineStr">
        <is>
          <t>LINDESBERG</t>
        </is>
      </c>
      <c r="F217" t="inlineStr">
        <is>
          <t>Kyrkan</t>
        </is>
      </c>
      <c r="G217" t="n">
        <v>0.7</v>
      </c>
      <c r="H217" t="n">
        <v>0</v>
      </c>
      <c r="I217" t="n">
        <v>0</v>
      </c>
      <c r="J217" t="n">
        <v>0</v>
      </c>
      <c r="K217" t="n">
        <v>0</v>
      </c>
      <c r="L217" t="n">
        <v>0</v>
      </c>
      <c r="M217" t="n">
        <v>0</v>
      </c>
      <c r="N217" t="n">
        <v>0</v>
      </c>
      <c r="O217" t="n">
        <v>0</v>
      </c>
      <c r="P217" t="n">
        <v>0</v>
      </c>
      <c r="Q217" t="n">
        <v>0</v>
      </c>
      <c r="R217" s="2" t="inlineStr"/>
    </row>
    <row r="218" ht="15" customHeight="1">
      <c r="A218" t="inlineStr">
        <is>
          <t>A 7201-2024</t>
        </is>
      </c>
      <c r="B218" s="1" t="n">
        <v>45344.6027662037</v>
      </c>
      <c r="C218" s="1" t="n">
        <v>45972</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35990-2021</t>
        </is>
      </c>
      <c r="B219" s="1" t="n">
        <v>44389</v>
      </c>
      <c r="C219" s="1" t="n">
        <v>45972</v>
      </c>
      <c r="D219" t="inlineStr">
        <is>
          <t>ÖREBRO LÄN</t>
        </is>
      </c>
      <c r="E219" t="inlineStr">
        <is>
          <t>LINDESBERG</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71090-2021</t>
        </is>
      </c>
      <c r="B220" s="1" t="n">
        <v>44539.31923611111</v>
      </c>
      <c r="C220" s="1" t="n">
        <v>45972</v>
      </c>
      <c r="D220" t="inlineStr">
        <is>
          <t>ÖREBRO LÄN</t>
        </is>
      </c>
      <c r="E220" t="inlineStr">
        <is>
          <t>LINDESBERG</t>
        </is>
      </c>
      <c r="G220" t="n">
        <v>4.3</v>
      </c>
      <c r="H220" t="n">
        <v>0</v>
      </c>
      <c r="I220" t="n">
        <v>0</v>
      </c>
      <c r="J220" t="n">
        <v>0</v>
      </c>
      <c r="K220" t="n">
        <v>0</v>
      </c>
      <c r="L220" t="n">
        <v>0</v>
      </c>
      <c r="M220" t="n">
        <v>0</v>
      </c>
      <c r="N220" t="n">
        <v>0</v>
      </c>
      <c r="O220" t="n">
        <v>0</v>
      </c>
      <c r="P220" t="n">
        <v>0</v>
      </c>
      <c r="Q220" t="n">
        <v>0</v>
      </c>
      <c r="R220" s="2" t="inlineStr"/>
    </row>
    <row r="221" ht="15" customHeight="1">
      <c r="A221" t="inlineStr">
        <is>
          <t>A 71092-2021</t>
        </is>
      </c>
      <c r="B221" s="1" t="n">
        <v>44539</v>
      </c>
      <c r="C221" s="1" t="n">
        <v>45972</v>
      </c>
      <c r="D221" t="inlineStr">
        <is>
          <t>ÖREBRO LÄN</t>
        </is>
      </c>
      <c r="E221" t="inlineStr">
        <is>
          <t>LINDESBERG</t>
        </is>
      </c>
      <c r="G221" t="n">
        <v>0.8</v>
      </c>
      <c r="H221" t="n">
        <v>0</v>
      </c>
      <c r="I221" t="n">
        <v>0</v>
      </c>
      <c r="J221" t="n">
        <v>0</v>
      </c>
      <c r="K221" t="n">
        <v>0</v>
      </c>
      <c r="L221" t="n">
        <v>0</v>
      </c>
      <c r="M221" t="n">
        <v>0</v>
      </c>
      <c r="N221" t="n">
        <v>0</v>
      </c>
      <c r="O221" t="n">
        <v>0</v>
      </c>
      <c r="P221" t="n">
        <v>0</v>
      </c>
      <c r="Q221" t="n">
        <v>0</v>
      </c>
      <c r="R221" s="2" t="inlineStr"/>
    </row>
    <row r="222" ht="15" customHeight="1">
      <c r="A222" t="inlineStr">
        <is>
          <t>A 14190-2024</t>
        </is>
      </c>
      <c r="B222" s="1" t="n">
        <v>45393.36060185185</v>
      </c>
      <c r="C222" s="1" t="n">
        <v>45972</v>
      </c>
      <c r="D222" t="inlineStr">
        <is>
          <t>ÖREBRO LÄN</t>
        </is>
      </c>
      <c r="E222" t="inlineStr">
        <is>
          <t>LINDESBERG</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36220-2021</t>
        </is>
      </c>
      <c r="B223" s="1" t="n">
        <v>44389</v>
      </c>
      <c r="C223" s="1" t="n">
        <v>45972</v>
      </c>
      <c r="D223" t="inlineStr">
        <is>
          <t>ÖREBRO LÄN</t>
        </is>
      </c>
      <c r="E223" t="inlineStr">
        <is>
          <t>LINDESBERG</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17087-2023</t>
        </is>
      </c>
      <c r="B224" s="1" t="n">
        <v>45034.5174537037</v>
      </c>
      <c r="C224" s="1" t="n">
        <v>45972</v>
      </c>
      <c r="D224" t="inlineStr">
        <is>
          <t>ÖREBRO LÄN</t>
        </is>
      </c>
      <c r="E224" t="inlineStr">
        <is>
          <t>LINDESBERG</t>
        </is>
      </c>
      <c r="G224" t="n">
        <v>2.7</v>
      </c>
      <c r="H224" t="n">
        <v>0</v>
      </c>
      <c r="I224" t="n">
        <v>0</v>
      </c>
      <c r="J224" t="n">
        <v>0</v>
      </c>
      <c r="K224" t="n">
        <v>0</v>
      </c>
      <c r="L224" t="n">
        <v>0</v>
      </c>
      <c r="M224" t="n">
        <v>0</v>
      </c>
      <c r="N224" t="n">
        <v>0</v>
      </c>
      <c r="O224" t="n">
        <v>0</v>
      </c>
      <c r="P224" t="n">
        <v>0</v>
      </c>
      <c r="Q224" t="n">
        <v>0</v>
      </c>
      <c r="R224" s="2" t="inlineStr"/>
    </row>
    <row r="225" ht="15" customHeight="1">
      <c r="A225" t="inlineStr">
        <is>
          <t>A 60183-2020</t>
        </is>
      </c>
      <c r="B225" s="1" t="n">
        <v>44151</v>
      </c>
      <c r="C225" s="1" t="n">
        <v>45972</v>
      </c>
      <c r="D225" t="inlineStr">
        <is>
          <t>ÖREBRO LÄN</t>
        </is>
      </c>
      <c r="E225" t="inlineStr">
        <is>
          <t>LINDESBERG</t>
        </is>
      </c>
      <c r="G225" t="n">
        <v>3.5</v>
      </c>
      <c r="H225" t="n">
        <v>0</v>
      </c>
      <c r="I225" t="n">
        <v>0</v>
      </c>
      <c r="J225" t="n">
        <v>0</v>
      </c>
      <c r="K225" t="n">
        <v>0</v>
      </c>
      <c r="L225" t="n">
        <v>0</v>
      </c>
      <c r="M225" t="n">
        <v>0</v>
      </c>
      <c r="N225" t="n">
        <v>0</v>
      </c>
      <c r="O225" t="n">
        <v>0</v>
      </c>
      <c r="P225" t="n">
        <v>0</v>
      </c>
      <c r="Q225" t="n">
        <v>0</v>
      </c>
      <c r="R225" s="2" t="inlineStr"/>
    </row>
    <row r="226" ht="15" customHeight="1">
      <c r="A226" t="inlineStr">
        <is>
          <t>A 53189-2023</t>
        </is>
      </c>
      <c r="B226" s="1" t="n">
        <v>45194</v>
      </c>
      <c r="C226" s="1" t="n">
        <v>45972</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6001-2021</t>
        </is>
      </c>
      <c r="B227" s="1" t="n">
        <v>44231</v>
      </c>
      <c r="C227" s="1" t="n">
        <v>45972</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60926-2024</t>
        </is>
      </c>
      <c r="B228" s="1" t="n">
        <v>45645</v>
      </c>
      <c r="C228" s="1" t="n">
        <v>45972</v>
      </c>
      <c r="D228" t="inlineStr">
        <is>
          <t>ÖREBRO LÄN</t>
        </is>
      </c>
      <c r="E228" t="inlineStr">
        <is>
          <t>LINDESBERG</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13943-2022</t>
        </is>
      </c>
      <c r="B229" s="1" t="n">
        <v>44650.47945601852</v>
      </c>
      <c r="C229" s="1" t="n">
        <v>45972</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63686-2023</t>
        </is>
      </c>
      <c r="B230" s="1" t="n">
        <v>45274</v>
      </c>
      <c r="C230" s="1" t="n">
        <v>45972</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45972</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14231-2023</t>
        </is>
      </c>
      <c r="B232" s="1" t="n">
        <v>45009.64217592592</v>
      </c>
      <c r="C232" s="1" t="n">
        <v>45972</v>
      </c>
      <c r="D232" t="inlineStr">
        <is>
          <t>ÖREBRO LÄN</t>
        </is>
      </c>
      <c r="E232" t="inlineStr">
        <is>
          <t>LINDESBERG</t>
        </is>
      </c>
      <c r="G232" t="n">
        <v>4.3</v>
      </c>
      <c r="H232" t="n">
        <v>0</v>
      </c>
      <c r="I232" t="n">
        <v>0</v>
      </c>
      <c r="J232" t="n">
        <v>0</v>
      </c>
      <c r="K232" t="n">
        <v>0</v>
      </c>
      <c r="L232" t="n">
        <v>0</v>
      </c>
      <c r="M232" t="n">
        <v>0</v>
      </c>
      <c r="N232" t="n">
        <v>0</v>
      </c>
      <c r="O232" t="n">
        <v>0</v>
      </c>
      <c r="P232" t="n">
        <v>0</v>
      </c>
      <c r="Q232" t="n">
        <v>0</v>
      </c>
      <c r="R232" s="2" t="inlineStr"/>
    </row>
    <row r="233" ht="15" customHeight="1">
      <c r="A233" t="inlineStr">
        <is>
          <t>A 45041-2024</t>
        </is>
      </c>
      <c r="B233" s="1" t="n">
        <v>45575.53690972222</v>
      </c>
      <c r="C233" s="1" t="n">
        <v>45972</v>
      </c>
      <c r="D233" t="inlineStr">
        <is>
          <t>ÖREBRO LÄN</t>
        </is>
      </c>
      <c r="E233" t="inlineStr">
        <is>
          <t>LINDESBERG</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45068-2024</t>
        </is>
      </c>
      <c r="B234" s="1" t="n">
        <v>45575.56256944445</v>
      </c>
      <c r="C234" s="1" t="n">
        <v>45972</v>
      </c>
      <c r="D234" t="inlineStr">
        <is>
          <t>ÖREBRO LÄN</t>
        </is>
      </c>
      <c r="E234" t="inlineStr">
        <is>
          <t>LINDESBERG</t>
        </is>
      </c>
      <c r="F234" t="inlineStr">
        <is>
          <t>Sveaskog</t>
        </is>
      </c>
      <c r="G234" t="n">
        <v>16.5</v>
      </c>
      <c r="H234" t="n">
        <v>0</v>
      </c>
      <c r="I234" t="n">
        <v>0</v>
      </c>
      <c r="J234" t="n">
        <v>0</v>
      </c>
      <c r="K234" t="n">
        <v>0</v>
      </c>
      <c r="L234" t="n">
        <v>0</v>
      </c>
      <c r="M234" t="n">
        <v>0</v>
      </c>
      <c r="N234" t="n">
        <v>0</v>
      </c>
      <c r="O234" t="n">
        <v>0</v>
      </c>
      <c r="P234" t="n">
        <v>0</v>
      </c>
      <c r="Q234" t="n">
        <v>0</v>
      </c>
      <c r="R234" s="2" t="inlineStr"/>
    </row>
    <row r="235" ht="15" customHeight="1">
      <c r="A235" t="inlineStr">
        <is>
          <t>A 9751-2022</t>
        </is>
      </c>
      <c r="B235" s="1" t="n">
        <v>44618</v>
      </c>
      <c r="C235" s="1" t="n">
        <v>45972</v>
      </c>
      <c r="D235" t="inlineStr">
        <is>
          <t>ÖREBRO LÄN</t>
        </is>
      </c>
      <c r="E235" t="inlineStr">
        <is>
          <t>LINDESBERG</t>
        </is>
      </c>
      <c r="G235" t="n">
        <v>13.9</v>
      </c>
      <c r="H235" t="n">
        <v>0</v>
      </c>
      <c r="I235" t="n">
        <v>0</v>
      </c>
      <c r="J235" t="n">
        <v>0</v>
      </c>
      <c r="K235" t="n">
        <v>0</v>
      </c>
      <c r="L235" t="n">
        <v>0</v>
      </c>
      <c r="M235" t="n">
        <v>0</v>
      </c>
      <c r="N235" t="n">
        <v>0</v>
      </c>
      <c r="O235" t="n">
        <v>0</v>
      </c>
      <c r="P235" t="n">
        <v>0</v>
      </c>
      <c r="Q235" t="n">
        <v>0</v>
      </c>
      <c r="R235" s="2" t="inlineStr"/>
    </row>
    <row r="236" ht="15" customHeight="1">
      <c r="A236" t="inlineStr">
        <is>
          <t>A 8612-2024</t>
        </is>
      </c>
      <c r="B236" s="1" t="n">
        <v>45355.70009259259</v>
      </c>
      <c r="C236" s="1" t="n">
        <v>45972</v>
      </c>
      <c r="D236" t="inlineStr">
        <is>
          <t>ÖREBRO LÄN</t>
        </is>
      </c>
      <c r="E236" t="inlineStr">
        <is>
          <t>LINDESBERG</t>
        </is>
      </c>
      <c r="G236" t="n">
        <v>4.5</v>
      </c>
      <c r="H236" t="n">
        <v>0</v>
      </c>
      <c r="I236" t="n">
        <v>0</v>
      </c>
      <c r="J236" t="n">
        <v>0</v>
      </c>
      <c r="K236" t="n">
        <v>0</v>
      </c>
      <c r="L236" t="n">
        <v>0</v>
      </c>
      <c r="M236" t="n">
        <v>0</v>
      </c>
      <c r="N236" t="n">
        <v>0</v>
      </c>
      <c r="O236" t="n">
        <v>0</v>
      </c>
      <c r="P236" t="n">
        <v>0</v>
      </c>
      <c r="Q236" t="n">
        <v>0</v>
      </c>
      <c r="R236" s="2" t="inlineStr"/>
    </row>
    <row r="237" ht="15" customHeight="1">
      <c r="A237" t="inlineStr">
        <is>
          <t>A 12073-2022</t>
        </is>
      </c>
      <c r="B237" s="1" t="n">
        <v>44636.46935185185</v>
      </c>
      <c r="C237" s="1" t="n">
        <v>45972</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45972</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17104-2024</t>
        </is>
      </c>
      <c r="B239" s="1" t="n">
        <v>45412.54541666667</v>
      </c>
      <c r="C239" s="1" t="n">
        <v>45972</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39419-2023</t>
        </is>
      </c>
      <c r="B240" s="1" t="n">
        <v>45166.68493055556</v>
      </c>
      <c r="C240" s="1" t="n">
        <v>45972</v>
      </c>
      <c r="D240" t="inlineStr">
        <is>
          <t>ÖREBRO LÄN</t>
        </is>
      </c>
      <c r="E240" t="inlineStr">
        <is>
          <t>LINDESBERG</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35140-2023</t>
        </is>
      </c>
      <c r="B241" s="1" t="n">
        <v>45145</v>
      </c>
      <c r="C241" s="1" t="n">
        <v>45972</v>
      </c>
      <c r="D241" t="inlineStr">
        <is>
          <t>ÖREBRO LÄN</t>
        </is>
      </c>
      <c r="E241" t="inlineStr">
        <is>
          <t>LINDESBERG</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37616-2023</t>
        </is>
      </c>
      <c r="B242" s="1" t="n">
        <v>45159.44525462963</v>
      </c>
      <c r="C242" s="1" t="n">
        <v>45972</v>
      </c>
      <c r="D242" t="inlineStr">
        <is>
          <t>ÖREBRO LÄN</t>
        </is>
      </c>
      <c r="E242" t="inlineStr">
        <is>
          <t>LINDESBERG</t>
        </is>
      </c>
      <c r="G242" t="n">
        <v>5.3</v>
      </c>
      <c r="H242" t="n">
        <v>0</v>
      </c>
      <c r="I242" t="n">
        <v>0</v>
      </c>
      <c r="J242" t="n">
        <v>0</v>
      </c>
      <c r="K242" t="n">
        <v>0</v>
      </c>
      <c r="L242" t="n">
        <v>0</v>
      </c>
      <c r="M242" t="n">
        <v>0</v>
      </c>
      <c r="N242" t="n">
        <v>0</v>
      </c>
      <c r="O242" t="n">
        <v>0</v>
      </c>
      <c r="P242" t="n">
        <v>0</v>
      </c>
      <c r="Q242" t="n">
        <v>0</v>
      </c>
      <c r="R242" s="2" t="inlineStr"/>
    </row>
    <row r="243" ht="15" customHeight="1">
      <c r="A243" t="inlineStr">
        <is>
          <t>A 26093-2023</t>
        </is>
      </c>
      <c r="B243" s="1" t="n">
        <v>45091.39362268519</v>
      </c>
      <c r="C243" s="1" t="n">
        <v>45972</v>
      </c>
      <c r="D243" t="inlineStr">
        <is>
          <t>ÖREBRO LÄN</t>
        </is>
      </c>
      <c r="E243" t="inlineStr">
        <is>
          <t>LINDESBERG</t>
        </is>
      </c>
      <c r="G243" t="n">
        <v>0.4</v>
      </c>
      <c r="H243" t="n">
        <v>0</v>
      </c>
      <c r="I243" t="n">
        <v>0</v>
      </c>
      <c r="J243" t="n">
        <v>0</v>
      </c>
      <c r="K243" t="n">
        <v>0</v>
      </c>
      <c r="L243" t="n">
        <v>0</v>
      </c>
      <c r="M243" t="n">
        <v>0</v>
      </c>
      <c r="N243" t="n">
        <v>0</v>
      </c>
      <c r="O243" t="n">
        <v>0</v>
      </c>
      <c r="P243" t="n">
        <v>0</v>
      </c>
      <c r="Q243" t="n">
        <v>0</v>
      </c>
      <c r="R243" s="2" t="inlineStr"/>
    </row>
    <row r="244" ht="15" customHeight="1">
      <c r="A244" t="inlineStr">
        <is>
          <t>A 17823-2021</t>
        </is>
      </c>
      <c r="B244" s="1" t="n">
        <v>44300</v>
      </c>
      <c r="C244" s="1" t="n">
        <v>45972</v>
      </c>
      <c r="D244" t="inlineStr">
        <is>
          <t>ÖREBRO LÄN</t>
        </is>
      </c>
      <c r="E244" t="inlineStr">
        <is>
          <t>LINDESBERG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10825-2021</t>
        </is>
      </c>
      <c r="B245" s="1" t="n">
        <v>44259</v>
      </c>
      <c r="C245" s="1" t="n">
        <v>45972</v>
      </c>
      <c r="D245" t="inlineStr">
        <is>
          <t>ÖREBRO LÄN</t>
        </is>
      </c>
      <c r="E245" t="inlineStr">
        <is>
          <t>LINDESBERG</t>
        </is>
      </c>
      <c r="G245" t="n">
        <v>7.4</v>
      </c>
      <c r="H245" t="n">
        <v>0</v>
      </c>
      <c r="I245" t="n">
        <v>0</v>
      </c>
      <c r="J245" t="n">
        <v>0</v>
      </c>
      <c r="K245" t="n">
        <v>0</v>
      </c>
      <c r="L245" t="n">
        <v>0</v>
      </c>
      <c r="M245" t="n">
        <v>0</v>
      </c>
      <c r="N245" t="n">
        <v>0</v>
      </c>
      <c r="O245" t="n">
        <v>0</v>
      </c>
      <c r="P245" t="n">
        <v>0</v>
      </c>
      <c r="Q245" t="n">
        <v>0</v>
      </c>
      <c r="R245" s="2" t="inlineStr"/>
    </row>
    <row r="246" ht="15" customHeight="1">
      <c r="A246" t="inlineStr">
        <is>
          <t>A 21084-2021</t>
        </is>
      </c>
      <c r="B246" s="1" t="n">
        <v>44319</v>
      </c>
      <c r="C246" s="1" t="n">
        <v>45972</v>
      </c>
      <c r="D246" t="inlineStr">
        <is>
          <t>ÖREBRO LÄN</t>
        </is>
      </c>
      <c r="E246" t="inlineStr">
        <is>
          <t>LINDESBERG</t>
        </is>
      </c>
      <c r="G246" t="n">
        <v>3.1</v>
      </c>
      <c r="H246" t="n">
        <v>0</v>
      </c>
      <c r="I246" t="n">
        <v>0</v>
      </c>
      <c r="J246" t="n">
        <v>0</v>
      </c>
      <c r="K246" t="n">
        <v>0</v>
      </c>
      <c r="L246" t="n">
        <v>0</v>
      </c>
      <c r="M246" t="n">
        <v>0</v>
      </c>
      <c r="N246" t="n">
        <v>0</v>
      </c>
      <c r="O246" t="n">
        <v>0</v>
      </c>
      <c r="P246" t="n">
        <v>0</v>
      </c>
      <c r="Q246" t="n">
        <v>0</v>
      </c>
      <c r="R246" s="2" t="inlineStr"/>
    </row>
    <row r="247" ht="15" customHeight="1">
      <c r="A247" t="inlineStr">
        <is>
          <t>A 6161-2025</t>
        </is>
      </c>
      <c r="B247" s="1" t="n">
        <v>45698</v>
      </c>
      <c r="C247" s="1" t="n">
        <v>45972</v>
      </c>
      <c r="D247" t="inlineStr">
        <is>
          <t>ÖREBRO LÄN</t>
        </is>
      </c>
      <c r="E247" t="inlineStr">
        <is>
          <t>LINDESBERG</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6165-2025</t>
        </is>
      </c>
      <c r="B248" s="1" t="n">
        <v>45698</v>
      </c>
      <c r="C248" s="1" t="n">
        <v>45972</v>
      </c>
      <c r="D248" t="inlineStr">
        <is>
          <t>ÖREBRO LÄN</t>
        </is>
      </c>
      <c r="E248" t="inlineStr">
        <is>
          <t>LINDESBERG</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6181-2025</t>
        </is>
      </c>
      <c r="B249" s="1" t="n">
        <v>45698</v>
      </c>
      <c r="C249" s="1" t="n">
        <v>45972</v>
      </c>
      <c r="D249" t="inlineStr">
        <is>
          <t>ÖREBRO LÄN</t>
        </is>
      </c>
      <c r="E249" t="inlineStr">
        <is>
          <t>LINDESBERG</t>
        </is>
      </c>
      <c r="G249" t="n">
        <v>2.8</v>
      </c>
      <c r="H249" t="n">
        <v>0</v>
      </c>
      <c r="I249" t="n">
        <v>0</v>
      </c>
      <c r="J249" t="n">
        <v>0</v>
      </c>
      <c r="K249" t="n">
        <v>0</v>
      </c>
      <c r="L249" t="n">
        <v>0</v>
      </c>
      <c r="M249" t="n">
        <v>0</v>
      </c>
      <c r="N249" t="n">
        <v>0</v>
      </c>
      <c r="O249" t="n">
        <v>0</v>
      </c>
      <c r="P249" t="n">
        <v>0</v>
      </c>
      <c r="Q249" t="n">
        <v>0</v>
      </c>
      <c r="R249" s="2" t="inlineStr"/>
    </row>
    <row r="250" ht="15" customHeight="1">
      <c r="A250" t="inlineStr">
        <is>
          <t>A 29938-2024</t>
        </is>
      </c>
      <c r="B250" s="1" t="n">
        <v>45488.41480324074</v>
      </c>
      <c r="C250" s="1" t="n">
        <v>45972</v>
      </c>
      <c r="D250" t="inlineStr">
        <is>
          <t>ÖREBRO LÄN</t>
        </is>
      </c>
      <c r="E250" t="inlineStr">
        <is>
          <t>LINDESBERG</t>
        </is>
      </c>
      <c r="G250" t="n">
        <v>4</v>
      </c>
      <c r="H250" t="n">
        <v>0</v>
      </c>
      <c r="I250" t="n">
        <v>0</v>
      </c>
      <c r="J250" t="n">
        <v>0</v>
      </c>
      <c r="K250" t="n">
        <v>0</v>
      </c>
      <c r="L250" t="n">
        <v>0</v>
      </c>
      <c r="M250" t="n">
        <v>0</v>
      </c>
      <c r="N250" t="n">
        <v>0</v>
      </c>
      <c r="O250" t="n">
        <v>0</v>
      </c>
      <c r="P250" t="n">
        <v>0</v>
      </c>
      <c r="Q250" t="n">
        <v>0</v>
      </c>
      <c r="R250" s="2" t="inlineStr"/>
    </row>
    <row r="251" ht="15" customHeight="1">
      <c r="A251" t="inlineStr">
        <is>
          <t>A 24030-2023</t>
        </is>
      </c>
      <c r="B251" s="1" t="n">
        <v>45078.82620370371</v>
      </c>
      <c r="C251" s="1" t="n">
        <v>45972</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36747-2024</t>
        </is>
      </c>
      <c r="B252" s="1" t="n">
        <v>45538.34193287037</v>
      </c>
      <c r="C252" s="1" t="n">
        <v>45972</v>
      </c>
      <c r="D252" t="inlineStr">
        <is>
          <t>ÖREBRO LÄN</t>
        </is>
      </c>
      <c r="E252" t="inlineStr">
        <is>
          <t>LINDESBERG</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17995-2021</t>
        </is>
      </c>
      <c r="B253" s="1" t="n">
        <v>44301</v>
      </c>
      <c r="C253" s="1" t="n">
        <v>45972</v>
      </c>
      <c r="D253" t="inlineStr">
        <is>
          <t>ÖREBRO LÄN</t>
        </is>
      </c>
      <c r="E253" t="inlineStr">
        <is>
          <t>LINDESBERG</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32097-2024</t>
        </is>
      </c>
      <c r="B254" s="1" t="n">
        <v>45511.39445601852</v>
      </c>
      <c r="C254" s="1" t="n">
        <v>45972</v>
      </c>
      <c r="D254" t="inlineStr">
        <is>
          <t>ÖREBRO LÄN</t>
        </is>
      </c>
      <c r="E254" t="inlineStr">
        <is>
          <t>LINDESBERG</t>
        </is>
      </c>
      <c r="G254" t="n">
        <v>1.7</v>
      </c>
      <c r="H254" t="n">
        <v>0</v>
      </c>
      <c r="I254" t="n">
        <v>0</v>
      </c>
      <c r="J254" t="n">
        <v>0</v>
      </c>
      <c r="K254" t="n">
        <v>0</v>
      </c>
      <c r="L254" t="n">
        <v>0</v>
      </c>
      <c r="M254" t="n">
        <v>0</v>
      </c>
      <c r="N254" t="n">
        <v>0</v>
      </c>
      <c r="O254" t="n">
        <v>0</v>
      </c>
      <c r="P254" t="n">
        <v>0</v>
      </c>
      <c r="Q254" t="n">
        <v>0</v>
      </c>
      <c r="R254" s="2" t="inlineStr"/>
    </row>
    <row r="255" ht="15" customHeight="1">
      <c r="A255" t="inlineStr">
        <is>
          <t>A 32099-2024</t>
        </is>
      </c>
      <c r="B255" s="1" t="n">
        <v>45511.40297453704</v>
      </c>
      <c r="C255" s="1" t="n">
        <v>45972</v>
      </c>
      <c r="D255" t="inlineStr">
        <is>
          <t>ÖREBRO LÄN</t>
        </is>
      </c>
      <c r="E255" t="inlineStr">
        <is>
          <t>LINDESBERG</t>
        </is>
      </c>
      <c r="G255" t="n">
        <v>2.3</v>
      </c>
      <c r="H255" t="n">
        <v>0</v>
      </c>
      <c r="I255" t="n">
        <v>0</v>
      </c>
      <c r="J255" t="n">
        <v>0</v>
      </c>
      <c r="K255" t="n">
        <v>0</v>
      </c>
      <c r="L255" t="n">
        <v>0</v>
      </c>
      <c r="M255" t="n">
        <v>0</v>
      </c>
      <c r="N255" t="n">
        <v>0</v>
      </c>
      <c r="O255" t="n">
        <v>0</v>
      </c>
      <c r="P255" t="n">
        <v>0</v>
      </c>
      <c r="Q255" t="n">
        <v>0</v>
      </c>
      <c r="R255" s="2" t="inlineStr"/>
    </row>
    <row r="256" ht="15" customHeight="1">
      <c r="A256" t="inlineStr">
        <is>
          <t>A 61360-2024</t>
        </is>
      </c>
      <c r="B256" s="1" t="n">
        <v>45646</v>
      </c>
      <c r="C256" s="1" t="n">
        <v>45972</v>
      </c>
      <c r="D256" t="inlineStr">
        <is>
          <t>ÖREBRO LÄN</t>
        </is>
      </c>
      <c r="E256" t="inlineStr">
        <is>
          <t>LINDESBERG</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3803-2023</t>
        </is>
      </c>
      <c r="B257" s="1" t="n">
        <v>44951.5830324074</v>
      </c>
      <c r="C257" s="1" t="n">
        <v>45972</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60200-2024</t>
        </is>
      </c>
      <c r="B258" s="1" t="n">
        <v>45642.66184027777</v>
      </c>
      <c r="C258" s="1" t="n">
        <v>45972</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15745-2024</t>
        </is>
      </c>
      <c r="B259" s="1" t="n">
        <v>45404.55239583334</v>
      </c>
      <c r="C259" s="1" t="n">
        <v>45972</v>
      </c>
      <c r="D259" t="inlineStr">
        <is>
          <t>ÖREBRO LÄN</t>
        </is>
      </c>
      <c r="E259" t="inlineStr">
        <is>
          <t>LINDESBERG</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15750-2024</t>
        </is>
      </c>
      <c r="B260" s="1" t="n">
        <v>45404.55601851852</v>
      </c>
      <c r="C260" s="1" t="n">
        <v>45972</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60115-2022</t>
        </is>
      </c>
      <c r="B261" s="1" t="n">
        <v>44902</v>
      </c>
      <c r="C261" s="1" t="n">
        <v>45972</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45972</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29857-2023</t>
        </is>
      </c>
      <c r="B263" s="1" t="n">
        <v>45107</v>
      </c>
      <c r="C263" s="1" t="n">
        <v>45972</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25229-2021</t>
        </is>
      </c>
      <c r="B264" s="1" t="n">
        <v>44342.39703703704</v>
      </c>
      <c r="C264" s="1" t="n">
        <v>45972</v>
      </c>
      <c r="D264" t="inlineStr">
        <is>
          <t>ÖREBRO LÄN</t>
        </is>
      </c>
      <c r="E264" t="inlineStr">
        <is>
          <t>LINDESBERG</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45972</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45972</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56561-2023</t>
        </is>
      </c>
      <c r="B267" s="1" t="n">
        <v>45243</v>
      </c>
      <c r="C267" s="1" t="n">
        <v>45972</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44664-2023</t>
        </is>
      </c>
      <c r="B268" s="1" t="n">
        <v>45189</v>
      </c>
      <c r="C268" s="1" t="n">
        <v>45972</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56579-2023</t>
        </is>
      </c>
      <c r="B269" s="1" t="n">
        <v>45243.62420138889</v>
      </c>
      <c r="C269" s="1" t="n">
        <v>45972</v>
      </c>
      <c r="D269" t="inlineStr">
        <is>
          <t>ÖREBRO LÄN</t>
        </is>
      </c>
      <c r="E269" t="inlineStr">
        <is>
          <t>LINDESBERG</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56582-2023</t>
        </is>
      </c>
      <c r="B270" s="1" t="n">
        <v>45243</v>
      </c>
      <c r="C270" s="1" t="n">
        <v>45972</v>
      </c>
      <c r="D270" t="inlineStr">
        <is>
          <t>ÖREBRO LÄN</t>
        </is>
      </c>
      <c r="E270" t="inlineStr">
        <is>
          <t>LINDESBERG</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34093-2022</t>
        </is>
      </c>
      <c r="B271" s="1" t="n">
        <v>44791</v>
      </c>
      <c r="C271" s="1" t="n">
        <v>45972</v>
      </c>
      <c r="D271" t="inlineStr">
        <is>
          <t>ÖREBRO LÄN</t>
        </is>
      </c>
      <c r="E271" t="inlineStr">
        <is>
          <t>LINDESBERG</t>
        </is>
      </c>
      <c r="G271" t="n">
        <v>3.3</v>
      </c>
      <c r="H271" t="n">
        <v>0</v>
      </c>
      <c r="I271" t="n">
        <v>0</v>
      </c>
      <c r="J271" t="n">
        <v>0</v>
      </c>
      <c r="K271" t="n">
        <v>0</v>
      </c>
      <c r="L271" t="n">
        <v>0</v>
      </c>
      <c r="M271" t="n">
        <v>0</v>
      </c>
      <c r="N271" t="n">
        <v>0</v>
      </c>
      <c r="O271" t="n">
        <v>0</v>
      </c>
      <c r="P271" t="n">
        <v>0</v>
      </c>
      <c r="Q271" t="n">
        <v>0</v>
      </c>
      <c r="R271" s="2" t="inlineStr"/>
    </row>
    <row r="272" ht="15" customHeight="1">
      <c r="A272" t="inlineStr">
        <is>
          <t>A 18610-2021</t>
        </is>
      </c>
      <c r="B272" s="1" t="n">
        <v>44306.6371412037</v>
      </c>
      <c r="C272" s="1" t="n">
        <v>45972</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45972</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38509-2025</t>
        </is>
      </c>
      <c r="B274" s="1" t="n">
        <v>45884.38858796296</v>
      </c>
      <c r="C274" s="1" t="n">
        <v>45972</v>
      </c>
      <c r="D274" t="inlineStr">
        <is>
          <t>ÖREBRO LÄN</t>
        </is>
      </c>
      <c r="E274" t="inlineStr">
        <is>
          <t>LINDESBERG</t>
        </is>
      </c>
      <c r="G274" t="n">
        <v>14.9</v>
      </c>
      <c r="H274" t="n">
        <v>0</v>
      </c>
      <c r="I274" t="n">
        <v>0</v>
      </c>
      <c r="J274" t="n">
        <v>0</v>
      </c>
      <c r="K274" t="n">
        <v>0</v>
      </c>
      <c r="L274" t="n">
        <v>0</v>
      </c>
      <c r="M274" t="n">
        <v>0</v>
      </c>
      <c r="N274" t="n">
        <v>0</v>
      </c>
      <c r="O274" t="n">
        <v>0</v>
      </c>
      <c r="P274" t="n">
        <v>0</v>
      </c>
      <c r="Q274" t="n">
        <v>0</v>
      </c>
      <c r="R274" s="2" t="inlineStr"/>
    </row>
    <row r="275" ht="15" customHeight="1">
      <c r="A275" t="inlineStr">
        <is>
          <t>A 19026-2021</t>
        </is>
      </c>
      <c r="B275" s="1" t="n">
        <v>44308</v>
      </c>
      <c r="C275" s="1" t="n">
        <v>45972</v>
      </c>
      <c r="D275" t="inlineStr">
        <is>
          <t>ÖREBRO LÄN</t>
        </is>
      </c>
      <c r="E275" t="inlineStr">
        <is>
          <t>LINDESBERG</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45972</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45972</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62770-2020</t>
        </is>
      </c>
      <c r="B278" s="1" t="n">
        <v>44161</v>
      </c>
      <c r="C278" s="1" t="n">
        <v>45972</v>
      </c>
      <c r="D278" t="inlineStr">
        <is>
          <t>ÖREBRO LÄN</t>
        </is>
      </c>
      <c r="E278" t="inlineStr">
        <is>
          <t>LINDESBERG</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58697-2024</t>
        </is>
      </c>
      <c r="B279" s="1" t="n">
        <v>45635.63706018519</v>
      </c>
      <c r="C279" s="1" t="n">
        <v>45972</v>
      </c>
      <c r="D279" t="inlineStr">
        <is>
          <t>ÖREBRO LÄN</t>
        </is>
      </c>
      <c r="E279" t="inlineStr">
        <is>
          <t>LINDESBERG</t>
        </is>
      </c>
      <c r="G279" t="n">
        <v>25.1</v>
      </c>
      <c r="H279" t="n">
        <v>0</v>
      </c>
      <c r="I279" t="n">
        <v>0</v>
      </c>
      <c r="J279" t="n">
        <v>0</v>
      </c>
      <c r="K279" t="n">
        <v>0</v>
      </c>
      <c r="L279" t="n">
        <v>0</v>
      </c>
      <c r="M279" t="n">
        <v>0</v>
      </c>
      <c r="N279" t="n">
        <v>0</v>
      </c>
      <c r="O279" t="n">
        <v>0</v>
      </c>
      <c r="P279" t="n">
        <v>0</v>
      </c>
      <c r="Q279" t="n">
        <v>0</v>
      </c>
      <c r="R279" s="2" t="inlineStr"/>
    </row>
    <row r="280" ht="15" customHeight="1">
      <c r="A280" t="inlineStr">
        <is>
          <t>A 47535-2022</t>
        </is>
      </c>
      <c r="B280" s="1" t="n">
        <v>44853.79818287037</v>
      </c>
      <c r="C280" s="1" t="n">
        <v>45972</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30830-2024</t>
        </is>
      </c>
      <c r="B281" s="1" t="n">
        <v>45497</v>
      </c>
      <c r="C281" s="1" t="n">
        <v>45972</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33280-2024</t>
        </is>
      </c>
      <c r="B282" s="1" t="n">
        <v>45518.71048611111</v>
      </c>
      <c r="C282" s="1" t="n">
        <v>45972</v>
      </c>
      <c r="D282" t="inlineStr">
        <is>
          <t>ÖREBRO LÄN</t>
        </is>
      </c>
      <c r="E282" t="inlineStr">
        <is>
          <t>LINDESBERG</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59395-2022</t>
        </is>
      </c>
      <c r="B283" s="1" t="n">
        <v>44906.73321759259</v>
      </c>
      <c r="C283" s="1" t="n">
        <v>45972</v>
      </c>
      <c r="D283" t="inlineStr">
        <is>
          <t>ÖREBRO LÄN</t>
        </is>
      </c>
      <c r="E283" t="inlineStr">
        <is>
          <t>LINDESBERG</t>
        </is>
      </c>
      <c r="G283" t="n">
        <v>4.3</v>
      </c>
      <c r="H283" t="n">
        <v>0</v>
      </c>
      <c r="I283" t="n">
        <v>0</v>
      </c>
      <c r="J283" t="n">
        <v>0</v>
      </c>
      <c r="K283" t="n">
        <v>0</v>
      </c>
      <c r="L283" t="n">
        <v>0</v>
      </c>
      <c r="M283" t="n">
        <v>0</v>
      </c>
      <c r="N283" t="n">
        <v>0</v>
      </c>
      <c r="O283" t="n">
        <v>0</v>
      </c>
      <c r="P283" t="n">
        <v>0</v>
      </c>
      <c r="Q283" t="n">
        <v>0</v>
      </c>
      <c r="R283" s="2" t="inlineStr"/>
    </row>
    <row r="284" ht="15" customHeight="1">
      <c r="A284" t="inlineStr">
        <is>
          <t>A 17115-2025</t>
        </is>
      </c>
      <c r="B284" s="1" t="n">
        <v>45755.68247685185</v>
      </c>
      <c r="C284" s="1" t="n">
        <v>45972</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16054-2022</t>
        </is>
      </c>
      <c r="B285" s="1" t="n">
        <v>44665</v>
      </c>
      <c r="C285" s="1" t="n">
        <v>45972</v>
      </c>
      <c r="D285" t="inlineStr">
        <is>
          <t>ÖREBRO LÄN</t>
        </is>
      </c>
      <c r="E285" t="inlineStr">
        <is>
          <t>LINDESBERG</t>
        </is>
      </c>
      <c r="G285" t="n">
        <v>6.9</v>
      </c>
      <c r="H285" t="n">
        <v>0</v>
      </c>
      <c r="I285" t="n">
        <v>0</v>
      </c>
      <c r="J285" t="n">
        <v>0</v>
      </c>
      <c r="K285" t="n">
        <v>0</v>
      </c>
      <c r="L285" t="n">
        <v>0</v>
      </c>
      <c r="M285" t="n">
        <v>0</v>
      </c>
      <c r="N285" t="n">
        <v>0</v>
      </c>
      <c r="O285" t="n">
        <v>0</v>
      </c>
      <c r="P285" t="n">
        <v>0</v>
      </c>
      <c r="Q285" t="n">
        <v>0</v>
      </c>
      <c r="R285" s="2" t="inlineStr"/>
    </row>
    <row r="286" ht="15" customHeight="1">
      <c r="A286" t="inlineStr">
        <is>
          <t>A 36136-2023</t>
        </is>
      </c>
      <c r="B286" s="1" t="n">
        <v>45149</v>
      </c>
      <c r="C286" s="1" t="n">
        <v>45972</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45972</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13573-2025</t>
        </is>
      </c>
      <c r="B288" s="1" t="n">
        <v>45736</v>
      </c>
      <c r="C288" s="1" t="n">
        <v>45972</v>
      </c>
      <c r="D288" t="inlineStr">
        <is>
          <t>ÖREBRO LÄN</t>
        </is>
      </c>
      <c r="E288" t="inlineStr">
        <is>
          <t>LINDESBERG</t>
        </is>
      </c>
      <c r="G288" t="n">
        <v>11.7</v>
      </c>
      <c r="H288" t="n">
        <v>0</v>
      </c>
      <c r="I288" t="n">
        <v>0</v>
      </c>
      <c r="J288" t="n">
        <v>0</v>
      </c>
      <c r="K288" t="n">
        <v>0</v>
      </c>
      <c r="L288" t="n">
        <v>0</v>
      </c>
      <c r="M288" t="n">
        <v>0</v>
      </c>
      <c r="N288" t="n">
        <v>0</v>
      </c>
      <c r="O288" t="n">
        <v>0</v>
      </c>
      <c r="P288" t="n">
        <v>0</v>
      </c>
      <c r="Q288" t="n">
        <v>0</v>
      </c>
      <c r="R288" s="2" t="inlineStr"/>
    </row>
    <row r="289" ht="15" customHeight="1">
      <c r="A289" t="inlineStr">
        <is>
          <t>A 61601-2024</t>
        </is>
      </c>
      <c r="B289" s="1" t="n">
        <v>45646.63839120371</v>
      </c>
      <c r="C289" s="1" t="n">
        <v>45972</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55272-2023</t>
        </is>
      </c>
      <c r="B290" s="1" t="n">
        <v>45237.67819444444</v>
      </c>
      <c r="C290" s="1" t="n">
        <v>45972</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45972</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37432-2022</t>
        </is>
      </c>
      <c r="B292" s="1" t="n">
        <v>44809</v>
      </c>
      <c r="C292" s="1" t="n">
        <v>45972</v>
      </c>
      <c r="D292" t="inlineStr">
        <is>
          <t>ÖREBRO LÄN</t>
        </is>
      </c>
      <c r="E292" t="inlineStr">
        <is>
          <t>LINDESBERG</t>
        </is>
      </c>
      <c r="G292" t="n">
        <v>3.6</v>
      </c>
      <c r="H292" t="n">
        <v>0</v>
      </c>
      <c r="I292" t="n">
        <v>0</v>
      </c>
      <c r="J292" t="n">
        <v>0</v>
      </c>
      <c r="K292" t="n">
        <v>0</v>
      </c>
      <c r="L292" t="n">
        <v>0</v>
      </c>
      <c r="M292" t="n">
        <v>0</v>
      </c>
      <c r="N292" t="n">
        <v>0</v>
      </c>
      <c r="O292" t="n">
        <v>0</v>
      </c>
      <c r="P292" t="n">
        <v>0</v>
      </c>
      <c r="Q292" t="n">
        <v>0</v>
      </c>
      <c r="R292" s="2" t="inlineStr"/>
    </row>
    <row r="293" ht="15" customHeight="1">
      <c r="A293" t="inlineStr">
        <is>
          <t>A 40450-2023</t>
        </is>
      </c>
      <c r="B293" s="1" t="n">
        <v>45170</v>
      </c>
      <c r="C293" s="1" t="n">
        <v>45972</v>
      </c>
      <c r="D293" t="inlineStr">
        <is>
          <t>ÖREBRO LÄN</t>
        </is>
      </c>
      <c r="E293" t="inlineStr">
        <is>
          <t>LINDESBERG</t>
        </is>
      </c>
      <c r="F293" t="inlineStr">
        <is>
          <t>Kyrkan</t>
        </is>
      </c>
      <c r="G293" t="n">
        <v>4.3</v>
      </c>
      <c r="H293" t="n">
        <v>0</v>
      </c>
      <c r="I293" t="n">
        <v>0</v>
      </c>
      <c r="J293" t="n">
        <v>0</v>
      </c>
      <c r="K293" t="n">
        <v>0</v>
      </c>
      <c r="L293" t="n">
        <v>0</v>
      </c>
      <c r="M293" t="n">
        <v>0</v>
      </c>
      <c r="N293" t="n">
        <v>0</v>
      </c>
      <c r="O293" t="n">
        <v>0</v>
      </c>
      <c r="P293" t="n">
        <v>0</v>
      </c>
      <c r="Q293" t="n">
        <v>0</v>
      </c>
      <c r="R293" s="2" t="inlineStr"/>
    </row>
    <row r="294" ht="15" customHeight="1">
      <c r="A294" t="inlineStr">
        <is>
          <t>A 53597-2024</t>
        </is>
      </c>
      <c r="B294" s="1" t="n">
        <v>45614.68083333333</v>
      </c>
      <c r="C294" s="1" t="n">
        <v>45972</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53054-2022</t>
        </is>
      </c>
      <c r="B295" s="1" t="n">
        <v>44876.35706018518</v>
      </c>
      <c r="C295" s="1" t="n">
        <v>45972</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22824-2023</t>
        </is>
      </c>
      <c r="B296" s="1" t="n">
        <v>45072</v>
      </c>
      <c r="C296" s="1" t="n">
        <v>45972</v>
      </c>
      <c r="D296" t="inlineStr">
        <is>
          <t>ÖREBRO LÄN</t>
        </is>
      </c>
      <c r="E296" t="inlineStr">
        <is>
          <t>LINDESBERG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27576-2024</t>
        </is>
      </c>
      <c r="B297" s="1" t="n">
        <v>45474.65005787037</v>
      </c>
      <c r="C297" s="1" t="n">
        <v>45972</v>
      </c>
      <c r="D297" t="inlineStr">
        <is>
          <t>ÖREBRO LÄN</t>
        </is>
      </c>
      <c r="E297" t="inlineStr">
        <is>
          <t>LINDESBERG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21986-2023</t>
        </is>
      </c>
      <c r="B298" s="1" t="n">
        <v>45068</v>
      </c>
      <c r="C298" s="1" t="n">
        <v>45972</v>
      </c>
      <c r="D298" t="inlineStr">
        <is>
          <t>ÖREBRO LÄN</t>
        </is>
      </c>
      <c r="E298" t="inlineStr">
        <is>
          <t>LINDESBERG</t>
        </is>
      </c>
      <c r="G298" t="n">
        <v>1.4</v>
      </c>
      <c r="H298" t="n">
        <v>0</v>
      </c>
      <c r="I298" t="n">
        <v>0</v>
      </c>
      <c r="J298" t="n">
        <v>0</v>
      </c>
      <c r="K298" t="n">
        <v>0</v>
      </c>
      <c r="L298" t="n">
        <v>0</v>
      </c>
      <c r="M298" t="n">
        <v>0</v>
      </c>
      <c r="N298" t="n">
        <v>0</v>
      </c>
      <c r="O298" t="n">
        <v>0</v>
      </c>
      <c r="P298" t="n">
        <v>0</v>
      </c>
      <c r="Q298" t="n">
        <v>0</v>
      </c>
      <c r="R298" s="2" t="inlineStr"/>
    </row>
    <row r="299" ht="15" customHeight="1">
      <c r="A299" t="inlineStr">
        <is>
          <t>A 38534-2025</t>
        </is>
      </c>
      <c r="B299" s="1" t="n">
        <v>45884</v>
      </c>
      <c r="C299" s="1" t="n">
        <v>45972</v>
      </c>
      <c r="D299" t="inlineStr">
        <is>
          <t>ÖREBRO LÄN</t>
        </is>
      </c>
      <c r="E299" t="inlineStr">
        <is>
          <t>LINDESBERG</t>
        </is>
      </c>
      <c r="G299" t="n">
        <v>4.9</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45972</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52930-2024</t>
        </is>
      </c>
      <c r="B301" s="1" t="n">
        <v>45610.7466087963</v>
      </c>
      <c r="C301" s="1" t="n">
        <v>45972</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72698-2021</t>
        </is>
      </c>
      <c r="B302" s="1" t="n">
        <v>44546.6679050926</v>
      </c>
      <c r="C302" s="1" t="n">
        <v>45972</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2103-2022</t>
        </is>
      </c>
      <c r="B303" s="1" t="n">
        <v>44577.81121527778</v>
      </c>
      <c r="C303" s="1" t="n">
        <v>45972</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34237-2023</t>
        </is>
      </c>
      <c r="B304" s="1" t="n">
        <v>45138</v>
      </c>
      <c r="C304" s="1" t="n">
        <v>45972</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32994-2023</t>
        </is>
      </c>
      <c r="B305" s="1" t="n">
        <v>45113</v>
      </c>
      <c r="C305" s="1" t="n">
        <v>45972</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46603-2021</t>
        </is>
      </c>
      <c r="B306" s="1" t="n">
        <v>44445</v>
      </c>
      <c r="C306" s="1" t="n">
        <v>45972</v>
      </c>
      <c r="D306" t="inlineStr">
        <is>
          <t>ÖREBRO LÄN</t>
        </is>
      </c>
      <c r="E306" t="inlineStr">
        <is>
          <t>LINDESBERG</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38861-2025</t>
        </is>
      </c>
      <c r="B307" s="1" t="n">
        <v>45887.56101851852</v>
      </c>
      <c r="C307" s="1" t="n">
        <v>45972</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64528-2020</t>
        </is>
      </c>
      <c r="B308" s="1" t="n">
        <v>44169</v>
      </c>
      <c r="C308" s="1" t="n">
        <v>45972</v>
      </c>
      <c r="D308" t="inlineStr">
        <is>
          <t>ÖREBRO LÄN</t>
        </is>
      </c>
      <c r="E308" t="inlineStr">
        <is>
          <t>LINDESBERG</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54860-2024</t>
        </is>
      </c>
      <c r="B309" s="1" t="n">
        <v>45618.59219907408</v>
      </c>
      <c r="C309" s="1" t="n">
        <v>45972</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41343-2021</t>
        </is>
      </c>
      <c r="B310" s="1" t="n">
        <v>44424.61709490741</v>
      </c>
      <c r="C310" s="1" t="n">
        <v>45972</v>
      </c>
      <c r="D310" t="inlineStr">
        <is>
          <t>ÖREBRO LÄN</t>
        </is>
      </c>
      <c r="E310" t="inlineStr">
        <is>
          <t>LINDESBERG</t>
        </is>
      </c>
      <c r="G310" t="n">
        <v>8.9</v>
      </c>
      <c r="H310" t="n">
        <v>0</v>
      </c>
      <c r="I310" t="n">
        <v>0</v>
      </c>
      <c r="J310" t="n">
        <v>0</v>
      </c>
      <c r="K310" t="n">
        <v>0</v>
      </c>
      <c r="L310" t="n">
        <v>0</v>
      </c>
      <c r="M310" t="n">
        <v>0</v>
      </c>
      <c r="N310" t="n">
        <v>0</v>
      </c>
      <c r="O310" t="n">
        <v>0</v>
      </c>
      <c r="P310" t="n">
        <v>0</v>
      </c>
      <c r="Q310" t="n">
        <v>0</v>
      </c>
      <c r="R310" s="2" t="inlineStr"/>
    </row>
    <row r="311" ht="15" customHeight="1">
      <c r="A311" t="inlineStr">
        <is>
          <t>A 36170-2021</t>
        </is>
      </c>
      <c r="B311" s="1" t="n">
        <v>44389</v>
      </c>
      <c r="C311" s="1" t="n">
        <v>45972</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23641-2024</t>
        </is>
      </c>
      <c r="B312" s="1" t="n">
        <v>45454.49679398148</v>
      </c>
      <c r="C312" s="1" t="n">
        <v>45972</v>
      </c>
      <c r="D312" t="inlineStr">
        <is>
          <t>ÖREBRO LÄN</t>
        </is>
      </c>
      <c r="E312" t="inlineStr">
        <is>
          <t>LINDESBERG</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10822-2023</t>
        </is>
      </c>
      <c r="B313" s="1" t="n">
        <v>44990</v>
      </c>
      <c r="C313" s="1" t="n">
        <v>45972</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58662-2022</t>
        </is>
      </c>
      <c r="B314" s="1" t="n">
        <v>44902</v>
      </c>
      <c r="C314" s="1" t="n">
        <v>45972</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49358-2023</t>
        </is>
      </c>
      <c r="B315" s="1" t="n">
        <v>45211</v>
      </c>
      <c r="C315" s="1" t="n">
        <v>45972</v>
      </c>
      <c r="D315" t="inlineStr">
        <is>
          <t>ÖREBRO LÄN</t>
        </is>
      </c>
      <c r="E315" t="inlineStr">
        <is>
          <t>LINDESBERG</t>
        </is>
      </c>
      <c r="F315" t="inlineStr">
        <is>
          <t>Sveaskog</t>
        </is>
      </c>
      <c r="G315" t="n">
        <v>4.7</v>
      </c>
      <c r="H315" t="n">
        <v>0</v>
      </c>
      <c r="I315" t="n">
        <v>0</v>
      </c>
      <c r="J315" t="n">
        <v>0</v>
      </c>
      <c r="K315" t="n">
        <v>0</v>
      </c>
      <c r="L315" t="n">
        <v>0</v>
      </c>
      <c r="M315" t="n">
        <v>0</v>
      </c>
      <c r="N315" t="n">
        <v>0</v>
      </c>
      <c r="O315" t="n">
        <v>0</v>
      </c>
      <c r="P315" t="n">
        <v>0</v>
      </c>
      <c r="Q315" t="n">
        <v>0</v>
      </c>
      <c r="R315" s="2" t="inlineStr"/>
    </row>
    <row r="316" ht="15" customHeight="1">
      <c r="A316" t="inlineStr">
        <is>
          <t>A 23579-2022</t>
        </is>
      </c>
      <c r="B316" s="1" t="n">
        <v>44721.52627314815</v>
      </c>
      <c r="C316" s="1" t="n">
        <v>45972</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35230-2024</t>
        </is>
      </c>
      <c r="B317" s="1" t="n">
        <v>45530</v>
      </c>
      <c r="C317" s="1" t="n">
        <v>45972</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45972</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32009-2023</t>
        </is>
      </c>
      <c r="B319" s="1" t="n">
        <v>45119</v>
      </c>
      <c r="C319" s="1" t="n">
        <v>45972</v>
      </c>
      <c r="D319" t="inlineStr">
        <is>
          <t>ÖREBRO LÄN</t>
        </is>
      </c>
      <c r="E319" t="inlineStr">
        <is>
          <t>LINDESBERG</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4067-2024</t>
        </is>
      </c>
      <c r="B320" s="1" t="n">
        <v>45323</v>
      </c>
      <c r="C320" s="1" t="n">
        <v>45972</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9198-2025</t>
        </is>
      </c>
      <c r="B321" s="1" t="n">
        <v>45714</v>
      </c>
      <c r="C321" s="1" t="n">
        <v>45972</v>
      </c>
      <c r="D321" t="inlineStr">
        <is>
          <t>ÖREBRO LÄN</t>
        </is>
      </c>
      <c r="E321" t="inlineStr">
        <is>
          <t>LINDESBERG</t>
        </is>
      </c>
      <c r="G321" t="n">
        <v>3.3</v>
      </c>
      <c r="H321" t="n">
        <v>0</v>
      </c>
      <c r="I321" t="n">
        <v>0</v>
      </c>
      <c r="J321" t="n">
        <v>0</v>
      </c>
      <c r="K321" t="n">
        <v>0</v>
      </c>
      <c r="L321" t="n">
        <v>0</v>
      </c>
      <c r="M321" t="n">
        <v>0</v>
      </c>
      <c r="N321" t="n">
        <v>0</v>
      </c>
      <c r="O321" t="n">
        <v>0</v>
      </c>
      <c r="P321" t="n">
        <v>0</v>
      </c>
      <c r="Q321" t="n">
        <v>0</v>
      </c>
      <c r="R321" s="2" t="inlineStr"/>
    </row>
    <row r="322" ht="15" customHeight="1">
      <c r="A322" t="inlineStr">
        <is>
          <t>A 16618-2023</t>
        </is>
      </c>
      <c r="B322" s="1" t="n">
        <v>45030</v>
      </c>
      <c r="C322" s="1" t="n">
        <v>45972</v>
      </c>
      <c r="D322" t="inlineStr">
        <is>
          <t>ÖREBRO LÄN</t>
        </is>
      </c>
      <c r="E322" t="inlineStr">
        <is>
          <t>LINDESBERG</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46647-2024</t>
        </is>
      </c>
      <c r="B323" s="1" t="n">
        <v>45583</v>
      </c>
      <c r="C323" s="1" t="n">
        <v>45972</v>
      </c>
      <c r="D323" t="inlineStr">
        <is>
          <t>ÖREBRO LÄN</t>
        </is>
      </c>
      <c r="E323" t="inlineStr">
        <is>
          <t>LINDESBERG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23260-2024</t>
        </is>
      </c>
      <c r="B324" s="1" t="n">
        <v>45453.36664351852</v>
      </c>
      <c r="C324" s="1" t="n">
        <v>45972</v>
      </c>
      <c r="D324" t="inlineStr">
        <is>
          <t>ÖREBRO LÄN</t>
        </is>
      </c>
      <c r="E324" t="inlineStr">
        <is>
          <t>LINDESBERG</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26067-2022</t>
        </is>
      </c>
      <c r="B325" s="1" t="n">
        <v>44734.64337962963</v>
      </c>
      <c r="C325" s="1" t="n">
        <v>45972</v>
      </c>
      <c r="D325" t="inlineStr">
        <is>
          <t>ÖREBRO LÄN</t>
        </is>
      </c>
      <c r="E325" t="inlineStr">
        <is>
          <t>LINDESBERG</t>
        </is>
      </c>
      <c r="G325" t="n">
        <v>3.1</v>
      </c>
      <c r="H325" t="n">
        <v>0</v>
      </c>
      <c r="I325" t="n">
        <v>0</v>
      </c>
      <c r="J325" t="n">
        <v>0</v>
      </c>
      <c r="K325" t="n">
        <v>0</v>
      </c>
      <c r="L325" t="n">
        <v>0</v>
      </c>
      <c r="M325" t="n">
        <v>0</v>
      </c>
      <c r="N325" t="n">
        <v>0</v>
      </c>
      <c r="O325" t="n">
        <v>0</v>
      </c>
      <c r="P325" t="n">
        <v>0</v>
      </c>
      <c r="Q325" t="n">
        <v>0</v>
      </c>
      <c r="R325" s="2" t="inlineStr"/>
    </row>
    <row r="326" ht="15" customHeight="1">
      <c r="A326" t="inlineStr">
        <is>
          <t>A 4298-2025</t>
        </is>
      </c>
      <c r="B326" s="1" t="n">
        <v>45685</v>
      </c>
      <c r="C326" s="1" t="n">
        <v>45972</v>
      </c>
      <c r="D326" t="inlineStr">
        <is>
          <t>ÖREBRO LÄN</t>
        </is>
      </c>
      <c r="E326" t="inlineStr">
        <is>
          <t>LINDESBERG</t>
        </is>
      </c>
      <c r="G326" t="n">
        <v>13.5</v>
      </c>
      <c r="H326" t="n">
        <v>0</v>
      </c>
      <c r="I326" t="n">
        <v>0</v>
      </c>
      <c r="J326" t="n">
        <v>0</v>
      </c>
      <c r="K326" t="n">
        <v>0</v>
      </c>
      <c r="L326" t="n">
        <v>0</v>
      </c>
      <c r="M326" t="n">
        <v>0</v>
      </c>
      <c r="N326" t="n">
        <v>0</v>
      </c>
      <c r="O326" t="n">
        <v>0</v>
      </c>
      <c r="P326" t="n">
        <v>0</v>
      </c>
      <c r="Q326" t="n">
        <v>0</v>
      </c>
      <c r="R326" s="2" t="inlineStr"/>
    </row>
    <row r="327" ht="15" customHeight="1">
      <c r="A327" t="inlineStr">
        <is>
          <t>A 3233-2023</t>
        </is>
      </c>
      <c r="B327" s="1" t="n">
        <v>44946</v>
      </c>
      <c r="C327" s="1" t="n">
        <v>45972</v>
      </c>
      <c r="D327" t="inlineStr">
        <is>
          <t>ÖREBRO LÄN</t>
        </is>
      </c>
      <c r="E327" t="inlineStr">
        <is>
          <t>LINDESBERG</t>
        </is>
      </c>
      <c r="G327" t="n">
        <v>3</v>
      </c>
      <c r="H327" t="n">
        <v>0</v>
      </c>
      <c r="I327" t="n">
        <v>0</v>
      </c>
      <c r="J327" t="n">
        <v>0</v>
      </c>
      <c r="K327" t="n">
        <v>0</v>
      </c>
      <c r="L327" t="n">
        <v>0</v>
      </c>
      <c r="M327" t="n">
        <v>0</v>
      </c>
      <c r="N327" t="n">
        <v>0</v>
      </c>
      <c r="O327" t="n">
        <v>0</v>
      </c>
      <c r="P327" t="n">
        <v>0</v>
      </c>
      <c r="Q327" t="n">
        <v>0</v>
      </c>
      <c r="R327" s="2" t="inlineStr"/>
    </row>
    <row r="328" ht="15" customHeight="1">
      <c r="A328" t="inlineStr">
        <is>
          <t>A 5047-2023</t>
        </is>
      </c>
      <c r="B328" s="1" t="n">
        <v>44958.58982638889</v>
      </c>
      <c r="C328" s="1" t="n">
        <v>45972</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4999-2025</t>
        </is>
      </c>
      <c r="B329" s="1" t="n">
        <v>45691.36253472222</v>
      </c>
      <c r="C329" s="1" t="n">
        <v>45972</v>
      </c>
      <c r="D329" t="inlineStr">
        <is>
          <t>ÖREBRO LÄN</t>
        </is>
      </c>
      <c r="E329" t="inlineStr">
        <is>
          <t>LINDESBERG</t>
        </is>
      </c>
      <c r="G329" t="n">
        <v>4.7</v>
      </c>
      <c r="H329" t="n">
        <v>0</v>
      </c>
      <c r="I329" t="n">
        <v>0</v>
      </c>
      <c r="J329" t="n">
        <v>0</v>
      </c>
      <c r="K329" t="n">
        <v>0</v>
      </c>
      <c r="L329" t="n">
        <v>0</v>
      </c>
      <c r="M329" t="n">
        <v>0</v>
      </c>
      <c r="N329" t="n">
        <v>0</v>
      </c>
      <c r="O329" t="n">
        <v>0</v>
      </c>
      <c r="P329" t="n">
        <v>0</v>
      </c>
      <c r="Q329" t="n">
        <v>0</v>
      </c>
      <c r="R329" s="2" t="inlineStr"/>
    </row>
    <row r="330" ht="15" customHeight="1">
      <c r="A330" t="inlineStr">
        <is>
          <t>A 8836-2023</t>
        </is>
      </c>
      <c r="B330" s="1" t="n">
        <v>44978</v>
      </c>
      <c r="C330" s="1" t="n">
        <v>45972</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15892-2025</t>
        </is>
      </c>
      <c r="B331" s="1" t="n">
        <v>45749</v>
      </c>
      <c r="C331" s="1" t="n">
        <v>45972</v>
      </c>
      <c r="D331" t="inlineStr">
        <is>
          <t>ÖREBRO LÄN</t>
        </is>
      </c>
      <c r="E331" t="inlineStr">
        <is>
          <t>LINDESBERG</t>
        </is>
      </c>
      <c r="G331" t="n">
        <v>0.8</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45972</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45972</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38460-2024</t>
        </is>
      </c>
      <c r="B334" s="1" t="n">
        <v>45546.46497685185</v>
      </c>
      <c r="C334" s="1" t="n">
        <v>45972</v>
      </c>
      <c r="D334" t="inlineStr">
        <is>
          <t>ÖREBRO LÄN</t>
        </is>
      </c>
      <c r="E334" t="inlineStr">
        <is>
          <t>LINDESBERG</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45972</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45428-2023</t>
        </is>
      </c>
      <c r="B336" s="1" t="n">
        <v>45194</v>
      </c>
      <c r="C336" s="1" t="n">
        <v>45972</v>
      </c>
      <c r="D336" t="inlineStr">
        <is>
          <t>ÖREBRO LÄN</t>
        </is>
      </c>
      <c r="E336" t="inlineStr">
        <is>
          <t>LINDESBERG</t>
        </is>
      </c>
      <c r="G336" t="n">
        <v>7.7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45972</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45972</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45972</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46219-2022</t>
        </is>
      </c>
      <c r="B340" s="1" t="n">
        <v>44846</v>
      </c>
      <c r="C340" s="1" t="n">
        <v>45972</v>
      </c>
      <c r="D340" t="inlineStr">
        <is>
          <t>ÖREBRO LÄN</t>
        </is>
      </c>
      <c r="E340" t="inlineStr">
        <is>
          <t>LINDESBERG</t>
        </is>
      </c>
      <c r="G340" t="n">
        <v>6</v>
      </c>
      <c r="H340" t="n">
        <v>0</v>
      </c>
      <c r="I340" t="n">
        <v>0</v>
      </c>
      <c r="J340" t="n">
        <v>0</v>
      </c>
      <c r="K340" t="n">
        <v>0</v>
      </c>
      <c r="L340" t="n">
        <v>0</v>
      </c>
      <c r="M340" t="n">
        <v>0</v>
      </c>
      <c r="N340" t="n">
        <v>0</v>
      </c>
      <c r="O340" t="n">
        <v>0</v>
      </c>
      <c r="P340" t="n">
        <v>0</v>
      </c>
      <c r="Q340" t="n">
        <v>0</v>
      </c>
      <c r="R340" s="2" t="inlineStr"/>
    </row>
    <row r="341" ht="15" customHeight="1">
      <c r="A341" t="inlineStr">
        <is>
          <t>A 11953-2024</t>
        </is>
      </c>
      <c r="B341" s="1" t="n">
        <v>45376.70292824074</v>
      </c>
      <c r="C341" s="1" t="n">
        <v>45972</v>
      </c>
      <c r="D341" t="inlineStr">
        <is>
          <t>ÖREBRO LÄN</t>
        </is>
      </c>
      <c r="E341" t="inlineStr">
        <is>
          <t>LINDESBERG</t>
        </is>
      </c>
      <c r="G341" t="n">
        <v>5.7</v>
      </c>
      <c r="H341" t="n">
        <v>0</v>
      </c>
      <c r="I341" t="n">
        <v>0</v>
      </c>
      <c r="J341" t="n">
        <v>0</v>
      </c>
      <c r="K341" t="n">
        <v>0</v>
      </c>
      <c r="L341" t="n">
        <v>0</v>
      </c>
      <c r="M341" t="n">
        <v>0</v>
      </c>
      <c r="N341" t="n">
        <v>0</v>
      </c>
      <c r="O341" t="n">
        <v>0</v>
      </c>
      <c r="P341" t="n">
        <v>0</v>
      </c>
      <c r="Q341" t="n">
        <v>0</v>
      </c>
      <c r="R341" s="2" t="inlineStr"/>
    </row>
    <row r="342" ht="15" customHeight="1">
      <c r="A342" t="inlineStr">
        <is>
          <t>A 36015-2021</t>
        </is>
      </c>
      <c r="B342" s="1" t="n">
        <v>44389</v>
      </c>
      <c r="C342" s="1" t="n">
        <v>45972</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4440-2024</t>
        </is>
      </c>
      <c r="B343" s="1" t="n">
        <v>45327</v>
      </c>
      <c r="C343" s="1" t="n">
        <v>45972</v>
      </c>
      <c r="D343" t="inlineStr">
        <is>
          <t>ÖREBRO LÄN</t>
        </is>
      </c>
      <c r="E343" t="inlineStr">
        <is>
          <t>LINDESBERG</t>
        </is>
      </c>
      <c r="F343" t="inlineStr">
        <is>
          <t>BillerudKorsnäs AB</t>
        </is>
      </c>
      <c r="G343" t="n">
        <v>2</v>
      </c>
      <c r="H343" t="n">
        <v>0</v>
      </c>
      <c r="I343" t="n">
        <v>0</v>
      </c>
      <c r="J343" t="n">
        <v>0</v>
      </c>
      <c r="K343" t="n">
        <v>0</v>
      </c>
      <c r="L343" t="n">
        <v>0</v>
      </c>
      <c r="M343" t="n">
        <v>0</v>
      </c>
      <c r="N343" t="n">
        <v>0</v>
      </c>
      <c r="O343" t="n">
        <v>0</v>
      </c>
      <c r="P343" t="n">
        <v>0</v>
      </c>
      <c r="Q343" t="n">
        <v>0</v>
      </c>
      <c r="R343" s="2" t="inlineStr"/>
    </row>
    <row r="344" ht="15" customHeight="1">
      <c r="A344" t="inlineStr">
        <is>
          <t>A 48244-2024</t>
        </is>
      </c>
      <c r="B344" s="1" t="n">
        <v>45590.39471064815</v>
      </c>
      <c r="C344" s="1" t="n">
        <v>45972</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54705-2022</t>
        </is>
      </c>
      <c r="B345" s="1" t="n">
        <v>44883</v>
      </c>
      <c r="C345" s="1" t="n">
        <v>45972</v>
      </c>
      <c r="D345" t="inlineStr">
        <is>
          <t>ÖREBRO LÄN</t>
        </is>
      </c>
      <c r="E345" t="inlineStr">
        <is>
          <t>LINDESBERG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59633-2023</t>
        </is>
      </c>
      <c r="B346" s="1" t="n">
        <v>45254</v>
      </c>
      <c r="C346" s="1" t="n">
        <v>45972</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18418-2025</t>
        </is>
      </c>
      <c r="B347" s="1" t="n">
        <v>45762.61817129629</v>
      </c>
      <c r="C347" s="1" t="n">
        <v>45972</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28082-2021</t>
        </is>
      </c>
      <c r="B348" s="1" t="n">
        <v>44355</v>
      </c>
      <c r="C348" s="1" t="n">
        <v>45972</v>
      </c>
      <c r="D348" t="inlineStr">
        <is>
          <t>ÖREBRO LÄN</t>
        </is>
      </c>
      <c r="E348" t="inlineStr">
        <is>
          <t>LINDESBERG</t>
        </is>
      </c>
      <c r="F348" t="inlineStr">
        <is>
          <t>Sveaskog</t>
        </is>
      </c>
      <c r="G348" t="n">
        <v>9.9</v>
      </c>
      <c r="H348" t="n">
        <v>0</v>
      </c>
      <c r="I348" t="n">
        <v>0</v>
      </c>
      <c r="J348" t="n">
        <v>0</v>
      </c>
      <c r="K348" t="n">
        <v>0</v>
      </c>
      <c r="L348" t="n">
        <v>0</v>
      </c>
      <c r="M348" t="n">
        <v>0</v>
      </c>
      <c r="N348" t="n">
        <v>0</v>
      </c>
      <c r="O348" t="n">
        <v>0</v>
      </c>
      <c r="P348" t="n">
        <v>0</v>
      </c>
      <c r="Q348" t="n">
        <v>0</v>
      </c>
      <c r="R348" s="2" t="inlineStr"/>
    </row>
    <row r="349" ht="15" customHeight="1">
      <c r="A349" t="inlineStr">
        <is>
          <t>A 57911-2022</t>
        </is>
      </c>
      <c r="B349" s="1" t="n">
        <v>44900.36149305556</v>
      </c>
      <c r="C349" s="1" t="n">
        <v>45972</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23649-2023</t>
        </is>
      </c>
      <c r="B350" s="1" t="n">
        <v>45074</v>
      </c>
      <c r="C350" s="1" t="n">
        <v>45972</v>
      </c>
      <c r="D350" t="inlineStr">
        <is>
          <t>ÖREBRO LÄN</t>
        </is>
      </c>
      <c r="E350" t="inlineStr">
        <is>
          <t>LINDESBERG</t>
        </is>
      </c>
      <c r="G350" t="n">
        <v>1.2</v>
      </c>
      <c r="H350" t="n">
        <v>0</v>
      </c>
      <c r="I350" t="n">
        <v>0</v>
      </c>
      <c r="J350" t="n">
        <v>0</v>
      </c>
      <c r="K350" t="n">
        <v>0</v>
      </c>
      <c r="L350" t="n">
        <v>0</v>
      </c>
      <c r="M350" t="n">
        <v>0</v>
      </c>
      <c r="N350" t="n">
        <v>0</v>
      </c>
      <c r="O350" t="n">
        <v>0</v>
      </c>
      <c r="P350" t="n">
        <v>0</v>
      </c>
      <c r="Q350" t="n">
        <v>0</v>
      </c>
      <c r="R350" s="2" t="inlineStr"/>
    </row>
    <row r="351" ht="15" customHeight="1">
      <c r="A351" t="inlineStr">
        <is>
          <t>A 43081-2021</t>
        </is>
      </c>
      <c r="B351" s="1" t="n">
        <v>44431</v>
      </c>
      <c r="C351" s="1" t="n">
        <v>45972</v>
      </c>
      <c r="D351" t="inlineStr">
        <is>
          <t>ÖREBRO LÄN</t>
        </is>
      </c>
      <c r="E351" t="inlineStr">
        <is>
          <t>LINDESBERG</t>
        </is>
      </c>
      <c r="G351" t="n">
        <v>0.5</v>
      </c>
      <c r="H351" t="n">
        <v>0</v>
      </c>
      <c r="I351" t="n">
        <v>0</v>
      </c>
      <c r="J351" t="n">
        <v>0</v>
      </c>
      <c r="K351" t="n">
        <v>0</v>
      </c>
      <c r="L351" t="n">
        <v>0</v>
      </c>
      <c r="M351" t="n">
        <v>0</v>
      </c>
      <c r="N351" t="n">
        <v>0</v>
      </c>
      <c r="O351" t="n">
        <v>0</v>
      </c>
      <c r="P351" t="n">
        <v>0</v>
      </c>
      <c r="Q351" t="n">
        <v>0</v>
      </c>
      <c r="R351" s="2" t="inlineStr"/>
    </row>
    <row r="352" ht="15" customHeight="1">
      <c r="A352" t="inlineStr">
        <is>
          <t>A 64427-2021</t>
        </is>
      </c>
      <c r="B352" s="1" t="n">
        <v>44511</v>
      </c>
      <c r="C352" s="1" t="n">
        <v>45972</v>
      </c>
      <c r="D352" t="inlineStr">
        <is>
          <t>ÖREBRO LÄN</t>
        </is>
      </c>
      <c r="E352" t="inlineStr">
        <is>
          <t>LINDESBERG</t>
        </is>
      </c>
      <c r="G352" t="n">
        <v>2.2</v>
      </c>
      <c r="H352" t="n">
        <v>0</v>
      </c>
      <c r="I352" t="n">
        <v>0</v>
      </c>
      <c r="J352" t="n">
        <v>0</v>
      </c>
      <c r="K352" t="n">
        <v>0</v>
      </c>
      <c r="L352" t="n">
        <v>0</v>
      </c>
      <c r="M352" t="n">
        <v>0</v>
      </c>
      <c r="N352" t="n">
        <v>0</v>
      </c>
      <c r="O352" t="n">
        <v>0</v>
      </c>
      <c r="P352" t="n">
        <v>0</v>
      </c>
      <c r="Q352" t="n">
        <v>0</v>
      </c>
      <c r="R352" s="2" t="inlineStr"/>
    </row>
    <row r="353" ht="15" customHeight="1">
      <c r="A353" t="inlineStr">
        <is>
          <t>A 51071-2022</t>
        </is>
      </c>
      <c r="B353" s="1" t="n">
        <v>44868.36924768519</v>
      </c>
      <c r="C353" s="1" t="n">
        <v>45972</v>
      </c>
      <c r="D353" t="inlineStr">
        <is>
          <t>ÖREBRO LÄN</t>
        </is>
      </c>
      <c r="E353" t="inlineStr">
        <is>
          <t>LINDESBERG</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36748-2024</t>
        </is>
      </c>
      <c r="B354" s="1" t="n">
        <v>45538.34460648148</v>
      </c>
      <c r="C354" s="1" t="n">
        <v>45972</v>
      </c>
      <c r="D354" t="inlineStr">
        <is>
          <t>ÖREBRO LÄN</t>
        </is>
      </c>
      <c r="E354" t="inlineStr">
        <is>
          <t>LINDESBERG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45972</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45972</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45972</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19077-2025</t>
        </is>
      </c>
      <c r="B358" s="1" t="n">
        <v>45766.33309027777</v>
      </c>
      <c r="C358" s="1" t="n">
        <v>45972</v>
      </c>
      <c r="D358" t="inlineStr">
        <is>
          <t>ÖREBRO LÄN</t>
        </is>
      </c>
      <c r="E358" t="inlineStr">
        <is>
          <t>LINDESBERG</t>
        </is>
      </c>
      <c r="G358" t="n">
        <v>0</v>
      </c>
      <c r="H358" t="n">
        <v>0</v>
      </c>
      <c r="I358" t="n">
        <v>0</v>
      </c>
      <c r="J358" t="n">
        <v>0</v>
      </c>
      <c r="K358" t="n">
        <v>0</v>
      </c>
      <c r="L358" t="n">
        <v>0</v>
      </c>
      <c r="M358" t="n">
        <v>0</v>
      </c>
      <c r="N358" t="n">
        <v>0</v>
      </c>
      <c r="O358" t="n">
        <v>0</v>
      </c>
      <c r="P358" t="n">
        <v>0</v>
      </c>
      <c r="Q358" t="n">
        <v>0</v>
      </c>
      <c r="R358" s="2" t="inlineStr"/>
    </row>
    <row r="359" ht="15" customHeight="1">
      <c r="A359" t="inlineStr">
        <is>
          <t>A 15894-2025</t>
        </is>
      </c>
      <c r="B359" s="1" t="n">
        <v>45749</v>
      </c>
      <c r="C359" s="1" t="n">
        <v>45972</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49544-2023</t>
        </is>
      </c>
      <c r="B360" s="1" t="n">
        <v>45211</v>
      </c>
      <c r="C360" s="1" t="n">
        <v>45972</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13305-2023</t>
        </is>
      </c>
      <c r="B361" s="1" t="n">
        <v>45005.35967592592</v>
      </c>
      <c r="C361" s="1" t="n">
        <v>45972</v>
      </c>
      <c r="D361" t="inlineStr">
        <is>
          <t>ÖREBRO LÄN</t>
        </is>
      </c>
      <c r="E361" t="inlineStr">
        <is>
          <t>LINDESBERG</t>
        </is>
      </c>
      <c r="G361" t="n">
        <v>5.5</v>
      </c>
      <c r="H361" t="n">
        <v>0</v>
      </c>
      <c r="I361" t="n">
        <v>0</v>
      </c>
      <c r="J361" t="n">
        <v>0</v>
      </c>
      <c r="K361" t="n">
        <v>0</v>
      </c>
      <c r="L361" t="n">
        <v>0</v>
      </c>
      <c r="M361" t="n">
        <v>0</v>
      </c>
      <c r="N361" t="n">
        <v>0</v>
      </c>
      <c r="O361" t="n">
        <v>0</v>
      </c>
      <c r="P361" t="n">
        <v>0</v>
      </c>
      <c r="Q361" t="n">
        <v>0</v>
      </c>
      <c r="R361" s="2" t="inlineStr"/>
    </row>
    <row r="362" ht="15" customHeight="1">
      <c r="A362" t="inlineStr">
        <is>
          <t>A 13368-2023</t>
        </is>
      </c>
      <c r="B362" s="1" t="n">
        <v>45005.47820601852</v>
      </c>
      <c r="C362" s="1" t="n">
        <v>45972</v>
      </c>
      <c r="D362" t="inlineStr">
        <is>
          <t>ÖREBRO LÄN</t>
        </is>
      </c>
      <c r="E362" t="inlineStr">
        <is>
          <t>LINDESBERG</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29942-2024</t>
        </is>
      </c>
      <c r="B363" s="1" t="n">
        <v>45488.42258101852</v>
      </c>
      <c r="C363" s="1" t="n">
        <v>45972</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34436-2023</t>
        </is>
      </c>
      <c r="B364" s="1" t="n">
        <v>45139.64328703703</v>
      </c>
      <c r="C364" s="1" t="n">
        <v>45972</v>
      </c>
      <c r="D364" t="inlineStr">
        <is>
          <t>ÖREBRO LÄN</t>
        </is>
      </c>
      <c r="E364" t="inlineStr">
        <is>
          <t>LINDESBERG</t>
        </is>
      </c>
      <c r="F364" t="inlineStr">
        <is>
          <t>Kyrkan</t>
        </is>
      </c>
      <c r="G364" t="n">
        <v>5.8</v>
      </c>
      <c r="H364" t="n">
        <v>0</v>
      </c>
      <c r="I364" t="n">
        <v>0</v>
      </c>
      <c r="J364" t="n">
        <v>0</v>
      </c>
      <c r="K364" t="n">
        <v>0</v>
      </c>
      <c r="L364" t="n">
        <v>0</v>
      </c>
      <c r="M364" t="n">
        <v>0</v>
      </c>
      <c r="N364" t="n">
        <v>0</v>
      </c>
      <c r="O364" t="n">
        <v>0</v>
      </c>
      <c r="P364" t="n">
        <v>0</v>
      </c>
      <c r="Q364" t="n">
        <v>0</v>
      </c>
      <c r="R364" s="2" t="inlineStr"/>
    </row>
    <row r="365" ht="15" customHeight="1">
      <c r="A365" t="inlineStr">
        <is>
          <t>A 8834-2023</t>
        </is>
      </c>
      <c r="B365" s="1" t="n">
        <v>44978</v>
      </c>
      <c r="C365" s="1" t="n">
        <v>45972</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47110-2024</t>
        </is>
      </c>
      <c r="B366" s="1" t="n">
        <v>45586.55451388889</v>
      </c>
      <c r="C366" s="1" t="n">
        <v>45972</v>
      </c>
      <c r="D366" t="inlineStr">
        <is>
          <t>ÖREBRO LÄN</t>
        </is>
      </c>
      <c r="E366" t="inlineStr">
        <is>
          <t>LINDESBERG</t>
        </is>
      </c>
      <c r="G366" t="n">
        <v>0.6</v>
      </c>
      <c r="H366" t="n">
        <v>0</v>
      </c>
      <c r="I366" t="n">
        <v>0</v>
      </c>
      <c r="J366" t="n">
        <v>0</v>
      </c>
      <c r="K366" t="n">
        <v>0</v>
      </c>
      <c r="L366" t="n">
        <v>0</v>
      </c>
      <c r="M366" t="n">
        <v>0</v>
      </c>
      <c r="N366" t="n">
        <v>0</v>
      </c>
      <c r="O366" t="n">
        <v>0</v>
      </c>
      <c r="P366" t="n">
        <v>0</v>
      </c>
      <c r="Q366" t="n">
        <v>0</v>
      </c>
      <c r="R366" s="2" t="inlineStr"/>
    </row>
    <row r="367" ht="15" customHeight="1">
      <c r="A367" t="inlineStr">
        <is>
          <t>A 15094-2025</t>
        </is>
      </c>
      <c r="B367" s="1" t="n">
        <v>45744.32981481482</v>
      </c>
      <c r="C367" s="1" t="n">
        <v>45972</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13969-2025</t>
        </is>
      </c>
      <c r="B368" s="1" t="n">
        <v>45738.43714120371</v>
      </c>
      <c r="C368" s="1" t="n">
        <v>45972</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24352-2023</t>
        </is>
      </c>
      <c r="B369" s="1" t="n">
        <v>45082.31421296296</v>
      </c>
      <c r="C369" s="1" t="n">
        <v>45972</v>
      </c>
      <c r="D369" t="inlineStr">
        <is>
          <t>ÖREBRO LÄN</t>
        </is>
      </c>
      <c r="E369" t="inlineStr">
        <is>
          <t>LINDESBERG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45078-2024</t>
        </is>
      </c>
      <c r="B370" s="1" t="n">
        <v>45575.57104166667</v>
      </c>
      <c r="C370" s="1" t="n">
        <v>45972</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484-2022</t>
        </is>
      </c>
      <c r="B371" s="1" t="n">
        <v>44566</v>
      </c>
      <c r="C371" s="1" t="n">
        <v>45972</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36024-2021</t>
        </is>
      </c>
      <c r="B372" s="1" t="n">
        <v>44389</v>
      </c>
      <c r="C372" s="1" t="n">
        <v>45972</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27001-2024</t>
        </is>
      </c>
      <c r="B373" s="1" t="n">
        <v>45471.38995370371</v>
      </c>
      <c r="C373" s="1" t="n">
        <v>45972</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21468-2024</t>
        </is>
      </c>
      <c r="B374" s="1" t="n">
        <v>45441.48670138889</v>
      </c>
      <c r="C374" s="1" t="n">
        <v>45972</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10823-2023</t>
        </is>
      </c>
      <c r="B375" s="1" t="n">
        <v>44990</v>
      </c>
      <c r="C375" s="1" t="n">
        <v>45972</v>
      </c>
      <c r="D375" t="inlineStr">
        <is>
          <t>ÖREBRO LÄN</t>
        </is>
      </c>
      <c r="E375" t="inlineStr">
        <is>
          <t>LINDESBERG</t>
        </is>
      </c>
      <c r="G375" t="n">
        <v>1.8</v>
      </c>
      <c r="H375" t="n">
        <v>0</v>
      </c>
      <c r="I375" t="n">
        <v>0</v>
      </c>
      <c r="J375" t="n">
        <v>0</v>
      </c>
      <c r="K375" t="n">
        <v>0</v>
      </c>
      <c r="L375" t="n">
        <v>0</v>
      </c>
      <c r="M375" t="n">
        <v>0</v>
      </c>
      <c r="N375" t="n">
        <v>0</v>
      </c>
      <c r="O375" t="n">
        <v>0</v>
      </c>
      <c r="P375" t="n">
        <v>0</v>
      </c>
      <c r="Q375" t="n">
        <v>0</v>
      </c>
      <c r="R375" s="2" t="inlineStr"/>
    </row>
    <row r="376" ht="15" customHeight="1">
      <c r="A376" t="inlineStr">
        <is>
          <t>A 54855-2024</t>
        </is>
      </c>
      <c r="B376" s="1" t="n">
        <v>45618.58622685185</v>
      </c>
      <c r="C376" s="1" t="n">
        <v>45972</v>
      </c>
      <c r="D376" t="inlineStr">
        <is>
          <t>ÖREBRO LÄN</t>
        </is>
      </c>
      <c r="E376" t="inlineStr">
        <is>
          <t>LINDESBERG</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6727-2022</t>
        </is>
      </c>
      <c r="B377" s="1" t="n">
        <v>44602.45490740741</v>
      </c>
      <c r="C377" s="1" t="n">
        <v>45972</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20467-2023</t>
        </is>
      </c>
      <c r="B378" s="1" t="n">
        <v>45057</v>
      </c>
      <c r="C378" s="1" t="n">
        <v>45972</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6723-2022</t>
        </is>
      </c>
      <c r="B379" s="1" t="n">
        <v>44602.45162037037</v>
      </c>
      <c r="C379" s="1" t="n">
        <v>45972</v>
      </c>
      <c r="D379" t="inlineStr">
        <is>
          <t>ÖREBRO LÄN</t>
        </is>
      </c>
      <c r="E379" t="inlineStr">
        <is>
          <t>LINDESBERG</t>
        </is>
      </c>
      <c r="G379" t="n">
        <v>4.2</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45972</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45972</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25012-2023</t>
        </is>
      </c>
      <c r="B382" s="1" t="n">
        <v>45085</v>
      </c>
      <c r="C382" s="1" t="n">
        <v>45972</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26778-2023</t>
        </is>
      </c>
      <c r="B383" s="1" t="n">
        <v>45093.48221064815</v>
      </c>
      <c r="C383" s="1" t="n">
        <v>45972</v>
      </c>
      <c r="D383" t="inlineStr">
        <is>
          <t>ÖREBRO LÄN</t>
        </is>
      </c>
      <c r="E383" t="inlineStr">
        <is>
          <t>LINDESBERG</t>
        </is>
      </c>
      <c r="G383" t="n">
        <v>7.5</v>
      </c>
      <c r="H383" t="n">
        <v>0</v>
      </c>
      <c r="I383" t="n">
        <v>0</v>
      </c>
      <c r="J383" t="n">
        <v>0</v>
      </c>
      <c r="K383" t="n">
        <v>0</v>
      </c>
      <c r="L383" t="n">
        <v>0</v>
      </c>
      <c r="M383" t="n">
        <v>0</v>
      </c>
      <c r="N383" t="n">
        <v>0</v>
      </c>
      <c r="O383" t="n">
        <v>0</v>
      </c>
      <c r="P383" t="n">
        <v>0</v>
      </c>
      <c r="Q383" t="n">
        <v>0</v>
      </c>
      <c r="R383" s="2" t="inlineStr"/>
    </row>
    <row r="384" ht="15" customHeight="1">
      <c r="A384" t="inlineStr">
        <is>
          <t>A 50170-2022</t>
        </is>
      </c>
      <c r="B384" s="1" t="n">
        <v>44865.600625</v>
      </c>
      <c r="C384" s="1" t="n">
        <v>45972</v>
      </c>
      <c r="D384" t="inlineStr">
        <is>
          <t>ÖREBRO LÄN</t>
        </is>
      </c>
      <c r="E384" t="inlineStr">
        <is>
          <t>LINDESBERG</t>
        </is>
      </c>
      <c r="G384" t="n">
        <v>2.1</v>
      </c>
      <c r="H384" t="n">
        <v>0</v>
      </c>
      <c r="I384" t="n">
        <v>0</v>
      </c>
      <c r="J384" t="n">
        <v>0</v>
      </c>
      <c r="K384" t="n">
        <v>0</v>
      </c>
      <c r="L384" t="n">
        <v>0</v>
      </c>
      <c r="M384" t="n">
        <v>0</v>
      </c>
      <c r="N384" t="n">
        <v>0</v>
      </c>
      <c r="O384" t="n">
        <v>0</v>
      </c>
      <c r="P384" t="n">
        <v>0</v>
      </c>
      <c r="Q384" t="n">
        <v>0</v>
      </c>
      <c r="R384" s="2" t="inlineStr"/>
    </row>
    <row r="385" ht="15" customHeight="1">
      <c r="A385" t="inlineStr">
        <is>
          <t>A 1354-2024</t>
        </is>
      </c>
      <c r="B385" s="1" t="n">
        <v>45303</v>
      </c>
      <c r="C385" s="1" t="n">
        <v>45972</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36893-2024</t>
        </is>
      </c>
      <c r="B386" s="1" t="n">
        <v>45538</v>
      </c>
      <c r="C386" s="1" t="n">
        <v>45972</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33886-2024</t>
        </is>
      </c>
      <c r="B387" s="1" t="n">
        <v>45523.31621527778</v>
      </c>
      <c r="C387" s="1" t="n">
        <v>45972</v>
      </c>
      <c r="D387" t="inlineStr">
        <is>
          <t>ÖREBRO LÄN</t>
        </is>
      </c>
      <c r="E387" t="inlineStr">
        <is>
          <t>LINDESBERG</t>
        </is>
      </c>
      <c r="G387" t="n">
        <v>1.3</v>
      </c>
      <c r="H387" t="n">
        <v>0</v>
      </c>
      <c r="I387" t="n">
        <v>0</v>
      </c>
      <c r="J387" t="n">
        <v>0</v>
      </c>
      <c r="K387" t="n">
        <v>0</v>
      </c>
      <c r="L387" t="n">
        <v>0</v>
      </c>
      <c r="M387" t="n">
        <v>0</v>
      </c>
      <c r="N387" t="n">
        <v>0</v>
      </c>
      <c r="O387" t="n">
        <v>0</v>
      </c>
      <c r="P387" t="n">
        <v>0</v>
      </c>
      <c r="Q387" t="n">
        <v>0</v>
      </c>
      <c r="R387" s="2" t="inlineStr"/>
    </row>
    <row r="388" ht="15" customHeight="1">
      <c r="A388" t="inlineStr">
        <is>
          <t>A 50285-2022</t>
        </is>
      </c>
      <c r="B388" s="1" t="n">
        <v>44865.87770833333</v>
      </c>
      <c r="C388" s="1" t="n">
        <v>45972</v>
      </c>
      <c r="D388" t="inlineStr">
        <is>
          <t>ÖREBRO LÄN</t>
        </is>
      </c>
      <c r="E388" t="inlineStr">
        <is>
          <t>LINDESBERG</t>
        </is>
      </c>
      <c r="G388" t="n">
        <v>2.5</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45972</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58603-2023</t>
        </is>
      </c>
      <c r="B390" s="1" t="n">
        <v>45251</v>
      </c>
      <c r="C390" s="1" t="n">
        <v>45972</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13417-2025</t>
        </is>
      </c>
      <c r="B391" s="1" t="n">
        <v>45736.30940972222</v>
      </c>
      <c r="C391" s="1" t="n">
        <v>45972</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43066-2021</t>
        </is>
      </c>
      <c r="B392" s="1" t="n">
        <v>44431</v>
      </c>
      <c r="C392" s="1" t="n">
        <v>45972</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1405-2025</t>
        </is>
      </c>
      <c r="B393" s="1" t="n">
        <v>45667</v>
      </c>
      <c r="C393" s="1" t="n">
        <v>45972</v>
      </c>
      <c r="D393" t="inlineStr">
        <is>
          <t>ÖREBRO LÄN</t>
        </is>
      </c>
      <c r="E393" t="inlineStr">
        <is>
          <t>LINDESBERG</t>
        </is>
      </c>
      <c r="F393" t="inlineStr">
        <is>
          <t>Allmännings- och besparingsskogar</t>
        </is>
      </c>
      <c r="G393" t="n">
        <v>3.1</v>
      </c>
      <c r="H393" t="n">
        <v>0</v>
      </c>
      <c r="I393" t="n">
        <v>0</v>
      </c>
      <c r="J393" t="n">
        <v>0</v>
      </c>
      <c r="K393" t="n">
        <v>0</v>
      </c>
      <c r="L393" t="n">
        <v>0</v>
      </c>
      <c r="M393" t="n">
        <v>0</v>
      </c>
      <c r="N393" t="n">
        <v>0</v>
      </c>
      <c r="O393" t="n">
        <v>0</v>
      </c>
      <c r="P393" t="n">
        <v>0</v>
      </c>
      <c r="Q393" t="n">
        <v>0</v>
      </c>
      <c r="R393" s="2" t="inlineStr"/>
    </row>
    <row r="394" ht="15" customHeight="1">
      <c r="A394" t="inlineStr">
        <is>
          <t>A 23603-2023</t>
        </is>
      </c>
      <c r="B394" s="1" t="n">
        <v>45077</v>
      </c>
      <c r="C394" s="1" t="n">
        <v>45972</v>
      </c>
      <c r="D394" t="inlineStr">
        <is>
          <t>ÖREBRO LÄN</t>
        </is>
      </c>
      <c r="E394" t="inlineStr">
        <is>
          <t>LINDESBERG</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23607-2023</t>
        </is>
      </c>
      <c r="B395" s="1" t="n">
        <v>45077</v>
      </c>
      <c r="C395" s="1" t="n">
        <v>45972</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23612-2023</t>
        </is>
      </c>
      <c r="B396" s="1" t="n">
        <v>45077</v>
      </c>
      <c r="C396" s="1" t="n">
        <v>45972</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10564-2023</t>
        </is>
      </c>
      <c r="B397" s="1" t="n">
        <v>44988</v>
      </c>
      <c r="C397" s="1" t="n">
        <v>45972</v>
      </c>
      <c r="D397" t="inlineStr">
        <is>
          <t>ÖREBRO LÄN</t>
        </is>
      </c>
      <c r="E397" t="inlineStr">
        <is>
          <t>LINDESBERG</t>
        </is>
      </c>
      <c r="F397" t="inlineStr">
        <is>
          <t>Kyrkan</t>
        </is>
      </c>
      <c r="G397" t="n">
        <v>1.6</v>
      </c>
      <c r="H397" t="n">
        <v>0</v>
      </c>
      <c r="I397" t="n">
        <v>0</v>
      </c>
      <c r="J397" t="n">
        <v>0</v>
      </c>
      <c r="K397" t="n">
        <v>0</v>
      </c>
      <c r="L397" t="n">
        <v>0</v>
      </c>
      <c r="M397" t="n">
        <v>0</v>
      </c>
      <c r="N397" t="n">
        <v>0</v>
      </c>
      <c r="O397" t="n">
        <v>0</v>
      </c>
      <c r="P397" t="n">
        <v>0</v>
      </c>
      <c r="Q397" t="n">
        <v>0</v>
      </c>
      <c r="R397" s="2" t="inlineStr"/>
    </row>
    <row r="398" ht="15" customHeight="1">
      <c r="A398" t="inlineStr">
        <is>
          <t>A 23102-2023</t>
        </is>
      </c>
      <c r="B398" s="1" t="n">
        <v>45075.44152777778</v>
      </c>
      <c r="C398" s="1" t="n">
        <v>45972</v>
      </c>
      <c r="D398" t="inlineStr">
        <is>
          <t>ÖREBRO LÄN</t>
        </is>
      </c>
      <c r="E398" t="inlineStr">
        <is>
          <t>LINDESBERG</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40456-2023</t>
        </is>
      </c>
      <c r="B399" s="1" t="n">
        <v>45170</v>
      </c>
      <c r="C399" s="1" t="n">
        <v>45972</v>
      </c>
      <c r="D399" t="inlineStr">
        <is>
          <t>ÖREBRO LÄN</t>
        </is>
      </c>
      <c r="E399" t="inlineStr">
        <is>
          <t>LINDESBERG</t>
        </is>
      </c>
      <c r="F399" t="inlineStr">
        <is>
          <t>Kyrkan</t>
        </is>
      </c>
      <c r="G399" t="n">
        <v>0.6</v>
      </c>
      <c r="H399" t="n">
        <v>0</v>
      </c>
      <c r="I399" t="n">
        <v>0</v>
      </c>
      <c r="J399" t="n">
        <v>0</v>
      </c>
      <c r="K399" t="n">
        <v>0</v>
      </c>
      <c r="L399" t="n">
        <v>0</v>
      </c>
      <c r="M399" t="n">
        <v>0</v>
      </c>
      <c r="N399" t="n">
        <v>0</v>
      </c>
      <c r="O399" t="n">
        <v>0</v>
      </c>
      <c r="P399" t="n">
        <v>0</v>
      </c>
      <c r="Q399" t="n">
        <v>0</v>
      </c>
      <c r="R399" s="2" t="inlineStr"/>
    </row>
    <row r="400" ht="15" customHeight="1">
      <c r="A400" t="inlineStr">
        <is>
          <t>A 15212-2025</t>
        </is>
      </c>
      <c r="B400" s="1" t="n">
        <v>45744.57673611111</v>
      </c>
      <c r="C400" s="1" t="n">
        <v>45972</v>
      </c>
      <c r="D400" t="inlineStr">
        <is>
          <t>ÖREBRO LÄN</t>
        </is>
      </c>
      <c r="E400" t="inlineStr">
        <is>
          <t>LINDESBERG</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45972</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3148-2023</t>
        </is>
      </c>
      <c r="B402" s="1" t="n">
        <v>44946.54424768518</v>
      </c>
      <c r="C402" s="1" t="n">
        <v>45972</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11218-2025</t>
        </is>
      </c>
      <c r="B403" s="1" t="n">
        <v>45726.33763888889</v>
      </c>
      <c r="C403" s="1" t="n">
        <v>45972</v>
      </c>
      <c r="D403" t="inlineStr">
        <is>
          <t>ÖREBRO LÄN</t>
        </is>
      </c>
      <c r="E403" t="inlineStr">
        <is>
          <t>LINDESBERG</t>
        </is>
      </c>
      <c r="G403" t="n">
        <v>0.4</v>
      </c>
      <c r="H403" t="n">
        <v>0</v>
      </c>
      <c r="I403" t="n">
        <v>0</v>
      </c>
      <c r="J403" t="n">
        <v>0</v>
      </c>
      <c r="K403" t="n">
        <v>0</v>
      </c>
      <c r="L403" t="n">
        <v>0</v>
      </c>
      <c r="M403" t="n">
        <v>0</v>
      </c>
      <c r="N403" t="n">
        <v>0</v>
      </c>
      <c r="O403" t="n">
        <v>0</v>
      </c>
      <c r="P403" t="n">
        <v>0</v>
      </c>
      <c r="Q403" t="n">
        <v>0</v>
      </c>
      <c r="R403" s="2" t="inlineStr"/>
    </row>
    <row r="404" ht="15" customHeight="1">
      <c r="A404" t="inlineStr">
        <is>
          <t>A 11220-2025</t>
        </is>
      </c>
      <c r="B404" s="1" t="n">
        <v>45726.34090277777</v>
      </c>
      <c r="C404" s="1" t="n">
        <v>45972</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43801-2024</t>
        </is>
      </c>
      <c r="B405" s="1" t="n">
        <v>45571.71736111111</v>
      </c>
      <c r="C405" s="1" t="n">
        <v>45972</v>
      </c>
      <c r="D405" t="inlineStr">
        <is>
          <t>ÖREBRO LÄN</t>
        </is>
      </c>
      <c r="E405" t="inlineStr">
        <is>
          <t>LINDESBERG</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28562-2023</t>
        </is>
      </c>
      <c r="B406" s="1" t="n">
        <v>45103.53614583334</v>
      </c>
      <c r="C406" s="1" t="n">
        <v>45972</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17463-2023</t>
        </is>
      </c>
      <c r="B407" s="1" t="n">
        <v>45036</v>
      </c>
      <c r="C407" s="1" t="n">
        <v>45972</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61222-2022</t>
        </is>
      </c>
      <c r="B408" s="1" t="n">
        <v>44909</v>
      </c>
      <c r="C408" s="1" t="n">
        <v>45972</v>
      </c>
      <c r="D408" t="inlineStr">
        <is>
          <t>ÖREBRO LÄN</t>
        </is>
      </c>
      <c r="E408" t="inlineStr">
        <is>
          <t>LINDESBERG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72331-2021</t>
        </is>
      </c>
      <c r="B409" s="1" t="n">
        <v>44544</v>
      </c>
      <c r="C409" s="1" t="n">
        <v>45972</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45062-2022</t>
        </is>
      </c>
      <c r="B410" s="1" t="n">
        <v>44841</v>
      </c>
      <c r="C410" s="1" t="n">
        <v>45972</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6511-2025</t>
        </is>
      </c>
      <c r="B411" s="1" t="n">
        <v>45699.65424768518</v>
      </c>
      <c r="C411" s="1" t="n">
        <v>45972</v>
      </c>
      <c r="D411" t="inlineStr">
        <is>
          <t>ÖREBRO LÄN</t>
        </is>
      </c>
      <c r="E411" t="inlineStr">
        <is>
          <t>LINDESBERG</t>
        </is>
      </c>
      <c r="G411" t="n">
        <v>9.1</v>
      </c>
      <c r="H411" t="n">
        <v>0</v>
      </c>
      <c r="I411" t="n">
        <v>0</v>
      </c>
      <c r="J411" t="n">
        <v>0</v>
      </c>
      <c r="K411" t="n">
        <v>0</v>
      </c>
      <c r="L411" t="n">
        <v>0</v>
      </c>
      <c r="M411" t="n">
        <v>0</v>
      </c>
      <c r="N411" t="n">
        <v>0</v>
      </c>
      <c r="O411" t="n">
        <v>0</v>
      </c>
      <c r="P411" t="n">
        <v>0</v>
      </c>
      <c r="Q411" t="n">
        <v>0</v>
      </c>
      <c r="R411" s="2" t="inlineStr"/>
    </row>
    <row r="412" ht="15" customHeight="1">
      <c r="A412" t="inlineStr">
        <is>
          <t>A 36754-2024</t>
        </is>
      </c>
      <c r="B412" s="1" t="n">
        <v>45538.34796296297</v>
      </c>
      <c r="C412" s="1" t="n">
        <v>45972</v>
      </c>
      <c r="D412" t="inlineStr">
        <is>
          <t>ÖREBRO LÄN</t>
        </is>
      </c>
      <c r="E412" t="inlineStr">
        <is>
          <t>LINDESBERG</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39424-2025</t>
        </is>
      </c>
      <c r="B413" s="1" t="n">
        <v>45889.67290509259</v>
      </c>
      <c r="C413" s="1" t="n">
        <v>45972</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39429-2025</t>
        </is>
      </c>
      <c r="B414" s="1" t="n">
        <v>45889.67577546297</v>
      </c>
      <c r="C414" s="1" t="n">
        <v>45972</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45972</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45972</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50225-2021</t>
        </is>
      </c>
      <c r="B417" s="1" t="n">
        <v>44457</v>
      </c>
      <c r="C417" s="1" t="n">
        <v>45972</v>
      </c>
      <c r="D417" t="inlineStr">
        <is>
          <t>ÖREBRO LÄN</t>
        </is>
      </c>
      <c r="E417" t="inlineStr">
        <is>
          <t>LINDESBERG</t>
        </is>
      </c>
      <c r="G417" t="n">
        <v>2.5</v>
      </c>
      <c r="H417" t="n">
        <v>0</v>
      </c>
      <c r="I417" t="n">
        <v>0</v>
      </c>
      <c r="J417" t="n">
        <v>0</v>
      </c>
      <c r="K417" t="n">
        <v>0</v>
      </c>
      <c r="L417" t="n">
        <v>0</v>
      </c>
      <c r="M417" t="n">
        <v>0</v>
      </c>
      <c r="N417" t="n">
        <v>0</v>
      </c>
      <c r="O417" t="n">
        <v>0</v>
      </c>
      <c r="P417" t="n">
        <v>0</v>
      </c>
      <c r="Q417" t="n">
        <v>0</v>
      </c>
      <c r="R417" s="2" t="inlineStr"/>
    </row>
    <row r="418" ht="15" customHeight="1">
      <c r="A418" t="inlineStr">
        <is>
          <t>A 16791-2024</t>
        </is>
      </c>
      <c r="B418" s="1" t="n">
        <v>45411.42858796296</v>
      </c>
      <c r="C418" s="1" t="n">
        <v>45972</v>
      </c>
      <c r="D418" t="inlineStr">
        <is>
          <t>ÖREBRO LÄN</t>
        </is>
      </c>
      <c r="E418" t="inlineStr">
        <is>
          <t>LINDESBERG</t>
        </is>
      </c>
      <c r="G418" t="n">
        <v>16.1</v>
      </c>
      <c r="H418" t="n">
        <v>0</v>
      </c>
      <c r="I418" t="n">
        <v>0</v>
      </c>
      <c r="J418" t="n">
        <v>0</v>
      </c>
      <c r="K418" t="n">
        <v>0</v>
      </c>
      <c r="L418" t="n">
        <v>0</v>
      </c>
      <c r="M418" t="n">
        <v>0</v>
      </c>
      <c r="N418" t="n">
        <v>0</v>
      </c>
      <c r="O418" t="n">
        <v>0</v>
      </c>
      <c r="P418" t="n">
        <v>0</v>
      </c>
      <c r="Q418" t="n">
        <v>0</v>
      </c>
      <c r="R418" s="2" t="inlineStr"/>
    </row>
    <row r="419" ht="15" customHeight="1">
      <c r="A419" t="inlineStr">
        <is>
          <t>A 64365-2023</t>
        </is>
      </c>
      <c r="B419" s="1" t="n">
        <v>45280</v>
      </c>
      <c r="C419" s="1" t="n">
        <v>45972</v>
      </c>
      <c r="D419" t="inlineStr">
        <is>
          <t>ÖREBRO LÄN</t>
        </is>
      </c>
      <c r="E419" t="inlineStr">
        <is>
          <t>LINDESBERG</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22829-2023</t>
        </is>
      </c>
      <c r="B420" s="1" t="n">
        <v>45072.42776620371</v>
      </c>
      <c r="C420" s="1" t="n">
        <v>45972</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37738-2024</t>
        </is>
      </c>
      <c r="B421" s="1" t="n">
        <v>45541.66916666667</v>
      </c>
      <c r="C421" s="1" t="n">
        <v>45972</v>
      </c>
      <c r="D421" t="inlineStr">
        <is>
          <t>ÖREBRO LÄN</t>
        </is>
      </c>
      <c r="E421" t="inlineStr">
        <is>
          <t>LINDESBERG</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33428-2024</t>
        </is>
      </c>
      <c r="B422" s="1" t="n">
        <v>45519.52319444445</v>
      </c>
      <c r="C422" s="1" t="n">
        <v>45972</v>
      </c>
      <c r="D422" t="inlineStr">
        <is>
          <t>ÖREBRO LÄN</t>
        </is>
      </c>
      <c r="E422" t="inlineStr">
        <is>
          <t>LINDESBERG</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61202-2023</t>
        </is>
      </c>
      <c r="B423" s="1" t="n">
        <v>45264.38084490741</v>
      </c>
      <c r="C423" s="1" t="n">
        <v>45972</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14187-2024</t>
        </is>
      </c>
      <c r="B424" s="1" t="n">
        <v>45393.35787037037</v>
      </c>
      <c r="C424" s="1" t="n">
        <v>45972</v>
      </c>
      <c r="D424" t="inlineStr">
        <is>
          <t>ÖREBRO LÄN</t>
        </is>
      </c>
      <c r="E424" t="inlineStr">
        <is>
          <t>LINDESBERG</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195-2022</t>
        </is>
      </c>
      <c r="B425" s="1" t="n">
        <v>44564</v>
      </c>
      <c r="C425" s="1" t="n">
        <v>45972</v>
      </c>
      <c r="D425" t="inlineStr">
        <is>
          <t>ÖREBRO LÄN</t>
        </is>
      </c>
      <c r="E425" t="inlineStr">
        <is>
          <t>LINDESBERG</t>
        </is>
      </c>
      <c r="G425" t="n">
        <v>4.7</v>
      </c>
      <c r="H425" t="n">
        <v>0</v>
      </c>
      <c r="I425" t="n">
        <v>0</v>
      </c>
      <c r="J425" t="n">
        <v>0</v>
      </c>
      <c r="K425" t="n">
        <v>0</v>
      </c>
      <c r="L425" t="n">
        <v>0</v>
      </c>
      <c r="M425" t="n">
        <v>0</v>
      </c>
      <c r="N425" t="n">
        <v>0</v>
      </c>
      <c r="O425" t="n">
        <v>0</v>
      </c>
      <c r="P425" t="n">
        <v>0</v>
      </c>
      <c r="Q425" t="n">
        <v>0</v>
      </c>
      <c r="R425" s="2" t="inlineStr"/>
    </row>
    <row r="426" ht="15" customHeight="1">
      <c r="A426" t="inlineStr">
        <is>
          <t>A 47676-2025</t>
        </is>
      </c>
      <c r="B426" s="1" t="n">
        <v>45931.57756944445</v>
      </c>
      <c r="C426" s="1" t="n">
        <v>45972</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29500-2023</t>
        </is>
      </c>
      <c r="B427" s="1" t="n">
        <v>45106</v>
      </c>
      <c r="C427" s="1" t="n">
        <v>45972</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60105-2022</t>
        </is>
      </c>
      <c r="B428" s="1" t="n">
        <v>44902</v>
      </c>
      <c r="C428" s="1" t="n">
        <v>45972</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45972</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39140-2024</t>
        </is>
      </c>
      <c r="B430" s="1" t="n">
        <v>45548</v>
      </c>
      <c r="C430" s="1" t="n">
        <v>45972</v>
      </c>
      <c r="D430" t="inlineStr">
        <is>
          <t>ÖREBRO LÄN</t>
        </is>
      </c>
      <c r="E430" t="inlineStr">
        <is>
          <t>LINDESBERG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45972</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265-2023</t>
        </is>
      </c>
      <c r="B432" s="1" t="n">
        <v>44928</v>
      </c>
      <c r="C432" s="1" t="n">
        <v>45972</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41582-2021</t>
        </is>
      </c>
      <c r="B433" s="1" t="n">
        <v>44425.40297453704</v>
      </c>
      <c r="C433" s="1" t="n">
        <v>45972</v>
      </c>
      <c r="D433" t="inlineStr">
        <is>
          <t>ÖREBRO LÄN</t>
        </is>
      </c>
      <c r="E433" t="inlineStr">
        <is>
          <t>LINDESBERG</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15895-2025</t>
        </is>
      </c>
      <c r="B434" s="1" t="n">
        <v>45749</v>
      </c>
      <c r="C434" s="1" t="n">
        <v>45972</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15941-2025</t>
        </is>
      </c>
      <c r="B435" s="1" t="n">
        <v>45749</v>
      </c>
      <c r="C435" s="1" t="n">
        <v>45972</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53046-2024</t>
        </is>
      </c>
      <c r="B436" s="1" t="n">
        <v>45611.44960648148</v>
      </c>
      <c r="C436" s="1" t="n">
        <v>45972</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19392-2025</t>
        </is>
      </c>
      <c r="B437" s="1" t="n">
        <v>45769.66260416667</v>
      </c>
      <c r="C437" s="1" t="n">
        <v>45972</v>
      </c>
      <c r="D437" t="inlineStr">
        <is>
          <t>ÖREBRO LÄN</t>
        </is>
      </c>
      <c r="E437" t="inlineStr">
        <is>
          <t>LINDESBERG</t>
        </is>
      </c>
      <c r="G437" t="n">
        <v>6.5</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45972</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59052-2023</t>
        </is>
      </c>
      <c r="B439" s="1" t="n">
        <v>45252.78021990741</v>
      </c>
      <c r="C439" s="1" t="n">
        <v>45972</v>
      </c>
      <c r="D439" t="inlineStr">
        <is>
          <t>ÖREBRO LÄN</t>
        </is>
      </c>
      <c r="E439" t="inlineStr">
        <is>
          <t>LINDESBERG</t>
        </is>
      </c>
      <c r="G439" t="n">
        <v>4.2</v>
      </c>
      <c r="H439" t="n">
        <v>0</v>
      </c>
      <c r="I439" t="n">
        <v>0</v>
      </c>
      <c r="J439" t="n">
        <v>0</v>
      </c>
      <c r="K439" t="n">
        <v>0</v>
      </c>
      <c r="L439" t="n">
        <v>0</v>
      </c>
      <c r="M439" t="n">
        <v>0</v>
      </c>
      <c r="N439" t="n">
        <v>0</v>
      </c>
      <c r="O439" t="n">
        <v>0</v>
      </c>
      <c r="P439" t="n">
        <v>0</v>
      </c>
      <c r="Q439" t="n">
        <v>0</v>
      </c>
      <c r="R439" s="2" t="inlineStr"/>
    </row>
    <row r="440" ht="15" customHeight="1">
      <c r="A440" t="inlineStr">
        <is>
          <t>A 18590-2023</t>
        </is>
      </c>
      <c r="B440" s="1" t="n">
        <v>45043.40300925926</v>
      </c>
      <c r="C440" s="1" t="n">
        <v>45972</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45972</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6-2023</t>
        </is>
      </c>
      <c r="B442" s="1" t="n">
        <v>44927.72487268518</v>
      </c>
      <c r="C442" s="1" t="n">
        <v>45972</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14522-2025</t>
        </is>
      </c>
      <c r="B443" s="1" t="n">
        <v>45741.64491898148</v>
      </c>
      <c r="C443" s="1" t="n">
        <v>45972</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54864-2024</t>
        </is>
      </c>
      <c r="B444" s="1" t="n">
        <v>45618.59456018519</v>
      </c>
      <c r="C444" s="1" t="n">
        <v>45972</v>
      </c>
      <c r="D444" t="inlineStr">
        <is>
          <t>ÖREBRO LÄN</t>
        </is>
      </c>
      <c r="E444" t="inlineStr">
        <is>
          <t>LINDESBERG</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45972</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51539-2024</t>
        </is>
      </c>
      <c r="B446" s="1" t="n">
        <v>45604.58837962963</v>
      </c>
      <c r="C446" s="1" t="n">
        <v>45972</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15852-2025</t>
        </is>
      </c>
      <c r="B447" s="1" t="n">
        <v>45749</v>
      </c>
      <c r="C447" s="1" t="n">
        <v>45972</v>
      </c>
      <c r="D447" t="inlineStr">
        <is>
          <t>ÖREBRO LÄN</t>
        </is>
      </c>
      <c r="E447" t="inlineStr">
        <is>
          <t>LINDESBERG</t>
        </is>
      </c>
      <c r="G447" t="n">
        <v>8.9</v>
      </c>
      <c r="H447" t="n">
        <v>0</v>
      </c>
      <c r="I447" t="n">
        <v>0</v>
      </c>
      <c r="J447" t="n">
        <v>0</v>
      </c>
      <c r="K447" t="n">
        <v>0</v>
      </c>
      <c r="L447" t="n">
        <v>0</v>
      </c>
      <c r="M447" t="n">
        <v>0</v>
      </c>
      <c r="N447" t="n">
        <v>0</v>
      </c>
      <c r="O447" t="n">
        <v>0</v>
      </c>
      <c r="P447" t="n">
        <v>0</v>
      </c>
      <c r="Q447" t="n">
        <v>0</v>
      </c>
      <c r="R447" s="2" t="inlineStr"/>
    </row>
    <row r="448" ht="15" customHeight="1">
      <c r="A448" t="inlineStr">
        <is>
          <t>A 5358-2022</t>
        </is>
      </c>
      <c r="B448" s="1" t="n">
        <v>44594.84091435185</v>
      </c>
      <c r="C448" s="1" t="n">
        <v>45972</v>
      </c>
      <c r="D448" t="inlineStr">
        <is>
          <t>ÖREBRO LÄN</t>
        </is>
      </c>
      <c r="E448" t="inlineStr">
        <is>
          <t>LINDESBERG</t>
        </is>
      </c>
      <c r="G448" t="n">
        <v>2.8</v>
      </c>
      <c r="H448" t="n">
        <v>0</v>
      </c>
      <c r="I448" t="n">
        <v>0</v>
      </c>
      <c r="J448" t="n">
        <v>0</v>
      </c>
      <c r="K448" t="n">
        <v>0</v>
      </c>
      <c r="L448" t="n">
        <v>0</v>
      </c>
      <c r="M448" t="n">
        <v>0</v>
      </c>
      <c r="N448" t="n">
        <v>0</v>
      </c>
      <c r="O448" t="n">
        <v>0</v>
      </c>
      <c r="P448" t="n">
        <v>0</v>
      </c>
      <c r="Q448" t="n">
        <v>0</v>
      </c>
      <c r="R448" s="2" t="inlineStr"/>
    </row>
    <row r="449" ht="15" customHeight="1">
      <c r="A449" t="inlineStr">
        <is>
          <t>A 34539-2024</t>
        </is>
      </c>
      <c r="B449" s="1" t="n">
        <v>45525.7374537037</v>
      </c>
      <c r="C449" s="1" t="n">
        <v>45972</v>
      </c>
      <c r="D449" t="inlineStr">
        <is>
          <t>ÖREBRO LÄN</t>
        </is>
      </c>
      <c r="E449" t="inlineStr">
        <is>
          <t>LINDESBERG</t>
        </is>
      </c>
      <c r="G449" t="n">
        <v>5.4</v>
      </c>
      <c r="H449" t="n">
        <v>0</v>
      </c>
      <c r="I449" t="n">
        <v>0</v>
      </c>
      <c r="J449" t="n">
        <v>0</v>
      </c>
      <c r="K449" t="n">
        <v>0</v>
      </c>
      <c r="L449" t="n">
        <v>0</v>
      </c>
      <c r="M449" t="n">
        <v>0</v>
      </c>
      <c r="N449" t="n">
        <v>0</v>
      </c>
      <c r="O449" t="n">
        <v>0</v>
      </c>
      <c r="P449" t="n">
        <v>0</v>
      </c>
      <c r="Q449" t="n">
        <v>0</v>
      </c>
      <c r="R449" s="2" t="inlineStr"/>
    </row>
    <row r="450" ht="15" customHeight="1">
      <c r="A450" t="inlineStr">
        <is>
          <t>A 35739-2024</t>
        </is>
      </c>
      <c r="B450" s="1" t="n">
        <v>45532</v>
      </c>
      <c r="C450" s="1" t="n">
        <v>45972</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45972</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1383-2025</t>
        </is>
      </c>
      <c r="B452" s="1" t="n">
        <v>45667</v>
      </c>
      <c r="C452" s="1" t="n">
        <v>45972</v>
      </c>
      <c r="D452" t="inlineStr">
        <is>
          <t>ÖREBRO LÄN</t>
        </is>
      </c>
      <c r="E452" t="inlineStr">
        <is>
          <t>LINDESBERG</t>
        </is>
      </c>
      <c r="G452" t="n">
        <v>5</v>
      </c>
      <c r="H452" t="n">
        <v>0</v>
      </c>
      <c r="I452" t="n">
        <v>0</v>
      </c>
      <c r="J452" t="n">
        <v>0</v>
      </c>
      <c r="K452" t="n">
        <v>0</v>
      </c>
      <c r="L452" t="n">
        <v>0</v>
      </c>
      <c r="M452" t="n">
        <v>0</v>
      </c>
      <c r="N452" t="n">
        <v>0</v>
      </c>
      <c r="O452" t="n">
        <v>0</v>
      </c>
      <c r="P452" t="n">
        <v>0</v>
      </c>
      <c r="Q452" t="n">
        <v>0</v>
      </c>
      <c r="R452" s="2" t="inlineStr"/>
    </row>
    <row r="453" ht="15" customHeight="1">
      <c r="A453" t="inlineStr">
        <is>
          <t>A 15324-2024</t>
        </is>
      </c>
      <c r="B453" s="1" t="n">
        <v>45400.66995370371</v>
      </c>
      <c r="C453" s="1" t="n">
        <v>45972</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45972</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39421-2025</t>
        </is>
      </c>
      <c r="B455" s="1" t="n">
        <v>45889.66935185185</v>
      </c>
      <c r="C455" s="1" t="n">
        <v>45972</v>
      </c>
      <c r="D455" t="inlineStr">
        <is>
          <t>ÖREBRO LÄN</t>
        </is>
      </c>
      <c r="E455" t="inlineStr">
        <is>
          <t>LINDESBERG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10057-2025</t>
        </is>
      </c>
      <c r="B456" s="1" t="n">
        <v>45719.52871527777</v>
      </c>
      <c r="C456" s="1" t="n">
        <v>45972</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4539-2025</t>
        </is>
      </c>
      <c r="B457" s="1" t="n">
        <v>45687</v>
      </c>
      <c r="C457" s="1" t="n">
        <v>45972</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13823-2021</t>
        </is>
      </c>
      <c r="B458" s="1" t="n">
        <v>44276</v>
      </c>
      <c r="C458" s="1" t="n">
        <v>45972</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44804-2024</t>
        </is>
      </c>
      <c r="B459" s="1" t="n">
        <v>45574.65189814815</v>
      </c>
      <c r="C459" s="1" t="n">
        <v>45972</v>
      </c>
      <c r="D459" t="inlineStr">
        <is>
          <t>ÖREBRO LÄN</t>
        </is>
      </c>
      <c r="E459" t="inlineStr">
        <is>
          <t>LINDESBERG</t>
        </is>
      </c>
      <c r="F459" t="inlineStr">
        <is>
          <t>Sveaskog</t>
        </is>
      </c>
      <c r="G459" t="n">
        <v>5.7</v>
      </c>
      <c r="H459" t="n">
        <v>0</v>
      </c>
      <c r="I459" t="n">
        <v>0</v>
      </c>
      <c r="J459" t="n">
        <v>0</v>
      </c>
      <c r="K459" t="n">
        <v>0</v>
      </c>
      <c r="L459" t="n">
        <v>0</v>
      </c>
      <c r="M459" t="n">
        <v>0</v>
      </c>
      <c r="N459" t="n">
        <v>0</v>
      </c>
      <c r="O459" t="n">
        <v>0</v>
      </c>
      <c r="P459" t="n">
        <v>0</v>
      </c>
      <c r="Q459" t="n">
        <v>0</v>
      </c>
      <c r="R459" s="2" t="inlineStr"/>
    </row>
    <row r="460" ht="15" customHeight="1">
      <c r="A460" t="inlineStr">
        <is>
          <t>A 7211-2024</t>
        </is>
      </c>
      <c r="B460" s="1" t="n">
        <v>45344.623125</v>
      </c>
      <c r="C460" s="1" t="n">
        <v>45972</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45972</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48620-2025</t>
        </is>
      </c>
      <c r="B462" s="1" t="n">
        <v>45936.49210648148</v>
      </c>
      <c r="C462" s="1" t="n">
        <v>45972</v>
      </c>
      <c r="D462" t="inlineStr">
        <is>
          <t>ÖREBRO LÄN</t>
        </is>
      </c>
      <c r="E462" t="inlineStr">
        <is>
          <t>LINDESBERG</t>
        </is>
      </c>
      <c r="F462" t="inlineStr">
        <is>
          <t>Sveaskog</t>
        </is>
      </c>
      <c r="G462" t="n">
        <v>5.2</v>
      </c>
      <c r="H462" t="n">
        <v>0</v>
      </c>
      <c r="I462" t="n">
        <v>0</v>
      </c>
      <c r="J462" t="n">
        <v>0</v>
      </c>
      <c r="K462" t="n">
        <v>0</v>
      </c>
      <c r="L462" t="n">
        <v>0</v>
      </c>
      <c r="M462" t="n">
        <v>0</v>
      </c>
      <c r="N462" t="n">
        <v>0</v>
      </c>
      <c r="O462" t="n">
        <v>0</v>
      </c>
      <c r="P462" t="n">
        <v>0</v>
      </c>
      <c r="Q462" t="n">
        <v>0</v>
      </c>
      <c r="R462" s="2" t="inlineStr"/>
    </row>
    <row r="463" ht="15" customHeight="1">
      <c r="A463" t="inlineStr">
        <is>
          <t>A 47066-2023</t>
        </is>
      </c>
      <c r="B463" s="1" t="n">
        <v>45201</v>
      </c>
      <c r="C463" s="1" t="n">
        <v>45972</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37604-2025</t>
        </is>
      </c>
      <c r="B464" s="1" t="n">
        <v>45880</v>
      </c>
      <c r="C464" s="1" t="n">
        <v>45972</v>
      </c>
      <c r="D464" t="inlineStr">
        <is>
          <t>ÖREBRO LÄN</t>
        </is>
      </c>
      <c r="E464" t="inlineStr">
        <is>
          <t>LINDESBERG</t>
        </is>
      </c>
      <c r="G464" t="n">
        <v>6.3</v>
      </c>
      <c r="H464" t="n">
        <v>0</v>
      </c>
      <c r="I464" t="n">
        <v>0</v>
      </c>
      <c r="J464" t="n">
        <v>0</v>
      </c>
      <c r="K464" t="n">
        <v>0</v>
      </c>
      <c r="L464" t="n">
        <v>0</v>
      </c>
      <c r="M464" t="n">
        <v>0</v>
      </c>
      <c r="N464" t="n">
        <v>0</v>
      </c>
      <c r="O464" t="n">
        <v>0</v>
      </c>
      <c r="P464" t="n">
        <v>0</v>
      </c>
      <c r="Q464" t="n">
        <v>0</v>
      </c>
      <c r="R464" s="2" t="inlineStr"/>
    </row>
    <row r="465" ht="15" customHeight="1">
      <c r="A465" t="inlineStr">
        <is>
          <t>A 42410-2024</t>
        </is>
      </c>
      <c r="B465" s="1" t="n">
        <v>45565</v>
      </c>
      <c r="C465" s="1" t="n">
        <v>45972</v>
      </c>
      <c r="D465" t="inlineStr">
        <is>
          <t>ÖREBRO LÄN</t>
        </is>
      </c>
      <c r="E465" t="inlineStr">
        <is>
          <t>LINDESBERG</t>
        </is>
      </c>
      <c r="G465" t="n">
        <v>1.1</v>
      </c>
      <c r="H465" t="n">
        <v>0</v>
      </c>
      <c r="I465" t="n">
        <v>0</v>
      </c>
      <c r="J465" t="n">
        <v>0</v>
      </c>
      <c r="K465" t="n">
        <v>0</v>
      </c>
      <c r="L465" t="n">
        <v>0</v>
      </c>
      <c r="M465" t="n">
        <v>0</v>
      </c>
      <c r="N465" t="n">
        <v>0</v>
      </c>
      <c r="O465" t="n">
        <v>0</v>
      </c>
      <c r="P465" t="n">
        <v>0</v>
      </c>
      <c r="Q465" t="n">
        <v>0</v>
      </c>
      <c r="R465" s="2" t="inlineStr"/>
    </row>
    <row r="466" ht="15" customHeight="1">
      <c r="A466" t="inlineStr">
        <is>
          <t>A 15899-2025</t>
        </is>
      </c>
      <c r="B466" s="1" t="n">
        <v>45749.42258101852</v>
      </c>
      <c r="C466" s="1" t="n">
        <v>45972</v>
      </c>
      <c r="D466" t="inlineStr">
        <is>
          <t>ÖREBRO LÄN</t>
        </is>
      </c>
      <c r="E466" t="inlineStr">
        <is>
          <t>LINDESBERG</t>
        </is>
      </c>
      <c r="G466" t="n">
        <v>6.6</v>
      </c>
      <c r="H466" t="n">
        <v>0</v>
      </c>
      <c r="I466" t="n">
        <v>0</v>
      </c>
      <c r="J466" t="n">
        <v>0</v>
      </c>
      <c r="K466" t="n">
        <v>0</v>
      </c>
      <c r="L466" t="n">
        <v>0</v>
      </c>
      <c r="M466" t="n">
        <v>0</v>
      </c>
      <c r="N466" t="n">
        <v>0</v>
      </c>
      <c r="O466" t="n">
        <v>0</v>
      </c>
      <c r="P466" t="n">
        <v>0</v>
      </c>
      <c r="Q466" t="n">
        <v>0</v>
      </c>
      <c r="R466" s="2" t="inlineStr"/>
    </row>
    <row r="467" ht="15" customHeight="1">
      <c r="A467" t="inlineStr">
        <is>
          <t>A 50275-2024</t>
        </is>
      </c>
      <c r="B467" s="1" t="n">
        <v>45600.60071759259</v>
      </c>
      <c r="C467" s="1" t="n">
        <v>45972</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7992-2025</t>
        </is>
      </c>
      <c r="B468" s="1" t="n">
        <v>45707</v>
      </c>
      <c r="C468" s="1" t="n">
        <v>45972</v>
      </c>
      <c r="D468" t="inlineStr">
        <is>
          <t>ÖREBRO LÄN</t>
        </is>
      </c>
      <c r="E468" t="inlineStr">
        <is>
          <t>LINDESBERG</t>
        </is>
      </c>
      <c r="G468" t="n">
        <v>4.8</v>
      </c>
      <c r="H468" t="n">
        <v>0</v>
      </c>
      <c r="I468" t="n">
        <v>0</v>
      </c>
      <c r="J468" t="n">
        <v>0</v>
      </c>
      <c r="K468" t="n">
        <v>0</v>
      </c>
      <c r="L468" t="n">
        <v>0</v>
      </c>
      <c r="M468" t="n">
        <v>0</v>
      </c>
      <c r="N468" t="n">
        <v>0</v>
      </c>
      <c r="O468" t="n">
        <v>0</v>
      </c>
      <c r="P468" t="n">
        <v>0</v>
      </c>
      <c r="Q468" t="n">
        <v>0</v>
      </c>
      <c r="R468" s="2" t="inlineStr"/>
    </row>
    <row r="469" ht="15" customHeight="1">
      <c r="A469" t="inlineStr">
        <is>
          <t>A 48489-2025</t>
        </is>
      </c>
      <c r="B469" s="1" t="n">
        <v>45936.36637731481</v>
      </c>
      <c r="C469" s="1" t="n">
        <v>45972</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55631-2022</t>
        </is>
      </c>
      <c r="B470" s="1" t="n">
        <v>44888.4577662037</v>
      </c>
      <c r="C470" s="1" t="n">
        <v>45972</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42282-2024</t>
        </is>
      </c>
      <c r="B471" s="1" t="n">
        <v>45562.61158564815</v>
      </c>
      <c r="C471" s="1" t="n">
        <v>45972</v>
      </c>
      <c r="D471" t="inlineStr">
        <is>
          <t>ÖREBRO LÄN</t>
        </is>
      </c>
      <c r="E471" t="inlineStr">
        <is>
          <t>LINDESBERG</t>
        </is>
      </c>
      <c r="G471" t="n">
        <v>0.8</v>
      </c>
      <c r="H471" t="n">
        <v>0</v>
      </c>
      <c r="I471" t="n">
        <v>0</v>
      </c>
      <c r="J471" t="n">
        <v>0</v>
      </c>
      <c r="K471" t="n">
        <v>0</v>
      </c>
      <c r="L471" t="n">
        <v>0</v>
      </c>
      <c r="M471" t="n">
        <v>0</v>
      </c>
      <c r="N471" t="n">
        <v>0</v>
      </c>
      <c r="O471" t="n">
        <v>0</v>
      </c>
      <c r="P471" t="n">
        <v>0</v>
      </c>
      <c r="Q471" t="n">
        <v>0</v>
      </c>
      <c r="R471" s="2" t="inlineStr"/>
    </row>
    <row r="472" ht="15" customHeight="1">
      <c r="A472" t="inlineStr">
        <is>
          <t>A 42430-2024</t>
        </is>
      </c>
      <c r="B472" s="1" t="n">
        <v>45565.40700231482</v>
      </c>
      <c r="C472" s="1" t="n">
        <v>45972</v>
      </c>
      <c r="D472" t="inlineStr">
        <is>
          <t>ÖREBRO LÄN</t>
        </is>
      </c>
      <c r="E472" t="inlineStr">
        <is>
          <t>LINDESBERG</t>
        </is>
      </c>
      <c r="G472" t="n">
        <v>4</v>
      </c>
      <c r="H472" t="n">
        <v>0</v>
      </c>
      <c r="I472" t="n">
        <v>0</v>
      </c>
      <c r="J472" t="n">
        <v>0</v>
      </c>
      <c r="K472" t="n">
        <v>0</v>
      </c>
      <c r="L472" t="n">
        <v>0</v>
      </c>
      <c r="M472" t="n">
        <v>0</v>
      </c>
      <c r="N472" t="n">
        <v>0</v>
      </c>
      <c r="O472" t="n">
        <v>0</v>
      </c>
      <c r="P472" t="n">
        <v>0</v>
      </c>
      <c r="Q472" t="n">
        <v>0</v>
      </c>
      <c r="R472" s="2" t="inlineStr"/>
    </row>
    <row r="473" ht="15" customHeight="1">
      <c r="A473" t="inlineStr">
        <is>
          <t>A 15822-2024</t>
        </is>
      </c>
      <c r="B473" s="1" t="n">
        <v>45404.68190972223</v>
      </c>
      <c r="C473" s="1" t="n">
        <v>45972</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40038-2024</t>
        </is>
      </c>
      <c r="B474" s="1" t="n">
        <v>45553</v>
      </c>
      <c r="C474" s="1" t="n">
        <v>45972</v>
      </c>
      <c r="D474" t="inlineStr">
        <is>
          <t>ÖREBRO LÄN</t>
        </is>
      </c>
      <c r="E474" t="inlineStr">
        <is>
          <t>LINDESBERG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8213-2023</t>
        </is>
      </c>
      <c r="B475" s="1" t="n">
        <v>44974.55693287037</v>
      </c>
      <c r="C475" s="1" t="n">
        <v>45972</v>
      </c>
      <c r="D475" t="inlineStr">
        <is>
          <t>ÖREBRO LÄN</t>
        </is>
      </c>
      <c r="E475" t="inlineStr">
        <is>
          <t>LINDESBERG</t>
        </is>
      </c>
      <c r="G475" t="n">
        <v>0.7</v>
      </c>
      <c r="H475" t="n">
        <v>0</v>
      </c>
      <c r="I475" t="n">
        <v>0</v>
      </c>
      <c r="J475" t="n">
        <v>0</v>
      </c>
      <c r="K475" t="n">
        <v>0</v>
      </c>
      <c r="L475" t="n">
        <v>0</v>
      </c>
      <c r="M475" t="n">
        <v>0</v>
      </c>
      <c r="N475" t="n">
        <v>0</v>
      </c>
      <c r="O475" t="n">
        <v>0</v>
      </c>
      <c r="P475" t="n">
        <v>0</v>
      </c>
      <c r="Q475" t="n">
        <v>0</v>
      </c>
      <c r="R475" s="2" t="inlineStr"/>
    </row>
    <row r="476" ht="15" customHeight="1">
      <c r="A476" t="inlineStr">
        <is>
          <t>A 43247-2023</t>
        </is>
      </c>
      <c r="B476" s="1" t="n">
        <v>45183.48666666666</v>
      </c>
      <c r="C476" s="1" t="n">
        <v>45972</v>
      </c>
      <c r="D476" t="inlineStr">
        <is>
          <t>ÖREBRO LÄN</t>
        </is>
      </c>
      <c r="E476" t="inlineStr">
        <is>
          <t>LINDESBERG</t>
        </is>
      </c>
      <c r="G476" t="n">
        <v>3</v>
      </c>
      <c r="H476" t="n">
        <v>0</v>
      </c>
      <c r="I476" t="n">
        <v>0</v>
      </c>
      <c r="J476" t="n">
        <v>0</v>
      </c>
      <c r="K476" t="n">
        <v>0</v>
      </c>
      <c r="L476" t="n">
        <v>0</v>
      </c>
      <c r="M476" t="n">
        <v>0</v>
      </c>
      <c r="N476" t="n">
        <v>0</v>
      </c>
      <c r="O476" t="n">
        <v>0</v>
      </c>
      <c r="P476" t="n">
        <v>0</v>
      </c>
      <c r="Q476" t="n">
        <v>0</v>
      </c>
      <c r="R476" s="2" t="inlineStr"/>
    </row>
    <row r="477" ht="15" customHeight="1">
      <c r="A477" t="inlineStr">
        <is>
          <t>A 48750-2025</t>
        </is>
      </c>
      <c r="B477" s="1" t="n">
        <v>45936.68452546297</v>
      </c>
      <c r="C477" s="1" t="n">
        <v>45972</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45972</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626-2025</t>
        </is>
      </c>
      <c r="B479" s="1" t="n">
        <v>45664</v>
      </c>
      <c r="C479" s="1" t="n">
        <v>45972</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43046-2022</t>
        </is>
      </c>
      <c r="B480" s="1" t="n">
        <v>44833</v>
      </c>
      <c r="C480" s="1" t="n">
        <v>45972</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41947-2023</t>
        </is>
      </c>
      <c r="B481" s="1" t="n">
        <v>45177.31795138889</v>
      </c>
      <c r="C481" s="1" t="n">
        <v>45972</v>
      </c>
      <c r="D481" t="inlineStr">
        <is>
          <t>ÖREBRO LÄN</t>
        </is>
      </c>
      <c r="E481" t="inlineStr">
        <is>
          <t>LINDESBERG</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16447-2025</t>
        </is>
      </c>
      <c r="B482" s="1" t="n">
        <v>45751.50498842593</v>
      </c>
      <c r="C482" s="1" t="n">
        <v>45972</v>
      </c>
      <c r="D482" t="inlineStr">
        <is>
          <t>ÖREBRO LÄN</t>
        </is>
      </c>
      <c r="E482" t="inlineStr">
        <is>
          <t>LINDESBERG</t>
        </is>
      </c>
      <c r="G482" t="n">
        <v>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45972</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57795-2021</t>
        </is>
      </c>
      <c r="B484" s="1" t="n">
        <v>44484</v>
      </c>
      <c r="C484" s="1" t="n">
        <v>45972</v>
      </c>
      <c r="D484" t="inlineStr">
        <is>
          <t>ÖREBRO LÄN</t>
        </is>
      </c>
      <c r="E484" t="inlineStr">
        <is>
          <t>LINDESBERG</t>
        </is>
      </c>
      <c r="G484" t="n">
        <v>39.4</v>
      </c>
      <c r="H484" t="n">
        <v>0</v>
      </c>
      <c r="I484" t="n">
        <v>0</v>
      </c>
      <c r="J484" t="n">
        <v>0</v>
      </c>
      <c r="K484" t="n">
        <v>0</v>
      </c>
      <c r="L484" t="n">
        <v>0</v>
      </c>
      <c r="M484" t="n">
        <v>0</v>
      </c>
      <c r="N484" t="n">
        <v>0</v>
      </c>
      <c r="O484" t="n">
        <v>0</v>
      </c>
      <c r="P484" t="n">
        <v>0</v>
      </c>
      <c r="Q484" t="n">
        <v>0</v>
      </c>
      <c r="R484" s="2" t="inlineStr"/>
    </row>
    <row r="485" ht="15" customHeight="1">
      <c r="A485" t="inlineStr">
        <is>
          <t>A 29975-2023</t>
        </is>
      </c>
      <c r="B485" s="1" t="n">
        <v>45108.7553587963</v>
      </c>
      <c r="C485" s="1" t="n">
        <v>45972</v>
      </c>
      <c r="D485" t="inlineStr">
        <is>
          <t>ÖREBRO LÄN</t>
        </is>
      </c>
      <c r="E485" t="inlineStr">
        <is>
          <t>LINDESBERG</t>
        </is>
      </c>
      <c r="G485" t="n">
        <v>6.4</v>
      </c>
      <c r="H485" t="n">
        <v>0</v>
      </c>
      <c r="I485" t="n">
        <v>0</v>
      </c>
      <c r="J485" t="n">
        <v>0</v>
      </c>
      <c r="K485" t="n">
        <v>0</v>
      </c>
      <c r="L485" t="n">
        <v>0</v>
      </c>
      <c r="M485" t="n">
        <v>0</v>
      </c>
      <c r="N485" t="n">
        <v>0</v>
      </c>
      <c r="O485" t="n">
        <v>0</v>
      </c>
      <c r="P485" t="n">
        <v>0</v>
      </c>
      <c r="Q485" t="n">
        <v>0</v>
      </c>
      <c r="R485" s="2" t="inlineStr"/>
    </row>
    <row r="486" ht="15" customHeight="1">
      <c r="A486" t="inlineStr">
        <is>
          <t>A 16448-2025</t>
        </is>
      </c>
      <c r="B486" s="1" t="n">
        <v>45751.5056712963</v>
      </c>
      <c r="C486" s="1" t="n">
        <v>45972</v>
      </c>
      <c r="D486" t="inlineStr">
        <is>
          <t>ÖREBRO LÄN</t>
        </is>
      </c>
      <c r="E486" t="inlineStr">
        <is>
          <t>LINDESBERG</t>
        </is>
      </c>
      <c r="G486" t="n">
        <v>20.1</v>
      </c>
      <c r="H486" t="n">
        <v>0</v>
      </c>
      <c r="I486" t="n">
        <v>0</v>
      </c>
      <c r="J486" t="n">
        <v>0</v>
      </c>
      <c r="K486" t="n">
        <v>0</v>
      </c>
      <c r="L486" t="n">
        <v>0</v>
      </c>
      <c r="M486" t="n">
        <v>0</v>
      </c>
      <c r="N486" t="n">
        <v>0</v>
      </c>
      <c r="O486" t="n">
        <v>0</v>
      </c>
      <c r="P486" t="n">
        <v>0</v>
      </c>
      <c r="Q486" t="n">
        <v>0</v>
      </c>
      <c r="R486" s="2" t="inlineStr"/>
    </row>
    <row r="487" ht="15" customHeight="1">
      <c r="A487" t="inlineStr">
        <is>
          <t>A 3732-2023</t>
        </is>
      </c>
      <c r="B487" s="1" t="n">
        <v>44949</v>
      </c>
      <c r="C487" s="1" t="n">
        <v>45972</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7126-2025</t>
        </is>
      </c>
      <c r="B488" s="1" t="n">
        <v>45702</v>
      </c>
      <c r="C488" s="1" t="n">
        <v>45972</v>
      </c>
      <c r="D488" t="inlineStr">
        <is>
          <t>ÖREBRO LÄN</t>
        </is>
      </c>
      <c r="E488" t="inlineStr">
        <is>
          <t>LINDESBERG</t>
        </is>
      </c>
      <c r="G488" t="n">
        <v>1.3</v>
      </c>
      <c r="H488" t="n">
        <v>0</v>
      </c>
      <c r="I488" t="n">
        <v>0</v>
      </c>
      <c r="J488" t="n">
        <v>0</v>
      </c>
      <c r="K488" t="n">
        <v>0</v>
      </c>
      <c r="L488" t="n">
        <v>0</v>
      </c>
      <c r="M488" t="n">
        <v>0</v>
      </c>
      <c r="N488" t="n">
        <v>0</v>
      </c>
      <c r="O488" t="n">
        <v>0</v>
      </c>
      <c r="P488" t="n">
        <v>0</v>
      </c>
      <c r="Q488" t="n">
        <v>0</v>
      </c>
      <c r="R488" s="2" t="inlineStr"/>
    </row>
    <row r="489" ht="15" customHeight="1">
      <c r="A489" t="inlineStr">
        <is>
          <t>A 47155-2024</t>
        </is>
      </c>
      <c r="B489" s="1" t="n">
        <v>45586</v>
      </c>
      <c r="C489" s="1" t="n">
        <v>45972</v>
      </c>
      <c r="D489" t="inlineStr">
        <is>
          <t>ÖREBRO LÄN</t>
        </is>
      </c>
      <c r="E489" t="inlineStr">
        <is>
          <t>LINDESBERG</t>
        </is>
      </c>
      <c r="F489" t="inlineStr">
        <is>
          <t>Sveaskog</t>
        </is>
      </c>
      <c r="G489" t="n">
        <v>5.7</v>
      </c>
      <c r="H489" t="n">
        <v>0</v>
      </c>
      <c r="I489" t="n">
        <v>0</v>
      </c>
      <c r="J489" t="n">
        <v>0</v>
      </c>
      <c r="K489" t="n">
        <v>0</v>
      </c>
      <c r="L489" t="n">
        <v>0</v>
      </c>
      <c r="M489" t="n">
        <v>0</v>
      </c>
      <c r="N489" t="n">
        <v>0</v>
      </c>
      <c r="O489" t="n">
        <v>0</v>
      </c>
      <c r="P489" t="n">
        <v>0</v>
      </c>
      <c r="Q489" t="n">
        <v>0</v>
      </c>
      <c r="R489" s="2" t="inlineStr"/>
    </row>
    <row r="490" ht="15" customHeight="1">
      <c r="A490" t="inlineStr">
        <is>
          <t>A 2569-2023</t>
        </is>
      </c>
      <c r="B490" s="1" t="n">
        <v>44943.73792824074</v>
      </c>
      <c r="C490" s="1" t="n">
        <v>45972</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43433-2024</t>
        </is>
      </c>
      <c r="B491" s="1" t="n">
        <v>45568.64523148148</v>
      </c>
      <c r="C491" s="1" t="n">
        <v>45972</v>
      </c>
      <c r="D491" t="inlineStr">
        <is>
          <t>ÖREBRO LÄN</t>
        </is>
      </c>
      <c r="E491" t="inlineStr">
        <is>
          <t>LINDESBERG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6604-2024</t>
        </is>
      </c>
      <c r="B492" s="1" t="n">
        <v>45341.56577546296</v>
      </c>
      <c r="C492" s="1" t="n">
        <v>45972</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5550-2024</t>
        </is>
      </c>
      <c r="B493" s="1" t="n">
        <v>45334</v>
      </c>
      <c r="C493" s="1" t="n">
        <v>45972</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45972</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40085-2023</t>
        </is>
      </c>
      <c r="B495" s="1" t="n">
        <v>45168.92155092592</v>
      </c>
      <c r="C495" s="1" t="n">
        <v>45972</v>
      </c>
      <c r="D495" t="inlineStr">
        <is>
          <t>ÖREBRO LÄN</t>
        </is>
      </c>
      <c r="E495" t="inlineStr">
        <is>
          <t>LINDESBERG</t>
        </is>
      </c>
      <c r="G495" t="n">
        <v>6.1</v>
      </c>
      <c r="H495" t="n">
        <v>0</v>
      </c>
      <c r="I495" t="n">
        <v>0</v>
      </c>
      <c r="J495" t="n">
        <v>0</v>
      </c>
      <c r="K495" t="n">
        <v>0</v>
      </c>
      <c r="L495" t="n">
        <v>0</v>
      </c>
      <c r="M495" t="n">
        <v>0</v>
      </c>
      <c r="N495" t="n">
        <v>0</v>
      </c>
      <c r="O495" t="n">
        <v>0</v>
      </c>
      <c r="P495" t="n">
        <v>0</v>
      </c>
      <c r="Q495" t="n">
        <v>0</v>
      </c>
      <c r="R495" s="2" t="inlineStr"/>
    </row>
    <row r="496" ht="15" customHeight="1">
      <c r="A496" t="inlineStr">
        <is>
          <t>A 28470-2023</t>
        </is>
      </c>
      <c r="B496" s="1" t="n">
        <v>45103</v>
      </c>
      <c r="C496" s="1" t="n">
        <v>45972</v>
      </c>
      <c r="D496" t="inlineStr">
        <is>
          <t>ÖREBRO LÄN</t>
        </is>
      </c>
      <c r="E496" t="inlineStr">
        <is>
          <t>LINDESBERG</t>
        </is>
      </c>
      <c r="G496" t="n">
        <v>6.7</v>
      </c>
      <c r="H496" t="n">
        <v>0</v>
      </c>
      <c r="I496" t="n">
        <v>0</v>
      </c>
      <c r="J496" t="n">
        <v>0</v>
      </c>
      <c r="K496" t="n">
        <v>0</v>
      </c>
      <c r="L496" t="n">
        <v>0</v>
      </c>
      <c r="M496" t="n">
        <v>0</v>
      </c>
      <c r="N496" t="n">
        <v>0</v>
      </c>
      <c r="O496" t="n">
        <v>0</v>
      </c>
      <c r="P496" t="n">
        <v>0</v>
      </c>
      <c r="Q496" t="n">
        <v>0</v>
      </c>
      <c r="R496" s="2" t="inlineStr"/>
    </row>
    <row r="497" ht="15" customHeight="1">
      <c r="A497" t="inlineStr">
        <is>
          <t>A 63125-2023</t>
        </is>
      </c>
      <c r="B497" s="1" t="n">
        <v>45273</v>
      </c>
      <c r="C497" s="1" t="n">
        <v>45972</v>
      </c>
      <c r="D497" t="inlineStr">
        <is>
          <t>ÖREBRO LÄN</t>
        </is>
      </c>
      <c r="E497" t="inlineStr">
        <is>
          <t>LINDESBERG</t>
        </is>
      </c>
      <c r="G497" t="n">
        <v>1.7</v>
      </c>
      <c r="H497" t="n">
        <v>0</v>
      </c>
      <c r="I497" t="n">
        <v>0</v>
      </c>
      <c r="J497" t="n">
        <v>0</v>
      </c>
      <c r="K497" t="n">
        <v>0</v>
      </c>
      <c r="L497" t="n">
        <v>0</v>
      </c>
      <c r="M497" t="n">
        <v>0</v>
      </c>
      <c r="N497" t="n">
        <v>0</v>
      </c>
      <c r="O497" t="n">
        <v>0</v>
      </c>
      <c r="P497" t="n">
        <v>0</v>
      </c>
      <c r="Q497" t="n">
        <v>0</v>
      </c>
      <c r="R497" s="2" t="inlineStr"/>
    </row>
    <row r="498" ht="15" customHeight="1">
      <c r="A498" t="inlineStr">
        <is>
          <t>A 32002-2023</t>
        </is>
      </c>
      <c r="B498" s="1" t="n">
        <v>45119.46452546296</v>
      </c>
      <c r="C498" s="1" t="n">
        <v>45972</v>
      </c>
      <c r="D498" t="inlineStr">
        <is>
          <t>ÖREBRO LÄN</t>
        </is>
      </c>
      <c r="E498" t="inlineStr">
        <is>
          <t>LINDESBERG</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47069-2023</t>
        </is>
      </c>
      <c r="B499" s="1" t="n">
        <v>45201</v>
      </c>
      <c r="C499" s="1" t="n">
        <v>45972</v>
      </c>
      <c r="D499" t="inlineStr">
        <is>
          <t>ÖREBRO LÄN</t>
        </is>
      </c>
      <c r="E499" t="inlineStr">
        <is>
          <t>LINDESBERG</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47074-2023</t>
        </is>
      </c>
      <c r="B500" s="1" t="n">
        <v>45201.60283564815</v>
      </c>
      <c r="C500" s="1" t="n">
        <v>45972</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48497-2025</t>
        </is>
      </c>
      <c r="B501" s="1" t="n">
        <v>45936.37523148148</v>
      </c>
      <c r="C501" s="1" t="n">
        <v>45972</v>
      </c>
      <c r="D501" t="inlineStr">
        <is>
          <t>ÖREBRO LÄN</t>
        </is>
      </c>
      <c r="E501" t="inlineStr">
        <is>
          <t>LINDESBERG</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29849-2023</t>
        </is>
      </c>
      <c r="B502" s="1" t="n">
        <v>45107</v>
      </c>
      <c r="C502" s="1" t="n">
        <v>45972</v>
      </c>
      <c r="D502" t="inlineStr">
        <is>
          <t>ÖREBRO LÄN</t>
        </is>
      </c>
      <c r="E502" t="inlineStr">
        <is>
          <t>LINDESBERG</t>
        </is>
      </c>
      <c r="G502" t="n">
        <v>2.1</v>
      </c>
      <c r="H502" t="n">
        <v>0</v>
      </c>
      <c r="I502" t="n">
        <v>0</v>
      </c>
      <c r="J502" t="n">
        <v>0</v>
      </c>
      <c r="K502" t="n">
        <v>0</v>
      </c>
      <c r="L502" t="n">
        <v>0</v>
      </c>
      <c r="M502" t="n">
        <v>0</v>
      </c>
      <c r="N502" t="n">
        <v>0</v>
      </c>
      <c r="O502" t="n">
        <v>0</v>
      </c>
      <c r="P502" t="n">
        <v>0</v>
      </c>
      <c r="Q502" t="n">
        <v>0</v>
      </c>
      <c r="R502" s="2" t="inlineStr"/>
    </row>
    <row r="503" ht="15" customHeight="1">
      <c r="A503" t="inlineStr">
        <is>
          <t>A 5784-2025</t>
        </is>
      </c>
      <c r="B503" s="1" t="n">
        <v>45694</v>
      </c>
      <c r="C503" s="1" t="n">
        <v>45972</v>
      </c>
      <c r="D503" t="inlineStr">
        <is>
          <t>ÖREBRO LÄN</t>
        </is>
      </c>
      <c r="E503" t="inlineStr">
        <is>
          <t>LINDESBERG</t>
        </is>
      </c>
      <c r="F503" t="inlineStr">
        <is>
          <t>Allmännings- och besparingsskogar</t>
        </is>
      </c>
      <c r="G503" t="n">
        <v>1.6</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45972</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15752-2024</t>
        </is>
      </c>
      <c r="B505" s="1" t="n">
        <v>45404.55681712963</v>
      </c>
      <c r="C505" s="1" t="n">
        <v>45972</v>
      </c>
      <c r="D505" t="inlineStr">
        <is>
          <t>ÖREBRO LÄN</t>
        </is>
      </c>
      <c r="E505" t="inlineStr">
        <is>
          <t>LINDESBERG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35229-2024</t>
        </is>
      </c>
      <c r="B506" s="1" t="n">
        <v>45530</v>
      </c>
      <c r="C506" s="1" t="n">
        <v>45972</v>
      </c>
      <c r="D506" t="inlineStr">
        <is>
          <t>ÖREBRO LÄN</t>
        </is>
      </c>
      <c r="E506" t="inlineStr">
        <is>
          <t>LINDESBERG</t>
        </is>
      </c>
      <c r="G506" t="n">
        <v>0.8</v>
      </c>
      <c r="H506" t="n">
        <v>0</v>
      </c>
      <c r="I506" t="n">
        <v>0</v>
      </c>
      <c r="J506" t="n">
        <v>0</v>
      </c>
      <c r="K506" t="n">
        <v>0</v>
      </c>
      <c r="L506" t="n">
        <v>0</v>
      </c>
      <c r="M506" t="n">
        <v>0</v>
      </c>
      <c r="N506" t="n">
        <v>0</v>
      </c>
      <c r="O506" t="n">
        <v>0</v>
      </c>
      <c r="P506" t="n">
        <v>0</v>
      </c>
      <c r="Q506" t="n">
        <v>0</v>
      </c>
      <c r="R506" s="2" t="inlineStr"/>
    </row>
    <row r="507" ht="15" customHeight="1">
      <c r="A507" t="inlineStr">
        <is>
          <t>A 53352-2023</t>
        </is>
      </c>
      <c r="B507" s="1" t="n">
        <v>45229.66262731481</v>
      </c>
      <c r="C507" s="1" t="n">
        <v>45972</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50986-2023</t>
        </is>
      </c>
      <c r="B508" s="1" t="n">
        <v>45218</v>
      </c>
      <c r="C508" s="1" t="n">
        <v>45972</v>
      </c>
      <c r="D508" t="inlineStr">
        <is>
          <t>ÖREBRO LÄN</t>
        </is>
      </c>
      <c r="E508" t="inlineStr">
        <is>
          <t>LINDESBERG</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15213-2025</t>
        </is>
      </c>
      <c r="B509" s="1" t="n">
        <v>45744.57851851852</v>
      </c>
      <c r="C509" s="1" t="n">
        <v>45972</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46678-2023</t>
        </is>
      </c>
      <c r="B510" s="1" t="n">
        <v>45194</v>
      </c>
      <c r="C510" s="1" t="n">
        <v>45972</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25046-2024</t>
        </is>
      </c>
      <c r="B511" s="1" t="n">
        <v>45462</v>
      </c>
      <c r="C511" s="1" t="n">
        <v>45972</v>
      </c>
      <c r="D511" t="inlineStr">
        <is>
          <t>ÖREBRO LÄN</t>
        </is>
      </c>
      <c r="E511" t="inlineStr">
        <is>
          <t>LINDESBERG</t>
        </is>
      </c>
      <c r="G511" t="n">
        <v>4.1</v>
      </c>
      <c r="H511" t="n">
        <v>0</v>
      </c>
      <c r="I511" t="n">
        <v>0</v>
      </c>
      <c r="J511" t="n">
        <v>0</v>
      </c>
      <c r="K511" t="n">
        <v>0</v>
      </c>
      <c r="L511" t="n">
        <v>0</v>
      </c>
      <c r="M511" t="n">
        <v>0</v>
      </c>
      <c r="N511" t="n">
        <v>0</v>
      </c>
      <c r="O511" t="n">
        <v>0</v>
      </c>
      <c r="P511" t="n">
        <v>0</v>
      </c>
      <c r="Q511" t="n">
        <v>0</v>
      </c>
      <c r="R511" s="2" t="inlineStr"/>
    </row>
    <row r="512" ht="15" customHeight="1">
      <c r="A512" t="inlineStr">
        <is>
          <t>A 26967-2022</t>
        </is>
      </c>
      <c r="B512" s="1" t="n">
        <v>44740.66997685185</v>
      </c>
      <c r="C512" s="1" t="n">
        <v>45972</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44675-2021</t>
        </is>
      </c>
      <c r="B513" s="1" t="n">
        <v>44438</v>
      </c>
      <c r="C513" s="1" t="n">
        <v>45972</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32829-2024</t>
        </is>
      </c>
      <c r="B514" s="1" t="n">
        <v>45516.59447916667</v>
      </c>
      <c r="C514" s="1" t="n">
        <v>45972</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45978-2021</t>
        </is>
      </c>
      <c r="B515" s="1" t="n">
        <v>44441.70047453704</v>
      </c>
      <c r="C515" s="1" t="n">
        <v>45972</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43416-2024</t>
        </is>
      </c>
      <c r="B516" s="1" t="n">
        <v>45568.62625</v>
      </c>
      <c r="C516" s="1" t="n">
        <v>45972</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54859-2024</t>
        </is>
      </c>
      <c r="B517" s="1" t="n">
        <v>45618.58962962963</v>
      </c>
      <c r="C517" s="1" t="n">
        <v>45972</v>
      </c>
      <c r="D517" t="inlineStr">
        <is>
          <t>ÖREBRO LÄN</t>
        </is>
      </c>
      <c r="E517" t="inlineStr">
        <is>
          <t>LINDESBERG</t>
        </is>
      </c>
      <c r="F517" t="inlineStr">
        <is>
          <t>Sveaskog</t>
        </is>
      </c>
      <c r="G517" t="n">
        <v>5.3</v>
      </c>
      <c r="H517" t="n">
        <v>0</v>
      </c>
      <c r="I517" t="n">
        <v>0</v>
      </c>
      <c r="J517" t="n">
        <v>0</v>
      </c>
      <c r="K517" t="n">
        <v>0</v>
      </c>
      <c r="L517" t="n">
        <v>0</v>
      </c>
      <c r="M517" t="n">
        <v>0</v>
      </c>
      <c r="N517" t="n">
        <v>0</v>
      </c>
      <c r="O517" t="n">
        <v>0</v>
      </c>
      <c r="P517" t="n">
        <v>0</v>
      </c>
      <c r="Q517" t="n">
        <v>0</v>
      </c>
      <c r="R517" s="2" t="inlineStr"/>
    </row>
    <row r="518" ht="15" customHeight="1">
      <c r="A518" t="inlineStr">
        <is>
          <t>A 14454-2024</t>
        </is>
      </c>
      <c r="B518" s="1" t="n">
        <v>45394.51289351852</v>
      </c>
      <c r="C518" s="1" t="n">
        <v>45972</v>
      </c>
      <c r="D518" t="inlineStr">
        <is>
          <t>ÖREBRO LÄN</t>
        </is>
      </c>
      <c r="E518" t="inlineStr">
        <is>
          <t>LINDESBERG</t>
        </is>
      </c>
      <c r="G518" t="n">
        <v>1.9</v>
      </c>
      <c r="H518" t="n">
        <v>0</v>
      </c>
      <c r="I518" t="n">
        <v>0</v>
      </c>
      <c r="J518" t="n">
        <v>0</v>
      </c>
      <c r="K518" t="n">
        <v>0</v>
      </c>
      <c r="L518" t="n">
        <v>0</v>
      </c>
      <c r="M518" t="n">
        <v>0</v>
      </c>
      <c r="N518" t="n">
        <v>0</v>
      </c>
      <c r="O518" t="n">
        <v>0</v>
      </c>
      <c r="P518" t="n">
        <v>0</v>
      </c>
      <c r="Q518" t="n">
        <v>0</v>
      </c>
      <c r="R518" s="2" t="inlineStr"/>
    </row>
    <row r="519" ht="15" customHeight="1">
      <c r="A519" t="inlineStr">
        <is>
          <t>A 40303-2024</t>
        </is>
      </c>
      <c r="B519" s="1" t="n">
        <v>45554.7158912037</v>
      </c>
      <c r="C519" s="1" t="n">
        <v>45972</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10654-2023</t>
        </is>
      </c>
      <c r="B520" s="1" t="n">
        <v>44984</v>
      </c>
      <c r="C520" s="1" t="n">
        <v>45972</v>
      </c>
      <c r="D520" t="inlineStr">
        <is>
          <t>ÖREBRO LÄN</t>
        </is>
      </c>
      <c r="E520" t="inlineStr">
        <is>
          <t>LINDESBERG</t>
        </is>
      </c>
      <c r="G520" t="n">
        <v>1.2</v>
      </c>
      <c r="H520" t="n">
        <v>0</v>
      </c>
      <c r="I520" t="n">
        <v>0</v>
      </c>
      <c r="J520" t="n">
        <v>0</v>
      </c>
      <c r="K520" t="n">
        <v>0</v>
      </c>
      <c r="L520" t="n">
        <v>0</v>
      </c>
      <c r="M520" t="n">
        <v>0</v>
      </c>
      <c r="N520" t="n">
        <v>0</v>
      </c>
      <c r="O520" t="n">
        <v>0</v>
      </c>
      <c r="P520" t="n">
        <v>0</v>
      </c>
      <c r="Q520" t="n">
        <v>0</v>
      </c>
      <c r="R520" s="2" t="inlineStr"/>
    </row>
    <row r="521" ht="15" customHeight="1">
      <c r="A521" t="inlineStr">
        <is>
          <t>A 46484-2024</t>
        </is>
      </c>
      <c r="B521" s="1" t="n">
        <v>45582.57542824074</v>
      </c>
      <c r="C521" s="1" t="n">
        <v>45972</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19436-2025</t>
        </is>
      </c>
      <c r="B522" s="1" t="n">
        <v>45769.98449074074</v>
      </c>
      <c r="C522" s="1" t="n">
        <v>45972</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30534-2023</t>
        </is>
      </c>
      <c r="B523" s="1" t="n">
        <v>45111</v>
      </c>
      <c r="C523" s="1" t="n">
        <v>45972</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69208-2021</t>
        </is>
      </c>
      <c r="B524" s="1" t="n">
        <v>44531.3575</v>
      </c>
      <c r="C524" s="1" t="n">
        <v>45972</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13350-2024</t>
        </is>
      </c>
      <c r="B525" s="1" t="n">
        <v>45387.24732638889</v>
      </c>
      <c r="C525" s="1" t="n">
        <v>45972</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13351-2024</t>
        </is>
      </c>
      <c r="B526" s="1" t="n">
        <v>45387.2521875</v>
      </c>
      <c r="C526" s="1" t="n">
        <v>45972</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27013-2024</t>
        </is>
      </c>
      <c r="B527" s="1" t="n">
        <v>45471.40384259259</v>
      </c>
      <c r="C527" s="1" t="n">
        <v>45972</v>
      </c>
      <c r="D527" t="inlineStr">
        <is>
          <t>ÖREBRO LÄN</t>
        </is>
      </c>
      <c r="E527" t="inlineStr">
        <is>
          <t>LINDESBERG</t>
        </is>
      </c>
      <c r="G527" t="n">
        <v>5.2</v>
      </c>
      <c r="H527" t="n">
        <v>0</v>
      </c>
      <c r="I527" t="n">
        <v>0</v>
      </c>
      <c r="J527" t="n">
        <v>0</v>
      </c>
      <c r="K527" t="n">
        <v>0</v>
      </c>
      <c r="L527" t="n">
        <v>0</v>
      </c>
      <c r="M527" t="n">
        <v>0</v>
      </c>
      <c r="N527" t="n">
        <v>0</v>
      </c>
      <c r="O527" t="n">
        <v>0</v>
      </c>
      <c r="P527" t="n">
        <v>0</v>
      </c>
      <c r="Q527" t="n">
        <v>0</v>
      </c>
      <c r="R527" s="2" t="inlineStr"/>
    </row>
    <row r="528" ht="15" customHeight="1">
      <c r="A528" t="inlineStr">
        <is>
          <t>A 6752-2021</t>
        </is>
      </c>
      <c r="B528" s="1" t="n">
        <v>44236</v>
      </c>
      <c r="C528" s="1" t="n">
        <v>45972</v>
      </c>
      <c r="D528" t="inlineStr">
        <is>
          <t>ÖREBRO LÄN</t>
        </is>
      </c>
      <c r="E528" t="inlineStr">
        <is>
          <t>LINDESBERG</t>
        </is>
      </c>
      <c r="G528" t="n">
        <v>2.6</v>
      </c>
      <c r="H528" t="n">
        <v>0</v>
      </c>
      <c r="I528" t="n">
        <v>0</v>
      </c>
      <c r="J528" t="n">
        <v>0</v>
      </c>
      <c r="K528" t="n">
        <v>0</v>
      </c>
      <c r="L528" t="n">
        <v>0</v>
      </c>
      <c r="M528" t="n">
        <v>0</v>
      </c>
      <c r="N528" t="n">
        <v>0</v>
      </c>
      <c r="O528" t="n">
        <v>0</v>
      </c>
      <c r="P528" t="n">
        <v>0</v>
      </c>
      <c r="Q528" t="n">
        <v>0</v>
      </c>
      <c r="R528" s="2" t="inlineStr"/>
      <c r="U528">
        <f>HYPERLINK("https://klasma.github.io/Logging_1885/knärot/A 6752-2021 karta knärot.png", "A 6752-2021")</f>
        <v/>
      </c>
      <c r="V528">
        <f>HYPERLINK("https://klasma.github.io/Logging_1885/klagomål/A 6752-2021 FSC-klagomål.docx", "A 6752-2021")</f>
        <v/>
      </c>
      <c r="W528">
        <f>HYPERLINK("https://klasma.github.io/Logging_1885/klagomålsmail/A 6752-2021 FSC-klagomål mail.docx", "A 6752-2021")</f>
        <v/>
      </c>
      <c r="X528">
        <f>HYPERLINK("https://klasma.github.io/Logging_1885/tillsyn/A 6752-2021 tillsynsbegäran.docx", "A 6752-2021")</f>
        <v/>
      </c>
      <c r="Y528">
        <f>HYPERLINK("https://klasma.github.io/Logging_1885/tillsynsmail/A 6752-2021 tillsynsbegäran mail.docx", "A 6752-2021")</f>
        <v/>
      </c>
    </row>
    <row r="529" ht="15" customHeight="1">
      <c r="A529" t="inlineStr">
        <is>
          <t>A 12053-2024</t>
        </is>
      </c>
      <c r="B529" s="1" t="n">
        <v>45377.48265046296</v>
      </c>
      <c r="C529" s="1" t="n">
        <v>45972</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45038-2024</t>
        </is>
      </c>
      <c r="B530" s="1" t="n">
        <v>45575.53331018519</v>
      </c>
      <c r="C530" s="1" t="n">
        <v>45972</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45046-2024</t>
        </is>
      </c>
      <c r="B531" s="1" t="n">
        <v>45575.54489583334</v>
      </c>
      <c r="C531" s="1" t="n">
        <v>45972</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39137-2024</t>
        </is>
      </c>
      <c r="B532" s="1" t="n">
        <v>45548</v>
      </c>
      <c r="C532" s="1" t="n">
        <v>45972</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39152-2024</t>
        </is>
      </c>
      <c r="B533" s="1" t="n">
        <v>45548</v>
      </c>
      <c r="C533" s="1" t="n">
        <v>45972</v>
      </c>
      <c r="D533" t="inlineStr">
        <is>
          <t>ÖREBRO LÄN</t>
        </is>
      </c>
      <c r="E533" t="inlineStr">
        <is>
          <t>LINDESBERG</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9140-2025</t>
        </is>
      </c>
      <c r="B534" s="1" t="n">
        <v>45714.31533564815</v>
      </c>
      <c r="C534" s="1" t="n">
        <v>45972</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38552-2023</t>
        </is>
      </c>
      <c r="B535" s="1" t="n">
        <v>45162.5978125</v>
      </c>
      <c r="C535" s="1" t="n">
        <v>45972</v>
      </c>
      <c r="D535" t="inlineStr">
        <is>
          <t>ÖREBRO LÄN</t>
        </is>
      </c>
      <c r="E535" t="inlineStr">
        <is>
          <t>LINDESBERG</t>
        </is>
      </c>
      <c r="G535" t="n">
        <v>10.4</v>
      </c>
      <c r="H535" t="n">
        <v>0</v>
      </c>
      <c r="I535" t="n">
        <v>0</v>
      </c>
      <c r="J535" t="n">
        <v>0</v>
      </c>
      <c r="K535" t="n">
        <v>0</v>
      </c>
      <c r="L535" t="n">
        <v>0</v>
      </c>
      <c r="M535" t="n">
        <v>0</v>
      </c>
      <c r="N535" t="n">
        <v>0</v>
      </c>
      <c r="O535" t="n">
        <v>0</v>
      </c>
      <c r="P535" t="n">
        <v>0</v>
      </c>
      <c r="Q535" t="n">
        <v>0</v>
      </c>
      <c r="R535" s="2" t="inlineStr"/>
    </row>
    <row r="536" ht="15" customHeight="1">
      <c r="A536" t="inlineStr">
        <is>
          <t>A 64084-2023</t>
        </is>
      </c>
      <c r="B536" s="1" t="n">
        <v>45279</v>
      </c>
      <c r="C536" s="1" t="n">
        <v>45972</v>
      </c>
      <c r="D536" t="inlineStr">
        <is>
          <t>ÖREBRO LÄN</t>
        </is>
      </c>
      <c r="E536" t="inlineStr">
        <is>
          <t>LINDESBERG</t>
        </is>
      </c>
      <c r="G536" t="n">
        <v>2.1</v>
      </c>
      <c r="H536" t="n">
        <v>0</v>
      </c>
      <c r="I536" t="n">
        <v>0</v>
      </c>
      <c r="J536" t="n">
        <v>0</v>
      </c>
      <c r="K536" t="n">
        <v>0</v>
      </c>
      <c r="L536" t="n">
        <v>0</v>
      </c>
      <c r="M536" t="n">
        <v>0</v>
      </c>
      <c r="N536" t="n">
        <v>0</v>
      </c>
      <c r="O536" t="n">
        <v>0</v>
      </c>
      <c r="P536" t="n">
        <v>0</v>
      </c>
      <c r="Q536" t="n">
        <v>0</v>
      </c>
      <c r="R536" s="2" t="inlineStr"/>
    </row>
    <row r="537" ht="15" customHeight="1">
      <c r="A537" t="inlineStr">
        <is>
          <t>A 43529-2024</t>
        </is>
      </c>
      <c r="B537" s="1" t="n">
        <v>45569.35209490741</v>
      </c>
      <c r="C537" s="1" t="n">
        <v>45972</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33424-2024</t>
        </is>
      </c>
      <c r="B538" s="1" t="n">
        <v>45519.51627314815</v>
      </c>
      <c r="C538" s="1" t="n">
        <v>45972</v>
      </c>
      <c r="D538" t="inlineStr">
        <is>
          <t>ÖREBRO LÄN</t>
        </is>
      </c>
      <c r="E538" t="inlineStr">
        <is>
          <t>LINDESBERG</t>
        </is>
      </c>
      <c r="F538" t="inlineStr">
        <is>
          <t>Sveaskog</t>
        </is>
      </c>
      <c r="G538" t="n">
        <v>0.1</v>
      </c>
      <c r="H538" t="n">
        <v>0</v>
      </c>
      <c r="I538" t="n">
        <v>0</v>
      </c>
      <c r="J538" t="n">
        <v>0</v>
      </c>
      <c r="K538" t="n">
        <v>0</v>
      </c>
      <c r="L538" t="n">
        <v>0</v>
      </c>
      <c r="M538" t="n">
        <v>0</v>
      </c>
      <c r="N538" t="n">
        <v>0</v>
      </c>
      <c r="O538" t="n">
        <v>0</v>
      </c>
      <c r="P538" t="n">
        <v>0</v>
      </c>
      <c r="Q538" t="n">
        <v>0</v>
      </c>
      <c r="R538" s="2" t="inlineStr"/>
    </row>
    <row r="539" ht="15" customHeight="1">
      <c r="A539" t="inlineStr">
        <is>
          <t>A 33427-2024</t>
        </is>
      </c>
      <c r="B539" s="1" t="n">
        <v>45519.52232638889</v>
      </c>
      <c r="C539" s="1" t="n">
        <v>45972</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36509-2024</t>
        </is>
      </c>
      <c r="B540" s="1" t="n">
        <v>45537.42240740741</v>
      </c>
      <c r="C540" s="1" t="n">
        <v>45972</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28469-2023</t>
        </is>
      </c>
      <c r="B541" s="1" t="n">
        <v>45103</v>
      </c>
      <c r="C541" s="1" t="n">
        <v>45972</v>
      </c>
      <c r="D541" t="inlineStr">
        <is>
          <t>ÖREBRO LÄN</t>
        </is>
      </c>
      <c r="E541" t="inlineStr">
        <is>
          <t>LINDESBERG</t>
        </is>
      </c>
      <c r="G541" t="n">
        <v>0.3</v>
      </c>
      <c r="H541" t="n">
        <v>0</v>
      </c>
      <c r="I541" t="n">
        <v>0</v>
      </c>
      <c r="J541" t="n">
        <v>0</v>
      </c>
      <c r="K541" t="n">
        <v>0</v>
      </c>
      <c r="L541" t="n">
        <v>0</v>
      </c>
      <c r="M541" t="n">
        <v>0</v>
      </c>
      <c r="N541" t="n">
        <v>0</v>
      </c>
      <c r="O541" t="n">
        <v>0</v>
      </c>
      <c r="P541" t="n">
        <v>0</v>
      </c>
      <c r="Q541" t="n">
        <v>0</v>
      </c>
      <c r="R541" s="2" t="inlineStr"/>
    </row>
    <row r="542" ht="15" customHeight="1">
      <c r="A542" t="inlineStr">
        <is>
          <t>A 46607-2021</t>
        </is>
      </c>
      <c r="B542" s="1" t="n">
        <v>44445.55690972223</v>
      </c>
      <c r="C542" s="1" t="n">
        <v>45972</v>
      </c>
      <c r="D542" t="inlineStr">
        <is>
          <t>ÖREBRO LÄN</t>
        </is>
      </c>
      <c r="E542" t="inlineStr">
        <is>
          <t>LINDESBERG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12278-2025</t>
        </is>
      </c>
      <c r="B543" s="1" t="n">
        <v>45729.65171296296</v>
      </c>
      <c r="C543" s="1" t="n">
        <v>45972</v>
      </c>
      <c r="D543" t="inlineStr">
        <is>
          <t>ÖREBRO LÄN</t>
        </is>
      </c>
      <c r="E543" t="inlineStr">
        <is>
          <t>LINDESBERG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29894-2023</t>
        </is>
      </c>
      <c r="B544" s="1" t="n">
        <v>45107</v>
      </c>
      <c r="C544" s="1" t="n">
        <v>45972</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20954-2024</t>
        </is>
      </c>
      <c r="B545" s="1" t="n">
        <v>45439.56605324074</v>
      </c>
      <c r="C545" s="1" t="n">
        <v>45972</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27051-2023</t>
        </is>
      </c>
      <c r="B546" s="1" t="n">
        <v>45095</v>
      </c>
      <c r="C546" s="1" t="n">
        <v>45972</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27052-2023</t>
        </is>
      </c>
      <c r="B547" s="1" t="n">
        <v>45095</v>
      </c>
      <c r="C547" s="1" t="n">
        <v>45972</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58710-2023</t>
        </is>
      </c>
      <c r="B548" s="1" t="n">
        <v>45251.696875</v>
      </c>
      <c r="C548" s="1" t="n">
        <v>45972</v>
      </c>
      <c r="D548" t="inlineStr">
        <is>
          <t>ÖREBRO LÄN</t>
        </is>
      </c>
      <c r="E548" t="inlineStr">
        <is>
          <t>LINDESBERG</t>
        </is>
      </c>
      <c r="G548" t="n">
        <v>6.3</v>
      </c>
      <c r="H548" t="n">
        <v>0</v>
      </c>
      <c r="I548" t="n">
        <v>0</v>
      </c>
      <c r="J548" t="n">
        <v>0</v>
      </c>
      <c r="K548" t="n">
        <v>0</v>
      </c>
      <c r="L548" t="n">
        <v>0</v>
      </c>
      <c r="M548" t="n">
        <v>0</v>
      </c>
      <c r="N548" t="n">
        <v>0</v>
      </c>
      <c r="O548" t="n">
        <v>0</v>
      </c>
      <c r="P548" t="n">
        <v>0</v>
      </c>
      <c r="Q548" t="n">
        <v>0</v>
      </c>
      <c r="R548" s="2" t="inlineStr"/>
    </row>
    <row r="549" ht="15" customHeight="1">
      <c r="A549" t="inlineStr">
        <is>
          <t>A 5772-2023</t>
        </is>
      </c>
      <c r="B549" s="1" t="n">
        <v>44963.37709490741</v>
      </c>
      <c r="C549" s="1" t="n">
        <v>45972</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7120-2025</t>
        </is>
      </c>
      <c r="B550" s="1" t="n">
        <v>45702</v>
      </c>
      <c r="C550" s="1" t="n">
        <v>45972</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20210-2024</t>
        </is>
      </c>
      <c r="B551" s="1" t="n">
        <v>45434.65854166666</v>
      </c>
      <c r="C551" s="1" t="n">
        <v>45972</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11559-2024</t>
        </is>
      </c>
      <c r="B552" s="1" t="n">
        <v>45373.30434027778</v>
      </c>
      <c r="C552" s="1" t="n">
        <v>45972</v>
      </c>
      <c r="D552" t="inlineStr">
        <is>
          <t>ÖREBRO LÄN</t>
        </is>
      </c>
      <c r="E552" t="inlineStr">
        <is>
          <t>LINDESBERG</t>
        </is>
      </c>
      <c r="F552" t="inlineStr">
        <is>
          <t>BillerudKorsnäs AB</t>
        </is>
      </c>
      <c r="G552" t="n">
        <v>1.9</v>
      </c>
      <c r="H552" t="n">
        <v>0</v>
      </c>
      <c r="I552" t="n">
        <v>0</v>
      </c>
      <c r="J552" t="n">
        <v>0</v>
      </c>
      <c r="K552" t="n">
        <v>0</v>
      </c>
      <c r="L552" t="n">
        <v>0</v>
      </c>
      <c r="M552" t="n">
        <v>0</v>
      </c>
      <c r="N552" t="n">
        <v>0</v>
      </c>
      <c r="O552" t="n">
        <v>0</v>
      </c>
      <c r="P552" t="n">
        <v>0</v>
      </c>
      <c r="Q552" t="n">
        <v>0</v>
      </c>
      <c r="R552" s="2" t="inlineStr"/>
    </row>
    <row r="553" ht="15" customHeight="1">
      <c r="A553" t="inlineStr">
        <is>
          <t>A 36773-2024</t>
        </is>
      </c>
      <c r="B553" s="1" t="n">
        <v>45538</v>
      </c>
      <c r="C553" s="1" t="n">
        <v>45972</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40366-2025</t>
        </is>
      </c>
      <c r="B554" s="1" t="n">
        <v>45895.49994212963</v>
      </c>
      <c r="C554" s="1" t="n">
        <v>45972</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53897-2024</t>
        </is>
      </c>
      <c r="B555" s="1" t="n">
        <v>45615.69570601852</v>
      </c>
      <c r="C555" s="1" t="n">
        <v>45972</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26340-2022</t>
        </is>
      </c>
      <c r="B556" s="1" t="n">
        <v>44735.62539351852</v>
      </c>
      <c r="C556" s="1" t="n">
        <v>45972</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49183-2025</t>
        </is>
      </c>
      <c r="B557" s="1" t="n">
        <v>45938.39741898148</v>
      </c>
      <c r="C557" s="1" t="n">
        <v>45972</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45972</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13472-2023</t>
        </is>
      </c>
      <c r="B559" s="1" t="n">
        <v>45005</v>
      </c>
      <c r="C559" s="1" t="n">
        <v>45972</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40357-2025</t>
        </is>
      </c>
      <c r="B560" s="1" t="n">
        <v>45895.48927083334</v>
      </c>
      <c r="C560" s="1" t="n">
        <v>45972</v>
      </c>
      <c r="D560" t="inlineStr">
        <is>
          <t>ÖREBRO LÄN</t>
        </is>
      </c>
      <c r="E560" t="inlineStr">
        <is>
          <t>LINDESBERG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15325-2024</t>
        </is>
      </c>
      <c r="B561" s="1" t="n">
        <v>45400.6709837963</v>
      </c>
      <c r="C561" s="1" t="n">
        <v>45972</v>
      </c>
      <c r="D561" t="inlineStr">
        <is>
          <t>ÖREBRO LÄN</t>
        </is>
      </c>
      <c r="E561" t="inlineStr">
        <is>
          <t>LINDESBERG</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45972</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52284-2024</t>
        </is>
      </c>
      <c r="B563" s="1" t="n">
        <v>45608</v>
      </c>
      <c r="C563" s="1" t="n">
        <v>45972</v>
      </c>
      <c r="D563" t="inlineStr">
        <is>
          <t>ÖREBRO LÄN</t>
        </is>
      </c>
      <c r="E563" t="inlineStr">
        <is>
          <t>LINDESBERG</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48867-2025</t>
        </is>
      </c>
      <c r="B564" s="1" t="n">
        <v>45937.4484837963</v>
      </c>
      <c r="C564" s="1" t="n">
        <v>45972</v>
      </c>
      <c r="D564" t="inlineStr">
        <is>
          <t>ÖREBRO LÄN</t>
        </is>
      </c>
      <c r="E564" t="inlineStr">
        <is>
          <t>LINDESBERG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61969-2023</t>
        </is>
      </c>
      <c r="B565" s="1" t="n">
        <v>45266.58394675926</v>
      </c>
      <c r="C565" s="1" t="n">
        <v>45972</v>
      </c>
      <c r="D565" t="inlineStr">
        <is>
          <t>ÖREBRO LÄN</t>
        </is>
      </c>
      <c r="E565" t="inlineStr">
        <is>
          <t>LINDESBERG</t>
        </is>
      </c>
      <c r="G565" t="n">
        <v>10.5</v>
      </c>
      <c r="H565" t="n">
        <v>0</v>
      </c>
      <c r="I565" t="n">
        <v>0</v>
      </c>
      <c r="J565" t="n">
        <v>0</v>
      </c>
      <c r="K565" t="n">
        <v>0</v>
      </c>
      <c r="L565" t="n">
        <v>0</v>
      </c>
      <c r="M565" t="n">
        <v>0</v>
      </c>
      <c r="N565" t="n">
        <v>0</v>
      </c>
      <c r="O565" t="n">
        <v>0</v>
      </c>
      <c r="P565" t="n">
        <v>0</v>
      </c>
      <c r="Q565" t="n">
        <v>0</v>
      </c>
      <c r="R565" s="2" t="inlineStr"/>
    </row>
    <row r="566" ht="15" customHeight="1">
      <c r="A566" t="inlineStr">
        <is>
          <t>A 49100-2025</t>
        </is>
      </c>
      <c r="B566" s="1" t="n">
        <v>45937.71556712963</v>
      </c>
      <c r="C566" s="1" t="n">
        <v>45972</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40351-2025</t>
        </is>
      </c>
      <c r="B567" s="1" t="n">
        <v>45895.48394675926</v>
      </c>
      <c r="C567" s="1" t="n">
        <v>45972</v>
      </c>
      <c r="D567" t="inlineStr">
        <is>
          <t>ÖREBRO LÄN</t>
        </is>
      </c>
      <c r="E567" t="inlineStr">
        <is>
          <t>LINDESBERG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6962-2023</t>
        </is>
      </c>
      <c r="B568" s="1" t="n">
        <v>44967.60165509259</v>
      </c>
      <c r="C568" s="1" t="n">
        <v>45972</v>
      </c>
      <c r="D568" t="inlineStr">
        <is>
          <t>ÖREBRO LÄN</t>
        </is>
      </c>
      <c r="E568" t="inlineStr">
        <is>
          <t>LINDESBERG</t>
        </is>
      </c>
      <c r="G568" t="n">
        <v>11.4</v>
      </c>
      <c r="H568" t="n">
        <v>0</v>
      </c>
      <c r="I568" t="n">
        <v>0</v>
      </c>
      <c r="J568" t="n">
        <v>0</v>
      </c>
      <c r="K568" t="n">
        <v>0</v>
      </c>
      <c r="L568" t="n">
        <v>0</v>
      </c>
      <c r="M568" t="n">
        <v>0</v>
      </c>
      <c r="N568" t="n">
        <v>0</v>
      </c>
      <c r="O568" t="n">
        <v>0</v>
      </c>
      <c r="P568" t="n">
        <v>0</v>
      </c>
      <c r="Q568" t="n">
        <v>0</v>
      </c>
      <c r="R568" s="2" t="inlineStr"/>
    </row>
    <row r="569" ht="15" customHeight="1">
      <c r="A569" t="inlineStr">
        <is>
          <t>A 38613-2024</t>
        </is>
      </c>
      <c r="B569" s="1" t="n">
        <v>45546.68743055555</v>
      </c>
      <c r="C569" s="1" t="n">
        <v>45972</v>
      </c>
      <c r="D569" t="inlineStr">
        <is>
          <t>ÖREBRO LÄN</t>
        </is>
      </c>
      <c r="E569" t="inlineStr">
        <is>
          <t>LINDESBERG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40347-2025</t>
        </is>
      </c>
      <c r="B570" s="1" t="n">
        <v>45895.4790625</v>
      </c>
      <c r="C570" s="1" t="n">
        <v>45972</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48993-2025</t>
        </is>
      </c>
      <c r="B571" s="1" t="n">
        <v>45937.58590277778</v>
      </c>
      <c r="C571" s="1" t="n">
        <v>45972</v>
      </c>
      <c r="D571" t="inlineStr">
        <is>
          <t>ÖREBRO LÄN</t>
        </is>
      </c>
      <c r="E571" t="inlineStr">
        <is>
          <t>LINDESBERG</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7119-2025</t>
        </is>
      </c>
      <c r="B572" s="1" t="n">
        <v>45702</v>
      </c>
      <c r="C572" s="1" t="n">
        <v>45972</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12562-2021</t>
        </is>
      </c>
      <c r="B573" s="1" t="n">
        <v>44267</v>
      </c>
      <c r="C573" s="1" t="n">
        <v>45972</v>
      </c>
      <c r="D573" t="inlineStr">
        <is>
          <t>ÖREBRO LÄN</t>
        </is>
      </c>
      <c r="E573" t="inlineStr">
        <is>
          <t>LINDESBERG</t>
        </is>
      </c>
      <c r="G573" t="n">
        <v>30.1</v>
      </c>
      <c r="H573" t="n">
        <v>0</v>
      </c>
      <c r="I573" t="n">
        <v>0</v>
      </c>
      <c r="J573" t="n">
        <v>0</v>
      </c>
      <c r="K573" t="n">
        <v>0</v>
      </c>
      <c r="L573" t="n">
        <v>0</v>
      </c>
      <c r="M573" t="n">
        <v>0</v>
      </c>
      <c r="N573" t="n">
        <v>0</v>
      </c>
      <c r="O573" t="n">
        <v>0</v>
      </c>
      <c r="P573" t="n">
        <v>0</v>
      </c>
      <c r="Q573" t="n">
        <v>0</v>
      </c>
      <c r="R573" s="2" t="inlineStr"/>
    </row>
    <row r="574" ht="15" customHeight="1">
      <c r="A574" t="inlineStr">
        <is>
          <t>A 48953-2025</t>
        </is>
      </c>
      <c r="B574" s="1" t="n">
        <v>45937.54697916667</v>
      </c>
      <c r="C574" s="1" t="n">
        <v>45972</v>
      </c>
      <c r="D574" t="inlineStr">
        <is>
          <t>ÖREBRO LÄN</t>
        </is>
      </c>
      <c r="E574" t="inlineStr">
        <is>
          <t>LINDESBERG</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7180-2023</t>
        </is>
      </c>
      <c r="B575" s="1" t="n">
        <v>44970.51849537037</v>
      </c>
      <c r="C575" s="1" t="n">
        <v>45972</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49133-2025</t>
        </is>
      </c>
      <c r="B576" s="1" t="n">
        <v>45937.92319444445</v>
      </c>
      <c r="C576" s="1" t="n">
        <v>45972</v>
      </c>
      <c r="D576" t="inlineStr">
        <is>
          <t>ÖREBRO LÄN</t>
        </is>
      </c>
      <c r="E576" t="inlineStr">
        <is>
          <t>LINDESBERG</t>
        </is>
      </c>
      <c r="G576" t="n">
        <v>5</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45972</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45972</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73500-2021</t>
        </is>
      </c>
      <c r="B579" s="1" t="n">
        <v>44551</v>
      </c>
      <c r="C579" s="1" t="n">
        <v>45972</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20804-2025</t>
        </is>
      </c>
      <c r="B580" s="1" t="n">
        <v>45776.65518518518</v>
      </c>
      <c r="C580" s="1" t="n">
        <v>45972</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56507-2021</t>
        </is>
      </c>
      <c r="B581" s="1" t="n">
        <v>44480.58034722223</v>
      </c>
      <c r="C581" s="1" t="n">
        <v>45972</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65194-2023</t>
        </is>
      </c>
      <c r="B582" s="1" t="n">
        <v>45289</v>
      </c>
      <c r="C582" s="1" t="n">
        <v>45972</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9436-2023</t>
        </is>
      </c>
      <c r="B583" s="1" t="n">
        <v>44981</v>
      </c>
      <c r="C583" s="1" t="n">
        <v>45972</v>
      </c>
      <c r="D583" t="inlineStr">
        <is>
          <t>ÖREBRO LÄN</t>
        </is>
      </c>
      <c r="E583" t="inlineStr">
        <is>
          <t>LINDESBERG</t>
        </is>
      </c>
      <c r="G583" t="n">
        <v>2.8</v>
      </c>
      <c r="H583" t="n">
        <v>0</v>
      </c>
      <c r="I583" t="n">
        <v>0</v>
      </c>
      <c r="J583" t="n">
        <v>0</v>
      </c>
      <c r="K583" t="n">
        <v>0</v>
      </c>
      <c r="L583" t="n">
        <v>0</v>
      </c>
      <c r="M583" t="n">
        <v>0</v>
      </c>
      <c r="N583" t="n">
        <v>0</v>
      </c>
      <c r="O583" t="n">
        <v>0</v>
      </c>
      <c r="P583" t="n">
        <v>0</v>
      </c>
      <c r="Q583" t="n">
        <v>0</v>
      </c>
      <c r="R583" s="2" t="inlineStr"/>
    </row>
    <row r="584" ht="15" customHeight="1">
      <c r="A584" t="inlineStr">
        <is>
          <t>A 20923-2025</t>
        </is>
      </c>
      <c r="B584" s="1" t="n">
        <v>45777.41673611111</v>
      </c>
      <c r="C584" s="1" t="n">
        <v>45972</v>
      </c>
      <c r="D584" t="inlineStr">
        <is>
          <t>ÖREBRO LÄN</t>
        </is>
      </c>
      <c r="E584" t="inlineStr">
        <is>
          <t>LINDESBERG</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20950-2025</t>
        </is>
      </c>
      <c r="B585" s="1" t="n">
        <v>45777.43878472222</v>
      </c>
      <c r="C585" s="1" t="n">
        <v>45972</v>
      </c>
      <c r="D585" t="inlineStr">
        <is>
          <t>ÖREBRO LÄN</t>
        </is>
      </c>
      <c r="E585" t="inlineStr">
        <is>
          <t>LINDESBERG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28031-2023</t>
        </is>
      </c>
      <c r="B586" s="1" t="n">
        <v>45099.27354166667</v>
      </c>
      <c r="C586" s="1" t="n">
        <v>45972</v>
      </c>
      <c r="D586" t="inlineStr">
        <is>
          <t>ÖREBRO LÄN</t>
        </is>
      </c>
      <c r="E586" t="inlineStr">
        <is>
          <t>LINDESBERG</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12795-2025</t>
        </is>
      </c>
      <c r="B587" s="1" t="n">
        <v>45733.60959490741</v>
      </c>
      <c r="C587" s="1" t="n">
        <v>45972</v>
      </c>
      <c r="D587" t="inlineStr">
        <is>
          <t>ÖREBRO LÄN</t>
        </is>
      </c>
      <c r="E587" t="inlineStr">
        <is>
          <t>LINDESBERG</t>
        </is>
      </c>
      <c r="G587" t="n">
        <v>10.8</v>
      </c>
      <c r="H587" t="n">
        <v>0</v>
      </c>
      <c r="I587" t="n">
        <v>0</v>
      </c>
      <c r="J587" t="n">
        <v>0</v>
      </c>
      <c r="K587" t="n">
        <v>0</v>
      </c>
      <c r="L587" t="n">
        <v>0</v>
      </c>
      <c r="M587" t="n">
        <v>0</v>
      </c>
      <c r="N587" t="n">
        <v>0</v>
      </c>
      <c r="O587" t="n">
        <v>0</v>
      </c>
      <c r="P587" t="n">
        <v>0</v>
      </c>
      <c r="Q587" t="n">
        <v>0</v>
      </c>
      <c r="R587" s="2" t="inlineStr"/>
    </row>
    <row r="588" ht="15" customHeight="1">
      <c r="A588" t="inlineStr">
        <is>
          <t>A 20930-2025</t>
        </is>
      </c>
      <c r="B588" s="1" t="n">
        <v>45777.42628472222</v>
      </c>
      <c r="C588" s="1" t="n">
        <v>45972</v>
      </c>
      <c r="D588" t="inlineStr">
        <is>
          <t>ÖREBRO LÄN</t>
        </is>
      </c>
      <c r="E588" t="inlineStr">
        <is>
          <t>LINDESBERG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40346-2025</t>
        </is>
      </c>
      <c r="B589" s="1" t="n">
        <v>45895.47704861111</v>
      </c>
      <c r="C589" s="1" t="n">
        <v>45972</v>
      </c>
      <c r="D589" t="inlineStr">
        <is>
          <t>ÖREBRO LÄN</t>
        </is>
      </c>
      <c r="E589" t="inlineStr">
        <is>
          <t>LINDESBERG</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46039-2024</t>
        </is>
      </c>
      <c r="B590" s="1" t="n">
        <v>45580.73525462963</v>
      </c>
      <c r="C590" s="1" t="n">
        <v>45972</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36121-2023</t>
        </is>
      </c>
      <c r="B591" s="1" t="n">
        <v>45148</v>
      </c>
      <c r="C591" s="1" t="n">
        <v>45972</v>
      </c>
      <c r="D591" t="inlineStr">
        <is>
          <t>ÖREBRO LÄN</t>
        </is>
      </c>
      <c r="E591" t="inlineStr">
        <is>
          <t>LINDESBERG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48975-2025</t>
        </is>
      </c>
      <c r="B592" s="1" t="n">
        <v>45937.56798611111</v>
      </c>
      <c r="C592" s="1" t="n">
        <v>45972</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20944-2025</t>
        </is>
      </c>
      <c r="B593" s="1" t="n">
        <v>45777</v>
      </c>
      <c r="C593" s="1" t="n">
        <v>45972</v>
      </c>
      <c r="D593" t="inlineStr">
        <is>
          <t>ÖREBRO LÄN</t>
        </is>
      </c>
      <c r="E593" t="inlineStr">
        <is>
          <t>LINDESBERG</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34838-2023</t>
        </is>
      </c>
      <c r="B594" s="1" t="n">
        <v>45141.76530092592</v>
      </c>
      <c r="C594" s="1" t="n">
        <v>45972</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31024-2023</t>
        </is>
      </c>
      <c r="B595" s="1" t="n">
        <v>45113</v>
      </c>
      <c r="C595" s="1" t="n">
        <v>45972</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58741-2024</t>
        </is>
      </c>
      <c r="B596" s="1" t="n">
        <v>45635.69581018519</v>
      </c>
      <c r="C596" s="1" t="n">
        <v>45972</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3994-2023</t>
        </is>
      </c>
      <c r="B597" s="1" t="n">
        <v>44950</v>
      </c>
      <c r="C597" s="1" t="n">
        <v>45972</v>
      </c>
      <c r="D597" t="inlineStr">
        <is>
          <t>ÖREBRO LÄN</t>
        </is>
      </c>
      <c r="E597" t="inlineStr">
        <is>
          <t>LINDESBERG</t>
        </is>
      </c>
      <c r="G597" t="n">
        <v>4.8</v>
      </c>
      <c r="H597" t="n">
        <v>0</v>
      </c>
      <c r="I597" t="n">
        <v>0</v>
      </c>
      <c r="J597" t="n">
        <v>0</v>
      </c>
      <c r="K597" t="n">
        <v>0</v>
      </c>
      <c r="L597" t="n">
        <v>0</v>
      </c>
      <c r="M597" t="n">
        <v>0</v>
      </c>
      <c r="N597" t="n">
        <v>0</v>
      </c>
      <c r="O597" t="n">
        <v>0</v>
      </c>
      <c r="P597" t="n">
        <v>0</v>
      </c>
      <c r="Q597" t="n">
        <v>0</v>
      </c>
      <c r="R597" s="2" t="inlineStr"/>
    </row>
    <row r="598" ht="15" customHeight="1">
      <c r="A598" t="inlineStr">
        <is>
          <t>A 33281-2024</t>
        </is>
      </c>
      <c r="B598" s="1" t="n">
        <v>45518.71202546296</v>
      </c>
      <c r="C598" s="1" t="n">
        <v>45972</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33283-2024</t>
        </is>
      </c>
      <c r="B599" s="1" t="n">
        <v>45518.71591435185</v>
      </c>
      <c r="C599" s="1" t="n">
        <v>45972</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61960-2024</t>
        </is>
      </c>
      <c r="B600" s="1" t="n">
        <v>45653.53664351852</v>
      </c>
      <c r="C600" s="1" t="n">
        <v>45972</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49094-2024</t>
        </is>
      </c>
      <c r="B601" s="1" t="n">
        <v>45594.63747685185</v>
      </c>
      <c r="C601" s="1" t="n">
        <v>45972</v>
      </c>
      <c r="D601" t="inlineStr">
        <is>
          <t>ÖREBRO LÄN</t>
        </is>
      </c>
      <c r="E601" t="inlineStr">
        <is>
          <t>LINDESBERG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48756-2024</t>
        </is>
      </c>
      <c r="B602" s="1" t="n">
        <v>45593.59681712963</v>
      </c>
      <c r="C602" s="1" t="n">
        <v>45972</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60449-2024</t>
        </is>
      </c>
      <c r="B603" s="1" t="n">
        <v>45643</v>
      </c>
      <c r="C603" s="1" t="n">
        <v>45972</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21812-2025</t>
        </is>
      </c>
      <c r="B604" s="1" t="n">
        <v>45783.71833333333</v>
      </c>
      <c r="C604" s="1" t="n">
        <v>45972</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31861-2024</t>
        </is>
      </c>
      <c r="B605" s="1" t="n">
        <v>45509.73383101852</v>
      </c>
      <c r="C605" s="1" t="n">
        <v>45972</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15060-2024</t>
        </is>
      </c>
      <c r="B606" s="1" t="n">
        <v>45399.56596064815</v>
      </c>
      <c r="C606" s="1" t="n">
        <v>45972</v>
      </c>
      <c r="D606" t="inlineStr">
        <is>
          <t>ÖREBRO LÄN</t>
        </is>
      </c>
      <c r="E606" t="inlineStr">
        <is>
          <t>LINDESBERG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49943-2025</t>
        </is>
      </c>
      <c r="B607" s="1" t="n">
        <v>45940.69521990741</v>
      </c>
      <c r="C607" s="1" t="n">
        <v>45972</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43195-2024</t>
        </is>
      </c>
      <c r="B608" s="1" t="n">
        <v>45567.68003472222</v>
      </c>
      <c r="C608" s="1" t="n">
        <v>45972</v>
      </c>
      <c r="D608" t="inlineStr">
        <is>
          <t>ÖREBRO LÄN</t>
        </is>
      </c>
      <c r="E608" t="inlineStr">
        <is>
          <t>LINDESBERG</t>
        </is>
      </c>
      <c r="G608" t="n">
        <v>27.8</v>
      </c>
      <c r="H608" t="n">
        <v>0</v>
      </c>
      <c r="I608" t="n">
        <v>0</v>
      </c>
      <c r="J608" t="n">
        <v>0</v>
      </c>
      <c r="K608" t="n">
        <v>0</v>
      </c>
      <c r="L608" t="n">
        <v>0</v>
      </c>
      <c r="M608" t="n">
        <v>0</v>
      </c>
      <c r="N608" t="n">
        <v>0</v>
      </c>
      <c r="O608" t="n">
        <v>0</v>
      </c>
      <c r="P608" t="n">
        <v>0</v>
      </c>
      <c r="Q608" t="n">
        <v>0</v>
      </c>
      <c r="R608" s="2" t="inlineStr"/>
    </row>
    <row r="609" ht="15" customHeight="1">
      <c r="A609" t="inlineStr">
        <is>
          <t>A 49707-2025</t>
        </is>
      </c>
      <c r="B609" s="1" t="n">
        <v>45939.67951388889</v>
      </c>
      <c r="C609" s="1" t="n">
        <v>45972</v>
      </c>
      <c r="D609" t="inlineStr">
        <is>
          <t>ÖREBRO LÄN</t>
        </is>
      </c>
      <c r="E609" t="inlineStr">
        <is>
          <t>LINDESBERG</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24583-2024</t>
        </is>
      </c>
      <c r="B610" s="1" t="n">
        <v>45460.46358796296</v>
      </c>
      <c r="C610" s="1" t="n">
        <v>45972</v>
      </c>
      <c r="D610" t="inlineStr">
        <is>
          <t>ÖREBRO LÄN</t>
        </is>
      </c>
      <c r="E610" t="inlineStr">
        <is>
          <t>LINDESBERG</t>
        </is>
      </c>
      <c r="G610" t="n">
        <v>13.7</v>
      </c>
      <c r="H610" t="n">
        <v>0</v>
      </c>
      <c r="I610" t="n">
        <v>0</v>
      </c>
      <c r="J610" t="n">
        <v>0</v>
      </c>
      <c r="K610" t="n">
        <v>0</v>
      </c>
      <c r="L610" t="n">
        <v>0</v>
      </c>
      <c r="M610" t="n">
        <v>0</v>
      </c>
      <c r="N610" t="n">
        <v>0</v>
      </c>
      <c r="O610" t="n">
        <v>0</v>
      </c>
      <c r="P610" t="n">
        <v>0</v>
      </c>
      <c r="Q610" t="n">
        <v>0</v>
      </c>
      <c r="R610" s="2" t="inlineStr"/>
    </row>
    <row r="611" ht="15" customHeight="1">
      <c r="A611" t="inlineStr">
        <is>
          <t>A 28776-2023</t>
        </is>
      </c>
      <c r="B611" s="1" t="n">
        <v>45104.34107638889</v>
      </c>
      <c r="C611" s="1" t="n">
        <v>45972</v>
      </c>
      <c r="D611" t="inlineStr">
        <is>
          <t>ÖREBRO LÄN</t>
        </is>
      </c>
      <c r="E611" t="inlineStr">
        <is>
          <t>LINDESBERG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53510-2024</t>
        </is>
      </c>
      <c r="B612" s="1" t="n">
        <v>45614.5968287037</v>
      </c>
      <c r="C612" s="1" t="n">
        <v>45972</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34676-2023</t>
        </is>
      </c>
      <c r="B613" s="1" t="n">
        <v>45140</v>
      </c>
      <c r="C613" s="1" t="n">
        <v>45972</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22438-2025</t>
        </is>
      </c>
      <c r="B614" s="1" t="n">
        <v>45786</v>
      </c>
      <c r="C614" s="1" t="n">
        <v>45972</v>
      </c>
      <c r="D614" t="inlineStr">
        <is>
          <t>ÖREBRO LÄN</t>
        </is>
      </c>
      <c r="E614" t="inlineStr">
        <is>
          <t>LINDESBERG</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61594-2024</t>
        </is>
      </c>
      <c r="B615" s="1" t="n">
        <v>45646.63482638889</v>
      </c>
      <c r="C615" s="1" t="n">
        <v>45972</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43532-2024</t>
        </is>
      </c>
      <c r="B616" s="1" t="n">
        <v>45569.3533912037</v>
      </c>
      <c r="C616" s="1" t="n">
        <v>45972</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59282-2023</t>
        </is>
      </c>
      <c r="B617" s="1" t="n">
        <v>45253</v>
      </c>
      <c r="C617" s="1" t="n">
        <v>45972</v>
      </c>
      <c r="D617" t="inlineStr">
        <is>
          <t>ÖREBRO LÄN</t>
        </is>
      </c>
      <c r="E617" t="inlineStr">
        <is>
          <t>LINDESBERG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47601-2023</t>
        </is>
      </c>
      <c r="B618" s="1" t="n">
        <v>45203.45681712963</v>
      </c>
      <c r="C618" s="1" t="n">
        <v>45972</v>
      </c>
      <c r="D618" t="inlineStr">
        <is>
          <t>ÖREBRO LÄN</t>
        </is>
      </c>
      <c r="E618" t="inlineStr">
        <is>
          <t>LINDESBERG</t>
        </is>
      </c>
      <c r="G618" t="n">
        <v>37.6</v>
      </c>
      <c r="H618" t="n">
        <v>0</v>
      </c>
      <c r="I618" t="n">
        <v>0</v>
      </c>
      <c r="J618" t="n">
        <v>0</v>
      </c>
      <c r="K618" t="n">
        <v>0</v>
      </c>
      <c r="L618" t="n">
        <v>0</v>
      </c>
      <c r="M618" t="n">
        <v>0</v>
      </c>
      <c r="N618" t="n">
        <v>0</v>
      </c>
      <c r="O618" t="n">
        <v>0</v>
      </c>
      <c r="P618" t="n">
        <v>0</v>
      </c>
      <c r="Q618" t="n">
        <v>0</v>
      </c>
      <c r="R618" s="2" t="inlineStr"/>
    </row>
    <row r="619" ht="15" customHeight="1">
      <c r="A619" t="inlineStr">
        <is>
          <t>A 62308-2023</t>
        </is>
      </c>
      <c r="B619" s="1" t="n">
        <v>45267.69052083333</v>
      </c>
      <c r="C619" s="1" t="n">
        <v>45972</v>
      </c>
      <c r="D619" t="inlineStr">
        <is>
          <t>ÖREBRO LÄN</t>
        </is>
      </c>
      <c r="E619" t="inlineStr">
        <is>
          <t>LINDESBERG</t>
        </is>
      </c>
      <c r="F619" t="inlineStr">
        <is>
          <t>Naturvårdsverket</t>
        </is>
      </c>
      <c r="G619" t="n">
        <v>3.1</v>
      </c>
      <c r="H619" t="n">
        <v>0</v>
      </c>
      <c r="I619" t="n">
        <v>0</v>
      </c>
      <c r="J619" t="n">
        <v>0</v>
      </c>
      <c r="K619" t="n">
        <v>0</v>
      </c>
      <c r="L619" t="n">
        <v>0</v>
      </c>
      <c r="M619" t="n">
        <v>0</v>
      </c>
      <c r="N619" t="n">
        <v>0</v>
      </c>
      <c r="O619" t="n">
        <v>0</v>
      </c>
      <c r="P619" t="n">
        <v>0</v>
      </c>
      <c r="Q619" t="n">
        <v>0</v>
      </c>
      <c r="R619" s="2" t="inlineStr"/>
    </row>
    <row r="620" ht="15" customHeight="1">
      <c r="A620" t="inlineStr">
        <is>
          <t>A 49944-2025</t>
        </is>
      </c>
      <c r="B620" s="1" t="n">
        <v>45940.69643518519</v>
      </c>
      <c r="C620" s="1" t="n">
        <v>45972</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22078-2025</t>
        </is>
      </c>
      <c r="B621" s="1" t="n">
        <v>45785.4253125</v>
      </c>
      <c r="C621" s="1" t="n">
        <v>45972</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36686-2024</t>
        </is>
      </c>
      <c r="B622" s="1" t="n">
        <v>45537.665</v>
      </c>
      <c r="C622" s="1" t="n">
        <v>45972</v>
      </c>
      <c r="D622" t="inlineStr">
        <is>
          <t>ÖREBRO LÄN</t>
        </is>
      </c>
      <c r="E622" t="inlineStr">
        <is>
          <t>LINDESBERG</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53355-2023</t>
        </is>
      </c>
      <c r="B623" s="1" t="n">
        <v>45229.66430555555</v>
      </c>
      <c r="C623" s="1" t="n">
        <v>45972</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36680-2024</t>
        </is>
      </c>
      <c r="B624" s="1" t="n">
        <v>45537.65305555556</v>
      </c>
      <c r="C624" s="1" t="n">
        <v>45972</v>
      </c>
      <c r="D624" t="inlineStr">
        <is>
          <t>ÖREBRO LÄN</t>
        </is>
      </c>
      <c r="E624" t="inlineStr">
        <is>
          <t>LINDESBERG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54793-2024</t>
        </is>
      </c>
      <c r="B625" s="1" t="n">
        <v>45618</v>
      </c>
      <c r="C625" s="1" t="n">
        <v>45972</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40563-2023</t>
        </is>
      </c>
      <c r="B626" s="1" t="n">
        <v>45170.45921296296</v>
      </c>
      <c r="C626" s="1" t="n">
        <v>45972</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49947-2025</t>
        </is>
      </c>
      <c r="B627" s="1" t="n">
        <v>45940.70018518518</v>
      </c>
      <c r="C627" s="1" t="n">
        <v>45972</v>
      </c>
      <c r="D627" t="inlineStr">
        <is>
          <t>ÖREBRO LÄN</t>
        </is>
      </c>
      <c r="E627" t="inlineStr">
        <is>
          <t>LINDESBERG</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22543-2025</t>
        </is>
      </c>
      <c r="B628" s="1" t="n">
        <v>45788.42467592593</v>
      </c>
      <c r="C628" s="1" t="n">
        <v>45972</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38380-2024</t>
        </is>
      </c>
      <c r="B629" s="1" t="n">
        <v>45546.28121527778</v>
      </c>
      <c r="C629" s="1" t="n">
        <v>45972</v>
      </c>
      <c r="D629" t="inlineStr">
        <is>
          <t>ÖREBRO LÄN</t>
        </is>
      </c>
      <c r="E629" t="inlineStr">
        <is>
          <t>LINDESBERG</t>
        </is>
      </c>
      <c r="G629" t="n">
        <v>6.8</v>
      </c>
      <c r="H629" t="n">
        <v>0</v>
      </c>
      <c r="I629" t="n">
        <v>0</v>
      </c>
      <c r="J629" t="n">
        <v>0</v>
      </c>
      <c r="K629" t="n">
        <v>0</v>
      </c>
      <c r="L629" t="n">
        <v>0</v>
      </c>
      <c r="M629" t="n">
        <v>0</v>
      </c>
      <c r="N629" t="n">
        <v>0</v>
      </c>
      <c r="O629" t="n">
        <v>0</v>
      </c>
      <c r="P629" t="n">
        <v>0</v>
      </c>
      <c r="Q629" t="n">
        <v>0</v>
      </c>
      <c r="R629" s="2" t="inlineStr"/>
    </row>
    <row r="630" ht="15" customHeight="1">
      <c r="A630" t="inlineStr">
        <is>
          <t>A 7026-2024</t>
        </is>
      </c>
      <c r="B630" s="1" t="n">
        <v>45343.58587962963</v>
      </c>
      <c r="C630" s="1" t="n">
        <v>45972</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23245-2025</t>
        </is>
      </c>
      <c r="B631" s="1" t="n">
        <v>45791.50862268519</v>
      </c>
      <c r="C631" s="1" t="n">
        <v>45972</v>
      </c>
      <c r="D631" t="inlineStr">
        <is>
          <t>ÖREBRO LÄN</t>
        </is>
      </c>
      <c r="E631" t="inlineStr">
        <is>
          <t>LINDESBERG</t>
        </is>
      </c>
      <c r="G631" t="n">
        <v>6.8</v>
      </c>
      <c r="H631" t="n">
        <v>0</v>
      </c>
      <c r="I631" t="n">
        <v>0</v>
      </c>
      <c r="J631" t="n">
        <v>0</v>
      </c>
      <c r="K631" t="n">
        <v>0</v>
      </c>
      <c r="L631" t="n">
        <v>0</v>
      </c>
      <c r="M631" t="n">
        <v>0</v>
      </c>
      <c r="N631" t="n">
        <v>0</v>
      </c>
      <c r="O631" t="n">
        <v>0</v>
      </c>
      <c r="P631" t="n">
        <v>0</v>
      </c>
      <c r="Q631" t="n">
        <v>0</v>
      </c>
      <c r="R631" s="2" t="inlineStr"/>
    </row>
    <row r="632" ht="15" customHeight="1">
      <c r="A632" t="inlineStr">
        <is>
          <t>A 41353-2024</t>
        </is>
      </c>
      <c r="B632" s="1" t="n">
        <v>45559</v>
      </c>
      <c r="C632" s="1" t="n">
        <v>45972</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42707-2023</t>
        </is>
      </c>
      <c r="B633" s="1" t="n">
        <v>45181</v>
      </c>
      <c r="C633" s="1" t="n">
        <v>45972</v>
      </c>
      <c r="D633" t="inlineStr">
        <is>
          <t>ÖREBRO LÄN</t>
        </is>
      </c>
      <c r="E633" t="inlineStr">
        <is>
          <t>LINDESBERG</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51379-2023</t>
        </is>
      </c>
      <c r="B634" s="1" t="n">
        <v>45219</v>
      </c>
      <c r="C634" s="1" t="n">
        <v>45972</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59641-2024</t>
        </is>
      </c>
      <c r="B635" s="1" t="n">
        <v>45639.30934027778</v>
      </c>
      <c r="C635" s="1" t="n">
        <v>45972</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41027-2025</t>
        </is>
      </c>
      <c r="B636" s="1" t="n">
        <v>45898.37138888889</v>
      </c>
      <c r="C636" s="1" t="n">
        <v>45972</v>
      </c>
      <c r="D636" t="inlineStr">
        <is>
          <t>ÖREBRO LÄN</t>
        </is>
      </c>
      <c r="E636" t="inlineStr">
        <is>
          <t>LINDESBERG</t>
        </is>
      </c>
      <c r="G636" t="n">
        <v>4.7</v>
      </c>
      <c r="H636" t="n">
        <v>0</v>
      </c>
      <c r="I636" t="n">
        <v>0</v>
      </c>
      <c r="J636" t="n">
        <v>0</v>
      </c>
      <c r="K636" t="n">
        <v>0</v>
      </c>
      <c r="L636" t="n">
        <v>0</v>
      </c>
      <c r="M636" t="n">
        <v>0</v>
      </c>
      <c r="N636" t="n">
        <v>0</v>
      </c>
      <c r="O636" t="n">
        <v>0</v>
      </c>
      <c r="P636" t="n">
        <v>0</v>
      </c>
      <c r="Q636" t="n">
        <v>0</v>
      </c>
      <c r="R636" s="2" t="inlineStr"/>
    </row>
    <row r="637" ht="15" customHeight="1">
      <c r="A637" t="inlineStr">
        <is>
          <t>A 5080-2024</t>
        </is>
      </c>
      <c r="B637" s="1" t="n">
        <v>45330</v>
      </c>
      <c r="C637" s="1" t="n">
        <v>45972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49946-2025</t>
        </is>
      </c>
      <c r="B638" s="1" t="n">
        <v>45940.69862268519</v>
      </c>
      <c r="C638" s="1" t="n">
        <v>45972</v>
      </c>
      <c r="D638" t="inlineStr">
        <is>
          <t>ÖREBRO LÄN</t>
        </is>
      </c>
      <c r="E638" t="inlineStr">
        <is>
          <t>LINDESBERG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17779-2024</t>
        </is>
      </c>
      <c r="B639" s="1" t="n">
        <v>45418.66800925926</v>
      </c>
      <c r="C639" s="1" t="n">
        <v>45972</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12307-2025</t>
        </is>
      </c>
      <c r="B640" s="1" t="n">
        <v>45729.76231481481</v>
      </c>
      <c r="C640" s="1" t="n">
        <v>45972</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45056-2024</t>
        </is>
      </c>
      <c r="B641" s="1" t="n">
        <v>45575.55273148148</v>
      </c>
      <c r="C641" s="1" t="n">
        <v>45972</v>
      </c>
      <c r="D641" t="inlineStr">
        <is>
          <t>ÖREBRO LÄN</t>
        </is>
      </c>
      <c r="E641" t="inlineStr">
        <is>
          <t>LINDESBERG</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45058-2024</t>
        </is>
      </c>
      <c r="B642" s="1" t="n">
        <v>45575.5547337963</v>
      </c>
      <c r="C642" s="1" t="n">
        <v>45972</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45063-2024</t>
        </is>
      </c>
      <c r="B643" s="1" t="n">
        <v>45575.55684027778</v>
      </c>
      <c r="C643" s="1" t="n">
        <v>45972</v>
      </c>
      <c r="D643" t="inlineStr">
        <is>
          <t>ÖREBRO LÄN</t>
        </is>
      </c>
      <c r="E643" t="inlineStr">
        <is>
          <t>LINDESBERG</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45072-2024</t>
        </is>
      </c>
      <c r="B644" s="1" t="n">
        <v>45575.56686342593</v>
      </c>
      <c r="C644" s="1" t="n">
        <v>45972</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45075-2024</t>
        </is>
      </c>
      <c r="B645" s="1" t="n">
        <v>45575.56820601852</v>
      </c>
      <c r="C645" s="1" t="n">
        <v>45972</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21202-2024</t>
        </is>
      </c>
      <c r="B646" s="1" t="n">
        <v>45440.5433912037</v>
      </c>
      <c r="C646" s="1" t="n">
        <v>45972</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1400-2025</t>
        </is>
      </c>
      <c r="B647" s="1" t="n">
        <v>45667</v>
      </c>
      <c r="C647" s="1" t="n">
        <v>45972</v>
      </c>
      <c r="D647" t="inlineStr">
        <is>
          <t>ÖREBRO LÄN</t>
        </is>
      </c>
      <c r="E647" t="inlineStr">
        <is>
          <t>LINDESBERG</t>
        </is>
      </c>
      <c r="F647" t="inlineStr">
        <is>
          <t>Allmännings- och besparingsskogar</t>
        </is>
      </c>
      <c r="G647" t="n">
        <v>11.3</v>
      </c>
      <c r="H647" t="n">
        <v>0</v>
      </c>
      <c r="I647" t="n">
        <v>0</v>
      </c>
      <c r="J647" t="n">
        <v>0</v>
      </c>
      <c r="K647" t="n">
        <v>0</v>
      </c>
      <c r="L647" t="n">
        <v>0</v>
      </c>
      <c r="M647" t="n">
        <v>0</v>
      </c>
      <c r="N647" t="n">
        <v>0</v>
      </c>
      <c r="O647" t="n">
        <v>0</v>
      </c>
      <c r="P647" t="n">
        <v>0</v>
      </c>
      <c r="Q647" t="n">
        <v>0</v>
      </c>
      <c r="R647" s="2" t="inlineStr"/>
    </row>
    <row r="648" ht="15" customHeight="1">
      <c r="A648" t="inlineStr">
        <is>
          <t>A 23835-2025</t>
        </is>
      </c>
      <c r="B648" s="1" t="n">
        <v>45793.61047453704</v>
      </c>
      <c r="C648" s="1" t="n">
        <v>45972</v>
      </c>
      <c r="D648" t="inlineStr">
        <is>
          <t>ÖREBRO LÄN</t>
        </is>
      </c>
      <c r="E648" t="inlineStr">
        <is>
          <t>LINDESBERG</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24017-2025</t>
        </is>
      </c>
      <c r="B649" s="1" t="n">
        <v>45796.44885416667</v>
      </c>
      <c r="C649" s="1" t="n">
        <v>45972</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24107-2025</t>
        </is>
      </c>
      <c r="B650" s="1" t="n">
        <v>45796</v>
      </c>
      <c r="C650" s="1" t="n">
        <v>45972</v>
      </c>
      <c r="D650" t="inlineStr">
        <is>
          <t>ÖREBRO LÄN</t>
        </is>
      </c>
      <c r="E650" t="inlineStr">
        <is>
          <t>LINDESBERG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50086-2025</t>
        </is>
      </c>
      <c r="B651" s="1" t="n">
        <v>45943.47649305555</v>
      </c>
      <c r="C651" s="1" t="n">
        <v>45972</v>
      </c>
      <c r="D651" t="inlineStr">
        <is>
          <t>ÖREBRO LÄN</t>
        </is>
      </c>
      <c r="E651" t="inlineStr">
        <is>
          <t>LINDESBERG</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41653-2025</t>
        </is>
      </c>
      <c r="B652" s="1" t="n">
        <v>45902.3406712963</v>
      </c>
      <c r="C652" s="1" t="n">
        <v>45972</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23932-2025</t>
        </is>
      </c>
      <c r="B653" s="1" t="n">
        <v>45795.70912037037</v>
      </c>
      <c r="C653" s="1" t="n">
        <v>45972</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41948-2023</t>
        </is>
      </c>
      <c r="B654" s="1" t="n">
        <v>45177.33091435185</v>
      </c>
      <c r="C654" s="1" t="n">
        <v>45972</v>
      </c>
      <c r="D654" t="inlineStr">
        <is>
          <t>ÖREBRO LÄN</t>
        </is>
      </c>
      <c r="E654" t="inlineStr">
        <is>
          <t>LINDESBERG</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24011-2025</t>
        </is>
      </c>
      <c r="B655" s="1" t="n">
        <v>45796</v>
      </c>
      <c r="C655" s="1" t="n">
        <v>45972</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24020-2025</t>
        </is>
      </c>
      <c r="B656" s="1" t="n">
        <v>45796.45054398148</v>
      </c>
      <c r="C656" s="1" t="n">
        <v>45972</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23897-2025</t>
        </is>
      </c>
      <c r="B657" s="1" t="n">
        <v>45794.33498842592</v>
      </c>
      <c r="C657" s="1" t="n">
        <v>45972</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41340-2025</t>
        </is>
      </c>
      <c r="B658" s="1" t="n">
        <v>45899.38057870371</v>
      </c>
      <c r="C658" s="1" t="n">
        <v>45972</v>
      </c>
      <c r="D658" t="inlineStr">
        <is>
          <t>ÖREBRO LÄN</t>
        </is>
      </c>
      <c r="E658" t="inlineStr">
        <is>
          <t>LINDESBERG</t>
        </is>
      </c>
      <c r="G658" t="n">
        <v>16.5</v>
      </c>
      <c r="H658" t="n">
        <v>0</v>
      </c>
      <c r="I658" t="n">
        <v>0</v>
      </c>
      <c r="J658" t="n">
        <v>0</v>
      </c>
      <c r="K658" t="n">
        <v>0</v>
      </c>
      <c r="L658" t="n">
        <v>0</v>
      </c>
      <c r="M658" t="n">
        <v>0</v>
      </c>
      <c r="N658" t="n">
        <v>0</v>
      </c>
      <c r="O658" t="n">
        <v>0</v>
      </c>
      <c r="P658" t="n">
        <v>0</v>
      </c>
      <c r="Q658" t="n">
        <v>0</v>
      </c>
      <c r="R658" s="2" t="inlineStr"/>
    </row>
    <row r="659" ht="15" customHeight="1">
      <c r="A659" t="inlineStr">
        <is>
          <t>A 23898-2025</t>
        </is>
      </c>
      <c r="B659" s="1" t="n">
        <v>45794.3419212963</v>
      </c>
      <c r="C659" s="1" t="n">
        <v>45972</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23933-2025</t>
        </is>
      </c>
      <c r="B660" s="1" t="n">
        <v>45795.71300925926</v>
      </c>
      <c r="C660" s="1" t="n">
        <v>45972</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67016-2021</t>
        </is>
      </c>
      <c r="B661" s="1" t="n">
        <v>44522</v>
      </c>
      <c r="C661" s="1" t="n">
        <v>45972</v>
      </c>
      <c r="D661" t="inlineStr">
        <is>
          <t>ÖREBRO LÄN</t>
        </is>
      </c>
      <c r="E661" t="inlineStr">
        <is>
          <t>LINDESBERG</t>
        </is>
      </c>
      <c r="G661" t="n">
        <v>8</v>
      </c>
      <c r="H661" t="n">
        <v>0</v>
      </c>
      <c r="I661" t="n">
        <v>0</v>
      </c>
      <c r="J661" t="n">
        <v>0</v>
      </c>
      <c r="K661" t="n">
        <v>0</v>
      </c>
      <c r="L661" t="n">
        <v>0</v>
      </c>
      <c r="M661" t="n">
        <v>0</v>
      </c>
      <c r="N661" t="n">
        <v>0</v>
      </c>
      <c r="O661" t="n">
        <v>0</v>
      </c>
      <c r="P661" t="n">
        <v>0</v>
      </c>
      <c r="Q661" t="n">
        <v>0</v>
      </c>
      <c r="R661" s="2" t="inlineStr"/>
    </row>
    <row r="662" ht="15" customHeight="1">
      <c r="A662" t="inlineStr">
        <is>
          <t>A 23934-2025</t>
        </is>
      </c>
      <c r="B662" s="1" t="n">
        <v>45795.71547453704</v>
      </c>
      <c r="C662" s="1" t="n">
        <v>45972</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45972</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57944-2023</t>
        </is>
      </c>
      <c r="B664" s="1" t="n">
        <v>45244</v>
      </c>
      <c r="C664" s="1" t="n">
        <v>45972</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19960-2023</t>
        </is>
      </c>
      <c r="B665" s="1" t="n">
        <v>45054</v>
      </c>
      <c r="C665" s="1" t="n">
        <v>45972</v>
      </c>
      <c r="D665" t="inlineStr">
        <is>
          <t>ÖREBRO LÄN</t>
        </is>
      </c>
      <c r="E665" t="inlineStr">
        <is>
          <t>LINDESBERG</t>
        </is>
      </c>
      <c r="G665" t="n">
        <v>6.2</v>
      </c>
      <c r="H665" t="n">
        <v>0</v>
      </c>
      <c r="I665" t="n">
        <v>0</v>
      </c>
      <c r="J665" t="n">
        <v>0</v>
      </c>
      <c r="K665" t="n">
        <v>0</v>
      </c>
      <c r="L665" t="n">
        <v>0</v>
      </c>
      <c r="M665" t="n">
        <v>0</v>
      </c>
      <c r="N665" t="n">
        <v>0</v>
      </c>
      <c r="O665" t="n">
        <v>0</v>
      </c>
      <c r="P665" t="n">
        <v>0</v>
      </c>
      <c r="Q665" t="n">
        <v>0</v>
      </c>
      <c r="R665" s="2" t="inlineStr"/>
    </row>
    <row r="666" ht="15" customHeight="1">
      <c r="A666" t="inlineStr">
        <is>
          <t>A 24043-2024</t>
        </is>
      </c>
      <c r="B666" s="1" t="n">
        <v>45456.48927083334</v>
      </c>
      <c r="C666" s="1" t="n">
        <v>45972</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23844-2025</t>
        </is>
      </c>
      <c r="B667" s="1" t="n">
        <v>45793.62422453704</v>
      </c>
      <c r="C667" s="1" t="n">
        <v>45972</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50972-2023</t>
        </is>
      </c>
      <c r="B668" s="1" t="n">
        <v>45218</v>
      </c>
      <c r="C668" s="1" t="n">
        <v>45972</v>
      </c>
      <c r="D668" t="inlineStr">
        <is>
          <t>ÖREBRO LÄN</t>
        </is>
      </c>
      <c r="E668" t="inlineStr">
        <is>
          <t>LINDESBERG</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50072-2025</t>
        </is>
      </c>
      <c r="B669" s="1" t="n">
        <v>45943.45966435185</v>
      </c>
      <c r="C669" s="1" t="n">
        <v>45972</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12250-2025</t>
        </is>
      </c>
      <c r="B670" s="1" t="n">
        <v>45729.60775462963</v>
      </c>
      <c r="C670" s="1" t="n">
        <v>45972</v>
      </c>
      <c r="D670" t="inlineStr">
        <is>
          <t>ÖREBRO LÄN</t>
        </is>
      </c>
      <c r="E670" t="inlineStr">
        <is>
          <t>LINDESBERG</t>
        </is>
      </c>
      <c r="G670" t="n">
        <v>3.4</v>
      </c>
      <c r="H670" t="n">
        <v>0</v>
      </c>
      <c r="I670" t="n">
        <v>0</v>
      </c>
      <c r="J670" t="n">
        <v>0</v>
      </c>
      <c r="K670" t="n">
        <v>0</v>
      </c>
      <c r="L670" t="n">
        <v>0</v>
      </c>
      <c r="M670" t="n">
        <v>0</v>
      </c>
      <c r="N670" t="n">
        <v>0</v>
      </c>
      <c r="O670" t="n">
        <v>0</v>
      </c>
      <c r="P670" t="n">
        <v>0</v>
      </c>
      <c r="Q670" t="n">
        <v>0</v>
      </c>
      <c r="R670" s="2" t="inlineStr"/>
    </row>
    <row r="671" ht="15" customHeight="1">
      <c r="A671" t="inlineStr">
        <is>
          <t>A 48231-2024</t>
        </is>
      </c>
      <c r="B671" s="1" t="n">
        <v>45590.37590277778</v>
      </c>
      <c r="C671" s="1" t="n">
        <v>45972</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50073-2025</t>
        </is>
      </c>
      <c r="B672" s="1" t="n">
        <v>45943.4603125</v>
      </c>
      <c r="C672" s="1" t="n">
        <v>45972</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37125-2023</t>
        </is>
      </c>
      <c r="B673" s="1" t="n">
        <v>45155.5653125</v>
      </c>
      <c r="C673" s="1" t="n">
        <v>45972</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24186-2024</t>
        </is>
      </c>
      <c r="B674" s="1" t="n">
        <v>45456.90869212963</v>
      </c>
      <c r="C674" s="1" t="n">
        <v>45972</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41889-2025</t>
        </is>
      </c>
      <c r="B675" s="1" t="n">
        <v>45903.37475694445</v>
      </c>
      <c r="C675" s="1" t="n">
        <v>45972</v>
      </c>
      <c r="D675" t="inlineStr">
        <is>
          <t>ÖREBRO LÄN</t>
        </is>
      </c>
      <c r="E675" t="inlineStr">
        <is>
          <t>LINDESBERG</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16919-2024</t>
        </is>
      </c>
      <c r="B676" s="1" t="n">
        <v>45411.65641203704</v>
      </c>
      <c r="C676" s="1" t="n">
        <v>45972</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33507-2023</t>
        </is>
      </c>
      <c r="B677" s="1" t="n">
        <v>45131</v>
      </c>
      <c r="C677" s="1" t="n">
        <v>45972</v>
      </c>
      <c r="D677" t="inlineStr">
        <is>
          <t>ÖREBRO LÄN</t>
        </is>
      </c>
      <c r="E677" t="inlineStr">
        <is>
          <t>LINDESBERG</t>
        </is>
      </c>
      <c r="G677" t="n">
        <v>3.2</v>
      </c>
      <c r="H677" t="n">
        <v>0</v>
      </c>
      <c r="I677" t="n">
        <v>0</v>
      </c>
      <c r="J677" t="n">
        <v>0</v>
      </c>
      <c r="K677" t="n">
        <v>0</v>
      </c>
      <c r="L677" t="n">
        <v>0</v>
      </c>
      <c r="M677" t="n">
        <v>0</v>
      </c>
      <c r="N677" t="n">
        <v>0</v>
      </c>
      <c r="O677" t="n">
        <v>0</v>
      </c>
      <c r="P677" t="n">
        <v>0</v>
      </c>
      <c r="Q677" t="n">
        <v>0</v>
      </c>
      <c r="R677" s="2" t="inlineStr"/>
    </row>
    <row r="678" ht="15" customHeight="1">
      <c r="A678" t="inlineStr">
        <is>
          <t>A 2406-2024</t>
        </is>
      </c>
      <c r="B678" s="1" t="n">
        <v>45310</v>
      </c>
      <c r="C678" s="1" t="n">
        <v>45972</v>
      </c>
      <c r="D678" t="inlineStr">
        <is>
          <t>ÖREBRO LÄN</t>
        </is>
      </c>
      <c r="E678" t="inlineStr">
        <is>
          <t>LINDESBERG</t>
        </is>
      </c>
      <c r="G678" t="n">
        <v>16.1</v>
      </c>
      <c r="H678" t="n">
        <v>0</v>
      </c>
      <c r="I678" t="n">
        <v>0</v>
      </c>
      <c r="J678" t="n">
        <v>0</v>
      </c>
      <c r="K678" t="n">
        <v>0</v>
      </c>
      <c r="L678" t="n">
        <v>0</v>
      </c>
      <c r="M678" t="n">
        <v>0</v>
      </c>
      <c r="N678" t="n">
        <v>0</v>
      </c>
      <c r="O678" t="n">
        <v>0</v>
      </c>
      <c r="P678" t="n">
        <v>0</v>
      </c>
      <c r="Q678" t="n">
        <v>0</v>
      </c>
      <c r="R678" s="2" t="inlineStr"/>
    </row>
    <row r="679" ht="15" customHeight="1">
      <c r="A679" t="inlineStr">
        <is>
          <t>A 17895-2022</t>
        </is>
      </c>
      <c r="B679" s="1" t="n">
        <v>44683</v>
      </c>
      <c r="C679" s="1" t="n">
        <v>45972</v>
      </c>
      <c r="D679" t="inlineStr">
        <is>
          <t>ÖREBRO LÄN</t>
        </is>
      </c>
      <c r="E679" t="inlineStr">
        <is>
          <t>LINDESBERG</t>
        </is>
      </c>
      <c r="G679" t="n">
        <v>1.3</v>
      </c>
      <c r="H679" t="n">
        <v>0</v>
      </c>
      <c r="I679" t="n">
        <v>0</v>
      </c>
      <c r="J679" t="n">
        <v>0</v>
      </c>
      <c r="K679" t="n">
        <v>0</v>
      </c>
      <c r="L679" t="n">
        <v>0</v>
      </c>
      <c r="M679" t="n">
        <v>0</v>
      </c>
      <c r="N679" t="n">
        <v>0</v>
      </c>
      <c r="O679" t="n">
        <v>0</v>
      </c>
      <c r="P679" t="n">
        <v>0</v>
      </c>
      <c r="Q679" t="n">
        <v>0</v>
      </c>
      <c r="R679" s="2" t="inlineStr"/>
    </row>
    <row r="680" ht="15" customHeight="1">
      <c r="A680" t="inlineStr">
        <is>
          <t>A 1395-2025</t>
        </is>
      </c>
      <c r="B680" s="1" t="n">
        <v>45667</v>
      </c>
      <c r="C680" s="1" t="n">
        <v>45972</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52928-2024</t>
        </is>
      </c>
      <c r="B681" s="1" t="n">
        <v>45610</v>
      </c>
      <c r="C681" s="1" t="n">
        <v>45972</v>
      </c>
      <c r="D681" t="inlineStr">
        <is>
          <t>ÖREBRO LÄN</t>
        </is>
      </c>
      <c r="E681" t="inlineStr">
        <is>
          <t>LINDESBERG</t>
        </is>
      </c>
      <c r="G681" t="n">
        <v>8.6</v>
      </c>
      <c r="H681" t="n">
        <v>0</v>
      </c>
      <c r="I681" t="n">
        <v>0</v>
      </c>
      <c r="J681" t="n">
        <v>0</v>
      </c>
      <c r="K681" t="n">
        <v>0</v>
      </c>
      <c r="L681" t="n">
        <v>0</v>
      </c>
      <c r="M681" t="n">
        <v>0</v>
      </c>
      <c r="N681" t="n">
        <v>0</v>
      </c>
      <c r="O681" t="n">
        <v>0</v>
      </c>
      <c r="P681" t="n">
        <v>0</v>
      </c>
      <c r="Q681" t="n">
        <v>0</v>
      </c>
      <c r="R681" s="2" t="inlineStr"/>
    </row>
    <row r="682" ht="15" customHeight="1">
      <c r="A682" t="inlineStr">
        <is>
          <t>A 33716-2021</t>
        </is>
      </c>
      <c r="B682" s="1" t="n">
        <v>44378.46857638889</v>
      </c>
      <c r="C682" s="1" t="n">
        <v>45972</v>
      </c>
      <c r="D682" t="inlineStr">
        <is>
          <t>ÖREBRO LÄN</t>
        </is>
      </c>
      <c r="E682" t="inlineStr">
        <is>
          <t>LINDESBERG</t>
        </is>
      </c>
      <c r="G682" t="n">
        <v>4.6</v>
      </c>
      <c r="H682" t="n">
        <v>0</v>
      </c>
      <c r="I682" t="n">
        <v>0</v>
      </c>
      <c r="J682" t="n">
        <v>0</v>
      </c>
      <c r="K682" t="n">
        <v>0</v>
      </c>
      <c r="L682" t="n">
        <v>0</v>
      </c>
      <c r="M682" t="n">
        <v>0</v>
      </c>
      <c r="N682" t="n">
        <v>0</v>
      </c>
      <c r="O682" t="n">
        <v>0</v>
      </c>
      <c r="P682" t="n">
        <v>0</v>
      </c>
      <c r="Q682" t="n">
        <v>0</v>
      </c>
      <c r="R682" s="2" t="inlineStr"/>
    </row>
    <row r="683" ht="15" customHeight="1">
      <c r="A683" t="inlineStr">
        <is>
          <t>A 40970-2023</t>
        </is>
      </c>
      <c r="B683" s="1" t="n">
        <v>45173</v>
      </c>
      <c r="C683" s="1" t="n">
        <v>45972</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25842-2025</t>
        </is>
      </c>
      <c r="B684" s="1" t="n">
        <v>45804.45474537037</v>
      </c>
      <c r="C684" s="1" t="n">
        <v>45972</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50765-2025</t>
        </is>
      </c>
      <c r="B685" s="1" t="n">
        <v>45946.44216435185</v>
      </c>
      <c r="C685" s="1" t="n">
        <v>45972</v>
      </c>
      <c r="D685" t="inlineStr">
        <is>
          <t>ÖREBRO LÄN</t>
        </is>
      </c>
      <c r="E685" t="inlineStr">
        <is>
          <t>LINDESBERG</t>
        </is>
      </c>
      <c r="F685" t="inlineStr">
        <is>
          <t>Sveaskog</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25643-2025</t>
        </is>
      </c>
      <c r="B686" s="1" t="n">
        <v>45803</v>
      </c>
      <c r="C686" s="1" t="n">
        <v>45972</v>
      </c>
      <c r="D686" t="inlineStr">
        <is>
          <t>ÖREBRO LÄN</t>
        </is>
      </c>
      <c r="E686" t="inlineStr">
        <is>
          <t>LINDESBERG</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50933-2025</t>
        </is>
      </c>
      <c r="B687" s="1" t="n">
        <v>45946.68859953704</v>
      </c>
      <c r="C687" s="1" t="n">
        <v>45972</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50936-2025</t>
        </is>
      </c>
      <c r="B688" s="1" t="n">
        <v>45946.69616898148</v>
      </c>
      <c r="C688" s="1" t="n">
        <v>45972</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25843-2025</t>
        </is>
      </c>
      <c r="B689" s="1" t="n">
        <v>45804.45584490741</v>
      </c>
      <c r="C689" s="1" t="n">
        <v>45972</v>
      </c>
      <c r="D689" t="inlineStr">
        <is>
          <t>ÖREBRO LÄN</t>
        </is>
      </c>
      <c r="E689" t="inlineStr">
        <is>
          <t>LINDESBERG</t>
        </is>
      </c>
      <c r="G689" t="n">
        <v>4.6</v>
      </c>
      <c r="H689" t="n">
        <v>0</v>
      </c>
      <c r="I689" t="n">
        <v>0</v>
      </c>
      <c r="J689" t="n">
        <v>0</v>
      </c>
      <c r="K689" t="n">
        <v>0</v>
      </c>
      <c r="L689" t="n">
        <v>0</v>
      </c>
      <c r="M689" t="n">
        <v>0</v>
      </c>
      <c r="N689" t="n">
        <v>0</v>
      </c>
      <c r="O689" t="n">
        <v>0</v>
      </c>
      <c r="P689" t="n">
        <v>0</v>
      </c>
      <c r="Q689" t="n">
        <v>0</v>
      </c>
      <c r="R689" s="2" t="inlineStr"/>
    </row>
    <row r="690" ht="15" customHeight="1">
      <c r="A690" t="inlineStr">
        <is>
          <t>A 26016-2025</t>
        </is>
      </c>
      <c r="B690" s="1" t="n">
        <v>45804.67795138889</v>
      </c>
      <c r="C690" s="1" t="n">
        <v>45972</v>
      </c>
      <c r="D690" t="inlineStr">
        <is>
          <t>ÖREBRO LÄN</t>
        </is>
      </c>
      <c r="E690" t="inlineStr">
        <is>
          <t>LINDESBERG</t>
        </is>
      </c>
      <c r="G690" t="n">
        <v>10</v>
      </c>
      <c r="H690" t="n">
        <v>0</v>
      </c>
      <c r="I690" t="n">
        <v>0</v>
      </c>
      <c r="J690" t="n">
        <v>0</v>
      </c>
      <c r="K690" t="n">
        <v>0</v>
      </c>
      <c r="L690" t="n">
        <v>0</v>
      </c>
      <c r="M690" t="n">
        <v>0</v>
      </c>
      <c r="N690" t="n">
        <v>0</v>
      </c>
      <c r="O690" t="n">
        <v>0</v>
      </c>
      <c r="P690" t="n">
        <v>0</v>
      </c>
      <c r="Q690" t="n">
        <v>0</v>
      </c>
      <c r="R690" s="2" t="inlineStr"/>
    </row>
    <row r="691" ht="15" customHeight="1">
      <c r="A691" t="inlineStr">
        <is>
          <t>A 13729-2025</t>
        </is>
      </c>
      <c r="B691" s="1" t="n">
        <v>45737.3846412037</v>
      </c>
      <c r="C691" s="1" t="n">
        <v>45972</v>
      </c>
      <c r="D691" t="inlineStr">
        <is>
          <t>ÖREBRO LÄN</t>
        </is>
      </c>
      <c r="E691" t="inlineStr">
        <is>
          <t>LINDESBERG</t>
        </is>
      </c>
      <c r="F691" t="inlineStr">
        <is>
          <t>Sveaskog</t>
        </is>
      </c>
      <c r="G691" t="n">
        <v>5.4</v>
      </c>
      <c r="H691" t="n">
        <v>0</v>
      </c>
      <c r="I691" t="n">
        <v>0</v>
      </c>
      <c r="J691" t="n">
        <v>0</v>
      </c>
      <c r="K691" t="n">
        <v>0</v>
      </c>
      <c r="L691" t="n">
        <v>0</v>
      </c>
      <c r="M691" t="n">
        <v>0</v>
      </c>
      <c r="N691" t="n">
        <v>0</v>
      </c>
      <c r="O691" t="n">
        <v>0</v>
      </c>
      <c r="P691" t="n">
        <v>0</v>
      </c>
      <c r="Q691" t="n">
        <v>0</v>
      </c>
      <c r="R691" s="2" t="inlineStr"/>
    </row>
    <row r="692" ht="15" customHeight="1">
      <c r="A692" t="inlineStr">
        <is>
          <t>A 60492-2024</t>
        </is>
      </c>
      <c r="B692" s="1" t="n">
        <v>45642</v>
      </c>
      <c r="C692" s="1" t="n">
        <v>45972</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40117-2023</t>
        </is>
      </c>
      <c r="B693" s="1" t="n">
        <v>45168.94197916667</v>
      </c>
      <c r="C693" s="1" t="n">
        <v>45972</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42630-2025</t>
        </is>
      </c>
      <c r="B694" s="1" t="n">
        <v>45905.89143518519</v>
      </c>
      <c r="C694" s="1" t="n">
        <v>45972</v>
      </c>
      <c r="D694" t="inlineStr">
        <is>
          <t>ÖREBRO LÄN</t>
        </is>
      </c>
      <c r="E694" t="inlineStr">
        <is>
          <t>LINDESBERG</t>
        </is>
      </c>
      <c r="F694" t="inlineStr">
        <is>
          <t>Sveaskog</t>
        </is>
      </c>
      <c r="G694" t="n">
        <v>9.9</v>
      </c>
      <c r="H694" t="n">
        <v>0</v>
      </c>
      <c r="I694" t="n">
        <v>0</v>
      </c>
      <c r="J694" t="n">
        <v>0</v>
      </c>
      <c r="K694" t="n">
        <v>0</v>
      </c>
      <c r="L694" t="n">
        <v>0</v>
      </c>
      <c r="M694" t="n">
        <v>0</v>
      </c>
      <c r="N694" t="n">
        <v>0</v>
      </c>
      <c r="O694" t="n">
        <v>0</v>
      </c>
      <c r="P694" t="n">
        <v>0</v>
      </c>
      <c r="Q694" t="n">
        <v>0</v>
      </c>
      <c r="R694" s="2" t="inlineStr"/>
    </row>
    <row r="695" ht="15" customHeight="1">
      <c r="A695" t="inlineStr">
        <is>
          <t>A 51030-2025</t>
        </is>
      </c>
      <c r="B695" s="1" t="n">
        <v>45947.40105324074</v>
      </c>
      <c r="C695" s="1" t="n">
        <v>45972</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11366-2024</t>
        </is>
      </c>
      <c r="B696" s="1" t="n">
        <v>45372.40246527778</v>
      </c>
      <c r="C696" s="1" t="n">
        <v>45972</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51172-2025</t>
        </is>
      </c>
      <c r="B697" s="1" t="n">
        <v>45947.60508101852</v>
      </c>
      <c r="C697" s="1" t="n">
        <v>45972</v>
      </c>
      <c r="D697" t="inlineStr">
        <is>
          <t>ÖREBRO LÄN</t>
        </is>
      </c>
      <c r="E697" t="inlineStr">
        <is>
          <t>LINDESBERG</t>
        </is>
      </c>
      <c r="F697" t="inlineStr">
        <is>
          <t>Kyrkan</t>
        </is>
      </c>
      <c r="G697" t="n">
        <v>0.9</v>
      </c>
      <c r="H697" t="n">
        <v>0</v>
      </c>
      <c r="I697" t="n">
        <v>0</v>
      </c>
      <c r="J697" t="n">
        <v>0</v>
      </c>
      <c r="K697" t="n">
        <v>0</v>
      </c>
      <c r="L697" t="n">
        <v>0</v>
      </c>
      <c r="M697" t="n">
        <v>0</v>
      </c>
      <c r="N697" t="n">
        <v>0</v>
      </c>
      <c r="O697" t="n">
        <v>0</v>
      </c>
      <c r="P697" t="n">
        <v>0</v>
      </c>
      <c r="Q697" t="n">
        <v>0</v>
      </c>
      <c r="R697" s="2" t="inlineStr"/>
    </row>
    <row r="698" ht="15" customHeight="1">
      <c r="A698" t="inlineStr">
        <is>
          <t>A 42631-2025</t>
        </is>
      </c>
      <c r="B698" s="1" t="n">
        <v>45905.89236111111</v>
      </c>
      <c r="C698" s="1" t="n">
        <v>45972</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42632-2025</t>
        </is>
      </c>
      <c r="B699" s="1" t="n">
        <v>45905.89329861111</v>
      </c>
      <c r="C699" s="1" t="n">
        <v>45972</v>
      </c>
      <c r="D699" t="inlineStr">
        <is>
          <t>ÖREBRO LÄN</t>
        </is>
      </c>
      <c r="E699" t="inlineStr">
        <is>
          <t>LINDESBERG</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60943-2024</t>
        </is>
      </c>
      <c r="B700" s="1" t="n">
        <v>45645.3737962963</v>
      </c>
      <c r="C700" s="1" t="n">
        <v>45972</v>
      </c>
      <c r="D700" t="inlineStr">
        <is>
          <t>ÖREBRO LÄN</t>
        </is>
      </c>
      <c r="E700" t="inlineStr">
        <is>
          <t>LINDESBERG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51186-2025</t>
        </is>
      </c>
      <c r="B701" s="1" t="n">
        <v>45947.62353009259</v>
      </c>
      <c r="C701" s="1" t="n">
        <v>45972</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56912-2024</t>
        </is>
      </c>
      <c r="B702" s="1" t="n">
        <v>45628.59233796296</v>
      </c>
      <c r="C702" s="1" t="n">
        <v>45972</v>
      </c>
      <c r="D702" t="inlineStr">
        <is>
          <t>ÖREBRO LÄN</t>
        </is>
      </c>
      <c r="E702" t="inlineStr">
        <is>
          <t>LINDESBERG</t>
        </is>
      </c>
      <c r="G702" t="n">
        <v>1</v>
      </c>
      <c r="H702" t="n">
        <v>0</v>
      </c>
      <c r="I702" t="n">
        <v>0</v>
      </c>
      <c r="J702" t="n">
        <v>0</v>
      </c>
      <c r="K702" t="n">
        <v>0</v>
      </c>
      <c r="L702" t="n">
        <v>0</v>
      </c>
      <c r="M702" t="n">
        <v>0</v>
      </c>
      <c r="N702" t="n">
        <v>0</v>
      </c>
      <c r="O702" t="n">
        <v>0</v>
      </c>
      <c r="P702" t="n">
        <v>0</v>
      </c>
      <c r="Q702" t="n">
        <v>0</v>
      </c>
      <c r="R702" s="2" t="inlineStr"/>
    </row>
    <row r="703" ht="15" customHeight="1">
      <c r="A703" t="inlineStr">
        <is>
          <t>A 27309-2025</t>
        </is>
      </c>
      <c r="B703" s="1" t="n">
        <v>45812.57452546297</v>
      </c>
      <c r="C703" s="1" t="n">
        <v>45972</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27311-2025</t>
        </is>
      </c>
      <c r="B704" s="1" t="n">
        <v>45812.57604166667</v>
      </c>
      <c r="C704" s="1" t="n">
        <v>45972</v>
      </c>
      <c r="D704" t="inlineStr">
        <is>
          <t>ÖREBRO LÄN</t>
        </is>
      </c>
      <c r="E704" t="inlineStr">
        <is>
          <t>LINDESBERG</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27300-2025</t>
        </is>
      </c>
      <c r="B705" s="1" t="n">
        <v>45812.57143518519</v>
      </c>
      <c r="C705" s="1" t="n">
        <v>45972</v>
      </c>
      <c r="D705" t="inlineStr">
        <is>
          <t>ÖREBRO LÄN</t>
        </is>
      </c>
      <c r="E705" t="inlineStr">
        <is>
          <t>LINDESBERG</t>
        </is>
      </c>
      <c r="F705" t="inlineStr">
        <is>
          <t>Sveaskog</t>
        </is>
      </c>
      <c r="G705" t="n">
        <v>19.7</v>
      </c>
      <c r="H705" t="n">
        <v>0</v>
      </c>
      <c r="I705" t="n">
        <v>0</v>
      </c>
      <c r="J705" t="n">
        <v>0</v>
      </c>
      <c r="K705" t="n">
        <v>0</v>
      </c>
      <c r="L705" t="n">
        <v>0</v>
      </c>
      <c r="M705" t="n">
        <v>0</v>
      </c>
      <c r="N705" t="n">
        <v>0</v>
      </c>
      <c r="O705" t="n">
        <v>0</v>
      </c>
      <c r="P705" t="n">
        <v>0</v>
      </c>
      <c r="Q705" t="n">
        <v>0</v>
      </c>
      <c r="R705" s="2" t="inlineStr"/>
    </row>
    <row r="706" ht="15" customHeight="1">
      <c r="A706" t="inlineStr">
        <is>
          <t>A 37843-2025</t>
        </is>
      </c>
      <c r="B706" s="1" t="n">
        <v>45881.43759259259</v>
      </c>
      <c r="C706" s="1" t="n">
        <v>45972</v>
      </c>
      <c r="D706" t="inlineStr">
        <is>
          <t>ÖREBRO LÄN</t>
        </is>
      </c>
      <c r="E706" t="inlineStr">
        <is>
          <t>LINDESBERG</t>
        </is>
      </c>
      <c r="G706" t="n">
        <v>5.2</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45972</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27296-2025</t>
        </is>
      </c>
      <c r="B708" s="1" t="n">
        <v>45812.56952546296</v>
      </c>
      <c r="C708" s="1" t="n">
        <v>45972</v>
      </c>
      <c r="D708" t="inlineStr">
        <is>
          <t>ÖREBRO LÄN</t>
        </is>
      </c>
      <c r="E708" t="inlineStr">
        <is>
          <t>LINDESBERG</t>
        </is>
      </c>
      <c r="F708" t="inlineStr">
        <is>
          <t>Sveaskog</t>
        </is>
      </c>
      <c r="G708" t="n">
        <v>4.5</v>
      </c>
      <c r="H708" t="n">
        <v>0</v>
      </c>
      <c r="I708" t="n">
        <v>0</v>
      </c>
      <c r="J708" t="n">
        <v>0</v>
      </c>
      <c r="K708" t="n">
        <v>0</v>
      </c>
      <c r="L708" t="n">
        <v>0</v>
      </c>
      <c r="M708" t="n">
        <v>0</v>
      </c>
      <c r="N708" t="n">
        <v>0</v>
      </c>
      <c r="O708" t="n">
        <v>0</v>
      </c>
      <c r="P708" t="n">
        <v>0</v>
      </c>
      <c r="Q708" t="n">
        <v>0</v>
      </c>
      <c r="R708" s="2" t="inlineStr"/>
    </row>
    <row r="709" ht="15" customHeight="1">
      <c r="A709" t="inlineStr">
        <is>
          <t>A 52117-2025</t>
        </is>
      </c>
      <c r="B709" s="1" t="n">
        <v>45952.70765046297</v>
      </c>
      <c r="C709" s="1" t="n">
        <v>45972</v>
      </c>
      <c r="D709" t="inlineStr">
        <is>
          <t>ÖREBRO LÄN</t>
        </is>
      </c>
      <c r="E709" t="inlineStr">
        <is>
          <t>LINDESBERG</t>
        </is>
      </c>
      <c r="G709" t="n">
        <v>4.6</v>
      </c>
      <c r="H709" t="n">
        <v>0</v>
      </c>
      <c r="I709" t="n">
        <v>0</v>
      </c>
      <c r="J709" t="n">
        <v>0</v>
      </c>
      <c r="K709" t="n">
        <v>0</v>
      </c>
      <c r="L709" t="n">
        <v>0</v>
      </c>
      <c r="M709" t="n">
        <v>0</v>
      </c>
      <c r="N709" t="n">
        <v>0</v>
      </c>
      <c r="O709" t="n">
        <v>0</v>
      </c>
      <c r="P709" t="n">
        <v>0</v>
      </c>
      <c r="Q709" t="n">
        <v>0</v>
      </c>
      <c r="R709" s="2" t="inlineStr"/>
    </row>
    <row r="710" ht="15" customHeight="1">
      <c r="A710" t="inlineStr">
        <is>
          <t>A 44010-2023</t>
        </is>
      </c>
      <c r="B710" s="1" t="n">
        <v>45188</v>
      </c>
      <c r="C710" s="1" t="n">
        <v>45972</v>
      </c>
      <c r="D710" t="inlineStr">
        <is>
          <t>ÖREBRO LÄN</t>
        </is>
      </c>
      <c r="E710" t="inlineStr">
        <is>
          <t>LINDESBERG</t>
        </is>
      </c>
      <c r="G710" t="n">
        <v>2.3</v>
      </c>
      <c r="H710" t="n">
        <v>0</v>
      </c>
      <c r="I710" t="n">
        <v>0</v>
      </c>
      <c r="J710" t="n">
        <v>0</v>
      </c>
      <c r="K710" t="n">
        <v>0</v>
      </c>
      <c r="L710" t="n">
        <v>0</v>
      </c>
      <c r="M710" t="n">
        <v>0</v>
      </c>
      <c r="N710" t="n">
        <v>0</v>
      </c>
      <c r="O710" t="n">
        <v>0</v>
      </c>
      <c r="P710" t="n">
        <v>0</v>
      </c>
      <c r="Q710" t="n">
        <v>0</v>
      </c>
      <c r="R710" s="2" t="inlineStr"/>
    </row>
    <row r="711" ht="15" customHeight="1">
      <c r="A711" t="inlineStr">
        <is>
          <t>A 52098-2025</t>
        </is>
      </c>
      <c r="B711" s="1" t="n">
        <v>45952.68001157408</v>
      </c>
      <c r="C711" s="1" t="n">
        <v>45972</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52103-2025</t>
        </is>
      </c>
      <c r="B712" s="1" t="n">
        <v>45952.68439814815</v>
      </c>
      <c r="C712" s="1" t="n">
        <v>45972</v>
      </c>
      <c r="D712" t="inlineStr">
        <is>
          <t>ÖREBRO LÄN</t>
        </is>
      </c>
      <c r="E712" t="inlineStr">
        <is>
          <t>LINDESBERG</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51851-2025</t>
        </is>
      </c>
      <c r="B713" s="1" t="n">
        <v>45952.35611111111</v>
      </c>
      <c r="C713" s="1" t="n">
        <v>45972</v>
      </c>
      <c r="D713" t="inlineStr">
        <is>
          <t>ÖREBRO LÄN</t>
        </is>
      </c>
      <c r="E713" t="inlineStr">
        <is>
          <t>LINDESBERG</t>
        </is>
      </c>
      <c r="G713" t="n">
        <v>6.9</v>
      </c>
      <c r="H713" t="n">
        <v>0</v>
      </c>
      <c r="I713" t="n">
        <v>0</v>
      </c>
      <c r="J713" t="n">
        <v>0</v>
      </c>
      <c r="K713" t="n">
        <v>0</v>
      </c>
      <c r="L713" t="n">
        <v>0</v>
      </c>
      <c r="M713" t="n">
        <v>0</v>
      </c>
      <c r="N713" t="n">
        <v>0</v>
      </c>
      <c r="O713" t="n">
        <v>0</v>
      </c>
      <c r="P713" t="n">
        <v>0</v>
      </c>
      <c r="Q713" t="n">
        <v>0</v>
      </c>
      <c r="R713" s="2" t="inlineStr"/>
    </row>
    <row r="714" ht="15" customHeight="1">
      <c r="A714" t="inlineStr">
        <is>
          <t>A 52101-2025</t>
        </is>
      </c>
      <c r="B714" s="1" t="n">
        <v>45952.68271990741</v>
      </c>
      <c r="C714" s="1" t="n">
        <v>45972</v>
      </c>
      <c r="D714" t="inlineStr">
        <is>
          <t>ÖREBRO LÄN</t>
        </is>
      </c>
      <c r="E714" t="inlineStr">
        <is>
          <t>LINDESBERG</t>
        </is>
      </c>
      <c r="F714" t="inlineStr">
        <is>
          <t>Sveaskog</t>
        </is>
      </c>
      <c r="G714" t="n">
        <v>10.9</v>
      </c>
      <c r="H714" t="n">
        <v>0</v>
      </c>
      <c r="I714" t="n">
        <v>0</v>
      </c>
      <c r="J714" t="n">
        <v>0</v>
      </c>
      <c r="K714" t="n">
        <v>0</v>
      </c>
      <c r="L714" t="n">
        <v>0</v>
      </c>
      <c r="M714" t="n">
        <v>0</v>
      </c>
      <c r="N714" t="n">
        <v>0</v>
      </c>
      <c r="O714" t="n">
        <v>0</v>
      </c>
      <c r="P714" t="n">
        <v>0</v>
      </c>
      <c r="Q714" t="n">
        <v>0</v>
      </c>
      <c r="R714" s="2" t="inlineStr"/>
    </row>
    <row r="715" ht="15" customHeight="1">
      <c r="A715" t="inlineStr">
        <is>
          <t>A 52104-2025</t>
        </is>
      </c>
      <c r="B715" s="1" t="n">
        <v>45952.68524305556</v>
      </c>
      <c r="C715" s="1" t="n">
        <v>45972</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52102-2025</t>
        </is>
      </c>
      <c r="B716" s="1" t="n">
        <v>45952.68358796297</v>
      </c>
      <c r="C716" s="1" t="n">
        <v>45972</v>
      </c>
      <c r="D716" t="inlineStr">
        <is>
          <t>ÖREBRO LÄN</t>
        </is>
      </c>
      <c r="E716" t="inlineStr">
        <is>
          <t>LINDESBERG</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52298-2025</t>
        </is>
      </c>
      <c r="B717" s="1" t="n">
        <v>45953.61387731481</v>
      </c>
      <c r="C717" s="1" t="n">
        <v>45972</v>
      </c>
      <c r="D717" t="inlineStr">
        <is>
          <t>ÖREBRO LÄN</t>
        </is>
      </c>
      <c r="E717" t="inlineStr">
        <is>
          <t>LINDESBERG</t>
        </is>
      </c>
      <c r="G717" t="n">
        <v>18.2</v>
      </c>
      <c r="H717" t="n">
        <v>0</v>
      </c>
      <c r="I717" t="n">
        <v>0</v>
      </c>
      <c r="J717" t="n">
        <v>0</v>
      </c>
      <c r="K717" t="n">
        <v>0</v>
      </c>
      <c r="L717" t="n">
        <v>0</v>
      </c>
      <c r="M717" t="n">
        <v>0</v>
      </c>
      <c r="N717" t="n">
        <v>0</v>
      </c>
      <c r="O717" t="n">
        <v>0</v>
      </c>
      <c r="P717" t="n">
        <v>0</v>
      </c>
      <c r="Q717" t="n">
        <v>0</v>
      </c>
      <c r="R717" s="2" t="inlineStr"/>
    </row>
    <row r="718" ht="15" customHeight="1">
      <c r="A718" t="inlineStr">
        <is>
          <t>A 52402-2025</t>
        </is>
      </c>
      <c r="B718" s="1" t="n">
        <v>45954.35387731482</v>
      </c>
      <c r="C718" s="1" t="n">
        <v>45972</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2107-2022</t>
        </is>
      </c>
      <c r="B719" s="1" t="n">
        <v>44577.83484953704</v>
      </c>
      <c r="C719" s="1" t="n">
        <v>45972</v>
      </c>
      <c r="D719" t="inlineStr">
        <is>
          <t>ÖREBRO LÄN</t>
        </is>
      </c>
      <c r="E719" t="inlineStr">
        <is>
          <t>LINDESBERG</t>
        </is>
      </c>
      <c r="G719" t="n">
        <v>2.9</v>
      </c>
      <c r="H719" t="n">
        <v>0</v>
      </c>
      <c r="I719" t="n">
        <v>0</v>
      </c>
      <c r="J719" t="n">
        <v>0</v>
      </c>
      <c r="K719" t="n">
        <v>0</v>
      </c>
      <c r="L719" t="n">
        <v>0</v>
      </c>
      <c r="M719" t="n">
        <v>0</v>
      </c>
      <c r="N719" t="n">
        <v>0</v>
      </c>
      <c r="O719" t="n">
        <v>0</v>
      </c>
      <c r="P719" t="n">
        <v>0</v>
      </c>
      <c r="Q719" t="n">
        <v>0</v>
      </c>
      <c r="R719" s="2" t="inlineStr"/>
    </row>
    <row r="720" ht="15" customHeight="1">
      <c r="A720" t="inlineStr">
        <is>
          <t>A 16864-2022</t>
        </is>
      </c>
      <c r="B720" s="1" t="n">
        <v>44675</v>
      </c>
      <c r="C720" s="1" t="n">
        <v>45972</v>
      </c>
      <c r="D720" t="inlineStr">
        <is>
          <t>ÖREBRO LÄN</t>
        </is>
      </c>
      <c r="E720" t="inlineStr">
        <is>
          <t>LINDESBERG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32928-2023</t>
        </is>
      </c>
      <c r="B721" s="1" t="n">
        <v>45125.41458333333</v>
      </c>
      <c r="C721" s="1" t="n">
        <v>45972</v>
      </c>
      <c r="D721" t="inlineStr">
        <is>
          <t>ÖREBRO LÄN</t>
        </is>
      </c>
      <c r="E721" t="inlineStr">
        <is>
          <t>LINDESBERG</t>
        </is>
      </c>
      <c r="G721" t="n">
        <v>4.8</v>
      </c>
      <c r="H721" t="n">
        <v>0</v>
      </c>
      <c r="I721" t="n">
        <v>0</v>
      </c>
      <c r="J721" t="n">
        <v>0</v>
      </c>
      <c r="K721" t="n">
        <v>0</v>
      </c>
      <c r="L721" t="n">
        <v>0</v>
      </c>
      <c r="M721" t="n">
        <v>0</v>
      </c>
      <c r="N721" t="n">
        <v>0</v>
      </c>
      <c r="O721" t="n">
        <v>0</v>
      </c>
      <c r="P721" t="n">
        <v>0</v>
      </c>
      <c r="Q721" t="n">
        <v>0</v>
      </c>
      <c r="R721" s="2" t="inlineStr"/>
    </row>
    <row r="722" ht="15" customHeight="1">
      <c r="A722" t="inlineStr">
        <is>
          <t>A 43837-2025</t>
        </is>
      </c>
      <c r="B722" s="1" t="n">
        <v>45912.63451388889</v>
      </c>
      <c r="C722" s="1" t="n">
        <v>45972</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21016-2023</t>
        </is>
      </c>
      <c r="B723" s="1" t="n">
        <v>45061.53414351852</v>
      </c>
      <c r="C723" s="1" t="n">
        <v>45972</v>
      </c>
      <c r="D723" t="inlineStr">
        <is>
          <t>ÖREBRO LÄN</t>
        </is>
      </c>
      <c r="E723" t="inlineStr">
        <is>
          <t>LINDESBERG</t>
        </is>
      </c>
      <c r="G723" t="n">
        <v>8.1</v>
      </c>
      <c r="H723" t="n">
        <v>0</v>
      </c>
      <c r="I723" t="n">
        <v>0</v>
      </c>
      <c r="J723" t="n">
        <v>0</v>
      </c>
      <c r="K723" t="n">
        <v>0</v>
      </c>
      <c r="L723" t="n">
        <v>0</v>
      </c>
      <c r="M723" t="n">
        <v>0</v>
      </c>
      <c r="N723" t="n">
        <v>0</v>
      </c>
      <c r="O723" t="n">
        <v>0</v>
      </c>
      <c r="P723" t="n">
        <v>0</v>
      </c>
      <c r="Q723" t="n">
        <v>0</v>
      </c>
      <c r="R723" s="2" t="inlineStr"/>
    </row>
    <row r="724" ht="15" customHeight="1">
      <c r="A724" t="inlineStr">
        <is>
          <t>A 40306-2022</t>
        </is>
      </c>
      <c r="B724" s="1" t="n">
        <v>44822</v>
      </c>
      <c r="C724" s="1" t="n">
        <v>45972</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28040-2025</t>
        </is>
      </c>
      <c r="B725" s="1" t="n">
        <v>45817.6455324074</v>
      </c>
      <c r="C725" s="1" t="n">
        <v>45972</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43847-2025</t>
        </is>
      </c>
      <c r="B726" s="1" t="n">
        <v>45912.63751157407</v>
      </c>
      <c r="C726" s="1" t="n">
        <v>45972</v>
      </c>
      <c r="D726" t="inlineStr">
        <is>
          <t>ÖREBRO LÄN</t>
        </is>
      </c>
      <c r="E726" t="inlineStr">
        <is>
          <t>LINDESBERG</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28877-2025</t>
        </is>
      </c>
      <c r="B727" s="1" t="n">
        <v>45820.61684027778</v>
      </c>
      <c r="C727" s="1" t="n">
        <v>45972</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27440-2023</t>
        </is>
      </c>
      <c r="B728" s="1" t="n">
        <v>45097.39893518519</v>
      </c>
      <c r="C728" s="1" t="n">
        <v>45972</v>
      </c>
      <c r="D728" t="inlineStr">
        <is>
          <t>ÖREBRO LÄN</t>
        </is>
      </c>
      <c r="E728" t="inlineStr">
        <is>
          <t>LINDESBERG</t>
        </is>
      </c>
      <c r="G728" t="n">
        <v>6.6</v>
      </c>
      <c r="H728" t="n">
        <v>0</v>
      </c>
      <c r="I728" t="n">
        <v>0</v>
      </c>
      <c r="J728" t="n">
        <v>0</v>
      </c>
      <c r="K728" t="n">
        <v>0</v>
      </c>
      <c r="L728" t="n">
        <v>0</v>
      </c>
      <c r="M728" t="n">
        <v>0</v>
      </c>
      <c r="N728" t="n">
        <v>0</v>
      </c>
      <c r="O728" t="n">
        <v>0</v>
      </c>
      <c r="P728" t="n">
        <v>0</v>
      </c>
      <c r="Q728" t="n">
        <v>0</v>
      </c>
      <c r="R728" s="2" t="inlineStr"/>
    </row>
    <row r="729" ht="15" customHeight="1">
      <c r="A729" t="inlineStr">
        <is>
          <t>A 40905-2023</t>
        </is>
      </c>
      <c r="B729" s="1" t="n">
        <v>45173.39315972223</v>
      </c>
      <c r="C729" s="1" t="n">
        <v>45972</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43836-2025</t>
        </is>
      </c>
      <c r="B730" s="1" t="n">
        <v>45912.63359953704</v>
      </c>
      <c r="C730" s="1" t="n">
        <v>45972</v>
      </c>
      <c r="D730" t="inlineStr">
        <is>
          <t>ÖREBRO LÄN</t>
        </is>
      </c>
      <c r="E730" t="inlineStr">
        <is>
          <t>LINDESBERG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52401-2025</t>
        </is>
      </c>
      <c r="B731" s="1" t="n">
        <v>45954.35075231481</v>
      </c>
      <c r="C731" s="1" t="n">
        <v>45972</v>
      </c>
      <c r="D731" t="inlineStr">
        <is>
          <t>ÖREBRO LÄN</t>
        </is>
      </c>
      <c r="E731" t="inlineStr">
        <is>
          <t>LINDESBERG</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28991-2025</t>
        </is>
      </c>
      <c r="B732" s="1" t="n">
        <v>45821.37199074074</v>
      </c>
      <c r="C732" s="1" t="n">
        <v>45972</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29037-2025</t>
        </is>
      </c>
      <c r="B733" s="1" t="n">
        <v>45821.44521990741</v>
      </c>
      <c r="C733" s="1" t="n">
        <v>45972</v>
      </c>
      <c r="D733" t="inlineStr">
        <is>
          <t>ÖREBRO LÄN</t>
        </is>
      </c>
      <c r="E733" t="inlineStr">
        <is>
          <t>LINDESBERG</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29051-2025</t>
        </is>
      </c>
      <c r="B734" s="1" t="n">
        <v>45821.46486111111</v>
      </c>
      <c r="C734" s="1" t="n">
        <v>45972</v>
      </c>
      <c r="D734" t="inlineStr">
        <is>
          <t>ÖREBRO LÄN</t>
        </is>
      </c>
      <c r="E734" t="inlineStr">
        <is>
          <t>LINDESBERG</t>
        </is>
      </c>
      <c r="F734" t="inlineStr">
        <is>
          <t>Sveaskog</t>
        </is>
      </c>
      <c r="G734" t="n">
        <v>5</v>
      </c>
      <c r="H734" t="n">
        <v>0</v>
      </c>
      <c r="I734" t="n">
        <v>0</v>
      </c>
      <c r="J734" t="n">
        <v>0</v>
      </c>
      <c r="K734" t="n">
        <v>0</v>
      </c>
      <c r="L734" t="n">
        <v>0</v>
      </c>
      <c r="M734" t="n">
        <v>0</v>
      </c>
      <c r="N734" t="n">
        <v>0</v>
      </c>
      <c r="O734" t="n">
        <v>0</v>
      </c>
      <c r="P734" t="n">
        <v>0</v>
      </c>
      <c r="Q734" t="n">
        <v>0</v>
      </c>
      <c r="R734" s="2" t="inlineStr"/>
    </row>
    <row r="735" ht="15" customHeight="1">
      <c r="A735" t="inlineStr">
        <is>
          <t>A 41951-2023</t>
        </is>
      </c>
      <c r="B735" s="1" t="n">
        <v>45177.33991898148</v>
      </c>
      <c r="C735" s="1" t="n">
        <v>45972</v>
      </c>
      <c r="D735" t="inlineStr">
        <is>
          <t>ÖREBRO LÄN</t>
        </is>
      </c>
      <c r="E735" t="inlineStr">
        <is>
          <t>LINDESBERG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4310-2025</t>
        </is>
      </c>
      <c r="B736" s="1" t="n">
        <v>45685</v>
      </c>
      <c r="C736" s="1" t="n">
        <v>45972</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29049-2025</t>
        </is>
      </c>
      <c r="B737" s="1" t="n">
        <v>45821.46135416667</v>
      </c>
      <c r="C737" s="1" t="n">
        <v>45972</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45972</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45972</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45972</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30000-2025</t>
        </is>
      </c>
      <c r="B741" s="1" t="n">
        <v>45826.52024305556</v>
      </c>
      <c r="C741" s="1" t="n">
        <v>45972</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45972</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30341-2025</t>
        </is>
      </c>
      <c r="B743" s="1" t="n">
        <v>45827.51862268519</v>
      </c>
      <c r="C743" s="1" t="n">
        <v>45972</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61691-2023</t>
        </is>
      </c>
      <c r="B744" s="1" t="n">
        <v>45265.64142361111</v>
      </c>
      <c r="C744" s="1" t="n">
        <v>45972</v>
      </c>
      <c r="D744" t="inlineStr">
        <is>
          <t>ÖREBRO LÄN</t>
        </is>
      </c>
      <c r="E744" t="inlineStr">
        <is>
          <t>LINDESBERG</t>
        </is>
      </c>
      <c r="G744" t="n">
        <v>2.6</v>
      </c>
      <c r="H744" t="n">
        <v>0</v>
      </c>
      <c r="I744" t="n">
        <v>0</v>
      </c>
      <c r="J744" t="n">
        <v>0</v>
      </c>
      <c r="K744" t="n">
        <v>0</v>
      </c>
      <c r="L744" t="n">
        <v>0</v>
      </c>
      <c r="M744" t="n">
        <v>0</v>
      </c>
      <c r="N744" t="n">
        <v>0</v>
      </c>
      <c r="O744" t="n">
        <v>0</v>
      </c>
      <c r="P744" t="n">
        <v>0</v>
      </c>
      <c r="Q744" t="n">
        <v>0</v>
      </c>
      <c r="R744" s="2" t="inlineStr"/>
    </row>
    <row r="745" ht="15" customHeight="1">
      <c r="A745" t="inlineStr">
        <is>
          <t>A 44041-2025</t>
        </is>
      </c>
      <c r="B745" s="1" t="n">
        <v>45915.49238425926</v>
      </c>
      <c r="C745" s="1" t="n">
        <v>45972</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52730-2025</t>
        </is>
      </c>
      <c r="B746" s="1" t="n">
        <v>45957.36386574074</v>
      </c>
      <c r="C746" s="1" t="n">
        <v>45972</v>
      </c>
      <c r="D746" t="inlineStr">
        <is>
          <t>ÖREBRO LÄN</t>
        </is>
      </c>
      <c r="E746" t="inlineStr">
        <is>
          <t>LINDESBERG</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53187-2025</t>
        </is>
      </c>
      <c r="B747" s="1" t="n">
        <v>45958.55577546296</v>
      </c>
      <c r="C747" s="1" t="n">
        <v>45972</v>
      </c>
      <c r="D747" t="inlineStr">
        <is>
          <t>ÖREBRO LÄN</t>
        </is>
      </c>
      <c r="E747" t="inlineStr">
        <is>
          <t>LINDESBERG</t>
        </is>
      </c>
      <c r="F747" t="inlineStr">
        <is>
          <t>Kommuner</t>
        </is>
      </c>
      <c r="G747" t="n">
        <v>2.7</v>
      </c>
      <c r="H747" t="n">
        <v>0</v>
      </c>
      <c r="I747" t="n">
        <v>0</v>
      </c>
      <c r="J747" t="n">
        <v>0</v>
      </c>
      <c r="K747" t="n">
        <v>0</v>
      </c>
      <c r="L747" t="n">
        <v>0</v>
      </c>
      <c r="M747" t="n">
        <v>0</v>
      </c>
      <c r="N747" t="n">
        <v>0</v>
      </c>
      <c r="O747" t="n">
        <v>0</v>
      </c>
      <c r="P747" t="n">
        <v>0</v>
      </c>
      <c r="Q747" t="n">
        <v>0</v>
      </c>
      <c r="R747" s="2" t="inlineStr"/>
    </row>
    <row r="748" ht="15" customHeight="1">
      <c r="A748" t="inlineStr">
        <is>
          <t>A 53288-2025</t>
        </is>
      </c>
      <c r="B748" s="1" t="n">
        <v>45958.79287037037</v>
      </c>
      <c r="C748" s="1" t="n">
        <v>45972</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30340-2025</t>
        </is>
      </c>
      <c r="B749" s="1" t="n">
        <v>45827.51753472222</v>
      </c>
      <c r="C749" s="1" t="n">
        <v>45972</v>
      </c>
      <c r="D749" t="inlineStr">
        <is>
          <t>ÖREBRO LÄN</t>
        </is>
      </c>
      <c r="E749" t="inlineStr">
        <is>
          <t>LINDESBERG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30342-2025</t>
        </is>
      </c>
      <c r="B750" s="1" t="n">
        <v>45827.51956018519</v>
      </c>
      <c r="C750" s="1" t="n">
        <v>45972</v>
      </c>
      <c r="D750" t="inlineStr">
        <is>
          <t>ÖREBRO LÄN</t>
        </is>
      </c>
      <c r="E750" t="inlineStr">
        <is>
          <t>LINDESBERG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30381-2025</t>
        </is>
      </c>
      <c r="B751" s="1" t="n">
        <v>45827.56939814815</v>
      </c>
      <c r="C751" s="1" t="n">
        <v>45972</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30339-2025</t>
        </is>
      </c>
      <c r="B752" s="1" t="n">
        <v>45827.51628472222</v>
      </c>
      <c r="C752" s="1" t="n">
        <v>45972</v>
      </c>
      <c r="D752" t="inlineStr">
        <is>
          <t>ÖREBRO LÄN</t>
        </is>
      </c>
      <c r="E752" t="inlineStr">
        <is>
          <t>LINDESBERG</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37507-2023</t>
        </is>
      </c>
      <c r="B753" s="1" t="n">
        <v>45158.41768518519</v>
      </c>
      <c r="C753" s="1" t="n">
        <v>45972</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31215-2025</t>
        </is>
      </c>
      <c r="B754" s="1" t="n">
        <v>45832.74418981482</v>
      </c>
      <c r="C754" s="1" t="n">
        <v>45972</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44077-2025</t>
        </is>
      </c>
      <c r="B755" s="1" t="n">
        <v>45915.54983796296</v>
      </c>
      <c r="C755" s="1" t="n">
        <v>45972</v>
      </c>
      <c r="D755" t="inlineStr">
        <is>
          <t>ÖREBRO LÄN</t>
        </is>
      </c>
      <c r="E755" t="inlineStr">
        <is>
          <t>LINDESBERG</t>
        </is>
      </c>
      <c r="G755" t="n">
        <v>4.2</v>
      </c>
      <c r="H755" t="n">
        <v>0</v>
      </c>
      <c r="I755" t="n">
        <v>0</v>
      </c>
      <c r="J755" t="n">
        <v>0</v>
      </c>
      <c r="K755" t="n">
        <v>0</v>
      </c>
      <c r="L755" t="n">
        <v>0</v>
      </c>
      <c r="M755" t="n">
        <v>0</v>
      </c>
      <c r="N755" t="n">
        <v>0</v>
      </c>
      <c r="O755" t="n">
        <v>0</v>
      </c>
      <c r="P755" t="n">
        <v>0</v>
      </c>
      <c r="Q755" t="n">
        <v>0</v>
      </c>
      <c r="R755" s="2" t="inlineStr"/>
    </row>
    <row r="756" ht="15" customHeight="1">
      <c r="A756" t="inlineStr">
        <is>
          <t>A 34029-2024</t>
        </is>
      </c>
      <c r="B756" s="1" t="n">
        <v>45523</v>
      </c>
      <c r="C756" s="1" t="n">
        <v>45972</v>
      </c>
      <c r="D756" t="inlineStr">
        <is>
          <t>ÖREBRO LÄN</t>
        </is>
      </c>
      <c r="E756" t="inlineStr">
        <is>
          <t>LINDESBERG</t>
        </is>
      </c>
      <c r="G756" t="n">
        <v>1.9</v>
      </c>
      <c r="H756" t="n">
        <v>0</v>
      </c>
      <c r="I756" t="n">
        <v>0</v>
      </c>
      <c r="J756" t="n">
        <v>0</v>
      </c>
      <c r="K756" t="n">
        <v>0</v>
      </c>
      <c r="L756" t="n">
        <v>0</v>
      </c>
      <c r="M756" t="n">
        <v>0</v>
      </c>
      <c r="N756" t="n">
        <v>0</v>
      </c>
      <c r="O756" t="n">
        <v>0</v>
      </c>
      <c r="P756" t="n">
        <v>0</v>
      </c>
      <c r="Q756" t="n">
        <v>0</v>
      </c>
      <c r="R756" s="2" t="inlineStr"/>
    </row>
    <row r="757" ht="15" customHeight="1">
      <c r="A757" t="inlineStr">
        <is>
          <t>A 31014-2025</t>
        </is>
      </c>
      <c r="B757" s="1" t="n">
        <v>45832.51028935185</v>
      </c>
      <c r="C757" s="1" t="n">
        <v>45972</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45972</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31049-2025</t>
        </is>
      </c>
      <c r="B759" s="1" t="n">
        <v>45832.55810185185</v>
      </c>
      <c r="C759" s="1" t="n">
        <v>45972</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31000-2025</t>
        </is>
      </c>
      <c r="B760" s="1" t="n">
        <v>45832.49325231482</v>
      </c>
      <c r="C760" s="1" t="n">
        <v>45972</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31018-2025</t>
        </is>
      </c>
      <c r="B761" s="1" t="n">
        <v>45832.51255787037</v>
      </c>
      <c r="C761" s="1" t="n">
        <v>45972</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46675-2023</t>
        </is>
      </c>
      <c r="B762" s="1" t="n">
        <v>45194</v>
      </c>
      <c r="C762" s="1" t="n">
        <v>45972</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31003-2025</t>
        </is>
      </c>
      <c r="B763" s="1" t="n">
        <v>45832.49579861111</v>
      </c>
      <c r="C763" s="1" t="n">
        <v>45972</v>
      </c>
      <c r="D763" t="inlineStr">
        <is>
          <t>ÖREBRO LÄN</t>
        </is>
      </c>
      <c r="E763" t="inlineStr">
        <is>
          <t>LINDESBERG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31085-2025</t>
        </is>
      </c>
      <c r="B764" s="1" t="n">
        <v>45832.5902662037</v>
      </c>
      <c r="C764" s="1" t="n">
        <v>45972</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31213-2025</t>
        </is>
      </c>
      <c r="B765" s="1" t="n">
        <v>45832.72778935185</v>
      </c>
      <c r="C765" s="1" t="n">
        <v>45972</v>
      </c>
      <c r="D765" t="inlineStr">
        <is>
          <t>ÖREBRO LÄN</t>
        </is>
      </c>
      <c r="E765" t="inlineStr">
        <is>
          <t>LINDESBERG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34434-2023</t>
        </is>
      </c>
      <c r="B766" s="1" t="n">
        <v>45139.63480324074</v>
      </c>
      <c r="C766" s="1" t="n">
        <v>45972</v>
      </c>
      <c r="D766" t="inlineStr">
        <is>
          <t>ÖREBRO LÄN</t>
        </is>
      </c>
      <c r="E766" t="inlineStr">
        <is>
          <t>LINDESBERG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44067-2025</t>
        </is>
      </c>
      <c r="B767" s="1" t="n">
        <v>45915.54439814815</v>
      </c>
      <c r="C767" s="1" t="n">
        <v>45972</v>
      </c>
      <c r="D767" t="inlineStr">
        <is>
          <t>ÖREBRO LÄN</t>
        </is>
      </c>
      <c r="E767" t="inlineStr">
        <is>
          <t>LINDESBERG</t>
        </is>
      </c>
      <c r="G767" t="n">
        <v>2.8</v>
      </c>
      <c r="H767" t="n">
        <v>0</v>
      </c>
      <c r="I767" t="n">
        <v>0</v>
      </c>
      <c r="J767" t="n">
        <v>0</v>
      </c>
      <c r="K767" t="n">
        <v>0</v>
      </c>
      <c r="L767" t="n">
        <v>0</v>
      </c>
      <c r="M767" t="n">
        <v>0</v>
      </c>
      <c r="N767" t="n">
        <v>0</v>
      </c>
      <c r="O767" t="n">
        <v>0</v>
      </c>
      <c r="P767" t="n">
        <v>0</v>
      </c>
      <c r="Q767" t="n">
        <v>0</v>
      </c>
      <c r="R767" s="2" t="inlineStr"/>
    </row>
    <row r="768" ht="15" customHeight="1">
      <c r="A768" t="inlineStr">
        <is>
          <t>A 31221-2025</t>
        </is>
      </c>
      <c r="B768" s="1" t="n">
        <v>45832.76491898148</v>
      </c>
      <c r="C768" s="1" t="n">
        <v>45972</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31220-2025</t>
        </is>
      </c>
      <c r="B769" s="1" t="n">
        <v>45832.76100694444</v>
      </c>
      <c r="C769" s="1" t="n">
        <v>45972</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54432-2023</t>
        </is>
      </c>
      <c r="B770" s="1" t="n">
        <v>45233.42121527778</v>
      </c>
      <c r="C770" s="1" t="n">
        <v>45972</v>
      </c>
      <c r="D770" t="inlineStr">
        <is>
          <t>ÖREBRO LÄN</t>
        </is>
      </c>
      <c r="E770" t="inlineStr">
        <is>
          <t>LINDESBERG</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15933-2025</t>
        </is>
      </c>
      <c r="B771" s="1" t="n">
        <v>45749.47251157407</v>
      </c>
      <c r="C771" s="1" t="n">
        <v>45972</v>
      </c>
      <c r="D771" t="inlineStr">
        <is>
          <t>ÖREBRO LÄN</t>
        </is>
      </c>
      <c r="E771" t="inlineStr">
        <is>
          <t>LINDESBERG</t>
        </is>
      </c>
      <c r="G771" t="n">
        <v>6.1</v>
      </c>
      <c r="H771" t="n">
        <v>0</v>
      </c>
      <c r="I771" t="n">
        <v>0</v>
      </c>
      <c r="J771" t="n">
        <v>0</v>
      </c>
      <c r="K771" t="n">
        <v>0</v>
      </c>
      <c r="L771" t="n">
        <v>0</v>
      </c>
      <c r="M771" t="n">
        <v>0</v>
      </c>
      <c r="N771" t="n">
        <v>0</v>
      </c>
      <c r="O771" t="n">
        <v>0</v>
      </c>
      <c r="P771" t="n">
        <v>0</v>
      </c>
      <c r="Q771" t="n">
        <v>0</v>
      </c>
      <c r="R771" s="2" t="inlineStr"/>
    </row>
    <row r="772" ht="15" customHeight="1">
      <c r="A772" t="inlineStr">
        <is>
          <t>A 15936-2025</t>
        </is>
      </c>
      <c r="B772" s="1" t="n">
        <v>45749.4737962963</v>
      </c>
      <c r="C772" s="1" t="n">
        <v>45972</v>
      </c>
      <c r="D772" t="inlineStr">
        <is>
          <t>ÖREBRO LÄN</t>
        </is>
      </c>
      <c r="E772" t="inlineStr">
        <is>
          <t>LINDESBERG</t>
        </is>
      </c>
      <c r="G772" t="n">
        <v>22.3</v>
      </c>
      <c r="H772" t="n">
        <v>0</v>
      </c>
      <c r="I772" t="n">
        <v>0</v>
      </c>
      <c r="J772" t="n">
        <v>0</v>
      </c>
      <c r="K772" t="n">
        <v>0</v>
      </c>
      <c r="L772" t="n">
        <v>0</v>
      </c>
      <c r="M772" t="n">
        <v>0</v>
      </c>
      <c r="N772" t="n">
        <v>0</v>
      </c>
      <c r="O772" t="n">
        <v>0</v>
      </c>
      <c r="P772" t="n">
        <v>0</v>
      </c>
      <c r="Q772" t="n">
        <v>0</v>
      </c>
      <c r="R772" s="2" t="inlineStr"/>
    </row>
    <row r="773" ht="15" customHeight="1">
      <c r="A773" t="inlineStr">
        <is>
          <t>A 1490-2024</t>
        </is>
      </c>
      <c r="B773" s="1" t="n">
        <v>45305</v>
      </c>
      <c r="C773" s="1" t="n">
        <v>45972</v>
      </c>
      <c r="D773" t="inlineStr">
        <is>
          <t>ÖREBRO LÄN</t>
        </is>
      </c>
      <c r="E773" t="inlineStr">
        <is>
          <t>LINDESBERG</t>
        </is>
      </c>
      <c r="G773" t="n">
        <v>17.6</v>
      </c>
      <c r="H773" t="n">
        <v>0</v>
      </c>
      <c r="I773" t="n">
        <v>0</v>
      </c>
      <c r="J773" t="n">
        <v>0</v>
      </c>
      <c r="K773" t="n">
        <v>0</v>
      </c>
      <c r="L773" t="n">
        <v>0</v>
      </c>
      <c r="M773" t="n">
        <v>0</v>
      </c>
      <c r="N773" t="n">
        <v>0</v>
      </c>
      <c r="O773" t="n">
        <v>0</v>
      </c>
      <c r="P773" t="n">
        <v>0</v>
      </c>
      <c r="Q773" t="n">
        <v>0</v>
      </c>
      <c r="R773" s="2" t="inlineStr"/>
    </row>
    <row r="774" ht="15" customHeight="1">
      <c r="A774" t="inlineStr">
        <is>
          <t>A 32504-2025</t>
        </is>
      </c>
      <c r="B774" s="1" t="n">
        <v>45838.46456018519</v>
      </c>
      <c r="C774" s="1" t="n">
        <v>45972</v>
      </c>
      <c r="D774" t="inlineStr">
        <is>
          <t>ÖREBRO LÄN</t>
        </is>
      </c>
      <c r="E774" t="inlineStr">
        <is>
          <t>LINDESBERG</t>
        </is>
      </c>
      <c r="F774" t="inlineStr">
        <is>
          <t>Sveaskog</t>
        </is>
      </c>
      <c r="G774" t="n">
        <v>16.9</v>
      </c>
      <c r="H774" t="n">
        <v>0</v>
      </c>
      <c r="I774" t="n">
        <v>0</v>
      </c>
      <c r="J774" t="n">
        <v>0</v>
      </c>
      <c r="K774" t="n">
        <v>0</v>
      </c>
      <c r="L774" t="n">
        <v>0</v>
      </c>
      <c r="M774" t="n">
        <v>0</v>
      </c>
      <c r="N774" t="n">
        <v>0</v>
      </c>
      <c r="O774" t="n">
        <v>0</v>
      </c>
      <c r="P774" t="n">
        <v>0</v>
      </c>
      <c r="Q774" t="n">
        <v>0</v>
      </c>
      <c r="R774" s="2" t="inlineStr"/>
    </row>
    <row r="775" ht="15" customHeight="1">
      <c r="A775" t="inlineStr">
        <is>
          <t>A 32284-2025</t>
        </is>
      </c>
      <c r="B775" s="1" t="n">
        <v>45835.68443287037</v>
      </c>
      <c r="C775" s="1" t="n">
        <v>45972</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32502-2025</t>
        </is>
      </c>
      <c r="B776" s="1" t="n">
        <v>45838.46408564815</v>
      </c>
      <c r="C776" s="1" t="n">
        <v>45972</v>
      </c>
      <c r="D776" t="inlineStr">
        <is>
          <t>ÖREBRO LÄN</t>
        </is>
      </c>
      <c r="E776" t="inlineStr">
        <is>
          <t>LINDESBERG</t>
        </is>
      </c>
      <c r="F776" t="inlineStr">
        <is>
          <t>Sveaskog</t>
        </is>
      </c>
      <c r="G776" t="n">
        <v>17.7</v>
      </c>
      <c r="H776" t="n">
        <v>0</v>
      </c>
      <c r="I776" t="n">
        <v>0</v>
      </c>
      <c r="J776" t="n">
        <v>0</v>
      </c>
      <c r="K776" t="n">
        <v>0</v>
      </c>
      <c r="L776" t="n">
        <v>0</v>
      </c>
      <c r="M776" t="n">
        <v>0</v>
      </c>
      <c r="N776" t="n">
        <v>0</v>
      </c>
      <c r="O776" t="n">
        <v>0</v>
      </c>
      <c r="P776" t="n">
        <v>0</v>
      </c>
      <c r="Q776" t="n">
        <v>0</v>
      </c>
      <c r="R776" s="2" t="inlineStr"/>
    </row>
    <row r="777" ht="15" customHeight="1">
      <c r="A777" t="inlineStr">
        <is>
          <t>A 53723-2025</t>
        </is>
      </c>
      <c r="B777" s="1" t="n">
        <v>45960.62986111111</v>
      </c>
      <c r="C777" s="1" t="n">
        <v>45972</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53168-2023</t>
        </is>
      </c>
      <c r="B778" s="1" t="n">
        <v>45229</v>
      </c>
      <c r="C778" s="1" t="n">
        <v>45972</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33046-2025</t>
        </is>
      </c>
      <c r="B779" s="1" t="n">
        <v>45840</v>
      </c>
      <c r="C779" s="1" t="n">
        <v>45972</v>
      </c>
      <c r="D779" t="inlineStr">
        <is>
          <t>ÖREBRO LÄN</t>
        </is>
      </c>
      <c r="E779" t="inlineStr">
        <is>
          <t>LINDESBERG</t>
        </is>
      </c>
      <c r="G779" t="n">
        <v>6.1</v>
      </c>
      <c r="H779" t="n">
        <v>0</v>
      </c>
      <c r="I779" t="n">
        <v>0</v>
      </c>
      <c r="J779" t="n">
        <v>0</v>
      </c>
      <c r="K779" t="n">
        <v>0</v>
      </c>
      <c r="L779" t="n">
        <v>0</v>
      </c>
      <c r="M779" t="n">
        <v>0</v>
      </c>
      <c r="N779" t="n">
        <v>0</v>
      </c>
      <c r="O779" t="n">
        <v>0</v>
      </c>
      <c r="P779" t="n">
        <v>0</v>
      </c>
      <c r="Q779" t="n">
        <v>0</v>
      </c>
      <c r="R779" s="2" t="inlineStr"/>
    </row>
    <row r="780" ht="15" customHeight="1">
      <c r="A780" t="inlineStr">
        <is>
          <t>A 32727-2024</t>
        </is>
      </c>
      <c r="B780" s="1" t="n">
        <v>45516.4221412037</v>
      </c>
      <c r="C780" s="1" t="n">
        <v>45972</v>
      </c>
      <c r="D780" t="inlineStr">
        <is>
          <t>ÖREBRO LÄN</t>
        </is>
      </c>
      <c r="E780" t="inlineStr">
        <is>
          <t>LINDESBERG</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17242-2025</t>
        </is>
      </c>
      <c r="B781" s="1" t="n">
        <v>45756.49009259259</v>
      </c>
      <c r="C781" s="1" t="n">
        <v>45972</v>
      </c>
      <c r="D781" t="inlineStr">
        <is>
          <t>ÖREBRO LÄN</t>
        </is>
      </c>
      <c r="E781" t="inlineStr">
        <is>
          <t>LINDESBERG</t>
        </is>
      </c>
      <c r="G781" t="n">
        <v>7.3</v>
      </c>
      <c r="H781" t="n">
        <v>0</v>
      </c>
      <c r="I781" t="n">
        <v>0</v>
      </c>
      <c r="J781" t="n">
        <v>0</v>
      </c>
      <c r="K781" t="n">
        <v>0</v>
      </c>
      <c r="L781" t="n">
        <v>0</v>
      </c>
      <c r="M781" t="n">
        <v>0</v>
      </c>
      <c r="N781" t="n">
        <v>0</v>
      </c>
      <c r="O781" t="n">
        <v>0</v>
      </c>
      <c r="P781" t="n">
        <v>0</v>
      </c>
      <c r="Q781" t="n">
        <v>0</v>
      </c>
      <c r="R781" s="2" t="inlineStr"/>
    </row>
    <row r="782" ht="15" customHeight="1">
      <c r="A782" t="inlineStr">
        <is>
          <t>A 44545-2025</t>
        </is>
      </c>
      <c r="B782" s="1" t="n">
        <v>45917.31780092593</v>
      </c>
      <c r="C782" s="1" t="n">
        <v>45972</v>
      </c>
      <c r="D782" t="inlineStr">
        <is>
          <t>ÖREBRO LÄN</t>
        </is>
      </c>
      <c r="E782" t="inlineStr">
        <is>
          <t>LINDESBERG</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45972</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53062-2023</t>
        </is>
      </c>
      <c r="B784" s="1" t="n">
        <v>45227.31859953704</v>
      </c>
      <c r="C784" s="1" t="n">
        <v>45972</v>
      </c>
      <c r="D784" t="inlineStr">
        <is>
          <t>ÖREBRO LÄN</t>
        </is>
      </c>
      <c r="E784" t="inlineStr">
        <is>
          <t>LINDESBERG</t>
        </is>
      </c>
      <c r="G784" t="n">
        <v>3.1</v>
      </c>
      <c r="H784" t="n">
        <v>0</v>
      </c>
      <c r="I784" t="n">
        <v>0</v>
      </c>
      <c r="J784" t="n">
        <v>0</v>
      </c>
      <c r="K784" t="n">
        <v>0</v>
      </c>
      <c r="L784" t="n">
        <v>0</v>
      </c>
      <c r="M784" t="n">
        <v>0</v>
      </c>
      <c r="N784" t="n">
        <v>0</v>
      </c>
      <c r="O784" t="n">
        <v>0</v>
      </c>
      <c r="P784" t="n">
        <v>0</v>
      </c>
      <c r="Q784" t="n">
        <v>0</v>
      </c>
      <c r="R784" s="2" t="inlineStr"/>
    </row>
    <row r="785" ht="15" customHeight="1">
      <c r="A785" t="inlineStr">
        <is>
          <t>A 8902-2024</t>
        </is>
      </c>
      <c r="B785" s="1" t="n">
        <v>45357.34521990741</v>
      </c>
      <c r="C785" s="1" t="n">
        <v>45972</v>
      </c>
      <c r="D785" t="inlineStr">
        <is>
          <t>ÖREBRO LÄN</t>
        </is>
      </c>
      <c r="E785" t="inlineStr">
        <is>
          <t>LINDESBERG</t>
        </is>
      </c>
      <c r="F785" t="inlineStr">
        <is>
          <t>Kommuner</t>
        </is>
      </c>
      <c r="G785" t="n">
        <v>0.5</v>
      </c>
      <c r="H785" t="n">
        <v>0</v>
      </c>
      <c r="I785" t="n">
        <v>0</v>
      </c>
      <c r="J785" t="n">
        <v>0</v>
      </c>
      <c r="K785" t="n">
        <v>0</v>
      </c>
      <c r="L785" t="n">
        <v>0</v>
      </c>
      <c r="M785" t="n">
        <v>0</v>
      </c>
      <c r="N785" t="n">
        <v>0</v>
      </c>
      <c r="O785" t="n">
        <v>0</v>
      </c>
      <c r="P785" t="n">
        <v>0</v>
      </c>
      <c r="Q785" t="n">
        <v>0</v>
      </c>
      <c r="R785" s="2" t="inlineStr"/>
    </row>
    <row r="786" ht="15" customHeight="1">
      <c r="A786" t="inlineStr">
        <is>
          <t>A 33574-2024</t>
        </is>
      </c>
      <c r="B786" s="1" t="n">
        <v>45520.32887731482</v>
      </c>
      <c r="C786" s="1" t="n">
        <v>45972</v>
      </c>
      <c r="D786" t="inlineStr">
        <is>
          <t>ÖREBRO LÄN</t>
        </is>
      </c>
      <c r="E786" t="inlineStr">
        <is>
          <t>LINDESBERG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34264-2025</t>
        </is>
      </c>
      <c r="B787" s="1" t="n">
        <v>45845.75200231482</v>
      </c>
      <c r="C787" s="1" t="n">
        <v>45972</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59631-2023</t>
        </is>
      </c>
      <c r="B788" s="1" t="n">
        <v>45254.68105324074</v>
      </c>
      <c r="C788" s="1" t="n">
        <v>45972</v>
      </c>
      <c r="D788" t="inlineStr">
        <is>
          <t>ÖREBRO LÄN</t>
        </is>
      </c>
      <c r="E788" t="inlineStr">
        <is>
          <t>LINDESBERG</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34003-2025</t>
        </is>
      </c>
      <c r="B789" s="1" t="n">
        <v>45844.57527777777</v>
      </c>
      <c r="C789" s="1" t="n">
        <v>45972</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34097-2025</t>
        </is>
      </c>
      <c r="B790" s="1" t="n">
        <v>45845.4855787037</v>
      </c>
      <c r="C790" s="1" t="n">
        <v>45972</v>
      </c>
      <c r="D790" t="inlineStr">
        <is>
          <t>ÖREBRO LÄN</t>
        </is>
      </c>
      <c r="E790" t="inlineStr">
        <is>
          <t>LINDESBERG</t>
        </is>
      </c>
      <c r="G790" t="n">
        <v>1.2</v>
      </c>
      <c r="H790" t="n">
        <v>0</v>
      </c>
      <c r="I790" t="n">
        <v>0</v>
      </c>
      <c r="J790" t="n">
        <v>0</v>
      </c>
      <c r="K790" t="n">
        <v>0</v>
      </c>
      <c r="L790" t="n">
        <v>0</v>
      </c>
      <c r="M790" t="n">
        <v>0</v>
      </c>
      <c r="N790" t="n">
        <v>0</v>
      </c>
      <c r="O790" t="n">
        <v>0</v>
      </c>
      <c r="P790" t="n">
        <v>0</v>
      </c>
      <c r="Q790" t="n">
        <v>0</v>
      </c>
      <c r="R790" s="2" t="inlineStr"/>
    </row>
    <row r="791" ht="15" customHeight="1">
      <c r="A791" t="inlineStr">
        <is>
          <t>A 19110-2025</t>
        </is>
      </c>
      <c r="B791" s="1" t="n">
        <v>45768.49947916667</v>
      </c>
      <c r="C791" s="1" t="n">
        <v>45972</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21245-2024</t>
        </is>
      </c>
      <c r="B792" s="1" t="n">
        <v>45440</v>
      </c>
      <c r="C792" s="1" t="n">
        <v>45972</v>
      </c>
      <c r="D792" t="inlineStr">
        <is>
          <t>ÖREBRO LÄN</t>
        </is>
      </c>
      <c r="E792" t="inlineStr">
        <is>
          <t>LINDESBERG</t>
        </is>
      </c>
      <c r="G792" t="n">
        <v>2</v>
      </c>
      <c r="H792" t="n">
        <v>0</v>
      </c>
      <c r="I792" t="n">
        <v>0</v>
      </c>
      <c r="J792" t="n">
        <v>0</v>
      </c>
      <c r="K792" t="n">
        <v>0</v>
      </c>
      <c r="L792" t="n">
        <v>0</v>
      </c>
      <c r="M792" t="n">
        <v>0</v>
      </c>
      <c r="N792" t="n">
        <v>0</v>
      </c>
      <c r="O792" t="n">
        <v>0</v>
      </c>
      <c r="P792" t="n">
        <v>0</v>
      </c>
      <c r="Q792" t="n">
        <v>0</v>
      </c>
      <c r="R792" s="2" t="inlineStr"/>
    </row>
    <row r="793" ht="15" customHeight="1">
      <c r="A793" t="inlineStr">
        <is>
          <t>A 34104-2025</t>
        </is>
      </c>
      <c r="B793" s="1" t="n">
        <v>45845.49216435185</v>
      </c>
      <c r="C793" s="1" t="n">
        <v>45972</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34004-2025</t>
        </is>
      </c>
      <c r="B794" s="1" t="n">
        <v>45844.5775</v>
      </c>
      <c r="C794" s="1" t="n">
        <v>45972</v>
      </c>
      <c r="D794" t="inlineStr">
        <is>
          <t>ÖREBRO LÄN</t>
        </is>
      </c>
      <c r="E794" t="inlineStr">
        <is>
          <t>LINDESBERG</t>
        </is>
      </c>
      <c r="F794" t="inlineStr">
        <is>
          <t>Sveaskog</t>
        </is>
      </c>
      <c r="G794" t="n">
        <v>3.4</v>
      </c>
      <c r="H794" t="n">
        <v>0</v>
      </c>
      <c r="I794" t="n">
        <v>0</v>
      </c>
      <c r="J794" t="n">
        <v>0</v>
      </c>
      <c r="K794" t="n">
        <v>0</v>
      </c>
      <c r="L794" t="n">
        <v>0</v>
      </c>
      <c r="M794" t="n">
        <v>0</v>
      </c>
      <c r="N794" t="n">
        <v>0</v>
      </c>
      <c r="O794" t="n">
        <v>0</v>
      </c>
      <c r="P794" t="n">
        <v>0</v>
      </c>
      <c r="Q794" t="n">
        <v>0</v>
      </c>
      <c r="R794" s="2" t="inlineStr"/>
    </row>
    <row r="795" ht="15" customHeight="1">
      <c r="A795" t="inlineStr">
        <is>
          <t>A 29350-2022</t>
        </is>
      </c>
      <c r="B795" s="1" t="n">
        <v>44753</v>
      </c>
      <c r="C795" s="1" t="n">
        <v>45972</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34267-2025</t>
        </is>
      </c>
      <c r="B796" s="1" t="n">
        <v>45845.76005787037</v>
      </c>
      <c r="C796" s="1" t="n">
        <v>45972</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45972</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34002-2025</t>
        </is>
      </c>
      <c r="B798" s="1" t="n">
        <v>45844.57328703703</v>
      </c>
      <c r="C798" s="1" t="n">
        <v>45972</v>
      </c>
      <c r="D798" t="inlineStr">
        <is>
          <t>ÖREBRO LÄN</t>
        </is>
      </c>
      <c r="E798" t="inlineStr">
        <is>
          <t>LINDESBERG</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54251-2025</t>
        </is>
      </c>
      <c r="B799" s="1" t="n">
        <v>45964.64778935185</v>
      </c>
      <c r="C799" s="1" t="n">
        <v>45972</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2414-2024</t>
        </is>
      </c>
      <c r="B800" s="1" t="n">
        <v>45310.87931712963</v>
      </c>
      <c r="C800" s="1" t="n">
        <v>45972</v>
      </c>
      <c r="D800" t="inlineStr">
        <is>
          <t>ÖREBRO LÄN</t>
        </is>
      </c>
      <c r="E800" t="inlineStr">
        <is>
          <t>LINDESBERG</t>
        </is>
      </c>
      <c r="G800" t="n">
        <v>7.2</v>
      </c>
      <c r="H800" t="n">
        <v>0</v>
      </c>
      <c r="I800" t="n">
        <v>0</v>
      </c>
      <c r="J800" t="n">
        <v>0</v>
      </c>
      <c r="K800" t="n">
        <v>0</v>
      </c>
      <c r="L800" t="n">
        <v>0</v>
      </c>
      <c r="M800" t="n">
        <v>0</v>
      </c>
      <c r="N800" t="n">
        <v>0</v>
      </c>
      <c r="O800" t="n">
        <v>0</v>
      </c>
      <c r="P800" t="n">
        <v>0</v>
      </c>
      <c r="Q800" t="n">
        <v>0</v>
      </c>
      <c r="R800" s="2" t="inlineStr"/>
    </row>
    <row r="801" ht="15" customHeight="1">
      <c r="A801" t="inlineStr">
        <is>
          <t>A 28463-2024</t>
        </is>
      </c>
      <c r="B801" s="1" t="n">
        <v>45477.70315972222</v>
      </c>
      <c r="C801" s="1" t="n">
        <v>45972</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5677-2025</t>
        </is>
      </c>
      <c r="B802" s="1" t="n">
        <v>45694</v>
      </c>
      <c r="C802" s="1" t="n">
        <v>45972</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27702-2025</t>
        </is>
      </c>
      <c r="B803" s="1" t="n">
        <v>45813.68209490741</v>
      </c>
      <c r="C803" s="1" t="n">
        <v>45972</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24916-2022</t>
        </is>
      </c>
      <c r="B804" s="1" t="n">
        <v>44728</v>
      </c>
      <c r="C804" s="1" t="n">
        <v>45972</v>
      </c>
      <c r="D804" t="inlineStr">
        <is>
          <t>ÖREBRO LÄN</t>
        </is>
      </c>
      <c r="E804" t="inlineStr">
        <is>
          <t>LINDESBERG</t>
        </is>
      </c>
      <c r="G804" t="n">
        <v>8.1</v>
      </c>
      <c r="H804" t="n">
        <v>0</v>
      </c>
      <c r="I804" t="n">
        <v>0</v>
      </c>
      <c r="J804" t="n">
        <v>0</v>
      </c>
      <c r="K804" t="n">
        <v>0</v>
      </c>
      <c r="L804" t="n">
        <v>0</v>
      </c>
      <c r="M804" t="n">
        <v>0</v>
      </c>
      <c r="N804" t="n">
        <v>0</v>
      </c>
      <c r="O804" t="n">
        <v>0</v>
      </c>
      <c r="P804" t="n">
        <v>0</v>
      </c>
      <c r="Q804" t="n">
        <v>0</v>
      </c>
      <c r="R804" s="2" t="inlineStr"/>
    </row>
    <row r="805" ht="15" customHeight="1">
      <c r="A805" t="inlineStr">
        <is>
          <t>A 1681-2025</t>
        </is>
      </c>
      <c r="B805" s="1" t="n">
        <v>45670.69458333333</v>
      </c>
      <c r="C805" s="1" t="n">
        <v>45972</v>
      </c>
      <c r="D805" t="inlineStr">
        <is>
          <t>ÖREBRO LÄN</t>
        </is>
      </c>
      <c r="E805" t="inlineStr">
        <is>
          <t>LINDESBERG</t>
        </is>
      </c>
      <c r="G805" t="n">
        <v>1.9</v>
      </c>
      <c r="H805" t="n">
        <v>0</v>
      </c>
      <c r="I805" t="n">
        <v>0</v>
      </c>
      <c r="J805" t="n">
        <v>0</v>
      </c>
      <c r="K805" t="n">
        <v>0</v>
      </c>
      <c r="L805" t="n">
        <v>0</v>
      </c>
      <c r="M805" t="n">
        <v>0</v>
      </c>
      <c r="N805" t="n">
        <v>0</v>
      </c>
      <c r="O805" t="n">
        <v>0</v>
      </c>
      <c r="P805" t="n">
        <v>0</v>
      </c>
      <c r="Q805" t="n">
        <v>0</v>
      </c>
      <c r="R805" s="2" t="inlineStr"/>
    </row>
    <row r="806" ht="15" customHeight="1">
      <c r="A806" t="inlineStr">
        <is>
          <t>A 63668-2023</t>
        </is>
      </c>
      <c r="B806" s="1" t="n">
        <v>45274</v>
      </c>
      <c r="C806" s="1" t="n">
        <v>45972</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45972</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54239-2025</t>
        </is>
      </c>
      <c r="B808" s="1" t="n">
        <v>45964.62771990741</v>
      </c>
      <c r="C808" s="1" t="n">
        <v>45972</v>
      </c>
      <c r="D808" t="inlineStr">
        <is>
          <t>ÖREBRO LÄN</t>
        </is>
      </c>
      <c r="E808" t="inlineStr">
        <is>
          <t>LINDESBERG</t>
        </is>
      </c>
      <c r="G808" t="n">
        <v>4.9</v>
      </c>
      <c r="H808" t="n">
        <v>0</v>
      </c>
      <c r="I808" t="n">
        <v>0</v>
      </c>
      <c r="J808" t="n">
        <v>0</v>
      </c>
      <c r="K808" t="n">
        <v>0</v>
      </c>
      <c r="L808" t="n">
        <v>0</v>
      </c>
      <c r="M808" t="n">
        <v>0</v>
      </c>
      <c r="N808" t="n">
        <v>0</v>
      </c>
      <c r="O808" t="n">
        <v>0</v>
      </c>
      <c r="P808" t="n">
        <v>0</v>
      </c>
      <c r="Q808" t="n">
        <v>0</v>
      </c>
      <c r="R808" s="2" t="inlineStr"/>
    </row>
    <row r="809" ht="15" customHeight="1">
      <c r="A809" t="inlineStr">
        <is>
          <t>A 54240-2025</t>
        </is>
      </c>
      <c r="B809" s="1" t="n">
        <v>45964.62796296296</v>
      </c>
      <c r="C809" s="1" t="n">
        <v>45972</v>
      </c>
      <c r="D809" t="inlineStr">
        <is>
          <t>ÖREBRO LÄN</t>
        </is>
      </c>
      <c r="E809" t="inlineStr">
        <is>
          <t>LINDESBERG</t>
        </is>
      </c>
      <c r="G809" t="n">
        <v>3.9</v>
      </c>
      <c r="H809" t="n">
        <v>0</v>
      </c>
      <c r="I809" t="n">
        <v>0</v>
      </c>
      <c r="J809" t="n">
        <v>0</v>
      </c>
      <c r="K809" t="n">
        <v>0</v>
      </c>
      <c r="L809" t="n">
        <v>0</v>
      </c>
      <c r="M809" t="n">
        <v>0</v>
      </c>
      <c r="N809" t="n">
        <v>0</v>
      </c>
      <c r="O809" t="n">
        <v>0</v>
      </c>
      <c r="P809" t="n">
        <v>0</v>
      </c>
      <c r="Q809" t="n">
        <v>0</v>
      </c>
      <c r="R809" s="2" t="inlineStr"/>
    </row>
    <row r="810" ht="15" customHeight="1">
      <c r="A810" t="inlineStr">
        <is>
          <t>A 54241-2025</t>
        </is>
      </c>
      <c r="B810" s="1" t="n">
        <v>45964.63199074074</v>
      </c>
      <c r="C810" s="1" t="n">
        <v>45972</v>
      </c>
      <c r="D810" t="inlineStr">
        <is>
          <t>ÖREBRO LÄN</t>
        </is>
      </c>
      <c r="E810" t="inlineStr">
        <is>
          <t>LINDESBERG</t>
        </is>
      </c>
      <c r="G810" t="n">
        <v>4</v>
      </c>
      <c r="H810" t="n">
        <v>0</v>
      </c>
      <c r="I810" t="n">
        <v>0</v>
      </c>
      <c r="J810" t="n">
        <v>0</v>
      </c>
      <c r="K810" t="n">
        <v>0</v>
      </c>
      <c r="L810" t="n">
        <v>0</v>
      </c>
      <c r="M810" t="n">
        <v>0</v>
      </c>
      <c r="N810" t="n">
        <v>0</v>
      </c>
      <c r="O810" t="n">
        <v>0</v>
      </c>
      <c r="P810" t="n">
        <v>0</v>
      </c>
      <c r="Q810" t="n">
        <v>0</v>
      </c>
      <c r="R810" s="2" t="inlineStr"/>
    </row>
    <row r="811" ht="15" customHeight="1">
      <c r="A811" t="inlineStr">
        <is>
          <t>A 54250-2025</t>
        </is>
      </c>
      <c r="B811" s="1" t="n">
        <v>45964.64709490741</v>
      </c>
      <c r="C811" s="1" t="n">
        <v>45972</v>
      </c>
      <c r="D811" t="inlineStr">
        <is>
          <t>ÖREBRO LÄN</t>
        </is>
      </c>
      <c r="E811" t="inlineStr">
        <is>
          <t>LINDESBERG</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12276-2025</t>
        </is>
      </c>
      <c r="B812" s="1" t="n">
        <v>45729.65061342593</v>
      </c>
      <c r="C812" s="1" t="n">
        <v>45972</v>
      </c>
      <c r="D812" t="inlineStr">
        <is>
          <t>ÖREBRO LÄN</t>
        </is>
      </c>
      <c r="E812" t="inlineStr">
        <is>
          <t>LINDESBERG</t>
        </is>
      </c>
      <c r="G812" t="n">
        <v>7.6</v>
      </c>
      <c r="H812" t="n">
        <v>0</v>
      </c>
      <c r="I812" t="n">
        <v>0</v>
      </c>
      <c r="J812" t="n">
        <v>0</v>
      </c>
      <c r="K812" t="n">
        <v>0</v>
      </c>
      <c r="L812" t="n">
        <v>0</v>
      </c>
      <c r="M812" t="n">
        <v>0</v>
      </c>
      <c r="N812" t="n">
        <v>0</v>
      </c>
      <c r="O812" t="n">
        <v>0</v>
      </c>
      <c r="P812" t="n">
        <v>0</v>
      </c>
      <c r="Q812" t="n">
        <v>0</v>
      </c>
      <c r="R812" s="2" t="inlineStr"/>
    </row>
    <row r="813" ht="15" customHeight="1">
      <c r="A813" t="inlineStr">
        <is>
          <t>A 36670-2024</t>
        </is>
      </c>
      <c r="B813" s="1" t="n">
        <v>45537.64621527777</v>
      </c>
      <c r="C813" s="1" t="n">
        <v>45972</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36291-2022</t>
        </is>
      </c>
      <c r="B814" s="1" t="n">
        <v>44803.64361111111</v>
      </c>
      <c r="C814" s="1" t="n">
        <v>45972</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35292-2025</t>
        </is>
      </c>
      <c r="B815" s="1" t="n">
        <v>45854</v>
      </c>
      <c r="C815" s="1" t="n">
        <v>45972</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35366-2025</t>
        </is>
      </c>
      <c r="B816" s="1" t="n">
        <v>45854</v>
      </c>
      <c r="C816" s="1" t="n">
        <v>45972</v>
      </c>
      <c r="D816" t="inlineStr">
        <is>
          <t>ÖREBRO LÄN</t>
        </is>
      </c>
      <c r="E816" t="inlineStr">
        <is>
          <t>LINDESBERG</t>
        </is>
      </c>
      <c r="G816" t="n">
        <v>5.5</v>
      </c>
      <c r="H816" t="n">
        <v>0</v>
      </c>
      <c r="I816" t="n">
        <v>0</v>
      </c>
      <c r="J816" t="n">
        <v>0</v>
      </c>
      <c r="K816" t="n">
        <v>0</v>
      </c>
      <c r="L816" t="n">
        <v>0</v>
      </c>
      <c r="M816" t="n">
        <v>0</v>
      </c>
      <c r="N816" t="n">
        <v>0</v>
      </c>
      <c r="O816" t="n">
        <v>0</v>
      </c>
      <c r="P816" t="n">
        <v>0</v>
      </c>
      <c r="Q816" t="n">
        <v>0</v>
      </c>
      <c r="R816" s="2" t="inlineStr"/>
    </row>
    <row r="817" ht="15" customHeight="1">
      <c r="A817" t="inlineStr">
        <is>
          <t>A 61597-2023</t>
        </is>
      </c>
      <c r="B817" s="1" t="n">
        <v>45265.49225694445</v>
      </c>
      <c r="C817" s="1" t="n">
        <v>45972</v>
      </c>
      <c r="D817" t="inlineStr">
        <is>
          <t>ÖREBRO LÄN</t>
        </is>
      </c>
      <c r="E817" t="inlineStr">
        <is>
          <t>LINDESBERG</t>
        </is>
      </c>
      <c r="G817" t="n">
        <v>10.3</v>
      </c>
      <c r="H817" t="n">
        <v>0</v>
      </c>
      <c r="I817" t="n">
        <v>0</v>
      </c>
      <c r="J817" t="n">
        <v>0</v>
      </c>
      <c r="K817" t="n">
        <v>0</v>
      </c>
      <c r="L817" t="n">
        <v>0</v>
      </c>
      <c r="M817" t="n">
        <v>0</v>
      </c>
      <c r="N817" t="n">
        <v>0</v>
      </c>
      <c r="O817" t="n">
        <v>0</v>
      </c>
      <c r="P817" t="n">
        <v>0</v>
      </c>
      <c r="Q817" t="n">
        <v>0</v>
      </c>
      <c r="R817" s="2" t="inlineStr"/>
    </row>
    <row r="818" ht="15" customHeight="1">
      <c r="A818" t="inlineStr">
        <is>
          <t>A 54070-2025</t>
        </is>
      </c>
      <c r="B818" s="1" t="n">
        <v>45964.34680555556</v>
      </c>
      <c r="C818" s="1" t="n">
        <v>45972</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45972</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54072-2025</t>
        </is>
      </c>
      <c r="B820" s="1" t="n">
        <v>45964.3550925926</v>
      </c>
      <c r="C820" s="1" t="n">
        <v>45972</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54249-2025</t>
        </is>
      </c>
      <c r="B821" s="1" t="n">
        <v>45964.64599537037</v>
      </c>
      <c r="C821" s="1" t="n">
        <v>45972</v>
      </c>
      <c r="D821" t="inlineStr">
        <is>
          <t>ÖREBRO LÄN</t>
        </is>
      </c>
      <c r="E821" t="inlineStr">
        <is>
          <t>LINDESBERG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24270-2023</t>
        </is>
      </c>
      <c r="B822" s="1" t="n">
        <v>45079</v>
      </c>
      <c r="C822" s="1" t="n">
        <v>45972</v>
      </c>
      <c r="D822" t="inlineStr">
        <is>
          <t>ÖREBRO LÄN</t>
        </is>
      </c>
      <c r="E822" t="inlineStr">
        <is>
          <t>LINDESBERG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24271-2023</t>
        </is>
      </c>
      <c r="B823" s="1" t="n">
        <v>45079</v>
      </c>
      <c r="C823" s="1" t="n">
        <v>45972</v>
      </c>
      <c r="D823" t="inlineStr">
        <is>
          <t>ÖREBRO LÄN</t>
        </is>
      </c>
      <c r="E823" t="inlineStr">
        <is>
          <t>LINDESBERG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35702-2025</t>
        </is>
      </c>
      <c r="B824" s="1" t="n">
        <v>45860.36222222223</v>
      </c>
      <c r="C824" s="1" t="n">
        <v>45972</v>
      </c>
      <c r="D824" t="inlineStr">
        <is>
          <t>ÖREBRO LÄN</t>
        </is>
      </c>
      <c r="E824" t="inlineStr">
        <is>
          <t>LINDESBERG</t>
        </is>
      </c>
      <c r="G824" t="n">
        <v>5.3</v>
      </c>
      <c r="H824" t="n">
        <v>0</v>
      </c>
      <c r="I824" t="n">
        <v>0</v>
      </c>
      <c r="J824" t="n">
        <v>0</v>
      </c>
      <c r="K824" t="n">
        <v>0</v>
      </c>
      <c r="L824" t="n">
        <v>0</v>
      </c>
      <c r="M824" t="n">
        <v>0</v>
      </c>
      <c r="N824" t="n">
        <v>0</v>
      </c>
      <c r="O824" t="n">
        <v>0</v>
      </c>
      <c r="P824" t="n">
        <v>0</v>
      </c>
      <c r="Q824" t="n">
        <v>0</v>
      </c>
      <c r="R824" s="2" t="inlineStr"/>
    </row>
    <row r="825" ht="15" customHeight="1">
      <c r="A825" t="inlineStr">
        <is>
          <t>A 35710-2025</t>
        </is>
      </c>
      <c r="B825" s="1" t="n">
        <v>45860.3857175926</v>
      </c>
      <c r="C825" s="1" t="n">
        <v>45972</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47304-2024</t>
        </is>
      </c>
      <c r="B826" s="1" t="n">
        <v>45587</v>
      </c>
      <c r="C826" s="1" t="n">
        <v>45972</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62866-2023</t>
        </is>
      </c>
      <c r="B827" s="1" t="n">
        <v>45272.36168981482</v>
      </c>
      <c r="C827" s="1" t="n">
        <v>45972</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45972</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4013-2025</t>
        </is>
      </c>
      <c r="B829" s="1" t="n">
        <v>45684.5790162037</v>
      </c>
      <c r="C829" s="1" t="n">
        <v>45972</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44803-2024</t>
        </is>
      </c>
      <c r="B830" s="1" t="n">
        <v>45574.65087962963</v>
      </c>
      <c r="C830" s="1" t="n">
        <v>45972</v>
      </c>
      <c r="D830" t="inlineStr">
        <is>
          <t>ÖREBRO LÄN</t>
        </is>
      </c>
      <c r="E830" t="inlineStr">
        <is>
          <t>LINDESBERG</t>
        </is>
      </c>
      <c r="F830" t="inlineStr">
        <is>
          <t>Sveaskog</t>
        </is>
      </c>
      <c r="G830" t="n">
        <v>6.8</v>
      </c>
      <c r="H830" t="n">
        <v>0</v>
      </c>
      <c r="I830" t="n">
        <v>0</v>
      </c>
      <c r="J830" t="n">
        <v>0</v>
      </c>
      <c r="K830" t="n">
        <v>0</v>
      </c>
      <c r="L830" t="n">
        <v>0</v>
      </c>
      <c r="M830" t="n">
        <v>0</v>
      </c>
      <c r="N830" t="n">
        <v>0</v>
      </c>
      <c r="O830" t="n">
        <v>0</v>
      </c>
      <c r="P830" t="n">
        <v>0</v>
      </c>
      <c r="Q830" t="n">
        <v>0</v>
      </c>
      <c r="R830" s="2" t="inlineStr"/>
    </row>
    <row r="831" ht="15" customHeight="1">
      <c r="A831" t="inlineStr">
        <is>
          <t>A 45173-2024</t>
        </is>
      </c>
      <c r="B831" s="1" t="n">
        <v>45575.65721064815</v>
      </c>
      <c r="C831" s="1" t="n">
        <v>45972</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30514-2025</t>
        </is>
      </c>
      <c r="B832" s="1" t="n">
        <v>45831</v>
      </c>
      <c r="C832" s="1" t="n">
        <v>45972</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53721-2025</t>
        </is>
      </c>
      <c r="B833" s="1" t="n">
        <v>45960</v>
      </c>
      <c r="C833" s="1" t="n">
        <v>45972</v>
      </c>
      <c r="D833" t="inlineStr">
        <is>
          <t>ÖREBRO LÄN</t>
        </is>
      </c>
      <c r="E833" t="inlineStr">
        <is>
          <t>LINDESBERG</t>
        </is>
      </c>
      <c r="G833" t="n">
        <v>3.3</v>
      </c>
      <c r="H833" t="n">
        <v>0</v>
      </c>
      <c r="I833" t="n">
        <v>0</v>
      </c>
      <c r="J833" t="n">
        <v>0</v>
      </c>
      <c r="K833" t="n">
        <v>0</v>
      </c>
      <c r="L833" t="n">
        <v>0</v>
      </c>
      <c r="M833" t="n">
        <v>0</v>
      </c>
      <c r="N833" t="n">
        <v>0</v>
      </c>
      <c r="O833" t="n">
        <v>0</v>
      </c>
      <c r="P833" t="n">
        <v>0</v>
      </c>
      <c r="Q833" t="n">
        <v>0</v>
      </c>
      <c r="R833" s="2" t="inlineStr"/>
    </row>
    <row r="834" ht="15" customHeight="1">
      <c r="A834" t="inlineStr">
        <is>
          <t>A 36253-2024</t>
        </is>
      </c>
      <c r="B834" s="1" t="n">
        <v>45534.54032407407</v>
      </c>
      <c r="C834" s="1" t="n">
        <v>45972</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30512-2025</t>
        </is>
      </c>
      <c r="B835" s="1" t="n">
        <v>45831</v>
      </c>
      <c r="C835" s="1" t="n">
        <v>45972</v>
      </c>
      <c r="D835" t="inlineStr">
        <is>
          <t>ÖREBRO LÄN</t>
        </is>
      </c>
      <c r="E835" t="inlineStr">
        <is>
          <t>LINDESBERG</t>
        </is>
      </c>
      <c r="G835" t="n">
        <v>4.5</v>
      </c>
      <c r="H835" t="n">
        <v>0</v>
      </c>
      <c r="I835" t="n">
        <v>0</v>
      </c>
      <c r="J835" t="n">
        <v>0</v>
      </c>
      <c r="K835" t="n">
        <v>0</v>
      </c>
      <c r="L835" t="n">
        <v>0</v>
      </c>
      <c r="M835" t="n">
        <v>0</v>
      </c>
      <c r="N835" t="n">
        <v>0</v>
      </c>
      <c r="O835" t="n">
        <v>0</v>
      </c>
      <c r="P835" t="n">
        <v>0</v>
      </c>
      <c r="Q835" t="n">
        <v>0</v>
      </c>
      <c r="R835" s="2" t="inlineStr"/>
    </row>
    <row r="836" ht="15" customHeight="1">
      <c r="A836" t="inlineStr">
        <is>
          <t>A 36572-2025</t>
        </is>
      </c>
      <c r="B836" s="1" t="n">
        <v>45870</v>
      </c>
      <c r="C836" s="1" t="n">
        <v>45972</v>
      </c>
      <c r="D836" t="inlineStr">
        <is>
          <t>ÖREBRO LÄN</t>
        </is>
      </c>
      <c r="E836" t="inlineStr">
        <is>
          <t>LINDESBERG</t>
        </is>
      </c>
      <c r="G836" t="n">
        <v>11.9</v>
      </c>
      <c r="H836" t="n">
        <v>0</v>
      </c>
      <c r="I836" t="n">
        <v>0</v>
      </c>
      <c r="J836" t="n">
        <v>0</v>
      </c>
      <c r="K836" t="n">
        <v>0</v>
      </c>
      <c r="L836" t="n">
        <v>0</v>
      </c>
      <c r="M836" t="n">
        <v>0</v>
      </c>
      <c r="N836" t="n">
        <v>0</v>
      </c>
      <c r="O836" t="n">
        <v>0</v>
      </c>
      <c r="P836" t="n">
        <v>0</v>
      </c>
      <c r="Q836" t="n">
        <v>0</v>
      </c>
      <c r="R836" s="2" t="inlineStr"/>
    </row>
    <row r="837" ht="15" customHeight="1">
      <c r="A837" t="inlineStr">
        <is>
          <t>A 36577-2025</t>
        </is>
      </c>
      <c r="B837" s="1" t="n">
        <v>45870</v>
      </c>
      <c r="C837" s="1" t="n">
        <v>45972</v>
      </c>
      <c r="D837" t="inlineStr">
        <is>
          <t>ÖREBRO LÄN</t>
        </is>
      </c>
      <c r="E837" t="inlineStr">
        <is>
          <t>LINDESBERG</t>
        </is>
      </c>
      <c r="G837" t="n">
        <v>3.7</v>
      </c>
      <c r="H837" t="n">
        <v>0</v>
      </c>
      <c r="I837" t="n">
        <v>0</v>
      </c>
      <c r="J837" t="n">
        <v>0</v>
      </c>
      <c r="K837" t="n">
        <v>0</v>
      </c>
      <c r="L837" t="n">
        <v>0</v>
      </c>
      <c r="M837" t="n">
        <v>0</v>
      </c>
      <c r="N837" t="n">
        <v>0</v>
      </c>
      <c r="O837" t="n">
        <v>0</v>
      </c>
      <c r="P837" t="n">
        <v>0</v>
      </c>
      <c r="Q837" t="n">
        <v>0</v>
      </c>
      <c r="R837" s="2" t="inlineStr"/>
    </row>
    <row r="838" ht="15" customHeight="1">
      <c r="A838" t="inlineStr">
        <is>
          <t>A 36574-2025</t>
        </is>
      </c>
      <c r="B838" s="1" t="n">
        <v>45870</v>
      </c>
      <c r="C838" s="1" t="n">
        <v>45972</v>
      </c>
      <c r="D838" t="inlineStr">
        <is>
          <t>ÖREBRO LÄN</t>
        </is>
      </c>
      <c r="E838" t="inlineStr">
        <is>
          <t>LINDESBERG</t>
        </is>
      </c>
      <c r="G838" t="n">
        <v>4</v>
      </c>
      <c r="H838" t="n">
        <v>0</v>
      </c>
      <c r="I838" t="n">
        <v>0</v>
      </c>
      <c r="J838" t="n">
        <v>0</v>
      </c>
      <c r="K838" t="n">
        <v>0</v>
      </c>
      <c r="L838" t="n">
        <v>0</v>
      </c>
      <c r="M838" t="n">
        <v>0</v>
      </c>
      <c r="N838" t="n">
        <v>0</v>
      </c>
      <c r="O838" t="n">
        <v>0</v>
      </c>
      <c r="P838" t="n">
        <v>0</v>
      </c>
      <c r="Q838" t="n">
        <v>0</v>
      </c>
      <c r="R838" s="2" t="inlineStr"/>
    </row>
    <row r="839" ht="15" customHeight="1">
      <c r="A839" t="inlineStr">
        <is>
          <t>A 27130-2024</t>
        </is>
      </c>
      <c r="B839" s="1" t="n">
        <v>45471.52072916667</v>
      </c>
      <c r="C839" s="1" t="n">
        <v>45972</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36579-2025</t>
        </is>
      </c>
      <c r="B840" s="1" t="n">
        <v>45870</v>
      </c>
      <c r="C840" s="1" t="n">
        <v>45972</v>
      </c>
      <c r="D840" t="inlineStr">
        <is>
          <t>ÖREBRO LÄN</t>
        </is>
      </c>
      <c r="E840" t="inlineStr">
        <is>
          <t>LINDESBERG</t>
        </is>
      </c>
      <c r="G840" t="n">
        <v>6</v>
      </c>
      <c r="H840" t="n">
        <v>0</v>
      </c>
      <c r="I840" t="n">
        <v>0</v>
      </c>
      <c r="J840" t="n">
        <v>0</v>
      </c>
      <c r="K840" t="n">
        <v>0</v>
      </c>
      <c r="L840" t="n">
        <v>0</v>
      </c>
      <c r="M840" t="n">
        <v>0</v>
      </c>
      <c r="N840" t="n">
        <v>0</v>
      </c>
      <c r="O840" t="n">
        <v>0</v>
      </c>
      <c r="P840" t="n">
        <v>0</v>
      </c>
      <c r="Q840" t="n">
        <v>0</v>
      </c>
      <c r="R840" s="2" t="inlineStr"/>
    </row>
    <row r="841" ht="15" customHeight="1">
      <c r="A841" t="inlineStr">
        <is>
          <t>A 59804-2023</t>
        </is>
      </c>
      <c r="B841" s="1" t="n">
        <v>45257.48188657407</v>
      </c>
      <c r="C841" s="1" t="n">
        <v>45972</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27434-2023</t>
        </is>
      </c>
      <c r="B842" s="1" t="n">
        <v>45097.38688657407</v>
      </c>
      <c r="C842" s="1" t="n">
        <v>45972</v>
      </c>
      <c r="D842" t="inlineStr">
        <is>
          <t>ÖREBRO LÄN</t>
        </is>
      </c>
      <c r="E842" t="inlineStr">
        <is>
          <t>LINDESBERG</t>
        </is>
      </c>
      <c r="G842" t="n">
        <v>10.7</v>
      </c>
      <c r="H842" t="n">
        <v>0</v>
      </c>
      <c r="I842" t="n">
        <v>0</v>
      </c>
      <c r="J842" t="n">
        <v>0</v>
      </c>
      <c r="K842" t="n">
        <v>0</v>
      </c>
      <c r="L842" t="n">
        <v>0</v>
      </c>
      <c r="M842" t="n">
        <v>0</v>
      </c>
      <c r="N842" t="n">
        <v>0</v>
      </c>
      <c r="O842" t="n">
        <v>0</v>
      </c>
      <c r="P842" t="n">
        <v>0</v>
      </c>
      <c r="Q842" t="n">
        <v>0</v>
      </c>
      <c r="R842" s="2" t="inlineStr"/>
    </row>
    <row r="843" ht="15" customHeight="1">
      <c r="A843" t="inlineStr">
        <is>
          <t>A 45060-2024</t>
        </is>
      </c>
      <c r="B843" s="1" t="n">
        <v>45575.55570601852</v>
      </c>
      <c r="C843" s="1" t="n">
        <v>45972</v>
      </c>
      <c r="D843" t="inlineStr">
        <is>
          <t>ÖREBRO LÄN</t>
        </is>
      </c>
      <c r="E843" t="inlineStr">
        <is>
          <t>LINDESBERG</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72706-2021</t>
        </is>
      </c>
      <c r="B844" s="1" t="n">
        <v>44546.67222222222</v>
      </c>
      <c r="C844" s="1" t="n">
        <v>45972</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53366-2023</t>
        </is>
      </c>
      <c r="B845" s="1" t="n">
        <v>45229</v>
      </c>
      <c r="C845" s="1" t="n">
        <v>45972</v>
      </c>
      <c r="D845" t="inlineStr">
        <is>
          <t>ÖREBRO LÄN</t>
        </is>
      </c>
      <c r="E845" t="inlineStr">
        <is>
          <t>LINDESBERG</t>
        </is>
      </c>
      <c r="G845" t="n">
        <v>1.9</v>
      </c>
      <c r="H845" t="n">
        <v>0</v>
      </c>
      <c r="I845" t="n">
        <v>0</v>
      </c>
      <c r="J845" t="n">
        <v>0</v>
      </c>
      <c r="K845" t="n">
        <v>0</v>
      </c>
      <c r="L845" t="n">
        <v>0</v>
      </c>
      <c r="M845" t="n">
        <v>0</v>
      </c>
      <c r="N845" t="n">
        <v>0</v>
      </c>
      <c r="O845" t="n">
        <v>0</v>
      </c>
      <c r="P845" t="n">
        <v>0</v>
      </c>
      <c r="Q845" t="n">
        <v>0</v>
      </c>
      <c r="R845" s="2" t="inlineStr"/>
    </row>
    <row r="846" ht="15" customHeight="1">
      <c r="A846" t="inlineStr">
        <is>
          <t>A 36859-2025</t>
        </is>
      </c>
      <c r="B846" s="1" t="n">
        <v>45874.40503472222</v>
      </c>
      <c r="C846" s="1" t="n">
        <v>45972</v>
      </c>
      <c r="D846" t="inlineStr">
        <is>
          <t>ÖREBRO LÄN</t>
        </is>
      </c>
      <c r="E846" t="inlineStr">
        <is>
          <t>LINDESBERG</t>
        </is>
      </c>
      <c r="F846" t="inlineStr">
        <is>
          <t>Övriga Aktiebolag</t>
        </is>
      </c>
      <c r="G846" t="n">
        <v>1.4</v>
      </c>
      <c r="H846" t="n">
        <v>0</v>
      </c>
      <c r="I846" t="n">
        <v>0</v>
      </c>
      <c r="J846" t="n">
        <v>0</v>
      </c>
      <c r="K846" t="n">
        <v>0</v>
      </c>
      <c r="L846" t="n">
        <v>0</v>
      </c>
      <c r="M846" t="n">
        <v>0</v>
      </c>
      <c r="N846" t="n">
        <v>0</v>
      </c>
      <c r="O846" t="n">
        <v>0</v>
      </c>
      <c r="P846" t="n">
        <v>0</v>
      </c>
      <c r="Q846" t="n">
        <v>0</v>
      </c>
      <c r="R846" s="2" t="inlineStr"/>
    </row>
    <row r="847" ht="15" customHeight="1">
      <c r="A847" t="inlineStr">
        <is>
          <t>A 19219-2023</t>
        </is>
      </c>
      <c r="B847" s="1" t="n">
        <v>45048</v>
      </c>
      <c r="C847" s="1" t="n">
        <v>45972</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19043-2023</t>
        </is>
      </c>
      <c r="B848" s="1" t="n">
        <v>45047.7181712963</v>
      </c>
      <c r="C848" s="1" t="n">
        <v>45972</v>
      </c>
      <c r="D848" t="inlineStr">
        <is>
          <t>ÖREBRO LÄN</t>
        </is>
      </c>
      <c r="E848" t="inlineStr">
        <is>
          <t>LINDESBERG</t>
        </is>
      </c>
      <c r="G848" t="n">
        <v>2.6</v>
      </c>
      <c r="H848" t="n">
        <v>0</v>
      </c>
      <c r="I848" t="n">
        <v>0</v>
      </c>
      <c r="J848" t="n">
        <v>0</v>
      </c>
      <c r="K848" t="n">
        <v>0</v>
      </c>
      <c r="L848" t="n">
        <v>0</v>
      </c>
      <c r="M848" t="n">
        <v>0</v>
      </c>
      <c r="N848" t="n">
        <v>0</v>
      </c>
      <c r="O848" t="n">
        <v>0</v>
      </c>
      <c r="P848" t="n">
        <v>0</v>
      </c>
      <c r="Q848" t="n">
        <v>0</v>
      </c>
      <c r="R848" s="2" t="inlineStr"/>
    </row>
    <row r="849" ht="15" customHeight="1">
      <c r="A849" t="inlineStr">
        <is>
          <t>A 27031-2024</t>
        </is>
      </c>
      <c r="B849" s="1" t="n">
        <v>45471.42659722222</v>
      </c>
      <c r="C849" s="1" t="n">
        <v>45972</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38696-2024</t>
        </is>
      </c>
      <c r="B850" s="1" t="n">
        <v>45547.36590277778</v>
      </c>
      <c r="C850" s="1" t="n">
        <v>45972</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66214-2020</t>
        </is>
      </c>
      <c r="B851" s="1" t="n">
        <v>44175</v>
      </c>
      <c r="C851" s="1" t="n">
        <v>45972</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4924-2021</t>
        </is>
      </c>
      <c r="B852" s="1" t="n">
        <v>44227</v>
      </c>
      <c r="C852" s="1" t="n">
        <v>45972</v>
      </c>
      <c r="D852" t="inlineStr">
        <is>
          <t>ÖREBRO LÄN</t>
        </is>
      </c>
      <c r="E852" t="inlineStr">
        <is>
          <t>LINDESBERG</t>
        </is>
      </c>
      <c r="G852" t="n">
        <v>1.6</v>
      </c>
      <c r="H852" t="n">
        <v>0</v>
      </c>
      <c r="I852" t="n">
        <v>0</v>
      </c>
      <c r="J852" t="n">
        <v>0</v>
      </c>
      <c r="K852" t="n">
        <v>0</v>
      </c>
      <c r="L852" t="n">
        <v>0</v>
      </c>
      <c r="M852" t="n">
        <v>0</v>
      </c>
      <c r="N852" t="n">
        <v>0</v>
      </c>
      <c r="O852" t="n">
        <v>0</v>
      </c>
      <c r="P852" t="n">
        <v>0</v>
      </c>
      <c r="Q852" t="n">
        <v>0</v>
      </c>
      <c r="R852" s="2" t="inlineStr"/>
    </row>
    <row r="853" ht="15" customHeight="1">
      <c r="A853" t="inlineStr">
        <is>
          <t>A 37301-2025</t>
        </is>
      </c>
      <c r="B853" s="1" t="n">
        <v>45876.59166666667</v>
      </c>
      <c r="C853" s="1" t="n">
        <v>45972</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45972</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37500-2025</t>
        </is>
      </c>
      <c r="B855" s="1" t="n">
        <v>45877.64776620371</v>
      </c>
      <c r="C855" s="1" t="n">
        <v>45972</v>
      </c>
      <c r="D855" t="inlineStr">
        <is>
          <t>ÖREBRO LÄN</t>
        </is>
      </c>
      <c r="E855" t="inlineStr">
        <is>
          <t>LINDESBERG</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37503-2025</t>
        </is>
      </c>
      <c r="B856" s="1" t="n">
        <v>45877.65075231482</v>
      </c>
      <c r="C856" s="1" t="n">
        <v>45972</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37501-2025</t>
        </is>
      </c>
      <c r="B857" s="1" t="n">
        <v>45877.64847222222</v>
      </c>
      <c r="C857" s="1" t="n">
        <v>45972</v>
      </c>
      <c r="D857" t="inlineStr">
        <is>
          <t>ÖREBRO LÄN</t>
        </is>
      </c>
      <c r="E857" t="inlineStr">
        <is>
          <t>LINDESBERG</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37552-2025</t>
        </is>
      </c>
      <c r="B858" s="1" t="n">
        <v>45880.28673611111</v>
      </c>
      <c r="C858" s="1" t="n">
        <v>45972</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32262-2021</t>
        </is>
      </c>
      <c r="B859" s="1" t="n">
        <v>44371.47609953704</v>
      </c>
      <c r="C859" s="1" t="n">
        <v>45972</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37491-2025</t>
        </is>
      </c>
      <c r="B860" s="1" t="n">
        <v>45877.64144675926</v>
      </c>
      <c r="C860" s="1" t="n">
        <v>45972</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37499-2025</t>
        </is>
      </c>
      <c r="B861" s="1" t="n">
        <v>45877.64605324074</v>
      </c>
      <c r="C861" s="1" t="n">
        <v>45972</v>
      </c>
      <c r="D861" t="inlineStr">
        <is>
          <t>ÖREBRO LÄN</t>
        </is>
      </c>
      <c r="E861" t="inlineStr">
        <is>
          <t>LINDESBERG</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37602-2025</t>
        </is>
      </c>
      <c r="B862" s="1" t="n">
        <v>45880</v>
      </c>
      <c r="C862" s="1" t="n">
        <v>45972</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37625-2025</t>
        </is>
      </c>
      <c r="B863" s="1" t="n">
        <v>45880.46056712963</v>
      </c>
      <c r="C863" s="1" t="n">
        <v>45972</v>
      </c>
      <c r="D863" t="inlineStr">
        <is>
          <t>ÖREBRO LÄN</t>
        </is>
      </c>
      <c r="E863" t="inlineStr">
        <is>
          <t>LINDESBERG</t>
        </is>
      </c>
      <c r="G863" t="n">
        <v>12.5</v>
      </c>
      <c r="H863" t="n">
        <v>0</v>
      </c>
      <c r="I863" t="n">
        <v>0</v>
      </c>
      <c r="J863" t="n">
        <v>0</v>
      </c>
      <c r="K863" t="n">
        <v>0</v>
      </c>
      <c r="L863" t="n">
        <v>0</v>
      </c>
      <c r="M863" t="n">
        <v>0</v>
      </c>
      <c r="N863" t="n">
        <v>0</v>
      </c>
      <c r="O863" t="n">
        <v>0</v>
      </c>
      <c r="P863" t="n">
        <v>0</v>
      </c>
      <c r="Q863" t="n">
        <v>0</v>
      </c>
      <c r="R863" s="2" t="inlineStr"/>
    </row>
    <row r="864" ht="15" customHeight="1">
      <c r="A864" t="inlineStr">
        <is>
          <t>A 37553-2025</t>
        </is>
      </c>
      <c r="B864" s="1" t="n">
        <v>45880.3172337963</v>
      </c>
      <c r="C864" s="1" t="n">
        <v>45972</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37497-2025</t>
        </is>
      </c>
      <c r="B865" s="1" t="n">
        <v>45877.64431712963</v>
      </c>
      <c r="C865" s="1" t="n">
        <v>45972</v>
      </c>
      <c r="D865" t="inlineStr">
        <is>
          <t>ÖREBRO LÄN</t>
        </is>
      </c>
      <c r="E865" t="inlineStr">
        <is>
          <t>LINDESBERG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37492-2025</t>
        </is>
      </c>
      <c r="B866" s="1" t="n">
        <v>45877.64230324074</v>
      </c>
      <c r="C866" s="1" t="n">
        <v>45972</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37490-2025</t>
        </is>
      </c>
      <c r="B867" s="1" t="n">
        <v>45877.63989583333</v>
      </c>
      <c r="C867" s="1" t="n">
        <v>45972</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48265-2021</t>
        </is>
      </c>
      <c r="B868" s="1" t="n">
        <v>44449</v>
      </c>
      <c r="C868" s="1" t="n">
        <v>45972</v>
      </c>
      <c r="D868" t="inlineStr">
        <is>
          <t>ÖREBRO LÄN</t>
        </is>
      </c>
      <c r="E868" t="inlineStr">
        <is>
          <t>LINDESBERG</t>
        </is>
      </c>
      <c r="G868" t="n">
        <v>23.7</v>
      </c>
      <c r="H868" t="n">
        <v>0</v>
      </c>
      <c r="I868" t="n">
        <v>0</v>
      </c>
      <c r="J868" t="n">
        <v>0</v>
      </c>
      <c r="K868" t="n">
        <v>0</v>
      </c>
      <c r="L868" t="n">
        <v>0</v>
      </c>
      <c r="M868" t="n">
        <v>0</v>
      </c>
      <c r="N868" t="n">
        <v>0</v>
      </c>
      <c r="O868" t="n">
        <v>0</v>
      </c>
      <c r="P868" t="n">
        <v>0</v>
      </c>
      <c r="Q868" t="n">
        <v>0</v>
      </c>
      <c r="R868" s="2" t="inlineStr"/>
    </row>
    <row r="869" ht="15" customHeight="1">
      <c r="A869" t="inlineStr">
        <is>
          <t>A 14028-2023</t>
        </is>
      </c>
      <c r="B869" s="1" t="n">
        <v>45008</v>
      </c>
      <c r="C869" s="1" t="n">
        <v>45972</v>
      </c>
      <c r="D869" t="inlineStr">
        <is>
          <t>ÖREBRO LÄN</t>
        </is>
      </c>
      <c r="E869" t="inlineStr">
        <is>
          <t>LINDESBERG</t>
        </is>
      </c>
      <c r="F869" t="inlineStr">
        <is>
          <t>Kyrkan</t>
        </is>
      </c>
      <c r="G869" t="n">
        <v>1.1</v>
      </c>
      <c r="H869" t="n">
        <v>0</v>
      </c>
      <c r="I869" t="n">
        <v>0</v>
      </c>
      <c r="J869" t="n">
        <v>0</v>
      </c>
      <c r="K869" t="n">
        <v>0</v>
      </c>
      <c r="L869" t="n">
        <v>0</v>
      </c>
      <c r="M869" t="n">
        <v>0</v>
      </c>
      <c r="N869" t="n">
        <v>0</v>
      </c>
      <c r="O869" t="n">
        <v>0</v>
      </c>
      <c r="P869" t="n">
        <v>0</v>
      </c>
      <c r="Q869" t="n">
        <v>0</v>
      </c>
      <c r="R869" s="2" t="inlineStr"/>
    </row>
    <row r="870" ht="15" customHeight="1">
      <c r="A870" t="inlineStr">
        <is>
          <t>A 37935-2025</t>
        </is>
      </c>
      <c r="B870" s="1" t="n">
        <v>45881.59550925926</v>
      </c>
      <c r="C870" s="1" t="n">
        <v>45972</v>
      </c>
      <c r="D870" t="inlineStr">
        <is>
          <t>ÖREBRO LÄN</t>
        </is>
      </c>
      <c r="E870" t="inlineStr">
        <is>
          <t>LINDESBERG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45972</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57069-2022</t>
        </is>
      </c>
      <c r="B872" s="1" t="n">
        <v>44895</v>
      </c>
      <c r="C872" s="1" t="n">
        <v>45972</v>
      </c>
      <c r="D872" t="inlineStr">
        <is>
          <t>ÖREBRO LÄN</t>
        </is>
      </c>
      <c r="E872" t="inlineStr">
        <is>
          <t>LINDESBERG</t>
        </is>
      </c>
      <c r="G872" t="n">
        <v>2.3</v>
      </c>
      <c r="H872" t="n">
        <v>0</v>
      </c>
      <c r="I872" t="n">
        <v>0</v>
      </c>
      <c r="J872" t="n">
        <v>0</v>
      </c>
      <c r="K872" t="n">
        <v>0</v>
      </c>
      <c r="L872" t="n">
        <v>0</v>
      </c>
      <c r="M872" t="n">
        <v>0</v>
      </c>
      <c r="N872" t="n">
        <v>0</v>
      </c>
      <c r="O872" t="n">
        <v>0</v>
      </c>
      <c r="P872" t="n">
        <v>0</v>
      </c>
      <c r="Q872" t="n">
        <v>0</v>
      </c>
      <c r="R872" s="2" t="inlineStr"/>
    </row>
    <row r="873" ht="15" customHeight="1">
      <c r="A873" t="inlineStr">
        <is>
          <t>A 61405-2022</t>
        </is>
      </c>
      <c r="B873" s="1" t="n">
        <v>44916</v>
      </c>
      <c r="C873" s="1" t="n">
        <v>45972</v>
      </c>
      <c r="D873" t="inlineStr">
        <is>
          <t>ÖREBRO LÄN</t>
        </is>
      </c>
      <c r="E873" t="inlineStr">
        <is>
          <t>LINDESBERG</t>
        </is>
      </c>
      <c r="G873" t="n">
        <v>4.4</v>
      </c>
      <c r="H873" t="n">
        <v>0</v>
      </c>
      <c r="I873" t="n">
        <v>0</v>
      </c>
      <c r="J873" t="n">
        <v>0</v>
      </c>
      <c r="K873" t="n">
        <v>0</v>
      </c>
      <c r="L873" t="n">
        <v>0</v>
      </c>
      <c r="M873" t="n">
        <v>0</v>
      </c>
      <c r="N873" t="n">
        <v>0</v>
      </c>
      <c r="O873" t="n">
        <v>0</v>
      </c>
      <c r="P873" t="n">
        <v>0</v>
      </c>
      <c r="Q873" t="n">
        <v>0</v>
      </c>
      <c r="R873" s="2" t="inlineStr"/>
    </row>
    <row r="874" ht="15" customHeight="1">
      <c r="A874" t="inlineStr">
        <is>
          <t>A 9961-2023</t>
        </is>
      </c>
      <c r="B874" s="1" t="n">
        <v>44979</v>
      </c>
      <c r="C874" s="1" t="n">
        <v>45972</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46757-2025</t>
        </is>
      </c>
      <c r="B875" s="1" t="n">
        <v>45926.62039351852</v>
      </c>
      <c r="C875" s="1" t="n">
        <v>45972</v>
      </c>
      <c r="D875" t="inlineStr">
        <is>
          <t>ÖREBRO LÄN</t>
        </is>
      </c>
      <c r="E875" t="inlineStr">
        <is>
          <t>LINDESBERG</t>
        </is>
      </c>
      <c r="G875" t="n">
        <v>7.9</v>
      </c>
      <c r="H875" t="n">
        <v>0</v>
      </c>
      <c r="I875" t="n">
        <v>0</v>
      </c>
      <c r="J875" t="n">
        <v>0</v>
      </c>
      <c r="K875" t="n">
        <v>0</v>
      </c>
      <c r="L875" t="n">
        <v>0</v>
      </c>
      <c r="M875" t="n">
        <v>0</v>
      </c>
      <c r="N875" t="n">
        <v>0</v>
      </c>
      <c r="O875" t="n">
        <v>0</v>
      </c>
      <c r="P875" t="n">
        <v>0</v>
      </c>
      <c r="Q875" t="n">
        <v>0</v>
      </c>
      <c r="R875" s="2" t="inlineStr"/>
    </row>
    <row r="876" ht="15" customHeight="1">
      <c r="A876" t="inlineStr">
        <is>
          <t>A 46484-2025</t>
        </is>
      </c>
      <c r="B876" s="1" t="n">
        <v>45925.70290509259</v>
      </c>
      <c r="C876" s="1" t="n">
        <v>45972</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46404-2025</t>
        </is>
      </c>
      <c r="B877" s="1" t="n">
        <v>45925.56173611111</v>
      </c>
      <c r="C877" s="1" t="n">
        <v>45972</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55255-2025</t>
        </is>
      </c>
      <c r="B878" s="1" t="n">
        <v>45968.63695601852</v>
      </c>
      <c r="C878" s="1" t="n">
        <v>45972</v>
      </c>
      <c r="D878" t="inlineStr">
        <is>
          <t>ÖREBRO LÄN</t>
        </is>
      </c>
      <c r="E878" t="inlineStr">
        <is>
          <t>LINDESBERG</t>
        </is>
      </c>
      <c r="F878" t="inlineStr">
        <is>
          <t>Kyrkan</t>
        </is>
      </c>
      <c r="G878" t="n">
        <v>1</v>
      </c>
      <c r="H878" t="n">
        <v>0</v>
      </c>
      <c r="I878" t="n">
        <v>0</v>
      </c>
      <c r="J878" t="n">
        <v>0</v>
      </c>
      <c r="K878" t="n">
        <v>0</v>
      </c>
      <c r="L878" t="n">
        <v>0</v>
      </c>
      <c r="M878" t="n">
        <v>0</v>
      </c>
      <c r="N878" t="n">
        <v>0</v>
      </c>
      <c r="O878" t="n">
        <v>0</v>
      </c>
      <c r="P878" t="n">
        <v>0</v>
      </c>
      <c r="Q878" t="n">
        <v>0</v>
      </c>
      <c r="R878" s="2" t="inlineStr"/>
    </row>
    <row r="879">
      <c r="A879" t="inlineStr">
        <is>
          <t>A 55065-2025</t>
        </is>
      </c>
      <c r="B879" s="1" t="n">
        <v>45967.7096875</v>
      </c>
      <c r="C879" s="1" t="n">
        <v>45972</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2025-11-11T10:07:27Z</dcterms:created>
  <dcterms:modified xmlns:dcterms="http://purl.org/dc/terms/" xmlns:xsi="http://www.w3.org/2001/XMLSchema-instance" xsi:type="dcterms:W3CDTF">2025-11-11T10:07:28Z</dcterms:modified>
</cp:coreProperties>
</file>