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46082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46082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46082</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46082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46082</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50989-2023</t>
        </is>
      </c>
      <c r="B23" s="1" t="n">
        <v>45218</v>
      </c>
      <c r="C23" s="1" t="n">
        <v>46082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46082</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46082</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46082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46082</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46082</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46082</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46082</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46082</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46082</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46082</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46082</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8178-2026</t>
        </is>
      </c>
      <c r="B36" s="1" t="n">
        <v>46064.41263888889</v>
      </c>
      <c r="C36" s="1" t="n">
        <v>46082</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14807-2021</t>
        </is>
      </c>
      <c r="B37" s="1" t="n">
        <v>44280</v>
      </c>
      <c r="C37" s="1" t="n">
        <v>46082</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46082</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46082</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38380-2024</t>
        </is>
      </c>
      <c r="B40" s="1" t="n">
        <v>45546.28121527778</v>
      </c>
      <c r="C40" s="1" t="n">
        <v>46082</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46082</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46082</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46082</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46082</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46082</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46082</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46082</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46082</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3729-2023</t>
        </is>
      </c>
      <c r="B49" s="1" t="n">
        <v>44949</v>
      </c>
      <c r="C49" s="1" t="n">
        <v>46082</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30347-2025</t>
        </is>
      </c>
      <c r="B50" s="1" t="n">
        <v>45827.53077546296</v>
      </c>
      <c r="C50" s="1" t="n">
        <v>46082</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31052-2025</t>
        </is>
      </c>
      <c r="B51" s="1" t="n">
        <v>45832.56153935185</v>
      </c>
      <c r="C51" s="1" t="n">
        <v>46082</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36669-2024</t>
        </is>
      </c>
      <c r="B52" s="1" t="n">
        <v>45537.64484953704</v>
      </c>
      <c r="C52" s="1" t="n">
        <v>46082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45467-2025</t>
        </is>
      </c>
      <c r="B53" s="1" t="n">
        <v>45922.49990740741</v>
      </c>
      <c r="C53" s="1" t="n">
        <v>46082</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37834-2025</t>
        </is>
      </c>
      <c r="B54" s="1" t="n">
        <v>45881.42446759259</v>
      </c>
      <c r="C54" s="1" t="n">
        <v>46082</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48956-2025</t>
        </is>
      </c>
      <c r="B55" s="1" t="n">
        <v>45937.54982638889</v>
      </c>
      <c r="C55" s="1" t="n">
        <v>46082</v>
      </c>
      <c r="D55" t="inlineStr">
        <is>
          <t>ÖREBRO LÄN</t>
        </is>
      </c>
      <c r="E55" t="inlineStr">
        <is>
          <t>LINDESBERG</t>
        </is>
      </c>
      <c r="F55" t="inlineStr">
        <is>
          <t>Sveaskog</t>
        </is>
      </c>
      <c r="G55" t="n">
        <v>2.7</v>
      </c>
      <c r="H55" t="n">
        <v>1</v>
      </c>
      <c r="I55" t="n">
        <v>0</v>
      </c>
      <c r="J55" t="n">
        <v>0</v>
      </c>
      <c r="K55" t="n">
        <v>0</v>
      </c>
      <c r="L55" t="n">
        <v>0</v>
      </c>
      <c r="M55" t="n">
        <v>0</v>
      </c>
      <c r="N55" t="n">
        <v>0</v>
      </c>
      <c r="O55" t="n">
        <v>0</v>
      </c>
      <c r="P55" t="n">
        <v>0</v>
      </c>
      <c r="Q55" t="n">
        <v>1</v>
      </c>
      <c r="R55" s="2" t="inlineStr">
        <is>
          <t>Mattlummer</t>
        </is>
      </c>
      <c r="S55">
        <f>HYPERLINK("https://klasma.github.io/Logging_1885/artfynd/A 48956-2025 artfynd.xlsx", "A 48956-2025")</f>
        <v/>
      </c>
      <c r="T55">
        <f>HYPERLINK("https://klasma.github.io/Logging_1885/kartor/A 48956-2025 karta.png", "A 48956-2025")</f>
        <v/>
      </c>
      <c r="V55">
        <f>HYPERLINK("https://klasma.github.io/Logging_1885/klagomål/A 48956-2025 FSC-klagomål.docx", "A 48956-2025")</f>
        <v/>
      </c>
      <c r="W55">
        <f>HYPERLINK("https://klasma.github.io/Logging_1885/klagomålsmail/A 48956-2025 FSC-klagomål mail.docx", "A 48956-2025")</f>
        <v/>
      </c>
      <c r="X55">
        <f>HYPERLINK("https://klasma.github.io/Logging_1885/tillsyn/A 48956-2025 tillsynsbegäran.docx", "A 48956-2025")</f>
        <v/>
      </c>
      <c r="Y55">
        <f>HYPERLINK("https://klasma.github.io/Logging_1885/tillsynsmail/A 48956-2025 tillsynsbegäran mail.docx", "A 48956-2025")</f>
        <v/>
      </c>
    </row>
    <row r="56" ht="15" customHeight="1">
      <c r="A56" t="inlineStr">
        <is>
          <t>A 50766-2025</t>
        </is>
      </c>
      <c r="B56" s="1" t="n">
        <v>45946.44423611111</v>
      </c>
      <c r="C56" s="1" t="n">
        <v>46082</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46082</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46082</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46082</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46082</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46082</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46082</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46082</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57362-2025</t>
        </is>
      </c>
      <c r="B64" s="1" t="n">
        <v>45980.37108796297</v>
      </c>
      <c r="C64" s="1" t="n">
        <v>46082</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46082</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53598-2024</t>
        </is>
      </c>
      <c r="B66" s="1" t="n">
        <v>45614.68287037037</v>
      </c>
      <c r="C66" s="1" t="n">
        <v>46082</v>
      </c>
      <c r="D66" t="inlineStr">
        <is>
          <t>ÖREBRO LÄN</t>
        </is>
      </c>
      <c r="E66" t="inlineStr">
        <is>
          <t>LINDESBERG</t>
        </is>
      </c>
      <c r="G66" t="n">
        <v>3.1</v>
      </c>
      <c r="H66" t="n">
        <v>1</v>
      </c>
      <c r="I66" t="n">
        <v>0</v>
      </c>
      <c r="J66" t="n">
        <v>0</v>
      </c>
      <c r="K66" t="n">
        <v>0</v>
      </c>
      <c r="L66" t="n">
        <v>1</v>
      </c>
      <c r="M66" t="n">
        <v>0</v>
      </c>
      <c r="N66" t="n">
        <v>0</v>
      </c>
      <c r="O66" t="n">
        <v>1</v>
      </c>
      <c r="P66" t="n">
        <v>1</v>
      </c>
      <c r="Q66" t="n">
        <v>1</v>
      </c>
      <c r="R66" s="2" t="inlineStr">
        <is>
          <t>Asknätfjäril</t>
        </is>
      </c>
      <c r="S66">
        <f>HYPERLINK("https://klasma.github.io/Logging_1885/artfynd/A 53598-2024 artfynd.xlsx", "A 53598-2024")</f>
        <v/>
      </c>
      <c r="T66">
        <f>HYPERLINK("https://klasma.github.io/Logging_1885/kartor/A 53598-2024 karta.png", "A 53598-2024")</f>
        <v/>
      </c>
      <c r="V66">
        <f>HYPERLINK("https://klasma.github.io/Logging_1885/klagomål/A 53598-2024 FSC-klagomål.docx", "A 53598-2024")</f>
        <v/>
      </c>
      <c r="W66">
        <f>HYPERLINK("https://klasma.github.io/Logging_1885/klagomålsmail/A 53598-2024 FSC-klagomål mail.docx", "A 53598-2024")</f>
        <v/>
      </c>
      <c r="X66">
        <f>HYPERLINK("https://klasma.github.io/Logging_1885/tillsyn/A 53598-2024 tillsynsbegäran.docx", "A 53598-2024")</f>
        <v/>
      </c>
      <c r="Y66">
        <f>HYPERLINK("https://klasma.github.io/Logging_1885/tillsynsmail/A 53598-2024 tillsynsbegäran mail.docx", "A 53598-2024")</f>
        <v/>
      </c>
    </row>
    <row r="67" ht="15" customHeight="1">
      <c r="A67" t="inlineStr">
        <is>
          <t>A 70466-2021</t>
        </is>
      </c>
      <c r="B67" s="1" t="n">
        <v>44536</v>
      </c>
      <c r="C67" s="1" t="n">
        <v>46082</v>
      </c>
      <c r="D67" t="inlineStr">
        <is>
          <t>ÖREBRO LÄN</t>
        </is>
      </c>
      <c r="E67" t="inlineStr">
        <is>
          <t>LINDESBERG</t>
        </is>
      </c>
      <c r="G67" t="n">
        <v>4.4</v>
      </c>
      <c r="H67" t="n">
        <v>1</v>
      </c>
      <c r="I67" t="n">
        <v>0</v>
      </c>
      <c r="J67" t="n">
        <v>0</v>
      </c>
      <c r="K67" t="n">
        <v>1</v>
      </c>
      <c r="L67" t="n">
        <v>0</v>
      </c>
      <c r="M67" t="n">
        <v>0</v>
      </c>
      <c r="N67" t="n">
        <v>0</v>
      </c>
      <c r="O67" t="n">
        <v>1</v>
      </c>
      <c r="P67" t="n">
        <v>1</v>
      </c>
      <c r="Q67" t="n">
        <v>1</v>
      </c>
      <c r="R67" s="2" t="inlineStr">
        <is>
          <t>Knärot</t>
        </is>
      </c>
      <c r="S67">
        <f>HYPERLINK("https://klasma.github.io/Logging_1885/artfynd/A 70466-2021 artfynd.xlsx", "A 70466-2021")</f>
        <v/>
      </c>
      <c r="T67">
        <f>HYPERLINK("https://klasma.github.io/Logging_1885/kartor/A 70466-2021 karta.png", "A 70466-2021")</f>
        <v/>
      </c>
      <c r="U67">
        <f>HYPERLINK("https://klasma.github.io/Logging_1885/knärot/A 70466-2021 karta knärot.png", "A 70466-2021")</f>
        <v/>
      </c>
      <c r="V67">
        <f>HYPERLINK("https://klasma.github.io/Logging_1885/klagomål/A 70466-2021 FSC-klagomål.docx", "A 70466-2021")</f>
        <v/>
      </c>
      <c r="W67">
        <f>HYPERLINK("https://klasma.github.io/Logging_1885/klagomålsmail/A 70466-2021 FSC-klagomål mail.docx", "A 70466-2021")</f>
        <v/>
      </c>
      <c r="X67">
        <f>HYPERLINK("https://klasma.github.io/Logging_1885/tillsyn/A 70466-2021 tillsynsbegäran.docx", "A 70466-2021")</f>
        <v/>
      </c>
      <c r="Y67">
        <f>HYPERLINK("https://klasma.github.io/Logging_1885/tillsynsmail/A 70466-2021 tillsynsbegäran mail.docx", "A 70466-2021")</f>
        <v/>
      </c>
    </row>
    <row r="68" ht="15" customHeight="1">
      <c r="A68" t="inlineStr">
        <is>
          <t>A 53600-2024</t>
        </is>
      </c>
      <c r="B68" s="1" t="n">
        <v>45614.68596064814</v>
      </c>
      <c r="C68" s="1" t="n">
        <v>46082</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8196-2026</t>
        </is>
      </c>
      <c r="B69" s="1" t="n">
        <v>46064.4325</v>
      </c>
      <c r="C69" s="1" t="n">
        <v>46082</v>
      </c>
      <c r="D69" t="inlineStr">
        <is>
          <t>ÖREBRO LÄN</t>
        </is>
      </c>
      <c r="E69" t="inlineStr">
        <is>
          <t>LINDESBERG</t>
        </is>
      </c>
      <c r="G69" t="n">
        <v>1.3</v>
      </c>
      <c r="H69" t="n">
        <v>0</v>
      </c>
      <c r="I69" t="n">
        <v>1</v>
      </c>
      <c r="J69" t="n">
        <v>0</v>
      </c>
      <c r="K69" t="n">
        <v>0</v>
      </c>
      <c r="L69" t="n">
        <v>0</v>
      </c>
      <c r="M69" t="n">
        <v>0</v>
      </c>
      <c r="N69" t="n">
        <v>0</v>
      </c>
      <c r="O69" t="n">
        <v>0</v>
      </c>
      <c r="P69" t="n">
        <v>0</v>
      </c>
      <c r="Q69" t="n">
        <v>1</v>
      </c>
      <c r="R69" s="2" t="inlineStr">
        <is>
          <t>Västlig hakmossa</t>
        </is>
      </c>
      <c r="S69">
        <f>HYPERLINK("https://klasma.github.io/Logging_1885/artfynd/A 8196-2026 artfynd.xlsx", "A 8196-2026")</f>
        <v/>
      </c>
      <c r="T69">
        <f>HYPERLINK("https://klasma.github.io/Logging_1885/kartor/A 8196-2026 karta.png", "A 8196-2026")</f>
        <v/>
      </c>
      <c r="V69">
        <f>HYPERLINK("https://klasma.github.io/Logging_1885/klagomål/A 8196-2026 FSC-klagomål.docx", "A 8196-2026")</f>
        <v/>
      </c>
      <c r="W69">
        <f>HYPERLINK("https://klasma.github.io/Logging_1885/klagomålsmail/A 8196-2026 FSC-klagomål mail.docx", "A 8196-2026")</f>
        <v/>
      </c>
      <c r="X69">
        <f>HYPERLINK("https://klasma.github.io/Logging_1885/tillsyn/A 8196-2026 tillsynsbegäran.docx", "A 8196-2026")</f>
        <v/>
      </c>
      <c r="Y69">
        <f>HYPERLINK("https://klasma.github.io/Logging_1885/tillsynsmail/A 8196-2026 tillsynsbegäran mail.docx", "A 8196-2026")</f>
        <v/>
      </c>
    </row>
    <row r="70" ht="15" customHeight="1">
      <c r="A70" t="inlineStr">
        <is>
          <t>A 8175-2026</t>
        </is>
      </c>
      <c r="B70" s="1" t="n">
        <v>46064</v>
      </c>
      <c r="C70" s="1" t="n">
        <v>46082</v>
      </c>
      <c r="D70" t="inlineStr">
        <is>
          <t>ÖREBRO LÄN</t>
        </is>
      </c>
      <c r="E70" t="inlineStr">
        <is>
          <t>LINDESBERG</t>
        </is>
      </c>
      <c r="G70" t="n">
        <v>2.4</v>
      </c>
      <c r="H70" t="n">
        <v>0</v>
      </c>
      <c r="I70" t="n">
        <v>1</v>
      </c>
      <c r="J70" t="n">
        <v>0</v>
      </c>
      <c r="K70" t="n">
        <v>0</v>
      </c>
      <c r="L70" t="n">
        <v>0</v>
      </c>
      <c r="M70" t="n">
        <v>0</v>
      </c>
      <c r="N70" t="n">
        <v>0</v>
      </c>
      <c r="O70" t="n">
        <v>0</v>
      </c>
      <c r="P70" t="n">
        <v>0</v>
      </c>
      <c r="Q70" t="n">
        <v>1</v>
      </c>
      <c r="R70" s="2" t="inlineStr">
        <is>
          <t>Svart trolldruva</t>
        </is>
      </c>
      <c r="S70">
        <f>HYPERLINK("https://klasma.github.io/Logging_1885/artfynd/A 8175-2026 artfynd.xlsx", "A 8175-2026")</f>
        <v/>
      </c>
      <c r="T70">
        <f>HYPERLINK("https://klasma.github.io/Logging_1885/kartor/A 8175-2026 karta.png", "A 8175-2026")</f>
        <v/>
      </c>
      <c r="V70">
        <f>HYPERLINK("https://klasma.github.io/Logging_1885/klagomål/A 8175-2026 FSC-klagomål.docx", "A 8175-2026")</f>
        <v/>
      </c>
      <c r="W70">
        <f>HYPERLINK("https://klasma.github.io/Logging_1885/klagomålsmail/A 8175-2026 FSC-klagomål mail.docx", "A 8175-2026")</f>
        <v/>
      </c>
      <c r="X70">
        <f>HYPERLINK("https://klasma.github.io/Logging_1885/tillsyn/A 8175-2026 tillsynsbegäran.docx", "A 8175-2026")</f>
        <v/>
      </c>
      <c r="Y70">
        <f>HYPERLINK("https://klasma.github.io/Logging_1885/tillsynsmail/A 8175-2026 tillsynsbegäran mail.docx", "A 8175-2026")</f>
        <v/>
      </c>
    </row>
    <row r="71" ht="15" customHeight="1">
      <c r="A71" t="inlineStr">
        <is>
          <t>A 8172-2026</t>
        </is>
      </c>
      <c r="B71" s="1" t="n">
        <v>46064</v>
      </c>
      <c r="C71" s="1" t="n">
        <v>46082</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8195-2026</t>
        </is>
      </c>
      <c r="B72" s="1" t="n">
        <v>46064.43017361111</v>
      </c>
      <c r="C72" s="1" t="n">
        <v>46082</v>
      </c>
      <c r="D72" t="inlineStr">
        <is>
          <t>ÖREBRO LÄN</t>
        </is>
      </c>
      <c r="E72" t="inlineStr">
        <is>
          <t>LINDESBERG</t>
        </is>
      </c>
      <c r="G72" t="n">
        <v>2.3</v>
      </c>
      <c r="H72" t="n">
        <v>0</v>
      </c>
      <c r="I72" t="n">
        <v>1</v>
      </c>
      <c r="J72" t="n">
        <v>0</v>
      </c>
      <c r="K72" t="n">
        <v>0</v>
      </c>
      <c r="L72" t="n">
        <v>0</v>
      </c>
      <c r="M72" t="n">
        <v>0</v>
      </c>
      <c r="N72" t="n">
        <v>0</v>
      </c>
      <c r="O72" t="n">
        <v>0</v>
      </c>
      <c r="P72" t="n">
        <v>0</v>
      </c>
      <c r="Q72" t="n">
        <v>1</v>
      </c>
      <c r="R72" s="2" t="inlineStr">
        <is>
          <t>Rödgul trumpetsvamp</t>
        </is>
      </c>
      <c r="S72">
        <f>HYPERLINK("https://klasma.github.io/Logging_1885/artfynd/A 8195-2026 artfynd.xlsx", "A 8195-2026")</f>
        <v/>
      </c>
      <c r="T72">
        <f>HYPERLINK("https://klasma.github.io/Logging_1885/kartor/A 8195-2026 karta.png", "A 8195-2026")</f>
        <v/>
      </c>
      <c r="V72">
        <f>HYPERLINK("https://klasma.github.io/Logging_1885/klagomål/A 8195-2026 FSC-klagomål.docx", "A 8195-2026")</f>
        <v/>
      </c>
      <c r="W72">
        <f>HYPERLINK("https://klasma.github.io/Logging_1885/klagomålsmail/A 8195-2026 FSC-klagomål mail.docx", "A 8195-2026")</f>
        <v/>
      </c>
      <c r="X72">
        <f>HYPERLINK("https://klasma.github.io/Logging_1885/tillsyn/A 8195-2026 tillsynsbegäran.docx", "A 8195-2026")</f>
        <v/>
      </c>
      <c r="Y72">
        <f>HYPERLINK("https://klasma.github.io/Logging_1885/tillsynsmail/A 8195-2026 tillsynsbegäran mail.docx", "A 8195-2026")</f>
        <v/>
      </c>
    </row>
    <row r="73" ht="15" customHeight="1">
      <c r="A73" t="inlineStr">
        <is>
          <t>A 8186-2026</t>
        </is>
      </c>
      <c r="B73" s="1" t="n">
        <v>46064.42189814815</v>
      </c>
      <c r="C73" s="1" t="n">
        <v>46082</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2829-2026</t>
        </is>
      </c>
      <c r="B74" s="1" t="n">
        <v>46038.45296296296</v>
      </c>
      <c r="C74" s="1" t="n">
        <v>46082</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45051-2024</t>
        </is>
      </c>
      <c r="B75" s="1" t="n">
        <v>45575.54934027778</v>
      </c>
      <c r="C75" s="1" t="n">
        <v>46082</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46082</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46082</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46082</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46082</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46082</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46082</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46082</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46082</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46082</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46082</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46082</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46082</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46082</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46082</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46082</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46082</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46082</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46082</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46082</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46082</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46082</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46082</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46082</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46082</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46082</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46082</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46082</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46082</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46082</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46082</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46082</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46082</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46082</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46082</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46082</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46082</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46082</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46082</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46082</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46082</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46082</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46082</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46082</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46082</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46082</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56695-2021</t>
        </is>
      </c>
      <c r="B121" s="1" t="n">
        <v>44481</v>
      </c>
      <c r="C121" s="1" t="n">
        <v>46082</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46082</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46082</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46082</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46082</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46082</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46082</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46082</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46082</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46082</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46082</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46082</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46082</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46082</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46082</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46082</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46082</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46082</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46082</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46082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33058-2021</t>
        </is>
      </c>
      <c r="B141" s="1" t="n">
        <v>44375</v>
      </c>
      <c r="C141" s="1" t="n">
        <v>46082</v>
      </c>
      <c r="D141" t="inlineStr">
        <is>
          <t>ÖREBRO LÄN</t>
        </is>
      </c>
      <c r="E141" t="inlineStr">
        <is>
          <t>LINDESBERG</t>
        </is>
      </c>
      <c r="G141" t="n">
        <v>1.8</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46082</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46082</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46082</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46082</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46082</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46082</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46082</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46082</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46082</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46082</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46082</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46082</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46082</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46082</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46082</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46082</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46082</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46082</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46082</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46082</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46082</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46082</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46082</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46082</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46082</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22483-2021</t>
        </is>
      </c>
      <c r="B167" s="1" t="n">
        <v>44326.7296412037</v>
      </c>
      <c r="C167" s="1" t="n">
        <v>46082</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46082</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46082</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46082</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46082</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46082</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46082</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46082</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46082</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46082</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46082</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46082</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46082</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46082</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46082</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46082</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46082</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46082</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46082</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46082</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46082</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46082</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46082</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46082</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46082</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46082</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46082</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46082</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46082</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46082</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46082</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46082</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70500-2021</t>
        </is>
      </c>
      <c r="B199" s="1" t="n">
        <v>44536</v>
      </c>
      <c r="C199" s="1" t="n">
        <v>46082</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46082</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46082</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46082</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46082</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46082</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46082</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46082</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46082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46082</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46082</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46082</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46082</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46082</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46082</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46082</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46082</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46082</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46082</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46082</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46082</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46082</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46082</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45481-2023</t>
        </is>
      </c>
      <c r="B222" s="1" t="n">
        <v>45194</v>
      </c>
      <c r="C222" s="1" t="n">
        <v>46082</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46082</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36001-2021</t>
        </is>
      </c>
      <c r="B224" s="1" t="n">
        <v>44389</v>
      </c>
      <c r="C224" s="1" t="n">
        <v>46082</v>
      </c>
      <c r="D224" t="inlineStr">
        <is>
          <t>ÖREBRO LÄN</t>
        </is>
      </c>
      <c r="E224" t="inlineStr">
        <is>
          <t>LINDESBERG</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63686-2023</t>
        </is>
      </c>
      <c r="B225" s="1" t="n">
        <v>45274</v>
      </c>
      <c r="C225" s="1" t="n">
        <v>46082</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8612-2024</t>
        </is>
      </c>
      <c r="B226" s="1" t="n">
        <v>45355.70009259259</v>
      </c>
      <c r="C226" s="1" t="n">
        <v>46082</v>
      </c>
      <c r="D226" t="inlineStr">
        <is>
          <t>ÖREBRO LÄN</t>
        </is>
      </c>
      <c r="E226" t="inlineStr">
        <is>
          <t>LINDESBERG</t>
        </is>
      </c>
      <c r="G226" t="n">
        <v>4.5</v>
      </c>
      <c r="H226" t="n">
        <v>0</v>
      </c>
      <c r="I226" t="n">
        <v>0</v>
      </c>
      <c r="J226" t="n">
        <v>0</v>
      </c>
      <c r="K226" t="n">
        <v>0</v>
      </c>
      <c r="L226" t="n">
        <v>0</v>
      </c>
      <c r="M226" t="n">
        <v>0</v>
      </c>
      <c r="N226" t="n">
        <v>0</v>
      </c>
      <c r="O226" t="n">
        <v>0</v>
      </c>
      <c r="P226" t="n">
        <v>0</v>
      </c>
      <c r="Q226" t="n">
        <v>0</v>
      </c>
      <c r="R226" s="2" t="inlineStr"/>
    </row>
    <row r="227" ht="15" customHeight="1">
      <c r="A227" t="inlineStr">
        <is>
          <t>A 17104-2024</t>
        </is>
      </c>
      <c r="B227" s="1" t="n">
        <v>45412.54541666667</v>
      </c>
      <c r="C227" s="1" t="n">
        <v>46082</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21084-2021</t>
        </is>
      </c>
      <c r="B228" s="1" t="n">
        <v>44319</v>
      </c>
      <c r="C228" s="1" t="n">
        <v>46082</v>
      </c>
      <c r="D228" t="inlineStr">
        <is>
          <t>ÖREBRO LÄN</t>
        </is>
      </c>
      <c r="E228" t="inlineStr">
        <is>
          <t>LINDESBERG</t>
        </is>
      </c>
      <c r="G228" t="n">
        <v>3.1</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46082</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46082</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6181-2025</t>
        </is>
      </c>
      <c r="B231" s="1" t="n">
        <v>45698</v>
      </c>
      <c r="C231" s="1" t="n">
        <v>46082</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26093-2023</t>
        </is>
      </c>
      <c r="B232" s="1" t="n">
        <v>45091.39362268519</v>
      </c>
      <c r="C232" s="1" t="n">
        <v>46082</v>
      </c>
      <c r="D232" t="inlineStr">
        <is>
          <t>ÖREBRO LÄN</t>
        </is>
      </c>
      <c r="E232" t="inlineStr">
        <is>
          <t>LINDESBERG</t>
        </is>
      </c>
      <c r="G232" t="n">
        <v>0.4</v>
      </c>
      <c r="H232" t="n">
        <v>0</v>
      </c>
      <c r="I232" t="n">
        <v>0</v>
      </c>
      <c r="J232" t="n">
        <v>0</v>
      </c>
      <c r="K232" t="n">
        <v>0</v>
      </c>
      <c r="L232" t="n">
        <v>0</v>
      </c>
      <c r="M232" t="n">
        <v>0</v>
      </c>
      <c r="N232" t="n">
        <v>0</v>
      </c>
      <c r="O232" t="n">
        <v>0</v>
      </c>
      <c r="P232" t="n">
        <v>0</v>
      </c>
      <c r="Q232" t="n">
        <v>0</v>
      </c>
      <c r="R232" s="2" t="inlineStr"/>
    </row>
    <row r="233" ht="15" customHeight="1">
      <c r="A233" t="inlineStr">
        <is>
          <t>A 17823-2021</t>
        </is>
      </c>
      <c r="B233" s="1" t="n">
        <v>44300</v>
      </c>
      <c r="C233" s="1" t="n">
        <v>46082</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17995-2021</t>
        </is>
      </c>
      <c r="B234" s="1" t="n">
        <v>44301</v>
      </c>
      <c r="C234" s="1" t="n">
        <v>46082</v>
      </c>
      <c r="D234" t="inlineStr">
        <is>
          <t>ÖREBRO LÄN</t>
        </is>
      </c>
      <c r="E234" t="inlineStr">
        <is>
          <t>LINDESBERG</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19914-2024</t>
        </is>
      </c>
      <c r="B235" s="1" t="n">
        <v>45433.58099537037</v>
      </c>
      <c r="C235" s="1" t="n">
        <v>46082</v>
      </c>
      <c r="D235" t="inlineStr">
        <is>
          <t>ÖREBRO LÄN</t>
        </is>
      </c>
      <c r="E235" t="inlineStr">
        <is>
          <t>LINDESBERG</t>
        </is>
      </c>
      <c r="G235" t="n">
        <v>1.1</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46082</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56217-2022</t>
        </is>
      </c>
      <c r="B237" s="1" t="n">
        <v>44890.46174768519</v>
      </c>
      <c r="C237" s="1" t="n">
        <v>46082</v>
      </c>
      <c r="D237" t="inlineStr">
        <is>
          <t>ÖREBRO LÄN</t>
        </is>
      </c>
      <c r="E237" t="inlineStr">
        <is>
          <t>LINDESBERG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12739-2024</t>
        </is>
      </c>
      <c r="B238" s="1" t="n">
        <v>45384</v>
      </c>
      <c r="C238" s="1" t="n">
        <v>46082</v>
      </c>
      <c r="D238" t="inlineStr">
        <is>
          <t>ÖREBRO LÄN</t>
        </is>
      </c>
      <c r="E238" t="inlineStr">
        <is>
          <t>LINDESBERG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27134-2024</t>
        </is>
      </c>
      <c r="B239" s="1" t="n">
        <v>45471.52878472222</v>
      </c>
      <c r="C239" s="1" t="n">
        <v>46082</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56561-2023</t>
        </is>
      </c>
      <c r="B240" s="1" t="n">
        <v>45243</v>
      </c>
      <c r="C240" s="1" t="n">
        <v>46082</v>
      </c>
      <c r="D240" t="inlineStr">
        <is>
          <t>ÖREBRO LÄN</t>
        </is>
      </c>
      <c r="E240" t="inlineStr">
        <is>
          <t>LINDESBERG</t>
        </is>
      </c>
      <c r="G240" t="n">
        <v>1.9</v>
      </c>
      <c r="H240" t="n">
        <v>0</v>
      </c>
      <c r="I240" t="n">
        <v>0</v>
      </c>
      <c r="J240" t="n">
        <v>0</v>
      </c>
      <c r="K240" t="n">
        <v>0</v>
      </c>
      <c r="L240" t="n">
        <v>0</v>
      </c>
      <c r="M240" t="n">
        <v>0</v>
      </c>
      <c r="N240" t="n">
        <v>0</v>
      </c>
      <c r="O240" t="n">
        <v>0</v>
      </c>
      <c r="P240" t="n">
        <v>0</v>
      </c>
      <c r="Q240" t="n">
        <v>0</v>
      </c>
      <c r="R240" s="2" t="inlineStr"/>
    </row>
    <row r="241" ht="15" customHeight="1">
      <c r="A241" t="inlineStr">
        <is>
          <t>A 56579-2023</t>
        </is>
      </c>
      <c r="B241" s="1" t="n">
        <v>45243.62420138889</v>
      </c>
      <c r="C241" s="1" t="n">
        <v>46082</v>
      </c>
      <c r="D241" t="inlineStr">
        <is>
          <t>ÖREBRO LÄN</t>
        </is>
      </c>
      <c r="E241" t="inlineStr">
        <is>
          <t>LINDESBERG</t>
        </is>
      </c>
      <c r="F241" t="inlineStr">
        <is>
          <t>Naturvårdsverket</t>
        </is>
      </c>
      <c r="G241" t="n">
        <v>1.6</v>
      </c>
      <c r="H241" t="n">
        <v>0</v>
      </c>
      <c r="I241" t="n">
        <v>0</v>
      </c>
      <c r="J241" t="n">
        <v>0</v>
      </c>
      <c r="K241" t="n">
        <v>0</v>
      </c>
      <c r="L241" t="n">
        <v>0</v>
      </c>
      <c r="M241" t="n">
        <v>0</v>
      </c>
      <c r="N241" t="n">
        <v>0</v>
      </c>
      <c r="O241" t="n">
        <v>0</v>
      </c>
      <c r="P241" t="n">
        <v>0</v>
      </c>
      <c r="Q241" t="n">
        <v>0</v>
      </c>
      <c r="R241" s="2" t="inlineStr"/>
    </row>
    <row r="242" ht="15" customHeight="1">
      <c r="A242" t="inlineStr">
        <is>
          <t>A 56582-2023</t>
        </is>
      </c>
      <c r="B242" s="1" t="n">
        <v>45243</v>
      </c>
      <c r="C242" s="1" t="n">
        <v>46082</v>
      </c>
      <c r="D242" t="inlineStr">
        <is>
          <t>ÖREBRO LÄN</t>
        </is>
      </c>
      <c r="E242" t="inlineStr">
        <is>
          <t>LINDESBERG</t>
        </is>
      </c>
      <c r="F242" t="inlineStr">
        <is>
          <t>Naturvårdsverket</t>
        </is>
      </c>
      <c r="G242" t="n">
        <v>2.3</v>
      </c>
      <c r="H242" t="n">
        <v>0</v>
      </c>
      <c r="I242" t="n">
        <v>0</v>
      </c>
      <c r="J242" t="n">
        <v>0</v>
      </c>
      <c r="K242" t="n">
        <v>0</v>
      </c>
      <c r="L242" t="n">
        <v>0</v>
      </c>
      <c r="M242" t="n">
        <v>0</v>
      </c>
      <c r="N242" t="n">
        <v>0</v>
      </c>
      <c r="O242" t="n">
        <v>0</v>
      </c>
      <c r="P242" t="n">
        <v>0</v>
      </c>
      <c r="Q242" t="n">
        <v>0</v>
      </c>
      <c r="R242" s="2" t="inlineStr"/>
    </row>
    <row r="243" ht="15" customHeight="1">
      <c r="A243" t="inlineStr">
        <is>
          <t>A 6470-2024</t>
        </is>
      </c>
      <c r="B243" s="1" t="n">
        <v>45338</v>
      </c>
      <c r="C243" s="1" t="n">
        <v>46082</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40305-2024</t>
        </is>
      </c>
      <c r="B244" s="1" t="n">
        <v>45554.71863425926</v>
      </c>
      <c r="C244" s="1" t="n">
        <v>46082</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21012-2023</t>
        </is>
      </c>
      <c r="B245" s="1" t="n">
        <v>45061.52474537037</v>
      </c>
      <c r="C245" s="1" t="n">
        <v>46082</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46082</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33280-2024</t>
        </is>
      </c>
      <c r="B247" s="1" t="n">
        <v>45518.71048611111</v>
      </c>
      <c r="C247" s="1" t="n">
        <v>46082</v>
      </c>
      <c r="D247" t="inlineStr">
        <is>
          <t>ÖREBRO LÄN</t>
        </is>
      </c>
      <c r="E247" t="inlineStr">
        <is>
          <t>LINDESBERG</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24944-2024</t>
        </is>
      </c>
      <c r="B248" s="1" t="n">
        <v>45461.62924768519</v>
      </c>
      <c r="C248" s="1" t="n">
        <v>46082</v>
      </c>
      <c r="D248" t="inlineStr">
        <is>
          <t>ÖREBRO LÄN</t>
        </is>
      </c>
      <c r="E248" t="inlineStr">
        <is>
          <t>LINDESBERG</t>
        </is>
      </c>
      <c r="F248" t="inlineStr">
        <is>
          <t>Kyrkan</t>
        </is>
      </c>
      <c r="G248" t="n">
        <v>13.7</v>
      </c>
      <c r="H248" t="n">
        <v>0</v>
      </c>
      <c r="I248" t="n">
        <v>0</v>
      </c>
      <c r="J248" t="n">
        <v>0</v>
      </c>
      <c r="K248" t="n">
        <v>0</v>
      </c>
      <c r="L248" t="n">
        <v>0</v>
      </c>
      <c r="M248" t="n">
        <v>0</v>
      </c>
      <c r="N248" t="n">
        <v>0</v>
      </c>
      <c r="O248" t="n">
        <v>0</v>
      </c>
      <c r="P248" t="n">
        <v>0</v>
      </c>
      <c r="Q248" t="n">
        <v>0</v>
      </c>
      <c r="R248" s="2" t="inlineStr"/>
    </row>
    <row r="249" ht="15" customHeight="1">
      <c r="A249" t="inlineStr">
        <is>
          <t>A 53054-2022</t>
        </is>
      </c>
      <c r="B249" s="1" t="n">
        <v>44876.35706018518</v>
      </c>
      <c r="C249" s="1" t="n">
        <v>46082</v>
      </c>
      <c r="D249" t="inlineStr">
        <is>
          <t>ÖREBRO LÄN</t>
        </is>
      </c>
      <c r="E249" t="inlineStr">
        <is>
          <t>LINDESBERG</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50619-2022</t>
        </is>
      </c>
      <c r="B250" s="1" t="n">
        <v>44866.79668981482</v>
      </c>
      <c r="C250" s="1" t="n">
        <v>46082</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46603-2021</t>
        </is>
      </c>
      <c r="B251" s="1" t="n">
        <v>44445</v>
      </c>
      <c r="C251" s="1" t="n">
        <v>46082</v>
      </c>
      <c r="D251" t="inlineStr">
        <is>
          <t>ÖREBRO LÄN</t>
        </is>
      </c>
      <c r="E251" t="inlineStr">
        <is>
          <t>LINDESBERG</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46082</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23641-2024</t>
        </is>
      </c>
      <c r="B253" s="1" t="n">
        <v>45454.49679398148</v>
      </c>
      <c r="C253" s="1" t="n">
        <v>46082</v>
      </c>
      <c r="D253" t="inlineStr">
        <is>
          <t>ÖREBRO LÄN</t>
        </is>
      </c>
      <c r="E253" t="inlineStr">
        <is>
          <t>LINDESBERG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41343-2021</t>
        </is>
      </c>
      <c r="B254" s="1" t="n">
        <v>44424.61709490741</v>
      </c>
      <c r="C254" s="1" t="n">
        <v>46082</v>
      </c>
      <c r="D254" t="inlineStr">
        <is>
          <t>ÖREBRO LÄN</t>
        </is>
      </c>
      <c r="E254" t="inlineStr">
        <is>
          <t>LINDESBERG</t>
        </is>
      </c>
      <c r="G254" t="n">
        <v>8.9</v>
      </c>
      <c r="H254" t="n">
        <v>0</v>
      </c>
      <c r="I254" t="n">
        <v>0</v>
      </c>
      <c r="J254" t="n">
        <v>0</v>
      </c>
      <c r="K254" t="n">
        <v>0</v>
      </c>
      <c r="L254" t="n">
        <v>0</v>
      </c>
      <c r="M254" t="n">
        <v>0</v>
      </c>
      <c r="N254" t="n">
        <v>0</v>
      </c>
      <c r="O254" t="n">
        <v>0</v>
      </c>
      <c r="P254" t="n">
        <v>0</v>
      </c>
      <c r="Q254" t="n">
        <v>0</v>
      </c>
      <c r="R254" s="2" t="inlineStr"/>
    </row>
    <row r="255" ht="15" customHeight="1">
      <c r="A255" t="inlineStr">
        <is>
          <t>A 28032-2023</t>
        </is>
      </c>
      <c r="B255" s="1" t="n">
        <v>45099</v>
      </c>
      <c r="C255" s="1" t="n">
        <v>46082</v>
      </c>
      <c r="D255" t="inlineStr">
        <is>
          <t>ÖREBRO LÄN</t>
        </is>
      </c>
      <c r="E255" t="inlineStr">
        <is>
          <t>LINDESBERG</t>
        </is>
      </c>
      <c r="F255" t="inlineStr">
        <is>
          <t>Kyrkan</t>
        </is>
      </c>
      <c r="G255" t="n">
        <v>0.7</v>
      </c>
      <c r="H255" t="n">
        <v>0</v>
      </c>
      <c r="I255" t="n">
        <v>0</v>
      </c>
      <c r="J255" t="n">
        <v>0</v>
      </c>
      <c r="K255" t="n">
        <v>0</v>
      </c>
      <c r="L255" t="n">
        <v>0</v>
      </c>
      <c r="M255" t="n">
        <v>0</v>
      </c>
      <c r="N255" t="n">
        <v>0</v>
      </c>
      <c r="O255" t="n">
        <v>0</v>
      </c>
      <c r="P255" t="n">
        <v>0</v>
      </c>
      <c r="Q255" t="n">
        <v>0</v>
      </c>
      <c r="R255" s="2" t="inlineStr"/>
    </row>
    <row r="256" ht="15" customHeight="1">
      <c r="A256" t="inlineStr">
        <is>
          <t>A 38762-2021</t>
        </is>
      </c>
      <c r="B256" s="1" t="n">
        <v>44410.61837962963</v>
      </c>
      <c r="C256" s="1" t="n">
        <v>46082</v>
      </c>
      <c r="D256" t="inlineStr">
        <is>
          <t>ÖREBRO LÄN</t>
        </is>
      </c>
      <c r="E256" t="inlineStr">
        <is>
          <t>LINDESBERG</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30767-2023</t>
        </is>
      </c>
      <c r="B257" s="1" t="n">
        <v>45112.67952546296</v>
      </c>
      <c r="C257" s="1" t="n">
        <v>46082</v>
      </c>
      <c r="D257" t="inlineStr">
        <is>
          <t>ÖREBRO LÄN</t>
        </is>
      </c>
      <c r="E257" t="inlineStr">
        <is>
          <t>LINDESBERG</t>
        </is>
      </c>
      <c r="G257" t="n">
        <v>3.9</v>
      </c>
      <c r="H257" t="n">
        <v>0</v>
      </c>
      <c r="I257" t="n">
        <v>0</v>
      </c>
      <c r="J257" t="n">
        <v>0</v>
      </c>
      <c r="K257" t="n">
        <v>0</v>
      </c>
      <c r="L257" t="n">
        <v>0</v>
      </c>
      <c r="M257" t="n">
        <v>0</v>
      </c>
      <c r="N257" t="n">
        <v>0</v>
      </c>
      <c r="O257" t="n">
        <v>0</v>
      </c>
      <c r="P257" t="n">
        <v>0</v>
      </c>
      <c r="Q257" t="n">
        <v>0</v>
      </c>
      <c r="R257" s="2" t="inlineStr"/>
    </row>
    <row r="258" ht="15" customHeight="1">
      <c r="A258" t="inlineStr">
        <is>
          <t>A 63508-2023</t>
        </is>
      </c>
      <c r="B258" s="1" t="n">
        <v>45274</v>
      </c>
      <c r="C258" s="1" t="n">
        <v>46082</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54705-2022</t>
        </is>
      </c>
      <c r="B259" s="1" t="n">
        <v>44883</v>
      </c>
      <c r="C259" s="1" t="n">
        <v>46082</v>
      </c>
      <c r="D259" t="inlineStr">
        <is>
          <t>ÖREBRO LÄN</t>
        </is>
      </c>
      <c r="E259" t="inlineStr">
        <is>
          <t>LINDESBERG</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36280-2023</t>
        </is>
      </c>
      <c r="B260" s="1" t="n">
        <v>45152.34586805556</v>
      </c>
      <c r="C260" s="1" t="n">
        <v>46082</v>
      </c>
      <c r="D260" t="inlineStr">
        <is>
          <t>ÖREBRO LÄN</t>
        </is>
      </c>
      <c r="E260" t="inlineStr">
        <is>
          <t>LINDESBERG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33284-2024</t>
        </is>
      </c>
      <c r="B261" s="1" t="n">
        <v>45518.71721064814</v>
      </c>
      <c r="C261" s="1" t="n">
        <v>46082</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33978-2023</t>
        </is>
      </c>
      <c r="B262" s="1" t="n">
        <v>45134.68158564815</v>
      </c>
      <c r="C262" s="1" t="n">
        <v>46082</v>
      </c>
      <c r="D262" t="inlineStr">
        <is>
          <t>ÖREBRO LÄN</t>
        </is>
      </c>
      <c r="E262" t="inlineStr">
        <is>
          <t>LINDESBERG</t>
        </is>
      </c>
      <c r="G262" t="n">
        <v>4.1</v>
      </c>
      <c r="H262" t="n">
        <v>0</v>
      </c>
      <c r="I262" t="n">
        <v>0</v>
      </c>
      <c r="J262" t="n">
        <v>0</v>
      </c>
      <c r="K262" t="n">
        <v>0</v>
      </c>
      <c r="L262" t="n">
        <v>0</v>
      </c>
      <c r="M262" t="n">
        <v>0</v>
      </c>
      <c r="N262" t="n">
        <v>0</v>
      </c>
      <c r="O262" t="n">
        <v>0</v>
      </c>
      <c r="P262" t="n">
        <v>0</v>
      </c>
      <c r="Q262" t="n">
        <v>0</v>
      </c>
      <c r="R262" s="2" t="inlineStr"/>
    </row>
    <row r="263" ht="15" customHeight="1">
      <c r="A263" t="inlineStr">
        <is>
          <t>A 36015-2021</t>
        </is>
      </c>
      <c r="B263" s="1" t="n">
        <v>44389</v>
      </c>
      <c r="C263" s="1" t="n">
        <v>46082</v>
      </c>
      <c r="D263" t="inlineStr">
        <is>
          <t>ÖREBRO LÄN</t>
        </is>
      </c>
      <c r="E263" t="inlineStr">
        <is>
          <t>LINDESBERG</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58662-2022</t>
        </is>
      </c>
      <c r="B264" s="1" t="n">
        <v>44902</v>
      </c>
      <c r="C264" s="1" t="n">
        <v>46082</v>
      </c>
      <c r="D264" t="inlineStr">
        <is>
          <t>ÖREBRO LÄN</t>
        </is>
      </c>
      <c r="E264" t="inlineStr">
        <is>
          <t>LINDESBERG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36748-2024</t>
        </is>
      </c>
      <c r="B265" s="1" t="n">
        <v>45538.34460648148</v>
      </c>
      <c r="C265" s="1" t="n">
        <v>46082</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29942-2024</t>
        </is>
      </c>
      <c r="B266" s="1" t="n">
        <v>45488.42258101852</v>
      </c>
      <c r="C266" s="1" t="n">
        <v>46082</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21390-2024</t>
        </is>
      </c>
      <c r="B267" s="1" t="n">
        <v>45441.30899305556</v>
      </c>
      <c r="C267" s="1" t="n">
        <v>46082</v>
      </c>
      <c r="D267" t="inlineStr">
        <is>
          <t>ÖREBRO LÄN</t>
        </is>
      </c>
      <c r="E267" t="inlineStr">
        <is>
          <t>LINDESBERG</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21392-2024</t>
        </is>
      </c>
      <c r="B268" s="1" t="n">
        <v>45441.30998842593</v>
      </c>
      <c r="C268" s="1" t="n">
        <v>46082</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8834-2023</t>
        </is>
      </c>
      <c r="B269" s="1" t="n">
        <v>44978</v>
      </c>
      <c r="C269" s="1" t="n">
        <v>46082</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47110-2024</t>
        </is>
      </c>
      <c r="B270" s="1" t="n">
        <v>45586.55451388889</v>
      </c>
      <c r="C270" s="1" t="n">
        <v>46082</v>
      </c>
      <c r="D270" t="inlineStr">
        <is>
          <t>ÖREBRO LÄN</t>
        </is>
      </c>
      <c r="E270" t="inlineStr">
        <is>
          <t>LINDESBERG</t>
        </is>
      </c>
      <c r="G270" t="n">
        <v>0.6</v>
      </c>
      <c r="H270" t="n">
        <v>0</v>
      </c>
      <c r="I270" t="n">
        <v>0</v>
      </c>
      <c r="J270" t="n">
        <v>0</v>
      </c>
      <c r="K270" t="n">
        <v>0</v>
      </c>
      <c r="L270" t="n">
        <v>0</v>
      </c>
      <c r="M270" t="n">
        <v>0</v>
      </c>
      <c r="N270" t="n">
        <v>0</v>
      </c>
      <c r="O270" t="n">
        <v>0</v>
      </c>
      <c r="P270" t="n">
        <v>0</v>
      </c>
      <c r="Q270" t="n">
        <v>0</v>
      </c>
      <c r="R270" s="2" t="inlineStr"/>
    </row>
    <row r="271" ht="15" customHeight="1">
      <c r="A271" t="inlineStr">
        <is>
          <t>A 13305-2023</t>
        </is>
      </c>
      <c r="B271" s="1" t="n">
        <v>45005.35967592592</v>
      </c>
      <c r="C271" s="1" t="n">
        <v>46082</v>
      </c>
      <c r="D271" t="inlineStr">
        <is>
          <t>ÖREBRO LÄN</t>
        </is>
      </c>
      <c r="E271" t="inlineStr">
        <is>
          <t>LINDESBERG</t>
        </is>
      </c>
      <c r="G271" t="n">
        <v>5.5</v>
      </c>
      <c r="H271" t="n">
        <v>0</v>
      </c>
      <c r="I271" t="n">
        <v>0</v>
      </c>
      <c r="J271" t="n">
        <v>0</v>
      </c>
      <c r="K271" t="n">
        <v>0</v>
      </c>
      <c r="L271" t="n">
        <v>0</v>
      </c>
      <c r="M271" t="n">
        <v>0</v>
      </c>
      <c r="N271" t="n">
        <v>0</v>
      </c>
      <c r="O271" t="n">
        <v>0</v>
      </c>
      <c r="P271" t="n">
        <v>0</v>
      </c>
      <c r="Q271" t="n">
        <v>0</v>
      </c>
      <c r="R271" s="2" t="inlineStr"/>
    </row>
    <row r="272" ht="15" customHeight="1">
      <c r="A272" t="inlineStr">
        <is>
          <t>A 13368-2023</t>
        </is>
      </c>
      <c r="B272" s="1" t="n">
        <v>45005.47820601852</v>
      </c>
      <c r="C272" s="1" t="n">
        <v>46082</v>
      </c>
      <c r="D272" t="inlineStr">
        <is>
          <t>ÖREBRO LÄN</t>
        </is>
      </c>
      <c r="E272" t="inlineStr">
        <is>
          <t>LINDESBERG</t>
        </is>
      </c>
      <c r="F272" t="inlineStr">
        <is>
          <t>Kommuner</t>
        </is>
      </c>
      <c r="G272" t="n">
        <v>0.7</v>
      </c>
      <c r="H272" t="n">
        <v>0</v>
      </c>
      <c r="I272" t="n">
        <v>0</v>
      </c>
      <c r="J272" t="n">
        <v>0</v>
      </c>
      <c r="K272" t="n">
        <v>0</v>
      </c>
      <c r="L272" t="n">
        <v>0</v>
      </c>
      <c r="M272" t="n">
        <v>0</v>
      </c>
      <c r="N272" t="n">
        <v>0</v>
      </c>
      <c r="O272" t="n">
        <v>0</v>
      </c>
      <c r="P272" t="n">
        <v>0</v>
      </c>
      <c r="Q272" t="n">
        <v>0</v>
      </c>
      <c r="R272" s="2" t="inlineStr"/>
    </row>
    <row r="273" ht="15" customHeight="1">
      <c r="A273" t="inlineStr">
        <is>
          <t>A 21468-2024</t>
        </is>
      </c>
      <c r="B273" s="1" t="n">
        <v>45441.48670138889</v>
      </c>
      <c r="C273" s="1" t="n">
        <v>46082</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54855-2024</t>
        </is>
      </c>
      <c r="B274" s="1" t="n">
        <v>45618.58622685185</v>
      </c>
      <c r="C274" s="1" t="n">
        <v>46082</v>
      </c>
      <c r="D274" t="inlineStr">
        <is>
          <t>ÖREBRO LÄN</t>
        </is>
      </c>
      <c r="E274" t="inlineStr">
        <is>
          <t>LINDESBERG</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6727-2022</t>
        </is>
      </c>
      <c r="B275" s="1" t="n">
        <v>44602.45490740741</v>
      </c>
      <c r="C275" s="1" t="n">
        <v>46082</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6723-2022</t>
        </is>
      </c>
      <c r="B276" s="1" t="n">
        <v>44602.45162037037</v>
      </c>
      <c r="C276" s="1" t="n">
        <v>46082</v>
      </c>
      <c r="D276" t="inlineStr">
        <is>
          <t>ÖREBRO LÄN</t>
        </is>
      </c>
      <c r="E276" t="inlineStr">
        <is>
          <t>LINDESBERG</t>
        </is>
      </c>
      <c r="G276" t="n">
        <v>4.2</v>
      </c>
      <c r="H276" t="n">
        <v>0</v>
      </c>
      <c r="I276" t="n">
        <v>0</v>
      </c>
      <c r="J276" t="n">
        <v>0</v>
      </c>
      <c r="K276" t="n">
        <v>0</v>
      </c>
      <c r="L276" t="n">
        <v>0</v>
      </c>
      <c r="M276" t="n">
        <v>0</v>
      </c>
      <c r="N276" t="n">
        <v>0</v>
      </c>
      <c r="O276" t="n">
        <v>0</v>
      </c>
      <c r="P276" t="n">
        <v>0</v>
      </c>
      <c r="Q276" t="n">
        <v>0</v>
      </c>
      <c r="R276" s="2" t="inlineStr"/>
    </row>
    <row r="277" ht="15" customHeight="1">
      <c r="A277" t="inlineStr">
        <is>
          <t>A 36893-2024</t>
        </is>
      </c>
      <c r="B277" s="1" t="n">
        <v>45538</v>
      </c>
      <c r="C277" s="1" t="n">
        <v>46082</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46082</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11581-2024</t>
        </is>
      </c>
      <c r="B279" s="1" t="n">
        <v>45373.34383101852</v>
      </c>
      <c r="C279" s="1" t="n">
        <v>46082</v>
      </c>
      <c r="D279" t="inlineStr">
        <is>
          <t>ÖREBRO LÄN</t>
        </is>
      </c>
      <c r="E279" t="inlineStr">
        <is>
          <t>LINDESBERG</t>
        </is>
      </c>
      <c r="F279" t="inlineStr">
        <is>
          <t>BillerudKorsnäs AB</t>
        </is>
      </c>
      <c r="G279" t="n">
        <v>3.9</v>
      </c>
      <c r="H279" t="n">
        <v>0</v>
      </c>
      <c r="I279" t="n">
        <v>0</v>
      </c>
      <c r="J279" t="n">
        <v>0</v>
      </c>
      <c r="K279" t="n">
        <v>0</v>
      </c>
      <c r="L279" t="n">
        <v>0</v>
      </c>
      <c r="M279" t="n">
        <v>0</v>
      </c>
      <c r="N279" t="n">
        <v>0</v>
      </c>
      <c r="O279" t="n">
        <v>0</v>
      </c>
      <c r="P279" t="n">
        <v>0</v>
      </c>
      <c r="Q279" t="n">
        <v>0</v>
      </c>
      <c r="R279" s="2" t="inlineStr"/>
    </row>
    <row r="280" ht="15" customHeight="1">
      <c r="A280" t="inlineStr">
        <is>
          <t>A 13968-2025</t>
        </is>
      </c>
      <c r="B280" s="1" t="n">
        <v>45738.42981481482</v>
      </c>
      <c r="C280" s="1" t="n">
        <v>46082</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4997-2024</t>
        </is>
      </c>
      <c r="B281" s="1" t="n">
        <v>45329</v>
      </c>
      <c r="C281" s="1" t="n">
        <v>46082</v>
      </c>
      <c r="D281" t="inlineStr">
        <is>
          <t>ÖREBRO LÄN</t>
        </is>
      </c>
      <c r="E281" t="inlineStr">
        <is>
          <t>LINDESBERG</t>
        </is>
      </c>
      <c r="F281" t="inlineStr">
        <is>
          <t>BillerudKorsnäs AB</t>
        </is>
      </c>
      <c r="G281" t="n">
        <v>3</v>
      </c>
      <c r="H281" t="n">
        <v>0</v>
      </c>
      <c r="I281" t="n">
        <v>0</v>
      </c>
      <c r="J281" t="n">
        <v>0</v>
      </c>
      <c r="K281" t="n">
        <v>0</v>
      </c>
      <c r="L281" t="n">
        <v>0</v>
      </c>
      <c r="M281" t="n">
        <v>0</v>
      </c>
      <c r="N281" t="n">
        <v>0</v>
      </c>
      <c r="O281" t="n">
        <v>0</v>
      </c>
      <c r="P281" t="n">
        <v>0</v>
      </c>
      <c r="Q281" t="n">
        <v>0</v>
      </c>
      <c r="R281" s="2" t="inlineStr"/>
    </row>
    <row r="282" ht="15" customHeight="1">
      <c r="A282" t="inlineStr">
        <is>
          <t>A 61222-2022</t>
        </is>
      </c>
      <c r="B282" s="1" t="n">
        <v>44909</v>
      </c>
      <c r="C282" s="1" t="n">
        <v>46082</v>
      </c>
      <c r="D282" t="inlineStr">
        <is>
          <t>ÖREBRO LÄN</t>
        </is>
      </c>
      <c r="E282" t="inlineStr">
        <is>
          <t>LINDESBERG</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72331-2021</t>
        </is>
      </c>
      <c r="B283" s="1" t="n">
        <v>44544</v>
      </c>
      <c r="C283" s="1" t="n">
        <v>46082</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14185-2024</t>
        </is>
      </c>
      <c r="B284" s="1" t="n">
        <v>45393.3562962963</v>
      </c>
      <c r="C284" s="1" t="n">
        <v>46082</v>
      </c>
      <c r="D284" t="inlineStr">
        <is>
          <t>ÖREBRO LÄN</t>
        </is>
      </c>
      <c r="E284" t="inlineStr">
        <is>
          <t>LINDESBERG</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26016-2025</t>
        </is>
      </c>
      <c r="B285" s="1" t="n">
        <v>45804.67795138889</v>
      </c>
      <c r="C285" s="1" t="n">
        <v>46082</v>
      </c>
      <c r="D285" t="inlineStr">
        <is>
          <t>ÖREBRO LÄN</t>
        </is>
      </c>
      <c r="E285" t="inlineStr">
        <is>
          <t>LINDESBERG</t>
        </is>
      </c>
      <c r="G285" t="n">
        <v>10</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46082</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36754-2024</t>
        </is>
      </c>
      <c r="B287" s="1" t="n">
        <v>45538.34796296297</v>
      </c>
      <c r="C287" s="1" t="n">
        <v>46082</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11218-2025</t>
        </is>
      </c>
      <c r="B288" s="1" t="n">
        <v>45726.33763888889</v>
      </c>
      <c r="C288" s="1" t="n">
        <v>46082</v>
      </c>
      <c r="D288" t="inlineStr">
        <is>
          <t>ÖREBRO LÄN</t>
        </is>
      </c>
      <c r="E288" t="inlineStr">
        <is>
          <t>LINDESBERG</t>
        </is>
      </c>
      <c r="G288" t="n">
        <v>0.4</v>
      </c>
      <c r="H288" t="n">
        <v>0</v>
      </c>
      <c r="I288" t="n">
        <v>0</v>
      </c>
      <c r="J288" t="n">
        <v>0</v>
      </c>
      <c r="K288" t="n">
        <v>0</v>
      </c>
      <c r="L288" t="n">
        <v>0</v>
      </c>
      <c r="M288" t="n">
        <v>0</v>
      </c>
      <c r="N288" t="n">
        <v>0</v>
      </c>
      <c r="O288" t="n">
        <v>0</v>
      </c>
      <c r="P288" t="n">
        <v>0</v>
      </c>
      <c r="Q288" t="n">
        <v>0</v>
      </c>
      <c r="R288" s="2" t="inlineStr"/>
    </row>
    <row r="289" ht="15" customHeight="1">
      <c r="A289" t="inlineStr">
        <is>
          <t>A 11220-2025</t>
        </is>
      </c>
      <c r="B289" s="1" t="n">
        <v>45726.34090277777</v>
      </c>
      <c r="C289" s="1" t="n">
        <v>46082</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43801-2024</t>
        </is>
      </c>
      <c r="B290" s="1" t="n">
        <v>45571.71736111111</v>
      </c>
      <c r="C290" s="1" t="n">
        <v>46082</v>
      </c>
      <c r="D290" t="inlineStr">
        <is>
          <t>ÖREBRO LÄN</t>
        </is>
      </c>
      <c r="E290" t="inlineStr">
        <is>
          <t>LINDESBERG</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46082</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60941-2024</t>
        </is>
      </c>
      <c r="B292" s="1" t="n">
        <v>45645.3712037037</v>
      </c>
      <c r="C292" s="1" t="n">
        <v>46082</v>
      </c>
      <c r="D292" t="inlineStr">
        <is>
          <t>ÖREBRO LÄN</t>
        </is>
      </c>
      <c r="E292" t="inlineStr">
        <is>
          <t>LINDESBERG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64365-2023</t>
        </is>
      </c>
      <c r="B293" s="1" t="n">
        <v>45280</v>
      </c>
      <c r="C293" s="1" t="n">
        <v>46082</v>
      </c>
      <c r="D293" t="inlineStr">
        <is>
          <t>ÖREBRO LÄN</t>
        </is>
      </c>
      <c r="E293" t="inlineStr">
        <is>
          <t>LINDESBERG</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37738-2024</t>
        </is>
      </c>
      <c r="B294" s="1" t="n">
        <v>45541.66916666667</v>
      </c>
      <c r="C294" s="1" t="n">
        <v>46082</v>
      </c>
      <c r="D294" t="inlineStr">
        <is>
          <t>ÖREBRO LÄN</t>
        </is>
      </c>
      <c r="E294" t="inlineStr">
        <is>
          <t>LINDESBERG</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33428-2024</t>
        </is>
      </c>
      <c r="B295" s="1" t="n">
        <v>45519.52319444445</v>
      </c>
      <c r="C295" s="1" t="n">
        <v>46082</v>
      </c>
      <c r="D295" t="inlineStr">
        <is>
          <t>ÖREBRO LÄN</t>
        </is>
      </c>
      <c r="E295" t="inlineStr">
        <is>
          <t>LINDESBERG</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38534-2025</t>
        </is>
      </c>
      <c r="B296" s="1" t="n">
        <v>45884</v>
      </c>
      <c r="C296" s="1" t="n">
        <v>46082</v>
      </c>
      <c r="D296" t="inlineStr">
        <is>
          <t>ÖREBRO LÄN</t>
        </is>
      </c>
      <c r="E296" t="inlineStr">
        <is>
          <t>LINDESBERG</t>
        </is>
      </c>
      <c r="G296" t="n">
        <v>4.9</v>
      </c>
      <c r="H296" t="n">
        <v>0</v>
      </c>
      <c r="I296" t="n">
        <v>0</v>
      </c>
      <c r="J296" t="n">
        <v>0</v>
      </c>
      <c r="K296" t="n">
        <v>0</v>
      </c>
      <c r="L296" t="n">
        <v>0</v>
      </c>
      <c r="M296" t="n">
        <v>0</v>
      </c>
      <c r="N296" t="n">
        <v>0</v>
      </c>
      <c r="O296" t="n">
        <v>0</v>
      </c>
      <c r="P296" t="n">
        <v>0</v>
      </c>
      <c r="Q296" t="n">
        <v>0</v>
      </c>
      <c r="R296" s="2" t="inlineStr"/>
    </row>
    <row r="297" ht="15" customHeight="1">
      <c r="A297" t="inlineStr">
        <is>
          <t>A 59766-2022</t>
        </is>
      </c>
      <c r="B297" s="1" t="n">
        <v>44908.49152777778</v>
      </c>
      <c r="C297" s="1" t="n">
        <v>46082</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33282-2024</t>
        </is>
      </c>
      <c r="B298" s="1" t="n">
        <v>45518.71482638889</v>
      </c>
      <c r="C298" s="1" t="n">
        <v>46082</v>
      </c>
      <c r="D298" t="inlineStr">
        <is>
          <t>ÖREBRO LÄN</t>
        </is>
      </c>
      <c r="E298" t="inlineStr">
        <is>
          <t>LINDESBERG</t>
        </is>
      </c>
      <c r="G298" t="n">
        <v>7.5</v>
      </c>
      <c r="H298" t="n">
        <v>0</v>
      </c>
      <c r="I298" t="n">
        <v>0</v>
      </c>
      <c r="J298" t="n">
        <v>0</v>
      </c>
      <c r="K298" t="n">
        <v>0</v>
      </c>
      <c r="L298" t="n">
        <v>0</v>
      </c>
      <c r="M298" t="n">
        <v>0</v>
      </c>
      <c r="N298" t="n">
        <v>0</v>
      </c>
      <c r="O298" t="n">
        <v>0</v>
      </c>
      <c r="P298" t="n">
        <v>0</v>
      </c>
      <c r="Q298" t="n">
        <v>0</v>
      </c>
      <c r="R298" s="2" t="inlineStr"/>
    </row>
    <row r="299" ht="15" customHeight="1">
      <c r="A299" t="inlineStr">
        <is>
          <t>A 15895-2025</t>
        </is>
      </c>
      <c r="B299" s="1" t="n">
        <v>45749</v>
      </c>
      <c r="C299" s="1" t="n">
        <v>46082</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15941-2025</t>
        </is>
      </c>
      <c r="B300" s="1" t="n">
        <v>45749</v>
      </c>
      <c r="C300" s="1" t="n">
        <v>46082</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38861-2025</t>
        </is>
      </c>
      <c r="B301" s="1" t="n">
        <v>45887.56101851852</v>
      </c>
      <c r="C301" s="1" t="n">
        <v>46082</v>
      </c>
      <c r="D301" t="inlineStr">
        <is>
          <t>ÖREBRO LÄN</t>
        </is>
      </c>
      <c r="E301" t="inlineStr">
        <is>
          <t>LINDESBERG</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54862-2024</t>
        </is>
      </c>
      <c r="B302" s="1" t="n">
        <v>45618</v>
      </c>
      <c r="C302" s="1" t="n">
        <v>46082</v>
      </c>
      <c r="D302" t="inlineStr">
        <is>
          <t>ÖREBRO LÄN</t>
        </is>
      </c>
      <c r="E302" t="inlineStr">
        <is>
          <t>LINDESBERG</t>
        </is>
      </c>
      <c r="F302" t="inlineStr">
        <is>
          <t>Sveaskog</t>
        </is>
      </c>
      <c r="G302" t="n">
        <v>12.2</v>
      </c>
      <c r="H302" t="n">
        <v>0</v>
      </c>
      <c r="I302" t="n">
        <v>0</v>
      </c>
      <c r="J302" t="n">
        <v>0</v>
      </c>
      <c r="K302" t="n">
        <v>0</v>
      </c>
      <c r="L302" t="n">
        <v>0</v>
      </c>
      <c r="M302" t="n">
        <v>0</v>
      </c>
      <c r="N302" t="n">
        <v>0</v>
      </c>
      <c r="O302" t="n">
        <v>0</v>
      </c>
      <c r="P302" t="n">
        <v>0</v>
      </c>
      <c r="Q302" t="n">
        <v>0</v>
      </c>
      <c r="R302" s="2" t="inlineStr"/>
    </row>
    <row r="303" ht="15" customHeight="1">
      <c r="A303" t="inlineStr">
        <is>
          <t>A 1742-2022</t>
        </is>
      </c>
      <c r="B303" s="1" t="n">
        <v>44574.50425925926</v>
      </c>
      <c r="C303" s="1" t="n">
        <v>46082</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14522-2025</t>
        </is>
      </c>
      <c r="B304" s="1" t="n">
        <v>45741.64491898148</v>
      </c>
      <c r="C304" s="1" t="n">
        <v>46082</v>
      </c>
      <c r="D304" t="inlineStr">
        <is>
          <t>ÖREBRO LÄN</t>
        </is>
      </c>
      <c r="E304" t="inlineStr">
        <is>
          <t>LINDESBERG</t>
        </is>
      </c>
      <c r="G304" t="n">
        <v>4.5</v>
      </c>
      <c r="H304" t="n">
        <v>0</v>
      </c>
      <c r="I304" t="n">
        <v>0</v>
      </c>
      <c r="J304" t="n">
        <v>0</v>
      </c>
      <c r="K304" t="n">
        <v>0</v>
      </c>
      <c r="L304" t="n">
        <v>0</v>
      </c>
      <c r="M304" t="n">
        <v>0</v>
      </c>
      <c r="N304" t="n">
        <v>0</v>
      </c>
      <c r="O304" t="n">
        <v>0</v>
      </c>
      <c r="P304" t="n">
        <v>0</v>
      </c>
      <c r="Q304" t="n">
        <v>0</v>
      </c>
      <c r="R304" s="2" t="inlineStr"/>
    </row>
    <row r="305" ht="15" customHeight="1">
      <c r="A305" t="inlineStr">
        <is>
          <t>A 73860-2021</t>
        </is>
      </c>
      <c r="B305" s="1" t="n">
        <v>44553.35407407407</v>
      </c>
      <c r="C305" s="1" t="n">
        <v>46082</v>
      </c>
      <c r="D305" t="inlineStr">
        <is>
          <t>ÖREBRO LÄN</t>
        </is>
      </c>
      <c r="E305" t="inlineStr">
        <is>
          <t>LINDESBERG</t>
        </is>
      </c>
      <c r="G305" t="n">
        <v>12.7</v>
      </c>
      <c r="H305" t="n">
        <v>0</v>
      </c>
      <c r="I305" t="n">
        <v>0</v>
      </c>
      <c r="J305" t="n">
        <v>0</v>
      </c>
      <c r="K305" t="n">
        <v>0</v>
      </c>
      <c r="L305" t="n">
        <v>0</v>
      </c>
      <c r="M305" t="n">
        <v>0</v>
      </c>
      <c r="N305" t="n">
        <v>0</v>
      </c>
      <c r="O305" t="n">
        <v>0</v>
      </c>
      <c r="P305" t="n">
        <v>0</v>
      </c>
      <c r="Q305" t="n">
        <v>0</v>
      </c>
      <c r="R305" s="2" t="inlineStr"/>
    </row>
    <row r="306" ht="15" customHeight="1">
      <c r="A306" t="inlineStr">
        <is>
          <t>A 5358-2022</t>
        </is>
      </c>
      <c r="B306" s="1" t="n">
        <v>44594.84091435185</v>
      </c>
      <c r="C306" s="1" t="n">
        <v>46082</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27309-2025</t>
        </is>
      </c>
      <c r="B307" s="1" t="n">
        <v>45812.57452546297</v>
      </c>
      <c r="C307" s="1" t="n">
        <v>46082</v>
      </c>
      <c r="D307" t="inlineStr">
        <is>
          <t>ÖREBRO LÄN</t>
        </is>
      </c>
      <c r="E307" t="inlineStr">
        <is>
          <t>LINDESBERG</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27311-2025</t>
        </is>
      </c>
      <c r="B308" s="1" t="n">
        <v>45812.57604166667</v>
      </c>
      <c r="C308" s="1" t="n">
        <v>46082</v>
      </c>
      <c r="D308" t="inlineStr">
        <is>
          <t>ÖREBRO LÄN</t>
        </is>
      </c>
      <c r="E308" t="inlineStr">
        <is>
          <t>LINDESBERG</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27300-2025</t>
        </is>
      </c>
      <c r="B309" s="1" t="n">
        <v>45812.57143518519</v>
      </c>
      <c r="C309" s="1" t="n">
        <v>46082</v>
      </c>
      <c r="D309" t="inlineStr">
        <is>
          <t>ÖREBRO LÄN</t>
        </is>
      </c>
      <c r="E309" t="inlineStr">
        <is>
          <t>LINDESBERG</t>
        </is>
      </c>
      <c r="F309" t="inlineStr">
        <is>
          <t>Sveaskog</t>
        </is>
      </c>
      <c r="G309" t="n">
        <v>19.7</v>
      </c>
      <c r="H309" t="n">
        <v>0</v>
      </c>
      <c r="I309" t="n">
        <v>0</v>
      </c>
      <c r="J309" t="n">
        <v>0</v>
      </c>
      <c r="K309" t="n">
        <v>0</v>
      </c>
      <c r="L309" t="n">
        <v>0</v>
      </c>
      <c r="M309" t="n">
        <v>0</v>
      </c>
      <c r="N309" t="n">
        <v>0</v>
      </c>
      <c r="O309" t="n">
        <v>0</v>
      </c>
      <c r="P309" t="n">
        <v>0</v>
      </c>
      <c r="Q309" t="n">
        <v>0</v>
      </c>
      <c r="R309" s="2" t="inlineStr"/>
    </row>
    <row r="310" ht="15" customHeight="1">
      <c r="A310" t="inlineStr">
        <is>
          <t>A 27296-2025</t>
        </is>
      </c>
      <c r="B310" s="1" t="n">
        <v>45812.56952546296</v>
      </c>
      <c r="C310" s="1" t="n">
        <v>46082</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13884-2023</t>
        </is>
      </c>
      <c r="B311" s="1" t="n">
        <v>45007</v>
      </c>
      <c r="C311" s="1" t="n">
        <v>46082</v>
      </c>
      <c r="D311" t="inlineStr">
        <is>
          <t>ÖREBRO LÄN</t>
        </is>
      </c>
      <c r="E311" t="inlineStr">
        <is>
          <t>LINDESBERG</t>
        </is>
      </c>
      <c r="F311" t="inlineStr">
        <is>
          <t>Kommuner</t>
        </is>
      </c>
      <c r="G311" t="n">
        <v>7.7</v>
      </c>
      <c r="H311" t="n">
        <v>0</v>
      </c>
      <c r="I311" t="n">
        <v>0</v>
      </c>
      <c r="J311" t="n">
        <v>0</v>
      </c>
      <c r="K311" t="n">
        <v>0</v>
      </c>
      <c r="L311" t="n">
        <v>0</v>
      </c>
      <c r="M311" t="n">
        <v>0</v>
      </c>
      <c r="N311" t="n">
        <v>0</v>
      </c>
      <c r="O311" t="n">
        <v>0</v>
      </c>
      <c r="P311" t="n">
        <v>0</v>
      </c>
      <c r="Q311" t="n">
        <v>0</v>
      </c>
      <c r="R311" s="2" t="inlineStr"/>
    </row>
    <row r="312" ht="15" customHeight="1">
      <c r="A312" t="inlineStr">
        <is>
          <t>A 15324-2024</t>
        </is>
      </c>
      <c r="B312" s="1" t="n">
        <v>45400.66995370371</v>
      </c>
      <c r="C312" s="1" t="n">
        <v>46082</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4539-2025</t>
        </is>
      </c>
      <c r="B313" s="1" t="n">
        <v>45687</v>
      </c>
      <c r="C313" s="1" t="n">
        <v>46082</v>
      </c>
      <c r="D313" t="inlineStr">
        <is>
          <t>ÖREBRO LÄN</t>
        </is>
      </c>
      <c r="E313" t="inlineStr">
        <is>
          <t>LINDESBERG</t>
        </is>
      </c>
      <c r="G313" t="n">
        <v>2.2</v>
      </c>
      <c r="H313" t="n">
        <v>0</v>
      </c>
      <c r="I313" t="n">
        <v>0</v>
      </c>
      <c r="J313" t="n">
        <v>0</v>
      </c>
      <c r="K313" t="n">
        <v>0</v>
      </c>
      <c r="L313" t="n">
        <v>0</v>
      </c>
      <c r="M313" t="n">
        <v>0</v>
      </c>
      <c r="N313" t="n">
        <v>0</v>
      </c>
      <c r="O313" t="n">
        <v>0</v>
      </c>
      <c r="P313" t="n">
        <v>0</v>
      </c>
      <c r="Q313" t="n">
        <v>0</v>
      </c>
      <c r="R313" s="2" t="inlineStr"/>
    </row>
    <row r="314" ht="15" customHeight="1">
      <c r="A314" t="inlineStr">
        <is>
          <t>A 39424-2025</t>
        </is>
      </c>
      <c r="B314" s="1" t="n">
        <v>45889.67290509259</v>
      </c>
      <c r="C314" s="1" t="n">
        <v>46082</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39429-2025</t>
        </is>
      </c>
      <c r="B315" s="1" t="n">
        <v>45889.67577546297</v>
      </c>
      <c r="C315" s="1" t="n">
        <v>46082</v>
      </c>
      <c r="D315" t="inlineStr">
        <is>
          <t>ÖREBRO LÄN</t>
        </is>
      </c>
      <c r="E315" t="inlineStr">
        <is>
          <t>LINDESBERG</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44804-2024</t>
        </is>
      </c>
      <c r="B316" s="1" t="n">
        <v>45574.65189814815</v>
      </c>
      <c r="C316" s="1" t="n">
        <v>46082</v>
      </c>
      <c r="D316" t="inlineStr">
        <is>
          <t>ÖREBRO LÄN</t>
        </is>
      </c>
      <c r="E316" t="inlineStr">
        <is>
          <t>LINDESBERG</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39421-2025</t>
        </is>
      </c>
      <c r="B317" s="1" t="n">
        <v>45889.66935185185</v>
      </c>
      <c r="C317" s="1" t="n">
        <v>46082</v>
      </c>
      <c r="D317" t="inlineStr">
        <is>
          <t>ÖREBRO LÄN</t>
        </is>
      </c>
      <c r="E317" t="inlineStr">
        <is>
          <t>LINDESBERG</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47066-2023</t>
        </is>
      </c>
      <c r="B318" s="1" t="n">
        <v>45201</v>
      </c>
      <c r="C318" s="1" t="n">
        <v>46082</v>
      </c>
      <c r="D318" t="inlineStr">
        <is>
          <t>ÖREBRO LÄN</t>
        </is>
      </c>
      <c r="E318" t="inlineStr">
        <is>
          <t>LINDESBERG</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42410-2024</t>
        </is>
      </c>
      <c r="B319" s="1" t="n">
        <v>45565</v>
      </c>
      <c r="C319" s="1" t="n">
        <v>46082</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55631-2022</t>
        </is>
      </c>
      <c r="B320" s="1" t="n">
        <v>44888.4577662037</v>
      </c>
      <c r="C320" s="1" t="n">
        <v>46082</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42282-2024</t>
        </is>
      </c>
      <c r="B321" s="1" t="n">
        <v>45562.61158564815</v>
      </c>
      <c r="C321" s="1" t="n">
        <v>46082</v>
      </c>
      <c r="D321" t="inlineStr">
        <is>
          <t>ÖREBRO LÄN</t>
        </is>
      </c>
      <c r="E321" t="inlineStr">
        <is>
          <t>LINDESBERG</t>
        </is>
      </c>
      <c r="G321" t="n">
        <v>0.8</v>
      </c>
      <c r="H321" t="n">
        <v>0</v>
      </c>
      <c r="I321" t="n">
        <v>0</v>
      </c>
      <c r="J321" t="n">
        <v>0</v>
      </c>
      <c r="K321" t="n">
        <v>0</v>
      </c>
      <c r="L321" t="n">
        <v>0</v>
      </c>
      <c r="M321" t="n">
        <v>0</v>
      </c>
      <c r="N321" t="n">
        <v>0</v>
      </c>
      <c r="O321" t="n">
        <v>0</v>
      </c>
      <c r="P321" t="n">
        <v>0</v>
      </c>
      <c r="Q321" t="n">
        <v>0</v>
      </c>
      <c r="R321" s="2" t="inlineStr"/>
    </row>
    <row r="322" ht="15" customHeight="1">
      <c r="A322" t="inlineStr">
        <is>
          <t>A 42430-2024</t>
        </is>
      </c>
      <c r="B322" s="1" t="n">
        <v>45565.40700231482</v>
      </c>
      <c r="C322" s="1" t="n">
        <v>46082</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15822-2024</t>
        </is>
      </c>
      <c r="B323" s="1" t="n">
        <v>45404.68190972223</v>
      </c>
      <c r="C323" s="1" t="n">
        <v>46082</v>
      </c>
      <c r="D323" t="inlineStr">
        <is>
          <t>ÖREBRO LÄN</t>
        </is>
      </c>
      <c r="E323" t="inlineStr">
        <is>
          <t>LINDESBERG</t>
        </is>
      </c>
      <c r="F323" t="inlineStr">
        <is>
          <t>Sveaskog</t>
        </is>
      </c>
      <c r="G323" t="n">
        <v>6.7</v>
      </c>
      <c r="H323" t="n">
        <v>0</v>
      </c>
      <c r="I323" t="n">
        <v>0</v>
      </c>
      <c r="J323" t="n">
        <v>0</v>
      </c>
      <c r="K323" t="n">
        <v>0</v>
      </c>
      <c r="L323" t="n">
        <v>0</v>
      </c>
      <c r="M323" t="n">
        <v>0</v>
      </c>
      <c r="N323" t="n">
        <v>0</v>
      </c>
      <c r="O323" t="n">
        <v>0</v>
      </c>
      <c r="P323" t="n">
        <v>0</v>
      </c>
      <c r="Q323" t="n">
        <v>0</v>
      </c>
      <c r="R323" s="2" t="inlineStr"/>
    </row>
    <row r="324" ht="15" customHeight="1">
      <c r="A324" t="inlineStr">
        <is>
          <t>A 40038-2024</t>
        </is>
      </c>
      <c r="B324" s="1" t="n">
        <v>45553</v>
      </c>
      <c r="C324" s="1" t="n">
        <v>46082</v>
      </c>
      <c r="D324" t="inlineStr">
        <is>
          <t>ÖREBRO LÄN</t>
        </is>
      </c>
      <c r="E324" t="inlineStr">
        <is>
          <t>LINDESBERG</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8213-2023</t>
        </is>
      </c>
      <c r="B325" s="1" t="n">
        <v>44974.55693287037</v>
      </c>
      <c r="C325" s="1" t="n">
        <v>46082</v>
      </c>
      <c r="D325" t="inlineStr">
        <is>
          <t>ÖREBRO LÄN</t>
        </is>
      </c>
      <c r="E325" t="inlineStr">
        <is>
          <t>LINDESBERG</t>
        </is>
      </c>
      <c r="G325" t="n">
        <v>0.7</v>
      </c>
      <c r="H325" t="n">
        <v>0</v>
      </c>
      <c r="I325" t="n">
        <v>0</v>
      </c>
      <c r="J325" t="n">
        <v>0</v>
      </c>
      <c r="K325" t="n">
        <v>0</v>
      </c>
      <c r="L325" t="n">
        <v>0</v>
      </c>
      <c r="M325" t="n">
        <v>0</v>
      </c>
      <c r="N325" t="n">
        <v>0</v>
      </c>
      <c r="O325" t="n">
        <v>0</v>
      </c>
      <c r="P325" t="n">
        <v>0</v>
      </c>
      <c r="Q325" t="n">
        <v>0</v>
      </c>
      <c r="R325" s="2" t="inlineStr"/>
    </row>
    <row r="326" ht="15" customHeight="1">
      <c r="A326" t="inlineStr">
        <is>
          <t>A 28040-2025</t>
        </is>
      </c>
      <c r="B326" s="1" t="n">
        <v>45817.6455324074</v>
      </c>
      <c r="C326" s="1" t="n">
        <v>46082</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28877-2025</t>
        </is>
      </c>
      <c r="B327" s="1" t="n">
        <v>45820.61684027778</v>
      </c>
      <c r="C327" s="1" t="n">
        <v>46082</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3732-2023</t>
        </is>
      </c>
      <c r="B328" s="1" t="n">
        <v>44949</v>
      </c>
      <c r="C328" s="1" t="n">
        <v>46082</v>
      </c>
      <c r="D328" t="inlineStr">
        <is>
          <t>ÖREBRO LÄN</t>
        </is>
      </c>
      <c r="E328" t="inlineStr">
        <is>
          <t>LINDESBERG</t>
        </is>
      </c>
      <c r="G328" t="n">
        <v>3.3</v>
      </c>
      <c r="H328" t="n">
        <v>0</v>
      </c>
      <c r="I328" t="n">
        <v>0</v>
      </c>
      <c r="J328" t="n">
        <v>0</v>
      </c>
      <c r="K328" t="n">
        <v>0</v>
      </c>
      <c r="L328" t="n">
        <v>0</v>
      </c>
      <c r="M328" t="n">
        <v>0</v>
      </c>
      <c r="N328" t="n">
        <v>0</v>
      </c>
      <c r="O328" t="n">
        <v>0</v>
      </c>
      <c r="P328" t="n">
        <v>0</v>
      </c>
      <c r="Q328" t="n">
        <v>0</v>
      </c>
      <c r="R328" s="2" t="inlineStr"/>
    </row>
    <row r="329" ht="15" customHeight="1">
      <c r="A329" t="inlineStr">
        <is>
          <t>A 47155-2024</t>
        </is>
      </c>
      <c r="B329" s="1" t="n">
        <v>45586</v>
      </c>
      <c r="C329" s="1" t="n">
        <v>46082</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2569-2023</t>
        </is>
      </c>
      <c r="B330" s="1" t="n">
        <v>44943.73792824074</v>
      </c>
      <c r="C330" s="1" t="n">
        <v>46082</v>
      </c>
      <c r="D330" t="inlineStr">
        <is>
          <t>ÖREBRO LÄN</t>
        </is>
      </c>
      <c r="E330" t="inlineStr">
        <is>
          <t>LINDESBERG</t>
        </is>
      </c>
      <c r="G330" t="n">
        <v>2.3</v>
      </c>
      <c r="H330" t="n">
        <v>0</v>
      </c>
      <c r="I330" t="n">
        <v>0</v>
      </c>
      <c r="J330" t="n">
        <v>0</v>
      </c>
      <c r="K330" t="n">
        <v>0</v>
      </c>
      <c r="L330" t="n">
        <v>0</v>
      </c>
      <c r="M330" t="n">
        <v>0</v>
      </c>
      <c r="N330" t="n">
        <v>0</v>
      </c>
      <c r="O330" t="n">
        <v>0</v>
      </c>
      <c r="P330" t="n">
        <v>0</v>
      </c>
      <c r="Q330" t="n">
        <v>0</v>
      </c>
      <c r="R330" s="2" t="inlineStr"/>
    </row>
    <row r="331" ht="15" customHeight="1">
      <c r="A331" t="inlineStr">
        <is>
          <t>A 9966-2023</t>
        </is>
      </c>
      <c r="B331" s="1" t="n">
        <v>44979</v>
      </c>
      <c r="C331" s="1" t="n">
        <v>46082</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28991-2025</t>
        </is>
      </c>
      <c r="B332" s="1" t="n">
        <v>45821.37199074074</v>
      </c>
      <c r="C332" s="1" t="n">
        <v>46082</v>
      </c>
      <c r="D332" t="inlineStr">
        <is>
          <t>ÖREBRO LÄN</t>
        </is>
      </c>
      <c r="E332" t="inlineStr">
        <is>
          <t>LINDESBERG</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29037-2025</t>
        </is>
      </c>
      <c r="B333" s="1" t="n">
        <v>45821.44521990741</v>
      </c>
      <c r="C333" s="1" t="n">
        <v>46082</v>
      </c>
      <c r="D333" t="inlineStr">
        <is>
          <t>ÖREBRO LÄN</t>
        </is>
      </c>
      <c r="E333" t="inlineStr">
        <is>
          <t>LINDESBERG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29051-2025</t>
        </is>
      </c>
      <c r="B334" s="1" t="n">
        <v>45821.46486111111</v>
      </c>
      <c r="C334" s="1" t="n">
        <v>46082</v>
      </c>
      <c r="D334" t="inlineStr">
        <is>
          <t>ÖREBRO LÄN</t>
        </is>
      </c>
      <c r="E334" t="inlineStr">
        <is>
          <t>LINDESBERG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29049-2025</t>
        </is>
      </c>
      <c r="B335" s="1" t="n">
        <v>45821.46135416667</v>
      </c>
      <c r="C335" s="1" t="n">
        <v>46082</v>
      </c>
      <c r="D335" t="inlineStr">
        <is>
          <t>ÖREBRO LÄN</t>
        </is>
      </c>
      <c r="E335" t="inlineStr">
        <is>
          <t>LINDESBERG</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47069-2023</t>
        </is>
      </c>
      <c r="B336" s="1" t="n">
        <v>45201</v>
      </c>
      <c r="C336" s="1" t="n">
        <v>46082</v>
      </c>
      <c r="D336" t="inlineStr">
        <is>
          <t>ÖREBRO LÄN</t>
        </is>
      </c>
      <c r="E336" t="inlineStr">
        <is>
          <t>LINDESBERG</t>
        </is>
      </c>
      <c r="F336" t="inlineStr">
        <is>
          <t>Sveaskog</t>
        </is>
      </c>
      <c r="G336" t="n">
        <v>9.4</v>
      </c>
      <c r="H336" t="n">
        <v>0</v>
      </c>
      <c r="I336" t="n">
        <v>0</v>
      </c>
      <c r="J336" t="n">
        <v>0</v>
      </c>
      <c r="K336" t="n">
        <v>0</v>
      </c>
      <c r="L336" t="n">
        <v>0</v>
      </c>
      <c r="M336" t="n">
        <v>0</v>
      </c>
      <c r="N336" t="n">
        <v>0</v>
      </c>
      <c r="O336" t="n">
        <v>0</v>
      </c>
      <c r="P336" t="n">
        <v>0</v>
      </c>
      <c r="Q336" t="n">
        <v>0</v>
      </c>
      <c r="R336" s="2" t="inlineStr"/>
    </row>
    <row r="337" ht="15" customHeight="1">
      <c r="A337" t="inlineStr">
        <is>
          <t>A 47074-2023</t>
        </is>
      </c>
      <c r="B337" s="1" t="n">
        <v>45201.60283564815</v>
      </c>
      <c r="C337" s="1" t="n">
        <v>46082</v>
      </c>
      <c r="D337" t="inlineStr">
        <is>
          <t>ÖREBRO LÄN</t>
        </is>
      </c>
      <c r="E337" t="inlineStr">
        <is>
          <t>LINDESBERG</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40366-2025</t>
        </is>
      </c>
      <c r="B338" s="1" t="n">
        <v>45895.49994212963</v>
      </c>
      <c r="C338" s="1" t="n">
        <v>46082</v>
      </c>
      <c r="D338" t="inlineStr">
        <is>
          <t>ÖREBRO LÄN</t>
        </is>
      </c>
      <c r="E338" t="inlineStr">
        <is>
          <t>LINDESBERG</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40357-2025</t>
        </is>
      </c>
      <c r="B339" s="1" t="n">
        <v>45895.48927083334</v>
      </c>
      <c r="C339" s="1" t="n">
        <v>46082</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40351-2025</t>
        </is>
      </c>
      <c r="B340" s="1" t="n">
        <v>45895.48394675926</v>
      </c>
      <c r="C340" s="1" t="n">
        <v>46082</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40347-2025</t>
        </is>
      </c>
      <c r="B341" s="1" t="n">
        <v>45895.4790625</v>
      </c>
      <c r="C341" s="1" t="n">
        <v>46082</v>
      </c>
      <c r="D341" t="inlineStr">
        <is>
          <t>ÖREBRO LÄN</t>
        </is>
      </c>
      <c r="E341" t="inlineStr">
        <is>
          <t>LINDESBERG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40346-2025</t>
        </is>
      </c>
      <c r="B342" s="1" t="n">
        <v>45895.47704861111</v>
      </c>
      <c r="C342" s="1" t="n">
        <v>46082</v>
      </c>
      <c r="D342" t="inlineStr">
        <is>
          <t>ÖREBRO LÄN</t>
        </is>
      </c>
      <c r="E342" t="inlineStr">
        <is>
          <t>LINDESBERG</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30000-2025</t>
        </is>
      </c>
      <c r="B343" s="1" t="n">
        <v>45826.52024305556</v>
      </c>
      <c r="C343" s="1" t="n">
        <v>46082</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53352-2023</t>
        </is>
      </c>
      <c r="B344" s="1" t="n">
        <v>45229.66262731481</v>
      </c>
      <c r="C344" s="1" t="n">
        <v>46082</v>
      </c>
      <c r="D344" t="inlineStr">
        <is>
          <t>ÖREBRO LÄN</t>
        </is>
      </c>
      <c r="E344" t="inlineStr">
        <is>
          <t>LINDESBERG</t>
        </is>
      </c>
      <c r="F344" t="inlineStr">
        <is>
          <t>Sveaskog</t>
        </is>
      </c>
      <c r="G344" t="n">
        <v>0.3</v>
      </c>
      <c r="H344" t="n">
        <v>0</v>
      </c>
      <c r="I344" t="n">
        <v>0</v>
      </c>
      <c r="J344" t="n">
        <v>0</v>
      </c>
      <c r="K344" t="n">
        <v>0</v>
      </c>
      <c r="L344" t="n">
        <v>0</v>
      </c>
      <c r="M344" t="n">
        <v>0</v>
      </c>
      <c r="N344" t="n">
        <v>0</v>
      </c>
      <c r="O344" t="n">
        <v>0</v>
      </c>
      <c r="P344" t="n">
        <v>0</v>
      </c>
      <c r="Q344" t="n">
        <v>0</v>
      </c>
      <c r="R344" s="2" t="inlineStr"/>
    </row>
    <row r="345" ht="15" customHeight="1">
      <c r="A345" t="inlineStr">
        <is>
          <t>A 15213-2025</t>
        </is>
      </c>
      <c r="B345" s="1" t="n">
        <v>45744.57851851852</v>
      </c>
      <c r="C345" s="1" t="n">
        <v>46082</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46678-2023</t>
        </is>
      </c>
      <c r="B346" s="1" t="n">
        <v>45194</v>
      </c>
      <c r="C346" s="1" t="n">
        <v>46082</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26967-2022</t>
        </is>
      </c>
      <c r="B347" s="1" t="n">
        <v>44740.66997685185</v>
      </c>
      <c r="C347" s="1" t="n">
        <v>46082</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41027-2025</t>
        </is>
      </c>
      <c r="B348" s="1" t="n">
        <v>45898.37138888889</v>
      </c>
      <c r="C348" s="1" t="n">
        <v>46082</v>
      </c>
      <c r="D348" t="inlineStr">
        <is>
          <t>ÖREBRO LÄN</t>
        </is>
      </c>
      <c r="E348" t="inlineStr">
        <is>
          <t>LINDESBERG</t>
        </is>
      </c>
      <c r="G348" t="n">
        <v>4.7</v>
      </c>
      <c r="H348" t="n">
        <v>0</v>
      </c>
      <c r="I348" t="n">
        <v>0</v>
      </c>
      <c r="J348" t="n">
        <v>0</v>
      </c>
      <c r="K348" t="n">
        <v>0</v>
      </c>
      <c r="L348" t="n">
        <v>0</v>
      </c>
      <c r="M348" t="n">
        <v>0</v>
      </c>
      <c r="N348" t="n">
        <v>0</v>
      </c>
      <c r="O348" t="n">
        <v>0</v>
      </c>
      <c r="P348" t="n">
        <v>0</v>
      </c>
      <c r="Q348" t="n">
        <v>0</v>
      </c>
      <c r="R348" s="2" t="inlineStr"/>
    </row>
    <row r="349" ht="15" customHeight="1">
      <c r="A349" t="inlineStr">
        <is>
          <t>A 45978-2021</t>
        </is>
      </c>
      <c r="B349" s="1" t="n">
        <v>44441.70047453704</v>
      </c>
      <c r="C349" s="1" t="n">
        <v>46082</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30341-2025</t>
        </is>
      </c>
      <c r="B350" s="1" t="n">
        <v>45827.51862268519</v>
      </c>
      <c r="C350" s="1" t="n">
        <v>46082</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14454-2024</t>
        </is>
      </c>
      <c r="B351" s="1" t="n">
        <v>45394.51289351852</v>
      </c>
      <c r="C351" s="1" t="n">
        <v>46082</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40303-2024</t>
        </is>
      </c>
      <c r="B352" s="1" t="n">
        <v>45554.7158912037</v>
      </c>
      <c r="C352" s="1" t="n">
        <v>46082</v>
      </c>
      <c r="D352" t="inlineStr">
        <is>
          <t>ÖREBRO LÄN</t>
        </is>
      </c>
      <c r="E352" t="inlineStr">
        <is>
          <t>LINDESBERG</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46484-2024</t>
        </is>
      </c>
      <c r="B353" s="1" t="n">
        <v>45582.57542824074</v>
      </c>
      <c r="C353" s="1" t="n">
        <v>46082</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19436-2025</t>
        </is>
      </c>
      <c r="B354" s="1" t="n">
        <v>45769.98449074074</v>
      </c>
      <c r="C354" s="1" t="n">
        <v>46082</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30340-2025</t>
        </is>
      </c>
      <c r="B355" s="1" t="n">
        <v>45827.51753472222</v>
      </c>
      <c r="C355" s="1" t="n">
        <v>46082</v>
      </c>
      <c r="D355" t="inlineStr">
        <is>
          <t>ÖREBRO LÄN</t>
        </is>
      </c>
      <c r="E355" t="inlineStr">
        <is>
          <t>LINDESBERG</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30342-2025</t>
        </is>
      </c>
      <c r="B356" s="1" t="n">
        <v>45827.51956018519</v>
      </c>
      <c r="C356" s="1" t="n">
        <v>46082</v>
      </c>
      <c r="D356" t="inlineStr">
        <is>
          <t>ÖREBRO LÄN</t>
        </is>
      </c>
      <c r="E356" t="inlineStr">
        <is>
          <t>LINDESBERG</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30381-2025</t>
        </is>
      </c>
      <c r="B357" s="1" t="n">
        <v>45827.56939814815</v>
      </c>
      <c r="C357" s="1" t="n">
        <v>46082</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41653-2025</t>
        </is>
      </c>
      <c r="B358" s="1" t="n">
        <v>45902.3406712963</v>
      </c>
      <c r="C358" s="1" t="n">
        <v>46082</v>
      </c>
      <c r="D358" t="inlineStr">
        <is>
          <t>ÖREBRO LÄN</t>
        </is>
      </c>
      <c r="E358" t="inlineStr">
        <is>
          <t>LINDESBERG</t>
        </is>
      </c>
      <c r="G358" t="n">
        <v>1.5</v>
      </c>
      <c r="H358" t="n">
        <v>0</v>
      </c>
      <c r="I358" t="n">
        <v>0</v>
      </c>
      <c r="J358" t="n">
        <v>0</v>
      </c>
      <c r="K358" t="n">
        <v>0</v>
      </c>
      <c r="L358" t="n">
        <v>0</v>
      </c>
      <c r="M358" t="n">
        <v>0</v>
      </c>
      <c r="N358" t="n">
        <v>0</v>
      </c>
      <c r="O358" t="n">
        <v>0</v>
      </c>
      <c r="P358" t="n">
        <v>0</v>
      </c>
      <c r="Q358" t="n">
        <v>0</v>
      </c>
      <c r="R358" s="2" t="inlineStr"/>
    </row>
    <row r="359" ht="15" customHeight="1">
      <c r="A359" t="inlineStr">
        <is>
          <t>A 41340-2025</t>
        </is>
      </c>
      <c r="B359" s="1" t="n">
        <v>45899.38057870371</v>
      </c>
      <c r="C359" s="1" t="n">
        <v>46082</v>
      </c>
      <c r="D359" t="inlineStr">
        <is>
          <t>ÖREBRO LÄN</t>
        </is>
      </c>
      <c r="E359" t="inlineStr">
        <is>
          <t>LINDESBERG</t>
        </is>
      </c>
      <c r="G359" t="n">
        <v>16.5</v>
      </c>
      <c r="H359" t="n">
        <v>0</v>
      </c>
      <c r="I359" t="n">
        <v>0</v>
      </c>
      <c r="J359" t="n">
        <v>0</v>
      </c>
      <c r="K359" t="n">
        <v>0</v>
      </c>
      <c r="L359" t="n">
        <v>0</v>
      </c>
      <c r="M359" t="n">
        <v>0</v>
      </c>
      <c r="N359" t="n">
        <v>0</v>
      </c>
      <c r="O359" t="n">
        <v>0</v>
      </c>
      <c r="P359" t="n">
        <v>0</v>
      </c>
      <c r="Q359" t="n">
        <v>0</v>
      </c>
      <c r="R359" s="2" t="inlineStr"/>
    </row>
    <row r="360" ht="15" customHeight="1">
      <c r="A360" t="inlineStr">
        <is>
          <t>A 30339-2025</t>
        </is>
      </c>
      <c r="B360" s="1" t="n">
        <v>45827.51628472222</v>
      </c>
      <c r="C360" s="1" t="n">
        <v>46082</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31215-2025</t>
        </is>
      </c>
      <c r="B361" s="1" t="n">
        <v>45832.74418981482</v>
      </c>
      <c r="C361" s="1" t="n">
        <v>46082</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13350-2024</t>
        </is>
      </c>
      <c r="B362" s="1" t="n">
        <v>45387.24732638889</v>
      </c>
      <c r="C362" s="1" t="n">
        <v>46082</v>
      </c>
      <c r="D362" t="inlineStr">
        <is>
          <t>ÖREBRO LÄN</t>
        </is>
      </c>
      <c r="E362" t="inlineStr">
        <is>
          <t>LINDESBERG</t>
        </is>
      </c>
      <c r="G362" t="n">
        <v>4.1</v>
      </c>
      <c r="H362" t="n">
        <v>0</v>
      </c>
      <c r="I362" t="n">
        <v>0</v>
      </c>
      <c r="J362" t="n">
        <v>0</v>
      </c>
      <c r="K362" t="n">
        <v>0</v>
      </c>
      <c r="L362" t="n">
        <v>0</v>
      </c>
      <c r="M362" t="n">
        <v>0</v>
      </c>
      <c r="N362" t="n">
        <v>0</v>
      </c>
      <c r="O362" t="n">
        <v>0</v>
      </c>
      <c r="P362" t="n">
        <v>0</v>
      </c>
      <c r="Q362" t="n">
        <v>0</v>
      </c>
      <c r="R362" s="2" t="inlineStr"/>
    </row>
    <row r="363" ht="15" customHeight="1">
      <c r="A363" t="inlineStr">
        <is>
          <t>A 13351-2024</t>
        </is>
      </c>
      <c r="B363" s="1" t="n">
        <v>45387.2521875</v>
      </c>
      <c r="C363" s="1" t="n">
        <v>46082</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34029-2024</t>
        </is>
      </c>
      <c r="B364" s="1" t="n">
        <v>45523</v>
      </c>
      <c r="C364" s="1" t="n">
        <v>46082</v>
      </c>
      <c r="D364" t="inlineStr">
        <is>
          <t>ÖREBRO LÄN</t>
        </is>
      </c>
      <c r="E364" t="inlineStr">
        <is>
          <t>LINDESBERG</t>
        </is>
      </c>
      <c r="G364" t="n">
        <v>1.9</v>
      </c>
      <c r="H364" t="n">
        <v>0</v>
      </c>
      <c r="I364" t="n">
        <v>0</v>
      </c>
      <c r="J364" t="n">
        <v>0</v>
      </c>
      <c r="K364" t="n">
        <v>0</v>
      </c>
      <c r="L364" t="n">
        <v>0</v>
      </c>
      <c r="M364" t="n">
        <v>0</v>
      </c>
      <c r="N364" t="n">
        <v>0</v>
      </c>
      <c r="O364" t="n">
        <v>0</v>
      </c>
      <c r="P364" t="n">
        <v>0</v>
      </c>
      <c r="Q364" t="n">
        <v>0</v>
      </c>
      <c r="R364" s="2" t="inlineStr"/>
    </row>
    <row r="365" ht="15" customHeight="1">
      <c r="A365" t="inlineStr">
        <is>
          <t>A 41889-2025</t>
        </is>
      </c>
      <c r="B365" s="1" t="n">
        <v>45903.37475694445</v>
      </c>
      <c r="C365" s="1" t="n">
        <v>46082</v>
      </c>
      <c r="D365" t="inlineStr">
        <is>
          <t>ÖREBRO LÄN</t>
        </is>
      </c>
      <c r="E365" t="inlineStr">
        <is>
          <t>LINDESBERG</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31014-2025</t>
        </is>
      </c>
      <c r="B366" s="1" t="n">
        <v>45832.51028935185</v>
      </c>
      <c r="C366" s="1" t="n">
        <v>46082</v>
      </c>
      <c r="D366" t="inlineStr">
        <is>
          <t>ÖREBRO LÄN</t>
        </is>
      </c>
      <c r="E366" t="inlineStr">
        <is>
          <t>LINDESBERG</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31049-2025</t>
        </is>
      </c>
      <c r="B367" s="1" t="n">
        <v>45832.55810185185</v>
      </c>
      <c r="C367" s="1" t="n">
        <v>46082</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31000-2025</t>
        </is>
      </c>
      <c r="B368" s="1" t="n">
        <v>45832.49325231482</v>
      </c>
      <c r="C368" s="1" t="n">
        <v>46082</v>
      </c>
      <c r="D368" t="inlineStr">
        <is>
          <t>ÖREBRO LÄN</t>
        </is>
      </c>
      <c r="E368" t="inlineStr">
        <is>
          <t>LINDESBERG</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31018-2025</t>
        </is>
      </c>
      <c r="B369" s="1" t="n">
        <v>45832.51255787037</v>
      </c>
      <c r="C369" s="1" t="n">
        <v>46082</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31003-2025</t>
        </is>
      </c>
      <c r="B370" s="1" t="n">
        <v>45832.49579861111</v>
      </c>
      <c r="C370" s="1" t="n">
        <v>46082</v>
      </c>
      <c r="D370" t="inlineStr">
        <is>
          <t>ÖREBRO LÄN</t>
        </is>
      </c>
      <c r="E370" t="inlineStr">
        <is>
          <t>LINDESBERG</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31085-2025</t>
        </is>
      </c>
      <c r="B371" s="1" t="n">
        <v>45832.5902662037</v>
      </c>
      <c r="C371" s="1" t="n">
        <v>46082</v>
      </c>
      <c r="D371" t="inlineStr">
        <is>
          <t>ÖREBRO LÄN</t>
        </is>
      </c>
      <c r="E371" t="inlineStr">
        <is>
          <t>LINDESBERG</t>
        </is>
      </c>
      <c r="F371" t="inlineStr">
        <is>
          <t>Sveaskog</t>
        </is>
      </c>
      <c r="G371" t="n">
        <v>0.3</v>
      </c>
      <c r="H371" t="n">
        <v>0</v>
      </c>
      <c r="I371" t="n">
        <v>0</v>
      </c>
      <c r="J371" t="n">
        <v>0</v>
      </c>
      <c r="K371" t="n">
        <v>0</v>
      </c>
      <c r="L371" t="n">
        <v>0</v>
      </c>
      <c r="M371" t="n">
        <v>0</v>
      </c>
      <c r="N371" t="n">
        <v>0</v>
      </c>
      <c r="O371" t="n">
        <v>0</v>
      </c>
      <c r="P371" t="n">
        <v>0</v>
      </c>
      <c r="Q371" t="n">
        <v>0</v>
      </c>
      <c r="R371" s="2" t="inlineStr"/>
    </row>
    <row r="372" ht="15" customHeight="1">
      <c r="A372" t="inlineStr">
        <is>
          <t>A 12053-2024</t>
        </is>
      </c>
      <c r="B372" s="1" t="n">
        <v>45377.48265046296</v>
      </c>
      <c r="C372" s="1" t="n">
        <v>46082</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31213-2025</t>
        </is>
      </c>
      <c r="B373" s="1" t="n">
        <v>45832.72778935185</v>
      </c>
      <c r="C373" s="1" t="n">
        <v>46082</v>
      </c>
      <c r="D373" t="inlineStr">
        <is>
          <t>ÖREBRO LÄN</t>
        </is>
      </c>
      <c r="E373" t="inlineStr">
        <is>
          <t>LINDESBERG</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39137-2024</t>
        </is>
      </c>
      <c r="B374" s="1" t="n">
        <v>45548</v>
      </c>
      <c r="C374" s="1" t="n">
        <v>46082</v>
      </c>
      <c r="D374" t="inlineStr">
        <is>
          <t>ÖREBRO LÄN</t>
        </is>
      </c>
      <c r="E374" t="inlineStr">
        <is>
          <t>LINDESBERG</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39152-2024</t>
        </is>
      </c>
      <c r="B375" s="1" t="n">
        <v>45548</v>
      </c>
      <c r="C375" s="1" t="n">
        <v>46082</v>
      </c>
      <c r="D375" t="inlineStr">
        <is>
          <t>ÖREBRO LÄN</t>
        </is>
      </c>
      <c r="E375" t="inlineStr">
        <is>
          <t>LINDESBERG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42630-2025</t>
        </is>
      </c>
      <c r="B376" s="1" t="n">
        <v>45905.89143518519</v>
      </c>
      <c r="C376" s="1" t="n">
        <v>46082</v>
      </c>
      <c r="D376" t="inlineStr">
        <is>
          <t>ÖREBRO LÄN</t>
        </is>
      </c>
      <c r="E376" t="inlineStr">
        <is>
          <t>LINDESBERG</t>
        </is>
      </c>
      <c r="F376" t="inlineStr">
        <is>
          <t>Sveaskog</t>
        </is>
      </c>
      <c r="G376" t="n">
        <v>9.9</v>
      </c>
      <c r="H376" t="n">
        <v>0</v>
      </c>
      <c r="I376" t="n">
        <v>0</v>
      </c>
      <c r="J376" t="n">
        <v>0</v>
      </c>
      <c r="K376" t="n">
        <v>0</v>
      </c>
      <c r="L376" t="n">
        <v>0</v>
      </c>
      <c r="M376" t="n">
        <v>0</v>
      </c>
      <c r="N376" t="n">
        <v>0</v>
      </c>
      <c r="O376" t="n">
        <v>0</v>
      </c>
      <c r="P376" t="n">
        <v>0</v>
      </c>
      <c r="Q376" t="n">
        <v>0</v>
      </c>
      <c r="R376" s="2" t="inlineStr"/>
    </row>
    <row r="377" ht="15" customHeight="1">
      <c r="A377" t="inlineStr">
        <is>
          <t>A 43529-2024</t>
        </is>
      </c>
      <c r="B377" s="1" t="n">
        <v>45569.35209490741</v>
      </c>
      <c r="C377" s="1" t="n">
        <v>46082</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46607-2021</t>
        </is>
      </c>
      <c r="B378" s="1" t="n">
        <v>44445.55690972223</v>
      </c>
      <c r="C378" s="1" t="n">
        <v>46082</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42631-2025</t>
        </is>
      </c>
      <c r="B379" s="1" t="n">
        <v>45905.89236111111</v>
      </c>
      <c r="C379" s="1" t="n">
        <v>46082</v>
      </c>
      <c r="D379" t="inlineStr">
        <is>
          <t>ÖREBRO LÄN</t>
        </is>
      </c>
      <c r="E379" t="inlineStr">
        <is>
          <t>LINDESBERG</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31221-2025</t>
        </is>
      </c>
      <c r="B380" s="1" t="n">
        <v>45832.76491898148</v>
      </c>
      <c r="C380" s="1" t="n">
        <v>46082</v>
      </c>
      <c r="D380" t="inlineStr">
        <is>
          <t>ÖREBRO LÄN</t>
        </is>
      </c>
      <c r="E380" t="inlineStr">
        <is>
          <t>LINDESBERG</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42632-2025</t>
        </is>
      </c>
      <c r="B381" s="1" t="n">
        <v>45905.89329861111</v>
      </c>
      <c r="C381" s="1" t="n">
        <v>46082</v>
      </c>
      <c r="D381" t="inlineStr">
        <is>
          <t>ÖREBRO LÄN</t>
        </is>
      </c>
      <c r="E381" t="inlineStr">
        <is>
          <t>LINDESBERG</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27051-2023</t>
        </is>
      </c>
      <c r="B382" s="1" t="n">
        <v>45095</v>
      </c>
      <c r="C382" s="1" t="n">
        <v>46082</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27052-2023</t>
        </is>
      </c>
      <c r="B383" s="1" t="n">
        <v>45095</v>
      </c>
      <c r="C383" s="1" t="n">
        <v>46082</v>
      </c>
      <c r="D383" t="inlineStr">
        <is>
          <t>ÖREBRO LÄN</t>
        </is>
      </c>
      <c r="E383" t="inlineStr">
        <is>
          <t>LINDESBERG</t>
        </is>
      </c>
      <c r="G383" t="n">
        <v>1.1</v>
      </c>
      <c r="H383" t="n">
        <v>0</v>
      </c>
      <c r="I383" t="n">
        <v>0</v>
      </c>
      <c r="J383" t="n">
        <v>0</v>
      </c>
      <c r="K383" t="n">
        <v>0</v>
      </c>
      <c r="L383" t="n">
        <v>0</v>
      </c>
      <c r="M383" t="n">
        <v>0</v>
      </c>
      <c r="N383" t="n">
        <v>0</v>
      </c>
      <c r="O383" t="n">
        <v>0</v>
      </c>
      <c r="P383" t="n">
        <v>0</v>
      </c>
      <c r="Q383" t="n">
        <v>0</v>
      </c>
      <c r="R383" s="2" t="inlineStr"/>
    </row>
    <row r="384" ht="15" customHeight="1">
      <c r="A384" t="inlineStr">
        <is>
          <t>A 31220-2025</t>
        </is>
      </c>
      <c r="B384" s="1" t="n">
        <v>45832.76100694444</v>
      </c>
      <c r="C384" s="1" t="n">
        <v>46082</v>
      </c>
      <c r="D384" t="inlineStr">
        <is>
          <t>ÖREBRO LÄN</t>
        </is>
      </c>
      <c r="E384" t="inlineStr">
        <is>
          <t>LINDESBERG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58710-2023</t>
        </is>
      </c>
      <c r="B385" s="1" t="n">
        <v>45251.696875</v>
      </c>
      <c r="C385" s="1" t="n">
        <v>46082</v>
      </c>
      <c r="D385" t="inlineStr">
        <is>
          <t>ÖREBRO LÄN</t>
        </is>
      </c>
      <c r="E385" t="inlineStr">
        <is>
          <t>LINDESBERG</t>
        </is>
      </c>
      <c r="G385" t="n">
        <v>6.3</v>
      </c>
      <c r="H385" t="n">
        <v>0</v>
      </c>
      <c r="I385" t="n">
        <v>0</v>
      </c>
      <c r="J385" t="n">
        <v>0</v>
      </c>
      <c r="K385" t="n">
        <v>0</v>
      </c>
      <c r="L385" t="n">
        <v>0</v>
      </c>
      <c r="M385" t="n">
        <v>0</v>
      </c>
      <c r="N385" t="n">
        <v>0</v>
      </c>
      <c r="O385" t="n">
        <v>0</v>
      </c>
      <c r="P385" t="n">
        <v>0</v>
      </c>
      <c r="Q385" t="n">
        <v>0</v>
      </c>
      <c r="R385" s="2" t="inlineStr"/>
    </row>
    <row r="386" ht="15" customHeight="1">
      <c r="A386" t="inlineStr">
        <is>
          <t>A 5772-2023</t>
        </is>
      </c>
      <c r="B386" s="1" t="n">
        <v>44963.37709490741</v>
      </c>
      <c r="C386" s="1" t="n">
        <v>46082</v>
      </c>
      <c r="D386" t="inlineStr">
        <is>
          <t>ÖREBRO LÄN</t>
        </is>
      </c>
      <c r="E386" t="inlineStr">
        <is>
          <t>LINDESBERG</t>
        </is>
      </c>
      <c r="G386" t="n">
        <v>3</v>
      </c>
      <c r="H386" t="n">
        <v>0</v>
      </c>
      <c r="I386" t="n">
        <v>0</v>
      </c>
      <c r="J386" t="n">
        <v>0</v>
      </c>
      <c r="K386" t="n">
        <v>0</v>
      </c>
      <c r="L386" t="n">
        <v>0</v>
      </c>
      <c r="M386" t="n">
        <v>0</v>
      </c>
      <c r="N386" t="n">
        <v>0</v>
      </c>
      <c r="O386" t="n">
        <v>0</v>
      </c>
      <c r="P386" t="n">
        <v>0</v>
      </c>
      <c r="Q386" t="n">
        <v>0</v>
      </c>
      <c r="R386" s="2" t="inlineStr"/>
    </row>
    <row r="387" ht="15" customHeight="1">
      <c r="A387" t="inlineStr">
        <is>
          <t>A 20210-2024</t>
        </is>
      </c>
      <c r="B387" s="1" t="n">
        <v>45434.65854166666</v>
      </c>
      <c r="C387" s="1" t="n">
        <v>46082</v>
      </c>
      <c r="D387" t="inlineStr">
        <is>
          <t>ÖREBRO LÄN</t>
        </is>
      </c>
      <c r="E387" t="inlineStr">
        <is>
          <t>LINDESBERG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32504-2025</t>
        </is>
      </c>
      <c r="B388" s="1" t="n">
        <v>45838.46456018519</v>
      </c>
      <c r="C388" s="1" t="n">
        <v>46082</v>
      </c>
      <c r="D388" t="inlineStr">
        <is>
          <t>ÖREBRO LÄN</t>
        </is>
      </c>
      <c r="E388" t="inlineStr">
        <is>
          <t>LINDESBERG</t>
        </is>
      </c>
      <c r="F388" t="inlineStr">
        <is>
          <t>Sveaskog</t>
        </is>
      </c>
      <c r="G388" t="n">
        <v>16.9</v>
      </c>
      <c r="H388" t="n">
        <v>0</v>
      </c>
      <c r="I388" t="n">
        <v>0</v>
      </c>
      <c r="J388" t="n">
        <v>0</v>
      </c>
      <c r="K388" t="n">
        <v>0</v>
      </c>
      <c r="L388" t="n">
        <v>0</v>
      </c>
      <c r="M388" t="n">
        <v>0</v>
      </c>
      <c r="N388" t="n">
        <v>0</v>
      </c>
      <c r="O388" t="n">
        <v>0</v>
      </c>
      <c r="P388" t="n">
        <v>0</v>
      </c>
      <c r="Q388" t="n">
        <v>0</v>
      </c>
      <c r="R388" s="2" t="inlineStr"/>
    </row>
    <row r="389" ht="15" customHeight="1">
      <c r="A389" t="inlineStr">
        <is>
          <t>A 32284-2025</t>
        </is>
      </c>
      <c r="B389" s="1" t="n">
        <v>45835.68443287037</v>
      </c>
      <c r="C389" s="1" t="n">
        <v>46082</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32502-2025</t>
        </is>
      </c>
      <c r="B390" s="1" t="n">
        <v>45838.46408564815</v>
      </c>
      <c r="C390" s="1" t="n">
        <v>46082</v>
      </c>
      <c r="D390" t="inlineStr">
        <is>
          <t>ÖREBRO LÄN</t>
        </is>
      </c>
      <c r="E390" t="inlineStr">
        <is>
          <t>LINDESBERG</t>
        </is>
      </c>
      <c r="F390" t="inlineStr">
        <is>
          <t>Sveaskog</t>
        </is>
      </c>
      <c r="G390" t="n">
        <v>17.7</v>
      </c>
      <c r="H390" t="n">
        <v>0</v>
      </c>
      <c r="I390" t="n">
        <v>0</v>
      </c>
      <c r="J390" t="n">
        <v>0</v>
      </c>
      <c r="K390" t="n">
        <v>0</v>
      </c>
      <c r="L390" t="n">
        <v>0</v>
      </c>
      <c r="M390" t="n">
        <v>0</v>
      </c>
      <c r="N390" t="n">
        <v>0</v>
      </c>
      <c r="O390" t="n">
        <v>0</v>
      </c>
      <c r="P390" t="n">
        <v>0</v>
      </c>
      <c r="Q390" t="n">
        <v>0</v>
      </c>
      <c r="R390" s="2" t="inlineStr"/>
    </row>
    <row r="391" ht="15" customHeight="1">
      <c r="A391" t="inlineStr">
        <is>
          <t>A 26340-2022</t>
        </is>
      </c>
      <c r="B391" s="1" t="n">
        <v>44735.62539351852</v>
      </c>
      <c r="C391" s="1" t="n">
        <v>46082</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23536-2023</t>
        </is>
      </c>
      <c r="B392" s="1" t="n">
        <v>45077</v>
      </c>
      <c r="C392" s="1" t="n">
        <v>46082</v>
      </c>
      <c r="D392" t="inlineStr">
        <is>
          <t>ÖREBRO LÄN</t>
        </is>
      </c>
      <c r="E392" t="inlineStr">
        <is>
          <t>LINDESBERG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61969-2023</t>
        </is>
      </c>
      <c r="B393" s="1" t="n">
        <v>45266.58394675926</v>
      </c>
      <c r="C393" s="1" t="n">
        <v>46082</v>
      </c>
      <c r="D393" t="inlineStr">
        <is>
          <t>ÖREBRO LÄN</t>
        </is>
      </c>
      <c r="E393" t="inlineStr">
        <is>
          <t>LINDESBERG</t>
        </is>
      </c>
      <c r="G393" t="n">
        <v>10.5</v>
      </c>
      <c r="H393" t="n">
        <v>0</v>
      </c>
      <c r="I393" t="n">
        <v>0</v>
      </c>
      <c r="J393" t="n">
        <v>0</v>
      </c>
      <c r="K393" t="n">
        <v>0</v>
      </c>
      <c r="L393" t="n">
        <v>0</v>
      </c>
      <c r="M393" t="n">
        <v>0</v>
      </c>
      <c r="N393" t="n">
        <v>0</v>
      </c>
      <c r="O393" t="n">
        <v>0</v>
      </c>
      <c r="P393" t="n">
        <v>0</v>
      </c>
      <c r="Q393" t="n">
        <v>0</v>
      </c>
      <c r="R393" s="2" t="inlineStr"/>
    </row>
    <row r="394" ht="15" customHeight="1">
      <c r="A394" t="inlineStr">
        <is>
          <t>A 6962-2023</t>
        </is>
      </c>
      <c r="B394" s="1" t="n">
        <v>44967.60165509259</v>
      </c>
      <c r="C394" s="1" t="n">
        <v>46082</v>
      </c>
      <c r="D394" t="inlineStr">
        <is>
          <t>ÖREBRO LÄN</t>
        </is>
      </c>
      <c r="E394" t="inlineStr">
        <is>
          <t>LINDESBERG</t>
        </is>
      </c>
      <c r="G394" t="n">
        <v>11.4</v>
      </c>
      <c r="H394" t="n">
        <v>0</v>
      </c>
      <c r="I394" t="n">
        <v>0</v>
      </c>
      <c r="J394" t="n">
        <v>0</v>
      </c>
      <c r="K394" t="n">
        <v>0</v>
      </c>
      <c r="L394" t="n">
        <v>0</v>
      </c>
      <c r="M394" t="n">
        <v>0</v>
      </c>
      <c r="N394" t="n">
        <v>0</v>
      </c>
      <c r="O394" t="n">
        <v>0</v>
      </c>
      <c r="P394" t="n">
        <v>0</v>
      </c>
      <c r="Q394" t="n">
        <v>0</v>
      </c>
      <c r="R394" s="2" t="inlineStr"/>
    </row>
    <row r="395" ht="15" customHeight="1">
      <c r="A395" t="inlineStr">
        <is>
          <t>A 33046-2025</t>
        </is>
      </c>
      <c r="B395" s="1" t="n">
        <v>45840</v>
      </c>
      <c r="C395" s="1" t="n">
        <v>46082</v>
      </c>
      <c r="D395" t="inlineStr">
        <is>
          <t>ÖREBRO LÄN</t>
        </is>
      </c>
      <c r="E395" t="inlineStr">
        <is>
          <t>LINDESBERG</t>
        </is>
      </c>
      <c r="G395" t="n">
        <v>6.1</v>
      </c>
      <c r="H395" t="n">
        <v>0</v>
      </c>
      <c r="I395" t="n">
        <v>0</v>
      </c>
      <c r="J395" t="n">
        <v>0</v>
      </c>
      <c r="K395" t="n">
        <v>0</v>
      </c>
      <c r="L395" t="n">
        <v>0</v>
      </c>
      <c r="M395" t="n">
        <v>0</v>
      </c>
      <c r="N395" t="n">
        <v>0</v>
      </c>
      <c r="O395" t="n">
        <v>0</v>
      </c>
      <c r="P395" t="n">
        <v>0</v>
      </c>
      <c r="Q395" t="n">
        <v>0</v>
      </c>
      <c r="R395" s="2" t="inlineStr"/>
    </row>
    <row r="396" ht="15" customHeight="1">
      <c r="A396" t="inlineStr">
        <is>
          <t>A 32727-2024</t>
        </is>
      </c>
      <c r="B396" s="1" t="n">
        <v>45516.4221412037</v>
      </c>
      <c r="C396" s="1" t="n">
        <v>46082</v>
      </c>
      <c r="D396" t="inlineStr">
        <is>
          <t>ÖREBRO LÄN</t>
        </is>
      </c>
      <c r="E396" t="inlineStr">
        <is>
          <t>LINDESBERG</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12562-2021</t>
        </is>
      </c>
      <c r="B397" s="1" t="n">
        <v>44267</v>
      </c>
      <c r="C397" s="1" t="n">
        <v>46082</v>
      </c>
      <c r="D397" t="inlineStr">
        <is>
          <t>ÖREBRO LÄN</t>
        </is>
      </c>
      <c r="E397" t="inlineStr">
        <is>
          <t>LINDESBERG</t>
        </is>
      </c>
      <c r="G397" t="n">
        <v>30.1</v>
      </c>
      <c r="H397" t="n">
        <v>0</v>
      </c>
      <c r="I397" t="n">
        <v>0</v>
      </c>
      <c r="J397" t="n">
        <v>0</v>
      </c>
      <c r="K397" t="n">
        <v>0</v>
      </c>
      <c r="L397" t="n">
        <v>0</v>
      </c>
      <c r="M397" t="n">
        <v>0</v>
      </c>
      <c r="N397" t="n">
        <v>0</v>
      </c>
      <c r="O397" t="n">
        <v>0</v>
      </c>
      <c r="P397" t="n">
        <v>0</v>
      </c>
      <c r="Q397" t="n">
        <v>0</v>
      </c>
      <c r="R397" s="2" t="inlineStr"/>
    </row>
    <row r="398" ht="15" customHeight="1">
      <c r="A398" t="inlineStr">
        <is>
          <t>A 7180-2023</t>
        </is>
      </c>
      <c r="B398" s="1" t="n">
        <v>44970.51849537037</v>
      </c>
      <c r="C398" s="1" t="n">
        <v>46082</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7661-2024</t>
        </is>
      </c>
      <c r="B399" s="1" t="n">
        <v>45348</v>
      </c>
      <c r="C399" s="1" t="n">
        <v>46082</v>
      </c>
      <c r="D399" t="inlineStr">
        <is>
          <t>ÖREBRO LÄN</t>
        </is>
      </c>
      <c r="E399" t="inlineStr">
        <is>
          <t>LINDESBERG</t>
        </is>
      </c>
      <c r="G399" t="n">
        <v>4.1</v>
      </c>
      <c r="H399" t="n">
        <v>0</v>
      </c>
      <c r="I399" t="n">
        <v>0</v>
      </c>
      <c r="J399" t="n">
        <v>0</v>
      </c>
      <c r="K399" t="n">
        <v>0</v>
      </c>
      <c r="L399" t="n">
        <v>0</v>
      </c>
      <c r="M399" t="n">
        <v>0</v>
      </c>
      <c r="N399" t="n">
        <v>0</v>
      </c>
      <c r="O399" t="n">
        <v>0</v>
      </c>
      <c r="P399" t="n">
        <v>0</v>
      </c>
      <c r="Q399" t="n">
        <v>0</v>
      </c>
      <c r="R399" s="2" t="inlineStr"/>
    </row>
    <row r="400" ht="15" customHeight="1">
      <c r="A400" t="inlineStr">
        <is>
          <t>A 37843-2025</t>
        </is>
      </c>
      <c r="B400" s="1" t="n">
        <v>45881.43759259259</v>
      </c>
      <c r="C400" s="1" t="n">
        <v>46082</v>
      </c>
      <c r="D400" t="inlineStr">
        <is>
          <t>ÖREBRO LÄN</t>
        </is>
      </c>
      <c r="E400" t="inlineStr">
        <is>
          <t>LINDESBERG</t>
        </is>
      </c>
      <c r="G400" t="n">
        <v>5.2</v>
      </c>
      <c r="H400" t="n">
        <v>0</v>
      </c>
      <c r="I400" t="n">
        <v>0</v>
      </c>
      <c r="J400" t="n">
        <v>0</v>
      </c>
      <c r="K400" t="n">
        <v>0</v>
      </c>
      <c r="L400" t="n">
        <v>0</v>
      </c>
      <c r="M400" t="n">
        <v>0</v>
      </c>
      <c r="N400" t="n">
        <v>0</v>
      </c>
      <c r="O400" t="n">
        <v>0</v>
      </c>
      <c r="P400" t="n">
        <v>0</v>
      </c>
      <c r="Q400" t="n">
        <v>0</v>
      </c>
      <c r="R400" s="2" t="inlineStr"/>
    </row>
    <row r="401" ht="15" customHeight="1">
      <c r="A401" t="inlineStr">
        <is>
          <t>A 28031-2023</t>
        </is>
      </c>
      <c r="B401" s="1" t="n">
        <v>45099.27354166667</v>
      </c>
      <c r="C401" s="1" t="n">
        <v>46082</v>
      </c>
      <c r="D401" t="inlineStr">
        <is>
          <t>ÖREBRO LÄN</t>
        </is>
      </c>
      <c r="E401" t="inlineStr">
        <is>
          <t>LINDESBERG</t>
        </is>
      </c>
      <c r="F401" t="inlineStr">
        <is>
          <t>Kyrkan</t>
        </is>
      </c>
      <c r="G401" t="n">
        <v>1.2</v>
      </c>
      <c r="H401" t="n">
        <v>0</v>
      </c>
      <c r="I401" t="n">
        <v>0</v>
      </c>
      <c r="J401" t="n">
        <v>0</v>
      </c>
      <c r="K401" t="n">
        <v>0</v>
      </c>
      <c r="L401" t="n">
        <v>0</v>
      </c>
      <c r="M401" t="n">
        <v>0</v>
      </c>
      <c r="N401" t="n">
        <v>0</v>
      </c>
      <c r="O401" t="n">
        <v>0</v>
      </c>
      <c r="P401" t="n">
        <v>0</v>
      </c>
      <c r="Q401" t="n">
        <v>0</v>
      </c>
      <c r="R401" s="2" t="inlineStr"/>
    </row>
    <row r="402" ht="15" customHeight="1">
      <c r="A402" t="inlineStr">
        <is>
          <t>A 46039-2024</t>
        </is>
      </c>
      <c r="B402" s="1" t="n">
        <v>45580.73525462963</v>
      </c>
      <c r="C402" s="1" t="n">
        <v>46082</v>
      </c>
      <c r="D402" t="inlineStr">
        <is>
          <t>ÖREBRO LÄN</t>
        </is>
      </c>
      <c r="E402" t="inlineStr">
        <is>
          <t>LINDESBERG</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58741-2024</t>
        </is>
      </c>
      <c r="B403" s="1" t="n">
        <v>45635.69581018519</v>
      </c>
      <c r="C403" s="1" t="n">
        <v>46082</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3994-2023</t>
        </is>
      </c>
      <c r="B404" s="1" t="n">
        <v>44950</v>
      </c>
      <c r="C404" s="1" t="n">
        <v>46082</v>
      </c>
      <c r="D404" t="inlineStr">
        <is>
          <t>ÖREBRO LÄN</t>
        </is>
      </c>
      <c r="E404" t="inlineStr">
        <is>
          <t>LINDESBERG</t>
        </is>
      </c>
      <c r="G404" t="n">
        <v>4.8</v>
      </c>
      <c r="H404" t="n">
        <v>0</v>
      </c>
      <c r="I404" t="n">
        <v>0</v>
      </c>
      <c r="J404" t="n">
        <v>0</v>
      </c>
      <c r="K404" t="n">
        <v>0</v>
      </c>
      <c r="L404" t="n">
        <v>0</v>
      </c>
      <c r="M404" t="n">
        <v>0</v>
      </c>
      <c r="N404" t="n">
        <v>0</v>
      </c>
      <c r="O404" t="n">
        <v>0</v>
      </c>
      <c r="P404" t="n">
        <v>0</v>
      </c>
      <c r="Q404" t="n">
        <v>0</v>
      </c>
      <c r="R404" s="2" t="inlineStr"/>
    </row>
    <row r="405" ht="15" customHeight="1">
      <c r="A405" t="inlineStr">
        <is>
          <t>A 49094-2024</t>
        </is>
      </c>
      <c r="B405" s="1" t="n">
        <v>45594.63747685185</v>
      </c>
      <c r="C405" s="1" t="n">
        <v>46082</v>
      </c>
      <c r="D405" t="inlineStr">
        <is>
          <t>ÖREBRO LÄN</t>
        </is>
      </c>
      <c r="E405" t="inlineStr">
        <is>
          <t>LINDESBERG</t>
        </is>
      </c>
      <c r="G405" t="n">
        <v>3.8</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46082</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34264-2025</t>
        </is>
      </c>
      <c r="B407" s="1" t="n">
        <v>45845.75200231482</v>
      </c>
      <c r="C407" s="1" t="n">
        <v>46082</v>
      </c>
      <c r="D407" t="inlineStr">
        <is>
          <t>ÖREBRO LÄN</t>
        </is>
      </c>
      <c r="E407" t="inlineStr">
        <is>
          <t>LINDESBERG</t>
        </is>
      </c>
      <c r="G407" t="n">
        <v>3.9</v>
      </c>
      <c r="H407" t="n">
        <v>0</v>
      </c>
      <c r="I407" t="n">
        <v>0</v>
      </c>
      <c r="J407" t="n">
        <v>0</v>
      </c>
      <c r="K407" t="n">
        <v>0</v>
      </c>
      <c r="L407" t="n">
        <v>0</v>
      </c>
      <c r="M407" t="n">
        <v>0</v>
      </c>
      <c r="N407" t="n">
        <v>0</v>
      </c>
      <c r="O407" t="n">
        <v>0</v>
      </c>
      <c r="P407" t="n">
        <v>0</v>
      </c>
      <c r="Q407" t="n">
        <v>0</v>
      </c>
      <c r="R407" s="2" t="inlineStr"/>
    </row>
    <row r="408" ht="15" customHeight="1">
      <c r="A408" t="inlineStr">
        <is>
          <t>A 34003-2025</t>
        </is>
      </c>
      <c r="B408" s="1" t="n">
        <v>45844.57527777777</v>
      </c>
      <c r="C408" s="1" t="n">
        <v>46082</v>
      </c>
      <c r="D408" t="inlineStr">
        <is>
          <t>ÖREBRO LÄN</t>
        </is>
      </c>
      <c r="E408" t="inlineStr">
        <is>
          <t>LINDESBERG</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34097-2025</t>
        </is>
      </c>
      <c r="B409" s="1" t="n">
        <v>45845.4855787037</v>
      </c>
      <c r="C409" s="1" t="n">
        <v>46082</v>
      </c>
      <c r="D409" t="inlineStr">
        <is>
          <t>ÖREBRO LÄN</t>
        </is>
      </c>
      <c r="E409" t="inlineStr">
        <is>
          <t>LINDESBERG</t>
        </is>
      </c>
      <c r="G409" t="n">
        <v>1.2</v>
      </c>
      <c r="H409" t="n">
        <v>0</v>
      </c>
      <c r="I409" t="n">
        <v>0</v>
      </c>
      <c r="J409" t="n">
        <v>0</v>
      </c>
      <c r="K409" t="n">
        <v>0</v>
      </c>
      <c r="L409" t="n">
        <v>0</v>
      </c>
      <c r="M409" t="n">
        <v>0</v>
      </c>
      <c r="N409" t="n">
        <v>0</v>
      </c>
      <c r="O409" t="n">
        <v>0</v>
      </c>
      <c r="P409" t="n">
        <v>0</v>
      </c>
      <c r="Q409" t="n">
        <v>0</v>
      </c>
      <c r="R409" s="2" t="inlineStr"/>
    </row>
    <row r="410" ht="15" customHeight="1">
      <c r="A410" t="inlineStr">
        <is>
          <t>A 56907-2024</t>
        </is>
      </c>
      <c r="B410" s="1" t="n">
        <v>45628.58975694444</v>
      </c>
      <c r="C410" s="1" t="n">
        <v>46082</v>
      </c>
      <c r="D410" t="inlineStr">
        <is>
          <t>ÖREBRO LÄN</t>
        </is>
      </c>
      <c r="E410" t="inlineStr">
        <is>
          <t>LINDESBERG</t>
        </is>
      </c>
      <c r="G410" t="n">
        <v>1.1</v>
      </c>
      <c r="H410" t="n">
        <v>0</v>
      </c>
      <c r="I410" t="n">
        <v>0</v>
      </c>
      <c r="J410" t="n">
        <v>0</v>
      </c>
      <c r="K410" t="n">
        <v>0</v>
      </c>
      <c r="L410" t="n">
        <v>0</v>
      </c>
      <c r="M410" t="n">
        <v>0</v>
      </c>
      <c r="N410" t="n">
        <v>0</v>
      </c>
      <c r="O410" t="n">
        <v>0</v>
      </c>
      <c r="P410" t="n">
        <v>0</v>
      </c>
      <c r="Q410" t="n">
        <v>0</v>
      </c>
      <c r="R410" s="2" t="inlineStr"/>
    </row>
    <row r="411" ht="15" customHeight="1">
      <c r="A411" t="inlineStr">
        <is>
          <t>A 34104-2025</t>
        </is>
      </c>
      <c r="B411" s="1" t="n">
        <v>45845.49216435185</v>
      </c>
      <c r="C411" s="1" t="n">
        <v>46082</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7201-2024</t>
        </is>
      </c>
      <c r="B412" s="1" t="n">
        <v>45344.6027662037</v>
      </c>
      <c r="C412" s="1" t="n">
        <v>46082</v>
      </c>
      <c r="D412" t="inlineStr">
        <is>
          <t>ÖREBRO LÄN</t>
        </is>
      </c>
      <c r="E412" t="inlineStr">
        <is>
          <t>LINDESBERG</t>
        </is>
      </c>
      <c r="G412" t="n">
        <v>4.7</v>
      </c>
      <c r="H412" t="n">
        <v>0</v>
      </c>
      <c r="I412" t="n">
        <v>0</v>
      </c>
      <c r="J412" t="n">
        <v>0</v>
      </c>
      <c r="K412" t="n">
        <v>0</v>
      </c>
      <c r="L412" t="n">
        <v>0</v>
      </c>
      <c r="M412" t="n">
        <v>0</v>
      </c>
      <c r="N412" t="n">
        <v>0</v>
      </c>
      <c r="O412" t="n">
        <v>0</v>
      </c>
      <c r="P412" t="n">
        <v>0</v>
      </c>
      <c r="Q412" t="n">
        <v>0</v>
      </c>
      <c r="R412" s="2" t="inlineStr"/>
    </row>
    <row r="413" ht="15" customHeight="1">
      <c r="A413" t="inlineStr">
        <is>
          <t>A 34004-2025</t>
        </is>
      </c>
      <c r="B413" s="1" t="n">
        <v>45844.5775</v>
      </c>
      <c r="C413" s="1" t="n">
        <v>46082</v>
      </c>
      <c r="D413" t="inlineStr">
        <is>
          <t>ÖREBRO LÄN</t>
        </is>
      </c>
      <c r="E413" t="inlineStr">
        <is>
          <t>LINDESBERG</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14190-2024</t>
        </is>
      </c>
      <c r="B414" s="1" t="n">
        <v>45393.36060185185</v>
      </c>
      <c r="C414" s="1" t="n">
        <v>46082</v>
      </c>
      <c r="D414" t="inlineStr">
        <is>
          <t>ÖREBRO LÄN</t>
        </is>
      </c>
      <c r="E414" t="inlineStr">
        <is>
          <t>LINDESBERG</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46082</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34267-2025</t>
        </is>
      </c>
      <c r="B416" s="1" t="n">
        <v>45845.76005787037</v>
      </c>
      <c r="C416" s="1" t="n">
        <v>46082</v>
      </c>
      <c r="D416" t="inlineStr">
        <is>
          <t>ÖREBRO LÄN</t>
        </is>
      </c>
      <c r="E416" t="inlineStr">
        <is>
          <t>LINDESBERG</t>
        </is>
      </c>
      <c r="G416" t="n">
        <v>4.6</v>
      </c>
      <c r="H416" t="n">
        <v>0</v>
      </c>
      <c r="I416" t="n">
        <v>0</v>
      </c>
      <c r="J416" t="n">
        <v>0</v>
      </c>
      <c r="K416" t="n">
        <v>0</v>
      </c>
      <c r="L416" t="n">
        <v>0</v>
      </c>
      <c r="M416" t="n">
        <v>0</v>
      </c>
      <c r="N416" t="n">
        <v>0</v>
      </c>
      <c r="O416" t="n">
        <v>0</v>
      </c>
      <c r="P416" t="n">
        <v>0</v>
      </c>
      <c r="Q416" t="n">
        <v>0</v>
      </c>
      <c r="R416" s="2" t="inlineStr"/>
    </row>
    <row r="417" ht="15" customHeight="1">
      <c r="A417" t="inlineStr">
        <is>
          <t>A 43847-2025</t>
        </is>
      </c>
      <c r="B417" s="1" t="n">
        <v>45912.63751157407</v>
      </c>
      <c r="C417" s="1" t="n">
        <v>46082</v>
      </c>
      <c r="D417" t="inlineStr">
        <is>
          <t>ÖREBRO LÄN</t>
        </is>
      </c>
      <c r="E417" t="inlineStr">
        <is>
          <t>LINDESBERG</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34002-2025</t>
        </is>
      </c>
      <c r="B418" s="1" t="n">
        <v>45844.57328703703</v>
      </c>
      <c r="C418" s="1" t="n">
        <v>46082</v>
      </c>
      <c r="D418" t="inlineStr">
        <is>
          <t>ÖREBRO LÄN</t>
        </is>
      </c>
      <c r="E418" t="inlineStr">
        <is>
          <t>LINDESBERG</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17087-2023</t>
        </is>
      </c>
      <c r="B419" s="1" t="n">
        <v>45034.5174537037</v>
      </c>
      <c r="C419" s="1" t="n">
        <v>46082</v>
      </c>
      <c r="D419" t="inlineStr">
        <is>
          <t>ÖREBRO LÄN</t>
        </is>
      </c>
      <c r="E419" t="inlineStr">
        <is>
          <t>LINDESBERG</t>
        </is>
      </c>
      <c r="G419" t="n">
        <v>2.7</v>
      </c>
      <c r="H419" t="n">
        <v>0</v>
      </c>
      <c r="I419" t="n">
        <v>0</v>
      </c>
      <c r="J419" t="n">
        <v>0</v>
      </c>
      <c r="K419" t="n">
        <v>0</v>
      </c>
      <c r="L419" t="n">
        <v>0</v>
      </c>
      <c r="M419" t="n">
        <v>0</v>
      </c>
      <c r="N419" t="n">
        <v>0</v>
      </c>
      <c r="O419" t="n">
        <v>0</v>
      </c>
      <c r="P419" t="n">
        <v>0</v>
      </c>
      <c r="Q419" t="n">
        <v>0</v>
      </c>
      <c r="R419" s="2" t="inlineStr"/>
    </row>
    <row r="420" ht="15" customHeight="1">
      <c r="A420" t="inlineStr">
        <is>
          <t>A 43836-2025</t>
        </is>
      </c>
      <c r="B420" s="1" t="n">
        <v>45912.63359953704</v>
      </c>
      <c r="C420" s="1" t="n">
        <v>46082</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53189-2023</t>
        </is>
      </c>
      <c r="B421" s="1" t="n">
        <v>45194</v>
      </c>
      <c r="C421" s="1" t="n">
        <v>46082</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60926-2024</t>
        </is>
      </c>
      <c r="B422" s="1" t="n">
        <v>45645</v>
      </c>
      <c r="C422" s="1" t="n">
        <v>46082</v>
      </c>
      <c r="D422" t="inlineStr">
        <is>
          <t>ÖREBRO LÄN</t>
        </is>
      </c>
      <c r="E422" t="inlineStr">
        <is>
          <t>LINDESBERG</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5677-2025</t>
        </is>
      </c>
      <c r="B423" s="1" t="n">
        <v>45694</v>
      </c>
      <c r="C423" s="1" t="n">
        <v>46082</v>
      </c>
      <c r="D423" t="inlineStr">
        <is>
          <t>ÖREBRO LÄN</t>
        </is>
      </c>
      <c r="E423" t="inlineStr">
        <is>
          <t>LINDESBERG</t>
        </is>
      </c>
      <c r="G423" t="n">
        <v>1.6</v>
      </c>
      <c r="H423" t="n">
        <v>0</v>
      </c>
      <c r="I423" t="n">
        <v>0</v>
      </c>
      <c r="J423" t="n">
        <v>0</v>
      </c>
      <c r="K423" t="n">
        <v>0</v>
      </c>
      <c r="L423" t="n">
        <v>0</v>
      </c>
      <c r="M423" t="n">
        <v>0</v>
      </c>
      <c r="N423" t="n">
        <v>0</v>
      </c>
      <c r="O423" t="n">
        <v>0</v>
      </c>
      <c r="P423" t="n">
        <v>0</v>
      </c>
      <c r="Q423" t="n">
        <v>0</v>
      </c>
      <c r="R423" s="2" t="inlineStr"/>
    </row>
    <row r="424" ht="15" customHeight="1">
      <c r="A424" t="inlineStr">
        <is>
          <t>A 24916-2022</t>
        </is>
      </c>
      <c r="B424" s="1" t="n">
        <v>44728</v>
      </c>
      <c r="C424" s="1" t="n">
        <v>46082</v>
      </c>
      <c r="D424" t="inlineStr">
        <is>
          <t>ÖREBRO LÄN</t>
        </is>
      </c>
      <c r="E424" t="inlineStr">
        <is>
          <t>LINDESBERG</t>
        </is>
      </c>
      <c r="G424" t="n">
        <v>8.1</v>
      </c>
      <c r="H424" t="n">
        <v>0</v>
      </c>
      <c r="I424" t="n">
        <v>0</v>
      </c>
      <c r="J424" t="n">
        <v>0</v>
      </c>
      <c r="K424" t="n">
        <v>0</v>
      </c>
      <c r="L424" t="n">
        <v>0</v>
      </c>
      <c r="M424" t="n">
        <v>0</v>
      </c>
      <c r="N424" t="n">
        <v>0</v>
      </c>
      <c r="O424" t="n">
        <v>0</v>
      </c>
      <c r="P424" t="n">
        <v>0</v>
      </c>
      <c r="Q424" t="n">
        <v>0</v>
      </c>
      <c r="R424" s="2" t="inlineStr"/>
    </row>
    <row r="425" ht="15" customHeight="1">
      <c r="A425" t="inlineStr">
        <is>
          <t>A 14231-2023</t>
        </is>
      </c>
      <c r="B425" s="1" t="n">
        <v>45009.64217592592</v>
      </c>
      <c r="C425" s="1" t="n">
        <v>46082</v>
      </c>
      <c r="D425" t="inlineStr">
        <is>
          <t>ÖREBRO LÄN</t>
        </is>
      </c>
      <c r="E425" t="inlineStr">
        <is>
          <t>LINDESBERG</t>
        </is>
      </c>
      <c r="G425" t="n">
        <v>4.3</v>
      </c>
      <c r="H425" t="n">
        <v>0</v>
      </c>
      <c r="I425" t="n">
        <v>0</v>
      </c>
      <c r="J425" t="n">
        <v>0</v>
      </c>
      <c r="K425" t="n">
        <v>0</v>
      </c>
      <c r="L425" t="n">
        <v>0</v>
      </c>
      <c r="M425" t="n">
        <v>0</v>
      </c>
      <c r="N425" t="n">
        <v>0</v>
      </c>
      <c r="O425" t="n">
        <v>0</v>
      </c>
      <c r="P425" t="n">
        <v>0</v>
      </c>
      <c r="Q425" t="n">
        <v>0</v>
      </c>
      <c r="R425" s="2" t="inlineStr"/>
    </row>
    <row r="426" ht="15" customHeight="1">
      <c r="A426" t="inlineStr">
        <is>
          <t>A 44041-2025</t>
        </is>
      </c>
      <c r="B426" s="1" t="n">
        <v>45915.49238425926</v>
      </c>
      <c r="C426" s="1" t="n">
        <v>46082</v>
      </c>
      <c r="D426" t="inlineStr">
        <is>
          <t>ÖREBRO LÄN</t>
        </is>
      </c>
      <c r="E426" t="inlineStr">
        <is>
          <t>LINDESBERG</t>
        </is>
      </c>
      <c r="G426" t="n">
        <v>0.6</v>
      </c>
      <c r="H426" t="n">
        <v>0</v>
      </c>
      <c r="I426" t="n">
        <v>0</v>
      </c>
      <c r="J426" t="n">
        <v>0</v>
      </c>
      <c r="K426" t="n">
        <v>0</v>
      </c>
      <c r="L426" t="n">
        <v>0</v>
      </c>
      <c r="M426" t="n">
        <v>0</v>
      </c>
      <c r="N426" t="n">
        <v>0</v>
      </c>
      <c r="O426" t="n">
        <v>0</v>
      </c>
      <c r="P426" t="n">
        <v>0</v>
      </c>
      <c r="Q426" t="n">
        <v>0</v>
      </c>
      <c r="R426" s="2" t="inlineStr"/>
    </row>
    <row r="427" ht="15" customHeight="1">
      <c r="A427" t="inlineStr">
        <is>
          <t>A 62608-2021</t>
        </is>
      </c>
      <c r="B427" s="1" t="n">
        <v>44503</v>
      </c>
      <c r="C427" s="1" t="n">
        <v>46082</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1681-2025</t>
        </is>
      </c>
      <c r="B428" s="1" t="n">
        <v>45670.69458333333</v>
      </c>
      <c r="C428" s="1" t="n">
        <v>46082</v>
      </c>
      <c r="D428" t="inlineStr">
        <is>
          <t>ÖREBRO LÄN</t>
        </is>
      </c>
      <c r="E428" t="inlineStr">
        <is>
          <t>LINDESBERG</t>
        </is>
      </c>
      <c r="G428" t="n">
        <v>1.9</v>
      </c>
      <c r="H428" t="n">
        <v>0</v>
      </c>
      <c r="I428" t="n">
        <v>0</v>
      </c>
      <c r="J428" t="n">
        <v>0</v>
      </c>
      <c r="K428" t="n">
        <v>0</v>
      </c>
      <c r="L428" t="n">
        <v>0</v>
      </c>
      <c r="M428" t="n">
        <v>0</v>
      </c>
      <c r="N428" t="n">
        <v>0</v>
      </c>
      <c r="O428" t="n">
        <v>0</v>
      </c>
      <c r="P428" t="n">
        <v>0</v>
      </c>
      <c r="Q428" t="n">
        <v>0</v>
      </c>
      <c r="R428" s="2" t="inlineStr"/>
    </row>
    <row r="429" ht="15" customHeight="1">
      <c r="A429" t="inlineStr">
        <is>
          <t>A 35140-2023</t>
        </is>
      </c>
      <c r="B429" s="1" t="n">
        <v>45145</v>
      </c>
      <c r="C429" s="1" t="n">
        <v>46082</v>
      </c>
      <c r="D429" t="inlineStr">
        <is>
          <t>ÖREBRO LÄN</t>
        </is>
      </c>
      <c r="E429" t="inlineStr">
        <is>
          <t>LINDESBERG</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37616-2023</t>
        </is>
      </c>
      <c r="B430" s="1" t="n">
        <v>45159.44525462963</v>
      </c>
      <c r="C430" s="1" t="n">
        <v>46082</v>
      </c>
      <c r="D430" t="inlineStr">
        <is>
          <t>ÖREBRO LÄN</t>
        </is>
      </c>
      <c r="E430" t="inlineStr">
        <is>
          <t>LINDESBERG</t>
        </is>
      </c>
      <c r="G430" t="n">
        <v>5.3</v>
      </c>
      <c r="H430" t="n">
        <v>0</v>
      </c>
      <c r="I430" t="n">
        <v>0</v>
      </c>
      <c r="J430" t="n">
        <v>0</v>
      </c>
      <c r="K430" t="n">
        <v>0</v>
      </c>
      <c r="L430" t="n">
        <v>0</v>
      </c>
      <c r="M430" t="n">
        <v>0</v>
      </c>
      <c r="N430" t="n">
        <v>0</v>
      </c>
      <c r="O430" t="n">
        <v>0</v>
      </c>
      <c r="P430" t="n">
        <v>0</v>
      </c>
      <c r="Q430" t="n">
        <v>0</v>
      </c>
      <c r="R430" s="2" t="inlineStr"/>
    </row>
    <row r="431" ht="15" customHeight="1">
      <c r="A431" t="inlineStr">
        <is>
          <t>A 44077-2025</t>
        </is>
      </c>
      <c r="B431" s="1" t="n">
        <v>45915.54983796296</v>
      </c>
      <c r="C431" s="1" t="n">
        <v>46082</v>
      </c>
      <c r="D431" t="inlineStr">
        <is>
          <t>ÖREBRO LÄN</t>
        </is>
      </c>
      <c r="E431" t="inlineStr">
        <is>
          <t>LINDESBERG</t>
        </is>
      </c>
      <c r="G431" t="n">
        <v>4.2</v>
      </c>
      <c r="H431" t="n">
        <v>0</v>
      </c>
      <c r="I431" t="n">
        <v>0</v>
      </c>
      <c r="J431" t="n">
        <v>0</v>
      </c>
      <c r="K431" t="n">
        <v>0</v>
      </c>
      <c r="L431" t="n">
        <v>0</v>
      </c>
      <c r="M431" t="n">
        <v>0</v>
      </c>
      <c r="N431" t="n">
        <v>0</v>
      </c>
      <c r="O431" t="n">
        <v>0</v>
      </c>
      <c r="P431" t="n">
        <v>0</v>
      </c>
      <c r="Q431" t="n">
        <v>0</v>
      </c>
      <c r="R431" s="2" t="inlineStr"/>
    </row>
    <row r="432" ht="15" customHeight="1">
      <c r="A432" t="inlineStr">
        <is>
          <t>A 36670-2024</t>
        </is>
      </c>
      <c r="B432" s="1" t="n">
        <v>45537.64621527777</v>
      </c>
      <c r="C432" s="1" t="n">
        <v>46082</v>
      </c>
      <c r="D432" t="inlineStr">
        <is>
          <t>ÖREBRO LÄN</t>
        </is>
      </c>
      <c r="E432" t="inlineStr">
        <is>
          <t>LINDESBERG</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35292-2025</t>
        </is>
      </c>
      <c r="B433" s="1" t="n">
        <v>45854</v>
      </c>
      <c r="C433" s="1" t="n">
        <v>46082</v>
      </c>
      <c r="D433" t="inlineStr">
        <is>
          <t>ÖREBRO LÄN</t>
        </is>
      </c>
      <c r="E433" t="inlineStr">
        <is>
          <t>LINDESBERG</t>
        </is>
      </c>
      <c r="G433" t="n">
        <v>1</v>
      </c>
      <c r="H433" t="n">
        <v>0</v>
      </c>
      <c r="I433" t="n">
        <v>0</v>
      </c>
      <c r="J433" t="n">
        <v>0</v>
      </c>
      <c r="K433" t="n">
        <v>0</v>
      </c>
      <c r="L433" t="n">
        <v>0</v>
      </c>
      <c r="M433" t="n">
        <v>0</v>
      </c>
      <c r="N433" t="n">
        <v>0</v>
      </c>
      <c r="O433" t="n">
        <v>0</v>
      </c>
      <c r="P433" t="n">
        <v>0</v>
      </c>
      <c r="Q433" t="n">
        <v>0</v>
      </c>
      <c r="R433" s="2" t="inlineStr"/>
    </row>
    <row r="434" ht="15" customHeight="1">
      <c r="A434" t="inlineStr">
        <is>
          <t>A 35366-2025</t>
        </is>
      </c>
      <c r="B434" s="1" t="n">
        <v>45854</v>
      </c>
      <c r="C434" s="1" t="n">
        <v>46082</v>
      </c>
      <c r="D434" t="inlineStr">
        <is>
          <t>ÖREBRO LÄN</t>
        </is>
      </c>
      <c r="E434" t="inlineStr">
        <is>
          <t>LINDESBERG</t>
        </is>
      </c>
      <c r="G434" t="n">
        <v>5.5</v>
      </c>
      <c r="H434" t="n">
        <v>0</v>
      </c>
      <c r="I434" t="n">
        <v>0</v>
      </c>
      <c r="J434" t="n">
        <v>0</v>
      </c>
      <c r="K434" t="n">
        <v>0</v>
      </c>
      <c r="L434" t="n">
        <v>0</v>
      </c>
      <c r="M434" t="n">
        <v>0</v>
      </c>
      <c r="N434" t="n">
        <v>0</v>
      </c>
      <c r="O434" t="n">
        <v>0</v>
      </c>
      <c r="P434" t="n">
        <v>0</v>
      </c>
      <c r="Q434" t="n">
        <v>0</v>
      </c>
      <c r="R434" s="2" t="inlineStr"/>
    </row>
    <row r="435" ht="15" customHeight="1">
      <c r="A435" t="inlineStr">
        <is>
          <t>A 44067-2025</t>
        </is>
      </c>
      <c r="B435" s="1" t="n">
        <v>45915.54439814815</v>
      </c>
      <c r="C435" s="1" t="n">
        <v>46082</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29938-2024</t>
        </is>
      </c>
      <c r="B436" s="1" t="n">
        <v>45488.41480324074</v>
      </c>
      <c r="C436" s="1" t="n">
        <v>46082</v>
      </c>
      <c r="D436" t="inlineStr">
        <is>
          <t>ÖREBRO LÄN</t>
        </is>
      </c>
      <c r="E436" t="inlineStr">
        <is>
          <t>LINDESBERG</t>
        </is>
      </c>
      <c r="G436" t="n">
        <v>4</v>
      </c>
      <c r="H436" t="n">
        <v>0</v>
      </c>
      <c r="I436" t="n">
        <v>0</v>
      </c>
      <c r="J436" t="n">
        <v>0</v>
      </c>
      <c r="K436" t="n">
        <v>0</v>
      </c>
      <c r="L436" t="n">
        <v>0</v>
      </c>
      <c r="M436" t="n">
        <v>0</v>
      </c>
      <c r="N436" t="n">
        <v>0</v>
      </c>
      <c r="O436" t="n">
        <v>0</v>
      </c>
      <c r="P436" t="n">
        <v>0</v>
      </c>
      <c r="Q436" t="n">
        <v>0</v>
      </c>
      <c r="R436" s="2" t="inlineStr"/>
    </row>
    <row r="437" ht="15" customHeight="1">
      <c r="A437" t="inlineStr">
        <is>
          <t>A 24030-2023</t>
        </is>
      </c>
      <c r="B437" s="1" t="n">
        <v>45078.82620370371</v>
      </c>
      <c r="C437" s="1" t="n">
        <v>46082</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36747-2024</t>
        </is>
      </c>
      <c r="B438" s="1" t="n">
        <v>45538.34193287037</v>
      </c>
      <c r="C438" s="1" t="n">
        <v>46082</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35702-2025</t>
        </is>
      </c>
      <c r="B439" s="1" t="n">
        <v>45860.36222222223</v>
      </c>
      <c r="C439" s="1" t="n">
        <v>46082</v>
      </c>
      <c r="D439" t="inlineStr">
        <is>
          <t>ÖREBRO LÄN</t>
        </is>
      </c>
      <c r="E439" t="inlineStr">
        <is>
          <t>LINDESBERG</t>
        </is>
      </c>
      <c r="G439" t="n">
        <v>5.3</v>
      </c>
      <c r="H439" t="n">
        <v>0</v>
      </c>
      <c r="I439" t="n">
        <v>0</v>
      </c>
      <c r="J439" t="n">
        <v>0</v>
      </c>
      <c r="K439" t="n">
        <v>0</v>
      </c>
      <c r="L439" t="n">
        <v>0</v>
      </c>
      <c r="M439" t="n">
        <v>0</v>
      </c>
      <c r="N439" t="n">
        <v>0</v>
      </c>
      <c r="O439" t="n">
        <v>0</v>
      </c>
      <c r="P439" t="n">
        <v>0</v>
      </c>
      <c r="Q439" t="n">
        <v>0</v>
      </c>
      <c r="R439" s="2" t="inlineStr"/>
    </row>
    <row r="440" ht="15" customHeight="1">
      <c r="A440" t="inlineStr">
        <is>
          <t>A 35710-2025</t>
        </is>
      </c>
      <c r="B440" s="1" t="n">
        <v>45860.3857175926</v>
      </c>
      <c r="C440" s="1" t="n">
        <v>46082</v>
      </c>
      <c r="D440" t="inlineStr">
        <is>
          <t>ÖREBRO LÄN</t>
        </is>
      </c>
      <c r="E440" t="inlineStr">
        <is>
          <t>LINDESBERG</t>
        </is>
      </c>
      <c r="G440" t="n">
        <v>3.2</v>
      </c>
      <c r="H440" t="n">
        <v>0</v>
      </c>
      <c r="I440" t="n">
        <v>0</v>
      </c>
      <c r="J440" t="n">
        <v>0</v>
      </c>
      <c r="K440" t="n">
        <v>0</v>
      </c>
      <c r="L440" t="n">
        <v>0</v>
      </c>
      <c r="M440" t="n">
        <v>0</v>
      </c>
      <c r="N440" t="n">
        <v>0</v>
      </c>
      <c r="O440" t="n">
        <v>0</v>
      </c>
      <c r="P440" t="n">
        <v>0</v>
      </c>
      <c r="Q440" t="n">
        <v>0</v>
      </c>
      <c r="R440" s="2" t="inlineStr"/>
    </row>
    <row r="441" ht="15" customHeight="1">
      <c r="A441" t="inlineStr">
        <is>
          <t>A 32097-2024</t>
        </is>
      </c>
      <c r="B441" s="1" t="n">
        <v>45511.39445601852</v>
      </c>
      <c r="C441" s="1" t="n">
        <v>46082</v>
      </c>
      <c r="D441" t="inlineStr">
        <is>
          <t>ÖREBRO LÄN</t>
        </is>
      </c>
      <c r="E441" t="inlineStr">
        <is>
          <t>LINDESBERG</t>
        </is>
      </c>
      <c r="G441" t="n">
        <v>1.7</v>
      </c>
      <c r="H441" t="n">
        <v>0</v>
      </c>
      <c r="I441" t="n">
        <v>0</v>
      </c>
      <c r="J441" t="n">
        <v>0</v>
      </c>
      <c r="K441" t="n">
        <v>0</v>
      </c>
      <c r="L441" t="n">
        <v>0</v>
      </c>
      <c r="M441" t="n">
        <v>0</v>
      </c>
      <c r="N441" t="n">
        <v>0</v>
      </c>
      <c r="O441" t="n">
        <v>0</v>
      </c>
      <c r="P441" t="n">
        <v>0</v>
      </c>
      <c r="Q441" t="n">
        <v>0</v>
      </c>
      <c r="R441" s="2" t="inlineStr"/>
    </row>
    <row r="442" ht="15" customHeight="1">
      <c r="A442" t="inlineStr">
        <is>
          <t>A 32099-2024</t>
        </is>
      </c>
      <c r="B442" s="1" t="n">
        <v>45511.40297453704</v>
      </c>
      <c r="C442" s="1" t="n">
        <v>46082</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61360-2024</t>
        </is>
      </c>
      <c r="B443" s="1" t="n">
        <v>45646</v>
      </c>
      <c r="C443" s="1" t="n">
        <v>46082</v>
      </c>
      <c r="D443" t="inlineStr">
        <is>
          <t>ÖREBRO LÄN</t>
        </is>
      </c>
      <c r="E443" t="inlineStr">
        <is>
          <t>LINDESBERG</t>
        </is>
      </c>
      <c r="F443" t="inlineStr">
        <is>
          <t>Sveaskog</t>
        </is>
      </c>
      <c r="G443" t="n">
        <v>6.5</v>
      </c>
      <c r="H443" t="n">
        <v>0</v>
      </c>
      <c r="I443" t="n">
        <v>0</v>
      </c>
      <c r="J443" t="n">
        <v>0</v>
      </c>
      <c r="K443" t="n">
        <v>0</v>
      </c>
      <c r="L443" t="n">
        <v>0</v>
      </c>
      <c r="M443" t="n">
        <v>0</v>
      </c>
      <c r="N443" t="n">
        <v>0</v>
      </c>
      <c r="O443" t="n">
        <v>0</v>
      </c>
      <c r="P443" t="n">
        <v>0</v>
      </c>
      <c r="Q443" t="n">
        <v>0</v>
      </c>
      <c r="R443" s="2" t="inlineStr"/>
    </row>
    <row r="444" ht="15" customHeight="1">
      <c r="A444" t="inlineStr">
        <is>
          <t>A 3803-2023</t>
        </is>
      </c>
      <c r="B444" s="1" t="n">
        <v>44951.5830324074</v>
      </c>
      <c r="C444" s="1" t="n">
        <v>46082</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60200-2024</t>
        </is>
      </c>
      <c r="B445" s="1" t="n">
        <v>45642.66184027777</v>
      </c>
      <c r="C445" s="1" t="n">
        <v>46082</v>
      </c>
      <c r="D445" t="inlineStr">
        <is>
          <t>ÖREBRO LÄN</t>
        </is>
      </c>
      <c r="E445" t="inlineStr">
        <is>
          <t>LINDESBERG</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47304-2024</t>
        </is>
      </c>
      <c r="B446" s="1" t="n">
        <v>45587</v>
      </c>
      <c r="C446" s="1" t="n">
        <v>46082</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44545-2025</t>
        </is>
      </c>
      <c r="B447" s="1" t="n">
        <v>45917.31780092593</v>
      </c>
      <c r="C447" s="1" t="n">
        <v>46082</v>
      </c>
      <c r="D447" t="inlineStr">
        <is>
          <t>ÖREBRO LÄN</t>
        </is>
      </c>
      <c r="E447" t="inlineStr">
        <is>
          <t>LINDESBERG</t>
        </is>
      </c>
      <c r="F447" t="inlineStr">
        <is>
          <t>Kommuner</t>
        </is>
      </c>
      <c r="G447" t="n">
        <v>2.3</v>
      </c>
      <c r="H447" t="n">
        <v>0</v>
      </c>
      <c r="I447" t="n">
        <v>0</v>
      </c>
      <c r="J447" t="n">
        <v>0</v>
      </c>
      <c r="K447" t="n">
        <v>0</v>
      </c>
      <c r="L447" t="n">
        <v>0</v>
      </c>
      <c r="M447" t="n">
        <v>0</v>
      </c>
      <c r="N447" t="n">
        <v>0</v>
      </c>
      <c r="O447" t="n">
        <v>0</v>
      </c>
      <c r="P447" t="n">
        <v>0</v>
      </c>
      <c r="Q447" t="n">
        <v>0</v>
      </c>
      <c r="R447" s="2" t="inlineStr"/>
    </row>
    <row r="448" ht="15" customHeight="1">
      <c r="A448" t="inlineStr">
        <is>
          <t>A 25229-2021</t>
        </is>
      </c>
      <c r="B448" s="1" t="n">
        <v>44342.39703703704</v>
      </c>
      <c r="C448" s="1" t="n">
        <v>46082</v>
      </c>
      <c r="D448" t="inlineStr">
        <is>
          <t>ÖREBRO LÄN</t>
        </is>
      </c>
      <c r="E448" t="inlineStr">
        <is>
          <t>LINDESBERG</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45173-2024</t>
        </is>
      </c>
      <c r="B449" s="1" t="n">
        <v>45575.65721064815</v>
      </c>
      <c r="C449" s="1" t="n">
        <v>46082</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34093-2022</t>
        </is>
      </c>
      <c r="B450" s="1" t="n">
        <v>44791</v>
      </c>
      <c r="C450" s="1" t="n">
        <v>46082</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30514-2025</t>
        </is>
      </c>
      <c r="B451" s="1" t="n">
        <v>45831</v>
      </c>
      <c r="C451" s="1" t="n">
        <v>46082</v>
      </c>
      <c r="D451" t="inlineStr">
        <is>
          <t>ÖREBRO LÄN</t>
        </is>
      </c>
      <c r="E451" t="inlineStr">
        <is>
          <t>LINDESBERG</t>
        </is>
      </c>
      <c r="G451" t="n">
        <v>1.6</v>
      </c>
      <c r="H451" t="n">
        <v>0</v>
      </c>
      <c r="I451" t="n">
        <v>0</v>
      </c>
      <c r="J451" t="n">
        <v>0</v>
      </c>
      <c r="K451" t="n">
        <v>0</v>
      </c>
      <c r="L451" t="n">
        <v>0</v>
      </c>
      <c r="M451" t="n">
        <v>0</v>
      </c>
      <c r="N451" t="n">
        <v>0</v>
      </c>
      <c r="O451" t="n">
        <v>0</v>
      </c>
      <c r="P451" t="n">
        <v>0</v>
      </c>
      <c r="Q451" t="n">
        <v>0</v>
      </c>
      <c r="R451" s="2" t="inlineStr"/>
    </row>
    <row r="452" ht="15" customHeight="1">
      <c r="A452" t="inlineStr">
        <is>
          <t>A 36253-2024</t>
        </is>
      </c>
      <c r="B452" s="1" t="n">
        <v>45534.54032407407</v>
      </c>
      <c r="C452" s="1" t="n">
        <v>46082</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30512-2025</t>
        </is>
      </c>
      <c r="B453" s="1" t="n">
        <v>45831</v>
      </c>
      <c r="C453" s="1" t="n">
        <v>46082</v>
      </c>
      <c r="D453" t="inlineStr">
        <is>
          <t>ÖREBRO LÄN</t>
        </is>
      </c>
      <c r="E453" t="inlineStr">
        <is>
          <t>LINDESBERG</t>
        </is>
      </c>
      <c r="G453" t="n">
        <v>4.5</v>
      </c>
      <c r="H453" t="n">
        <v>0</v>
      </c>
      <c r="I453" t="n">
        <v>0</v>
      </c>
      <c r="J453" t="n">
        <v>0</v>
      </c>
      <c r="K453" t="n">
        <v>0</v>
      </c>
      <c r="L453" t="n">
        <v>0</v>
      </c>
      <c r="M453" t="n">
        <v>0</v>
      </c>
      <c r="N453" t="n">
        <v>0</v>
      </c>
      <c r="O453" t="n">
        <v>0</v>
      </c>
      <c r="P453" t="n">
        <v>0</v>
      </c>
      <c r="Q453" t="n">
        <v>0</v>
      </c>
      <c r="R453" s="2" t="inlineStr"/>
    </row>
    <row r="454" ht="15" customHeight="1">
      <c r="A454" t="inlineStr">
        <is>
          <t>A 58697-2024</t>
        </is>
      </c>
      <c r="B454" s="1" t="n">
        <v>45635.63706018519</v>
      </c>
      <c r="C454" s="1" t="n">
        <v>46082</v>
      </c>
      <c r="D454" t="inlineStr">
        <is>
          <t>ÖREBRO LÄN</t>
        </is>
      </c>
      <c r="E454" t="inlineStr">
        <is>
          <t>LINDESBERG</t>
        </is>
      </c>
      <c r="G454" t="n">
        <v>25.1</v>
      </c>
      <c r="H454" t="n">
        <v>0</v>
      </c>
      <c r="I454" t="n">
        <v>0</v>
      </c>
      <c r="J454" t="n">
        <v>0</v>
      </c>
      <c r="K454" t="n">
        <v>0</v>
      </c>
      <c r="L454" t="n">
        <v>0</v>
      </c>
      <c r="M454" t="n">
        <v>0</v>
      </c>
      <c r="N454" t="n">
        <v>0</v>
      </c>
      <c r="O454" t="n">
        <v>0</v>
      </c>
      <c r="P454" t="n">
        <v>0</v>
      </c>
      <c r="Q454" t="n">
        <v>0</v>
      </c>
      <c r="R454" s="2" t="inlineStr"/>
    </row>
    <row r="455" ht="15" customHeight="1">
      <c r="A455" t="inlineStr">
        <is>
          <t>A 36572-2025</t>
        </is>
      </c>
      <c r="B455" s="1" t="n">
        <v>45870</v>
      </c>
      <c r="C455" s="1" t="n">
        <v>46082</v>
      </c>
      <c r="D455" t="inlineStr">
        <is>
          <t>ÖREBRO LÄN</t>
        </is>
      </c>
      <c r="E455" t="inlineStr">
        <is>
          <t>LINDESBERG</t>
        </is>
      </c>
      <c r="G455" t="n">
        <v>11.9</v>
      </c>
      <c r="H455" t="n">
        <v>0</v>
      </c>
      <c r="I455" t="n">
        <v>0</v>
      </c>
      <c r="J455" t="n">
        <v>0</v>
      </c>
      <c r="K455" t="n">
        <v>0</v>
      </c>
      <c r="L455" t="n">
        <v>0</v>
      </c>
      <c r="M455" t="n">
        <v>0</v>
      </c>
      <c r="N455" t="n">
        <v>0</v>
      </c>
      <c r="O455" t="n">
        <v>0</v>
      </c>
      <c r="P455" t="n">
        <v>0</v>
      </c>
      <c r="Q455" t="n">
        <v>0</v>
      </c>
      <c r="R455" s="2" t="inlineStr"/>
    </row>
    <row r="456" ht="15" customHeight="1">
      <c r="A456" t="inlineStr">
        <is>
          <t>A 36577-2025</t>
        </is>
      </c>
      <c r="B456" s="1" t="n">
        <v>45870</v>
      </c>
      <c r="C456" s="1" t="n">
        <v>46082</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46757-2025</t>
        </is>
      </c>
      <c r="B457" s="1" t="n">
        <v>45926.62039351852</v>
      </c>
      <c r="C457" s="1" t="n">
        <v>46082</v>
      </c>
      <c r="D457" t="inlineStr">
        <is>
          <t>ÖREBRO LÄN</t>
        </is>
      </c>
      <c r="E457" t="inlineStr">
        <is>
          <t>LINDESBERG</t>
        </is>
      </c>
      <c r="G457" t="n">
        <v>7.9</v>
      </c>
      <c r="H457" t="n">
        <v>0</v>
      </c>
      <c r="I457" t="n">
        <v>0</v>
      </c>
      <c r="J457" t="n">
        <v>0</v>
      </c>
      <c r="K457" t="n">
        <v>0</v>
      </c>
      <c r="L457" t="n">
        <v>0</v>
      </c>
      <c r="M457" t="n">
        <v>0</v>
      </c>
      <c r="N457" t="n">
        <v>0</v>
      </c>
      <c r="O457" t="n">
        <v>0</v>
      </c>
      <c r="P457" t="n">
        <v>0</v>
      </c>
      <c r="Q457" t="n">
        <v>0</v>
      </c>
      <c r="R457" s="2" t="inlineStr"/>
    </row>
    <row r="458" ht="15" customHeight="1">
      <c r="A458" t="inlineStr">
        <is>
          <t>A 46484-2025</t>
        </is>
      </c>
      <c r="B458" s="1" t="n">
        <v>45925.70290509259</v>
      </c>
      <c r="C458" s="1" t="n">
        <v>46082</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36574-2025</t>
        </is>
      </c>
      <c r="B459" s="1" t="n">
        <v>45870</v>
      </c>
      <c r="C459" s="1" t="n">
        <v>46082</v>
      </c>
      <c r="D459" t="inlineStr">
        <is>
          <t>ÖREBRO LÄN</t>
        </is>
      </c>
      <c r="E459" t="inlineStr">
        <is>
          <t>LINDESBERG</t>
        </is>
      </c>
      <c r="G459" t="n">
        <v>4</v>
      </c>
      <c r="H459" t="n">
        <v>0</v>
      </c>
      <c r="I459" t="n">
        <v>0</v>
      </c>
      <c r="J459" t="n">
        <v>0</v>
      </c>
      <c r="K459" t="n">
        <v>0</v>
      </c>
      <c r="L459" t="n">
        <v>0</v>
      </c>
      <c r="M459" t="n">
        <v>0</v>
      </c>
      <c r="N459" t="n">
        <v>0</v>
      </c>
      <c r="O459" t="n">
        <v>0</v>
      </c>
      <c r="P459" t="n">
        <v>0</v>
      </c>
      <c r="Q459" t="n">
        <v>0</v>
      </c>
      <c r="R459" s="2" t="inlineStr"/>
    </row>
    <row r="460" ht="15" customHeight="1">
      <c r="A460" t="inlineStr">
        <is>
          <t>A 36579-2025</t>
        </is>
      </c>
      <c r="B460" s="1" t="n">
        <v>45870</v>
      </c>
      <c r="C460" s="1" t="n">
        <v>46082</v>
      </c>
      <c r="D460" t="inlineStr">
        <is>
          <t>ÖREBRO LÄN</t>
        </is>
      </c>
      <c r="E460" t="inlineStr">
        <is>
          <t>LINDESBERG</t>
        </is>
      </c>
      <c r="G460" t="n">
        <v>6</v>
      </c>
      <c r="H460" t="n">
        <v>0</v>
      </c>
      <c r="I460" t="n">
        <v>0</v>
      </c>
      <c r="J460" t="n">
        <v>0</v>
      </c>
      <c r="K460" t="n">
        <v>0</v>
      </c>
      <c r="L460" t="n">
        <v>0</v>
      </c>
      <c r="M460" t="n">
        <v>0</v>
      </c>
      <c r="N460" t="n">
        <v>0</v>
      </c>
      <c r="O460" t="n">
        <v>0</v>
      </c>
      <c r="P460" t="n">
        <v>0</v>
      </c>
      <c r="Q460" t="n">
        <v>0</v>
      </c>
      <c r="R460" s="2" t="inlineStr"/>
    </row>
    <row r="461" ht="15" customHeight="1">
      <c r="A461" t="inlineStr">
        <is>
          <t>A 46404-2025</t>
        </is>
      </c>
      <c r="B461" s="1" t="n">
        <v>45925.56173611111</v>
      </c>
      <c r="C461" s="1" t="n">
        <v>46082</v>
      </c>
      <c r="D461" t="inlineStr">
        <is>
          <t>ÖREBRO LÄN</t>
        </is>
      </c>
      <c r="E461" t="inlineStr">
        <is>
          <t>LINDESBERG</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17115-2025</t>
        </is>
      </c>
      <c r="B462" s="1" t="n">
        <v>45755.68247685185</v>
      </c>
      <c r="C462" s="1" t="n">
        <v>46082</v>
      </c>
      <c r="D462" t="inlineStr">
        <is>
          <t>ÖREBRO LÄN</t>
        </is>
      </c>
      <c r="E462" t="inlineStr">
        <is>
          <t>LINDESBERG</t>
        </is>
      </c>
      <c r="G462" t="n">
        <v>0.6</v>
      </c>
      <c r="H462" t="n">
        <v>0</v>
      </c>
      <c r="I462" t="n">
        <v>0</v>
      </c>
      <c r="J462" t="n">
        <v>0</v>
      </c>
      <c r="K462" t="n">
        <v>0</v>
      </c>
      <c r="L462" t="n">
        <v>0</v>
      </c>
      <c r="M462" t="n">
        <v>0</v>
      </c>
      <c r="N462" t="n">
        <v>0</v>
      </c>
      <c r="O462" t="n">
        <v>0</v>
      </c>
      <c r="P462" t="n">
        <v>0</v>
      </c>
      <c r="Q462" t="n">
        <v>0</v>
      </c>
      <c r="R462" s="2" t="inlineStr"/>
    </row>
    <row r="463" ht="15" customHeight="1">
      <c r="A463" t="inlineStr">
        <is>
          <t>A 16054-2022</t>
        </is>
      </c>
      <c r="B463" s="1" t="n">
        <v>44665</v>
      </c>
      <c r="C463" s="1" t="n">
        <v>46082</v>
      </c>
      <c r="D463" t="inlineStr">
        <is>
          <t>ÖREBRO LÄN</t>
        </is>
      </c>
      <c r="E463" t="inlineStr">
        <is>
          <t>LINDESBERG</t>
        </is>
      </c>
      <c r="G463" t="n">
        <v>6.9</v>
      </c>
      <c r="H463" t="n">
        <v>0</v>
      </c>
      <c r="I463" t="n">
        <v>0</v>
      </c>
      <c r="J463" t="n">
        <v>0</v>
      </c>
      <c r="K463" t="n">
        <v>0</v>
      </c>
      <c r="L463" t="n">
        <v>0</v>
      </c>
      <c r="M463" t="n">
        <v>0</v>
      </c>
      <c r="N463" t="n">
        <v>0</v>
      </c>
      <c r="O463" t="n">
        <v>0</v>
      </c>
      <c r="P463" t="n">
        <v>0</v>
      </c>
      <c r="Q463" t="n">
        <v>0</v>
      </c>
      <c r="R463" s="2" t="inlineStr"/>
    </row>
    <row r="464" ht="15" customHeight="1">
      <c r="A464" t="inlineStr">
        <is>
          <t>A 36136-2023</t>
        </is>
      </c>
      <c r="B464" s="1" t="n">
        <v>45149</v>
      </c>
      <c r="C464" s="1" t="n">
        <v>46082</v>
      </c>
      <c r="D464" t="inlineStr">
        <is>
          <t>ÖREBRO LÄN</t>
        </is>
      </c>
      <c r="E464" t="inlineStr">
        <is>
          <t>LINDESBERG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13573-2025</t>
        </is>
      </c>
      <c r="B465" s="1" t="n">
        <v>45736</v>
      </c>
      <c r="C465" s="1" t="n">
        <v>46082</v>
      </c>
      <c r="D465" t="inlineStr">
        <is>
          <t>ÖREBRO LÄN</t>
        </is>
      </c>
      <c r="E465" t="inlineStr">
        <is>
          <t>LINDESBERG</t>
        </is>
      </c>
      <c r="G465" t="n">
        <v>11.7</v>
      </c>
      <c r="H465" t="n">
        <v>0</v>
      </c>
      <c r="I465" t="n">
        <v>0</v>
      </c>
      <c r="J465" t="n">
        <v>0</v>
      </c>
      <c r="K465" t="n">
        <v>0</v>
      </c>
      <c r="L465" t="n">
        <v>0</v>
      </c>
      <c r="M465" t="n">
        <v>0</v>
      </c>
      <c r="N465" t="n">
        <v>0</v>
      </c>
      <c r="O465" t="n">
        <v>0</v>
      </c>
      <c r="P465" t="n">
        <v>0</v>
      </c>
      <c r="Q465" t="n">
        <v>0</v>
      </c>
      <c r="R465" s="2" t="inlineStr"/>
    </row>
    <row r="466" ht="15" customHeight="1">
      <c r="A466" t="inlineStr">
        <is>
          <t>A 61601-2024</t>
        </is>
      </c>
      <c r="B466" s="1" t="n">
        <v>45646.63839120371</v>
      </c>
      <c r="C466" s="1" t="n">
        <v>46082</v>
      </c>
      <c r="D466" t="inlineStr">
        <is>
          <t>ÖREBRO LÄN</t>
        </is>
      </c>
      <c r="E466" t="inlineStr">
        <is>
          <t>LINDESBERG</t>
        </is>
      </c>
      <c r="G466" t="n">
        <v>0.5</v>
      </c>
      <c r="H466" t="n">
        <v>0</v>
      </c>
      <c r="I466" t="n">
        <v>0</v>
      </c>
      <c r="J466" t="n">
        <v>0</v>
      </c>
      <c r="K466" t="n">
        <v>0</v>
      </c>
      <c r="L466" t="n">
        <v>0</v>
      </c>
      <c r="M466" t="n">
        <v>0</v>
      </c>
      <c r="N466" t="n">
        <v>0</v>
      </c>
      <c r="O466" t="n">
        <v>0</v>
      </c>
      <c r="P466" t="n">
        <v>0</v>
      </c>
      <c r="Q466" t="n">
        <v>0</v>
      </c>
      <c r="R466" s="2" t="inlineStr"/>
    </row>
    <row r="467" ht="15" customHeight="1">
      <c r="A467" t="inlineStr">
        <is>
          <t>A 40450-2023</t>
        </is>
      </c>
      <c r="B467" s="1" t="n">
        <v>45170</v>
      </c>
      <c r="C467" s="1" t="n">
        <v>46082</v>
      </c>
      <c r="D467" t="inlineStr">
        <is>
          <t>ÖREBRO LÄN</t>
        </is>
      </c>
      <c r="E467" t="inlineStr">
        <is>
          <t>LINDESBERG</t>
        </is>
      </c>
      <c r="F467" t="inlineStr">
        <is>
          <t>Kyrkan</t>
        </is>
      </c>
      <c r="G467" t="n">
        <v>4.3</v>
      </c>
      <c r="H467" t="n">
        <v>0</v>
      </c>
      <c r="I467" t="n">
        <v>0</v>
      </c>
      <c r="J467" t="n">
        <v>0</v>
      </c>
      <c r="K467" t="n">
        <v>0</v>
      </c>
      <c r="L467" t="n">
        <v>0</v>
      </c>
      <c r="M467" t="n">
        <v>0</v>
      </c>
      <c r="N467" t="n">
        <v>0</v>
      </c>
      <c r="O467" t="n">
        <v>0</v>
      </c>
      <c r="P467" t="n">
        <v>0</v>
      </c>
      <c r="Q467" t="n">
        <v>0</v>
      </c>
      <c r="R467" s="2" t="inlineStr"/>
    </row>
    <row r="468" ht="15" customHeight="1">
      <c r="A468" t="inlineStr">
        <is>
          <t>A 22824-2023</t>
        </is>
      </c>
      <c r="B468" s="1" t="n">
        <v>45072</v>
      </c>
      <c r="C468" s="1" t="n">
        <v>46082</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36859-2025</t>
        </is>
      </c>
      <c r="B469" s="1" t="n">
        <v>45874.40503472222</v>
      </c>
      <c r="C469" s="1" t="n">
        <v>46082</v>
      </c>
      <c r="D469" t="inlineStr">
        <is>
          <t>ÖREBRO LÄN</t>
        </is>
      </c>
      <c r="E469" t="inlineStr">
        <is>
          <t>LINDESBERG</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72698-2021</t>
        </is>
      </c>
      <c r="B470" s="1" t="n">
        <v>44546.6679050926</v>
      </c>
      <c r="C470" s="1" t="n">
        <v>46082</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34237-2023</t>
        </is>
      </c>
      <c r="B471" s="1" t="n">
        <v>45138</v>
      </c>
      <c r="C471" s="1" t="n">
        <v>46082</v>
      </c>
      <c r="D471" t="inlineStr">
        <is>
          <t>ÖREBRO LÄN</t>
        </is>
      </c>
      <c r="E471" t="inlineStr">
        <is>
          <t>LINDESBERG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32994-2023</t>
        </is>
      </c>
      <c r="B472" s="1" t="n">
        <v>45113</v>
      </c>
      <c r="C472" s="1" t="n">
        <v>46082</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36170-2021</t>
        </is>
      </c>
      <c r="B473" s="1" t="n">
        <v>44389</v>
      </c>
      <c r="C473" s="1" t="n">
        <v>46082</v>
      </c>
      <c r="D473" t="inlineStr">
        <is>
          <t>ÖREBRO LÄN</t>
        </is>
      </c>
      <c r="E473" t="inlineStr">
        <is>
          <t>LINDESBERG</t>
        </is>
      </c>
      <c r="G473" t="n">
        <v>0.4</v>
      </c>
      <c r="H473" t="n">
        <v>0</v>
      </c>
      <c r="I473" t="n">
        <v>0</v>
      </c>
      <c r="J473" t="n">
        <v>0</v>
      </c>
      <c r="K473" t="n">
        <v>0</v>
      </c>
      <c r="L473" t="n">
        <v>0</v>
      </c>
      <c r="M473" t="n">
        <v>0</v>
      </c>
      <c r="N473" t="n">
        <v>0</v>
      </c>
      <c r="O473" t="n">
        <v>0</v>
      </c>
      <c r="P473" t="n">
        <v>0</v>
      </c>
      <c r="Q473" t="n">
        <v>0</v>
      </c>
      <c r="R473" s="2" t="inlineStr"/>
    </row>
    <row r="474" ht="15" customHeight="1">
      <c r="A474" t="inlineStr">
        <is>
          <t>A 37301-2025</t>
        </is>
      </c>
      <c r="B474" s="1" t="n">
        <v>45876.59166666667</v>
      </c>
      <c r="C474" s="1" t="n">
        <v>46082</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10822-2023</t>
        </is>
      </c>
      <c r="B475" s="1" t="n">
        <v>44990</v>
      </c>
      <c r="C475" s="1" t="n">
        <v>46082</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37500-2025</t>
        </is>
      </c>
      <c r="B476" s="1" t="n">
        <v>45877.64776620371</v>
      </c>
      <c r="C476" s="1" t="n">
        <v>46082</v>
      </c>
      <c r="D476" t="inlineStr">
        <is>
          <t>ÖREBRO LÄN</t>
        </is>
      </c>
      <c r="E476" t="inlineStr">
        <is>
          <t>LINDESBERG</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37503-2025</t>
        </is>
      </c>
      <c r="B477" s="1" t="n">
        <v>45877.65075231482</v>
      </c>
      <c r="C477" s="1" t="n">
        <v>46082</v>
      </c>
      <c r="D477" t="inlineStr">
        <is>
          <t>ÖREBRO LÄN</t>
        </is>
      </c>
      <c r="E477" t="inlineStr">
        <is>
          <t>LINDESBERG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37501-2025</t>
        </is>
      </c>
      <c r="B478" s="1" t="n">
        <v>45877.64847222222</v>
      </c>
      <c r="C478" s="1" t="n">
        <v>46082</v>
      </c>
      <c r="D478" t="inlineStr">
        <is>
          <t>ÖREBRO LÄN</t>
        </is>
      </c>
      <c r="E478" t="inlineStr">
        <is>
          <t>LINDESBERG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37552-2025</t>
        </is>
      </c>
      <c r="B479" s="1" t="n">
        <v>45880.28673611111</v>
      </c>
      <c r="C479" s="1" t="n">
        <v>46082</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35230-2024</t>
        </is>
      </c>
      <c r="B480" s="1" t="n">
        <v>45530</v>
      </c>
      <c r="C480" s="1" t="n">
        <v>46082</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48061-2025</t>
        </is>
      </c>
      <c r="B481" s="1" t="n">
        <v>45932.68006944445</v>
      </c>
      <c r="C481" s="1" t="n">
        <v>46082</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37491-2025</t>
        </is>
      </c>
      <c r="B482" s="1" t="n">
        <v>45877.64144675926</v>
      </c>
      <c r="C482" s="1" t="n">
        <v>46082</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37499-2025</t>
        </is>
      </c>
      <c r="B483" s="1" t="n">
        <v>45877.64605324074</v>
      </c>
      <c r="C483" s="1" t="n">
        <v>46082</v>
      </c>
      <c r="D483" t="inlineStr">
        <is>
          <t>ÖREBRO LÄN</t>
        </is>
      </c>
      <c r="E483" t="inlineStr">
        <is>
          <t>LINDESBERG</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37602-2025</t>
        </is>
      </c>
      <c r="B484" s="1" t="n">
        <v>45880</v>
      </c>
      <c r="C484" s="1" t="n">
        <v>46082</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37625-2025</t>
        </is>
      </c>
      <c r="B485" s="1" t="n">
        <v>45880.46056712963</v>
      </c>
      <c r="C485" s="1" t="n">
        <v>46082</v>
      </c>
      <c r="D485" t="inlineStr">
        <is>
          <t>ÖREBRO LÄN</t>
        </is>
      </c>
      <c r="E485" t="inlineStr">
        <is>
          <t>LINDESBERG</t>
        </is>
      </c>
      <c r="G485" t="n">
        <v>12.5</v>
      </c>
      <c r="H485" t="n">
        <v>0</v>
      </c>
      <c r="I485" t="n">
        <v>0</v>
      </c>
      <c r="J485" t="n">
        <v>0</v>
      </c>
      <c r="K485" t="n">
        <v>0</v>
      </c>
      <c r="L485" t="n">
        <v>0</v>
      </c>
      <c r="M485" t="n">
        <v>0</v>
      </c>
      <c r="N485" t="n">
        <v>0</v>
      </c>
      <c r="O485" t="n">
        <v>0</v>
      </c>
      <c r="P485" t="n">
        <v>0</v>
      </c>
      <c r="Q485" t="n">
        <v>0</v>
      </c>
      <c r="R485" s="2" t="inlineStr"/>
    </row>
    <row r="486" ht="15" customHeight="1">
      <c r="A486" t="inlineStr">
        <is>
          <t>A 37553-2025</t>
        </is>
      </c>
      <c r="B486" s="1" t="n">
        <v>45880.3172337963</v>
      </c>
      <c r="C486" s="1" t="n">
        <v>46082</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9198-2025</t>
        </is>
      </c>
      <c r="B487" s="1" t="n">
        <v>45714</v>
      </c>
      <c r="C487" s="1" t="n">
        <v>46082</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37497-2025</t>
        </is>
      </c>
      <c r="B488" s="1" t="n">
        <v>45877.64431712963</v>
      </c>
      <c r="C488" s="1" t="n">
        <v>46082</v>
      </c>
      <c r="D488" t="inlineStr">
        <is>
          <t>ÖREBRO LÄN</t>
        </is>
      </c>
      <c r="E488" t="inlineStr">
        <is>
          <t>LINDESBERG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16618-2023</t>
        </is>
      </c>
      <c r="B489" s="1" t="n">
        <v>45030</v>
      </c>
      <c r="C489" s="1" t="n">
        <v>46082</v>
      </c>
      <c r="D489" t="inlineStr">
        <is>
          <t>ÖREBRO LÄN</t>
        </is>
      </c>
      <c r="E489" t="inlineStr">
        <is>
          <t>LINDESBERG</t>
        </is>
      </c>
      <c r="F489" t="inlineStr">
        <is>
          <t>Kommuner</t>
        </is>
      </c>
      <c r="G489" t="n">
        <v>4.6</v>
      </c>
      <c r="H489" t="n">
        <v>0</v>
      </c>
      <c r="I489" t="n">
        <v>0</v>
      </c>
      <c r="J489" t="n">
        <v>0</v>
      </c>
      <c r="K489" t="n">
        <v>0</v>
      </c>
      <c r="L489" t="n">
        <v>0</v>
      </c>
      <c r="M489" t="n">
        <v>0</v>
      </c>
      <c r="N489" t="n">
        <v>0</v>
      </c>
      <c r="O489" t="n">
        <v>0</v>
      </c>
      <c r="P489" t="n">
        <v>0</v>
      </c>
      <c r="Q489" t="n">
        <v>0</v>
      </c>
      <c r="R489" s="2" t="inlineStr"/>
    </row>
    <row r="490" ht="15" customHeight="1">
      <c r="A490" t="inlineStr">
        <is>
          <t>A 37492-2025</t>
        </is>
      </c>
      <c r="B490" s="1" t="n">
        <v>45877.64230324074</v>
      </c>
      <c r="C490" s="1" t="n">
        <v>46082</v>
      </c>
      <c r="D490" t="inlineStr">
        <is>
          <t>ÖREBRO LÄN</t>
        </is>
      </c>
      <c r="E490" t="inlineStr">
        <is>
          <t>LINDESBERG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37490-2025</t>
        </is>
      </c>
      <c r="B491" s="1" t="n">
        <v>45877.63989583333</v>
      </c>
      <c r="C491" s="1" t="n">
        <v>46082</v>
      </c>
      <c r="D491" t="inlineStr">
        <is>
          <t>ÖREBRO LÄN</t>
        </is>
      </c>
      <c r="E491" t="inlineStr">
        <is>
          <t>LINDESBERG</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47678-2025</t>
        </is>
      </c>
      <c r="B492" s="1" t="n">
        <v>45931.57967592592</v>
      </c>
      <c r="C492" s="1" t="n">
        <v>46082</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4298-2025</t>
        </is>
      </c>
      <c r="B493" s="1" t="n">
        <v>45685</v>
      </c>
      <c r="C493" s="1" t="n">
        <v>46082</v>
      </c>
      <c r="D493" t="inlineStr">
        <is>
          <t>ÖREBRO LÄN</t>
        </is>
      </c>
      <c r="E493" t="inlineStr">
        <is>
          <t>LINDESBERG</t>
        </is>
      </c>
      <c r="G493" t="n">
        <v>13.5</v>
      </c>
      <c r="H493" t="n">
        <v>0</v>
      </c>
      <c r="I493" t="n">
        <v>0</v>
      </c>
      <c r="J493" t="n">
        <v>0</v>
      </c>
      <c r="K493" t="n">
        <v>0</v>
      </c>
      <c r="L493" t="n">
        <v>0</v>
      </c>
      <c r="M493" t="n">
        <v>0</v>
      </c>
      <c r="N493" t="n">
        <v>0</v>
      </c>
      <c r="O493" t="n">
        <v>0</v>
      </c>
      <c r="P493" t="n">
        <v>0</v>
      </c>
      <c r="Q493" t="n">
        <v>0</v>
      </c>
      <c r="R493" s="2" t="inlineStr"/>
    </row>
    <row r="494" ht="15" customHeight="1">
      <c r="A494" t="inlineStr">
        <is>
          <t>A 4999-2025</t>
        </is>
      </c>
      <c r="B494" s="1" t="n">
        <v>45691.36253472222</v>
      </c>
      <c r="C494" s="1" t="n">
        <v>46082</v>
      </c>
      <c r="D494" t="inlineStr">
        <is>
          <t>ÖREBRO LÄN</t>
        </is>
      </c>
      <c r="E494" t="inlineStr">
        <is>
          <t>LINDESBERG</t>
        </is>
      </c>
      <c r="G494" t="n">
        <v>4.7</v>
      </c>
      <c r="H494" t="n">
        <v>0</v>
      </c>
      <c r="I494" t="n">
        <v>0</v>
      </c>
      <c r="J494" t="n">
        <v>0</v>
      </c>
      <c r="K494" t="n">
        <v>0</v>
      </c>
      <c r="L494" t="n">
        <v>0</v>
      </c>
      <c r="M494" t="n">
        <v>0</v>
      </c>
      <c r="N494" t="n">
        <v>0</v>
      </c>
      <c r="O494" t="n">
        <v>0</v>
      </c>
      <c r="P494" t="n">
        <v>0</v>
      </c>
      <c r="Q494" t="n">
        <v>0</v>
      </c>
      <c r="R494" s="2" t="inlineStr"/>
    </row>
    <row r="495" ht="15" customHeight="1">
      <c r="A495" t="inlineStr">
        <is>
          <t>A 37935-2025</t>
        </is>
      </c>
      <c r="B495" s="1" t="n">
        <v>45881.59550925926</v>
      </c>
      <c r="C495" s="1" t="n">
        <v>46082</v>
      </c>
      <c r="D495" t="inlineStr">
        <is>
          <t>ÖREBRO LÄN</t>
        </is>
      </c>
      <c r="E495" t="inlineStr">
        <is>
          <t>LINDESBERG</t>
        </is>
      </c>
      <c r="G495" t="n">
        <v>5.1</v>
      </c>
      <c r="H495" t="n">
        <v>0</v>
      </c>
      <c r="I495" t="n">
        <v>0</v>
      </c>
      <c r="J495" t="n">
        <v>0</v>
      </c>
      <c r="K495" t="n">
        <v>0</v>
      </c>
      <c r="L495" t="n">
        <v>0</v>
      </c>
      <c r="M495" t="n">
        <v>0</v>
      </c>
      <c r="N495" t="n">
        <v>0</v>
      </c>
      <c r="O495" t="n">
        <v>0</v>
      </c>
      <c r="P495" t="n">
        <v>0</v>
      </c>
      <c r="Q495" t="n">
        <v>0</v>
      </c>
      <c r="R495" s="2" t="inlineStr"/>
    </row>
    <row r="496" ht="15" customHeight="1">
      <c r="A496" t="inlineStr">
        <is>
          <t>A 15892-2025</t>
        </is>
      </c>
      <c r="B496" s="1" t="n">
        <v>45749</v>
      </c>
      <c r="C496" s="1" t="n">
        <v>46082</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37837-2025</t>
        </is>
      </c>
      <c r="B497" s="1" t="n">
        <v>45881.42791666667</v>
      </c>
      <c r="C497" s="1" t="n">
        <v>46082</v>
      </c>
      <c r="D497" t="inlineStr">
        <is>
          <t>ÖREBRO LÄN</t>
        </is>
      </c>
      <c r="E497" t="inlineStr">
        <is>
          <t>LINDESBERG</t>
        </is>
      </c>
      <c r="G497" t="n">
        <v>1.3</v>
      </c>
      <c r="H497" t="n">
        <v>0</v>
      </c>
      <c r="I497" t="n">
        <v>0</v>
      </c>
      <c r="J497" t="n">
        <v>0</v>
      </c>
      <c r="K497" t="n">
        <v>0</v>
      </c>
      <c r="L497" t="n">
        <v>0</v>
      </c>
      <c r="M497" t="n">
        <v>0</v>
      </c>
      <c r="N497" t="n">
        <v>0</v>
      </c>
      <c r="O497" t="n">
        <v>0</v>
      </c>
      <c r="P497" t="n">
        <v>0</v>
      </c>
      <c r="Q497" t="n">
        <v>0</v>
      </c>
      <c r="R497" s="2" t="inlineStr"/>
    </row>
    <row r="498" ht="15" customHeight="1">
      <c r="A498" t="inlineStr">
        <is>
          <t>A 47676-2025</t>
        </is>
      </c>
      <c r="B498" s="1" t="n">
        <v>45931.57756944445</v>
      </c>
      <c r="C498" s="1" t="n">
        <v>46082</v>
      </c>
      <c r="D498" t="inlineStr">
        <is>
          <t>ÖREBRO LÄN</t>
        </is>
      </c>
      <c r="E498" t="inlineStr">
        <is>
          <t>LINDESBERG</t>
        </is>
      </c>
      <c r="G498" t="n">
        <v>0.8</v>
      </c>
      <c r="H498" t="n">
        <v>0</v>
      </c>
      <c r="I498" t="n">
        <v>0</v>
      </c>
      <c r="J498" t="n">
        <v>0</v>
      </c>
      <c r="K498" t="n">
        <v>0</v>
      </c>
      <c r="L498" t="n">
        <v>0</v>
      </c>
      <c r="M498" t="n">
        <v>0</v>
      </c>
      <c r="N498" t="n">
        <v>0</v>
      </c>
      <c r="O498" t="n">
        <v>0</v>
      </c>
      <c r="P498" t="n">
        <v>0</v>
      </c>
      <c r="Q498" t="n">
        <v>0</v>
      </c>
      <c r="R498" s="2" t="inlineStr"/>
    </row>
    <row r="499" ht="15" customHeight="1">
      <c r="A499" t="inlineStr">
        <is>
          <t>A 45428-2023</t>
        </is>
      </c>
      <c r="B499" s="1" t="n">
        <v>45194</v>
      </c>
      <c r="C499" s="1" t="n">
        <v>46082</v>
      </c>
      <c r="D499" t="inlineStr">
        <is>
          <t>ÖREBRO LÄN</t>
        </is>
      </c>
      <c r="E499" t="inlineStr">
        <is>
          <t>LINDESBERG</t>
        </is>
      </c>
      <c r="G499" t="n">
        <v>7.7</v>
      </c>
      <c r="H499" t="n">
        <v>0</v>
      </c>
      <c r="I499" t="n">
        <v>0</v>
      </c>
      <c r="J499" t="n">
        <v>0</v>
      </c>
      <c r="K499" t="n">
        <v>0</v>
      </c>
      <c r="L499" t="n">
        <v>0</v>
      </c>
      <c r="M499" t="n">
        <v>0</v>
      </c>
      <c r="N499" t="n">
        <v>0</v>
      </c>
      <c r="O499" t="n">
        <v>0</v>
      </c>
      <c r="P499" t="n">
        <v>0</v>
      </c>
      <c r="Q499" t="n">
        <v>0</v>
      </c>
      <c r="R499" s="2" t="inlineStr"/>
    </row>
    <row r="500" ht="15" customHeight="1">
      <c r="A500" t="inlineStr">
        <is>
          <t>A 48489-2025</t>
        </is>
      </c>
      <c r="B500" s="1" t="n">
        <v>45936.36637731481</v>
      </c>
      <c r="C500" s="1" t="n">
        <v>46082</v>
      </c>
      <c r="D500" t="inlineStr">
        <is>
          <t>ÖREBRO LÄN</t>
        </is>
      </c>
      <c r="E500" t="inlineStr">
        <is>
          <t>LINDESBERG</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48750-2025</t>
        </is>
      </c>
      <c r="B501" s="1" t="n">
        <v>45936.68452546297</v>
      </c>
      <c r="C501" s="1" t="n">
        <v>46082</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48495-2025</t>
        </is>
      </c>
      <c r="B502" s="1" t="n">
        <v>45936.37237268518</v>
      </c>
      <c r="C502" s="1" t="n">
        <v>46082</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48618-2025</t>
        </is>
      </c>
      <c r="B503" s="1" t="n">
        <v>45936.49026620371</v>
      </c>
      <c r="C503" s="1" t="n">
        <v>46082</v>
      </c>
      <c r="D503" t="inlineStr">
        <is>
          <t>ÖREBRO LÄN</t>
        </is>
      </c>
      <c r="E503" t="inlineStr">
        <is>
          <t>LINDESBERG</t>
        </is>
      </c>
      <c r="F503" t="inlineStr">
        <is>
          <t>Sveaskog</t>
        </is>
      </c>
      <c r="G503" t="n">
        <v>4.2</v>
      </c>
      <c r="H503" t="n">
        <v>0</v>
      </c>
      <c r="I503" t="n">
        <v>0</v>
      </c>
      <c r="J503" t="n">
        <v>0</v>
      </c>
      <c r="K503" t="n">
        <v>0</v>
      </c>
      <c r="L503" t="n">
        <v>0</v>
      </c>
      <c r="M503" t="n">
        <v>0</v>
      </c>
      <c r="N503" t="n">
        <v>0</v>
      </c>
      <c r="O503" t="n">
        <v>0</v>
      </c>
      <c r="P503" t="n">
        <v>0</v>
      </c>
      <c r="Q503" t="n">
        <v>0</v>
      </c>
      <c r="R503" s="2" t="inlineStr"/>
    </row>
    <row r="504" ht="15" customHeight="1">
      <c r="A504" t="inlineStr">
        <is>
          <t>A 38509-2025</t>
        </is>
      </c>
      <c r="B504" s="1" t="n">
        <v>45884.38858796296</v>
      </c>
      <c r="C504" s="1" t="n">
        <v>46082</v>
      </c>
      <c r="D504" t="inlineStr">
        <is>
          <t>ÖREBRO LÄN</t>
        </is>
      </c>
      <c r="E504" t="inlineStr">
        <is>
          <t>LINDESBERG</t>
        </is>
      </c>
      <c r="G504" t="n">
        <v>14.9</v>
      </c>
      <c r="H504" t="n">
        <v>0</v>
      </c>
      <c r="I504" t="n">
        <v>0</v>
      </c>
      <c r="J504" t="n">
        <v>0</v>
      </c>
      <c r="K504" t="n">
        <v>0</v>
      </c>
      <c r="L504" t="n">
        <v>0</v>
      </c>
      <c r="M504" t="n">
        <v>0</v>
      </c>
      <c r="N504" t="n">
        <v>0</v>
      </c>
      <c r="O504" t="n">
        <v>0</v>
      </c>
      <c r="P504" t="n">
        <v>0</v>
      </c>
      <c r="Q504" t="n">
        <v>0</v>
      </c>
      <c r="R504" s="2" t="inlineStr"/>
    </row>
    <row r="505" ht="15" customHeight="1">
      <c r="A505" t="inlineStr">
        <is>
          <t>A 48497-2025</t>
        </is>
      </c>
      <c r="B505" s="1" t="n">
        <v>45936.37523148148</v>
      </c>
      <c r="C505" s="1" t="n">
        <v>46082</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28082-2021</t>
        </is>
      </c>
      <c r="B506" s="1" t="n">
        <v>44355</v>
      </c>
      <c r="C506" s="1" t="n">
        <v>46082</v>
      </c>
      <c r="D506" t="inlineStr">
        <is>
          <t>ÖREBRO LÄN</t>
        </is>
      </c>
      <c r="E506" t="inlineStr">
        <is>
          <t>LINDESBERG</t>
        </is>
      </c>
      <c r="F506" t="inlineStr">
        <is>
          <t>Sveaskog</t>
        </is>
      </c>
      <c r="G506" t="n">
        <v>9.9</v>
      </c>
      <c r="H506" t="n">
        <v>0</v>
      </c>
      <c r="I506" t="n">
        <v>0</v>
      </c>
      <c r="J506" t="n">
        <v>0</v>
      </c>
      <c r="K506" t="n">
        <v>0</v>
      </c>
      <c r="L506" t="n">
        <v>0</v>
      </c>
      <c r="M506" t="n">
        <v>0</v>
      </c>
      <c r="N506" t="n">
        <v>0</v>
      </c>
      <c r="O506" t="n">
        <v>0</v>
      </c>
      <c r="P506" t="n">
        <v>0</v>
      </c>
      <c r="Q506" t="n">
        <v>0</v>
      </c>
      <c r="R506" s="2" t="inlineStr"/>
    </row>
    <row r="507" ht="15" customHeight="1">
      <c r="A507" t="inlineStr">
        <is>
          <t>A 57911-2022</t>
        </is>
      </c>
      <c r="B507" s="1" t="n">
        <v>44900.36149305556</v>
      </c>
      <c r="C507" s="1" t="n">
        <v>46082</v>
      </c>
      <c r="D507" t="inlineStr">
        <is>
          <t>ÖREBRO LÄN</t>
        </is>
      </c>
      <c r="E507" t="inlineStr">
        <is>
          <t>LINDESBERG</t>
        </is>
      </c>
      <c r="G507" t="n">
        <v>4.9</v>
      </c>
      <c r="H507" t="n">
        <v>0</v>
      </c>
      <c r="I507" t="n">
        <v>0</v>
      </c>
      <c r="J507" t="n">
        <v>0</v>
      </c>
      <c r="K507" t="n">
        <v>0</v>
      </c>
      <c r="L507" t="n">
        <v>0</v>
      </c>
      <c r="M507" t="n">
        <v>0</v>
      </c>
      <c r="N507" t="n">
        <v>0</v>
      </c>
      <c r="O507" t="n">
        <v>0</v>
      </c>
      <c r="P507" t="n">
        <v>0</v>
      </c>
      <c r="Q507" t="n">
        <v>0</v>
      </c>
      <c r="R507" s="2" t="inlineStr"/>
    </row>
    <row r="508" ht="15" customHeight="1">
      <c r="A508" t="inlineStr">
        <is>
          <t>A 48620-2025</t>
        </is>
      </c>
      <c r="B508" s="1" t="n">
        <v>45936.49210648148</v>
      </c>
      <c r="C508" s="1" t="n">
        <v>46082</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64427-2021</t>
        </is>
      </c>
      <c r="B509" s="1" t="n">
        <v>44511</v>
      </c>
      <c r="C509" s="1" t="n">
        <v>46082</v>
      </c>
      <c r="D509" t="inlineStr">
        <is>
          <t>ÖREBRO LÄN</t>
        </is>
      </c>
      <c r="E509" t="inlineStr">
        <is>
          <t>LINDESBERG</t>
        </is>
      </c>
      <c r="G509" t="n">
        <v>2.2</v>
      </c>
      <c r="H509" t="n">
        <v>0</v>
      </c>
      <c r="I509" t="n">
        <v>0</v>
      </c>
      <c r="J509" t="n">
        <v>0</v>
      </c>
      <c r="K509" t="n">
        <v>0</v>
      </c>
      <c r="L509" t="n">
        <v>0</v>
      </c>
      <c r="M509" t="n">
        <v>0</v>
      </c>
      <c r="N509" t="n">
        <v>0</v>
      </c>
      <c r="O509" t="n">
        <v>0</v>
      </c>
      <c r="P509" t="n">
        <v>0</v>
      </c>
      <c r="Q509" t="n">
        <v>0</v>
      </c>
      <c r="R509" s="2" t="inlineStr"/>
    </row>
    <row r="510" ht="15" customHeight="1">
      <c r="A510" t="inlineStr">
        <is>
          <t>A 48953-2025</t>
        </is>
      </c>
      <c r="B510" s="1" t="n">
        <v>45937.54697916667</v>
      </c>
      <c r="C510" s="1" t="n">
        <v>46082</v>
      </c>
      <c r="D510" t="inlineStr">
        <is>
          <t>ÖREBRO LÄN</t>
        </is>
      </c>
      <c r="E510" t="inlineStr">
        <is>
          <t>LINDESBERG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48971-2025</t>
        </is>
      </c>
      <c r="B511" s="1" t="n">
        <v>45937.56420138889</v>
      </c>
      <c r="C511" s="1" t="n">
        <v>46082</v>
      </c>
      <c r="D511" t="inlineStr">
        <is>
          <t>ÖREBRO LÄN</t>
        </is>
      </c>
      <c r="E511" t="inlineStr">
        <is>
          <t>LINDESBERG</t>
        </is>
      </c>
      <c r="F511" t="inlineStr">
        <is>
          <t>Sveaskog</t>
        </is>
      </c>
      <c r="G511" t="n">
        <v>4.1</v>
      </c>
      <c r="H511" t="n">
        <v>0</v>
      </c>
      <c r="I511" t="n">
        <v>0</v>
      </c>
      <c r="J511" t="n">
        <v>0</v>
      </c>
      <c r="K511" t="n">
        <v>0</v>
      </c>
      <c r="L511" t="n">
        <v>0</v>
      </c>
      <c r="M511" t="n">
        <v>0</v>
      </c>
      <c r="N511" t="n">
        <v>0</v>
      </c>
      <c r="O511" t="n">
        <v>0</v>
      </c>
      <c r="P511" t="n">
        <v>0</v>
      </c>
      <c r="Q511" t="n">
        <v>0</v>
      </c>
      <c r="R511" s="2" t="inlineStr"/>
    </row>
    <row r="512" ht="15" customHeight="1">
      <c r="A512" t="inlineStr">
        <is>
          <t>A 48975-2025</t>
        </is>
      </c>
      <c r="B512" s="1" t="n">
        <v>45937.56798611111</v>
      </c>
      <c r="C512" s="1" t="n">
        <v>46082</v>
      </c>
      <c r="D512" t="inlineStr">
        <is>
          <t>ÖREBRO LÄN</t>
        </is>
      </c>
      <c r="E512" t="inlineStr">
        <is>
          <t>LINDESBERG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48993-2025</t>
        </is>
      </c>
      <c r="B513" s="1" t="n">
        <v>45937.58590277778</v>
      </c>
      <c r="C513" s="1" t="n">
        <v>46082</v>
      </c>
      <c r="D513" t="inlineStr">
        <is>
          <t>ÖREBRO LÄN</t>
        </is>
      </c>
      <c r="E513" t="inlineStr">
        <is>
          <t>LINDESBERG</t>
        </is>
      </c>
      <c r="F513" t="inlineStr">
        <is>
          <t>Kyrkan</t>
        </is>
      </c>
      <c r="G513" t="n">
        <v>4</v>
      </c>
      <c r="H513" t="n">
        <v>0</v>
      </c>
      <c r="I513" t="n">
        <v>0</v>
      </c>
      <c r="J513" t="n">
        <v>0</v>
      </c>
      <c r="K513" t="n">
        <v>0</v>
      </c>
      <c r="L513" t="n">
        <v>0</v>
      </c>
      <c r="M513" t="n">
        <v>0</v>
      </c>
      <c r="N513" t="n">
        <v>0</v>
      </c>
      <c r="O513" t="n">
        <v>0</v>
      </c>
      <c r="P513" t="n">
        <v>0</v>
      </c>
      <c r="Q513" t="n">
        <v>0</v>
      </c>
      <c r="R513" s="2" t="inlineStr"/>
    </row>
    <row r="514" ht="15" customHeight="1">
      <c r="A514" t="inlineStr">
        <is>
          <t>A 49183-2025</t>
        </is>
      </c>
      <c r="B514" s="1" t="n">
        <v>45938.39741898148</v>
      </c>
      <c r="C514" s="1" t="n">
        <v>46082</v>
      </c>
      <c r="D514" t="inlineStr">
        <is>
          <t>ÖREBRO LÄN</t>
        </is>
      </c>
      <c r="E514" t="inlineStr">
        <is>
          <t>LINDESBERG</t>
        </is>
      </c>
      <c r="G514" t="n">
        <v>4.4</v>
      </c>
      <c r="H514" t="n">
        <v>0</v>
      </c>
      <c r="I514" t="n">
        <v>0</v>
      </c>
      <c r="J514" t="n">
        <v>0</v>
      </c>
      <c r="K514" t="n">
        <v>0</v>
      </c>
      <c r="L514" t="n">
        <v>0</v>
      </c>
      <c r="M514" t="n">
        <v>0</v>
      </c>
      <c r="N514" t="n">
        <v>0</v>
      </c>
      <c r="O514" t="n">
        <v>0</v>
      </c>
      <c r="P514" t="n">
        <v>0</v>
      </c>
      <c r="Q514" t="n">
        <v>0</v>
      </c>
      <c r="R514" s="2" t="inlineStr"/>
    </row>
    <row r="515" ht="15" customHeight="1">
      <c r="A515" t="inlineStr">
        <is>
          <t>A 19077-2025</t>
        </is>
      </c>
      <c r="B515" s="1" t="n">
        <v>45766.33309027777</v>
      </c>
      <c r="C515" s="1" t="n">
        <v>46082</v>
      </c>
      <c r="D515" t="inlineStr">
        <is>
          <t>ÖREBRO LÄN</t>
        </is>
      </c>
      <c r="E515" t="inlineStr">
        <is>
          <t>LINDESBERG</t>
        </is>
      </c>
      <c r="G515" t="n">
        <v>0</v>
      </c>
      <c r="H515" t="n">
        <v>0</v>
      </c>
      <c r="I515" t="n">
        <v>0</v>
      </c>
      <c r="J515" t="n">
        <v>0</v>
      </c>
      <c r="K515" t="n">
        <v>0</v>
      </c>
      <c r="L515" t="n">
        <v>0</v>
      </c>
      <c r="M515" t="n">
        <v>0</v>
      </c>
      <c r="N515" t="n">
        <v>0</v>
      </c>
      <c r="O515" t="n">
        <v>0</v>
      </c>
      <c r="P515" t="n">
        <v>0</v>
      </c>
      <c r="Q515" t="n">
        <v>0</v>
      </c>
      <c r="R515" s="2" t="inlineStr"/>
    </row>
    <row r="516" ht="15" customHeight="1">
      <c r="A516" t="inlineStr">
        <is>
          <t>A 49544-2023</t>
        </is>
      </c>
      <c r="B516" s="1" t="n">
        <v>45211</v>
      </c>
      <c r="C516" s="1" t="n">
        <v>46082</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49100-2025</t>
        </is>
      </c>
      <c r="B517" s="1" t="n">
        <v>45937.71556712963</v>
      </c>
      <c r="C517" s="1" t="n">
        <v>46082</v>
      </c>
      <c r="D517" t="inlineStr">
        <is>
          <t>ÖREBRO LÄN</t>
        </is>
      </c>
      <c r="E517" t="inlineStr">
        <is>
          <t>LINDESBERG</t>
        </is>
      </c>
      <c r="G517" t="n">
        <v>2.2</v>
      </c>
      <c r="H517" t="n">
        <v>0</v>
      </c>
      <c r="I517" t="n">
        <v>0</v>
      </c>
      <c r="J517" t="n">
        <v>0</v>
      </c>
      <c r="K517" t="n">
        <v>0</v>
      </c>
      <c r="L517" t="n">
        <v>0</v>
      </c>
      <c r="M517" t="n">
        <v>0</v>
      </c>
      <c r="N517" t="n">
        <v>0</v>
      </c>
      <c r="O517" t="n">
        <v>0</v>
      </c>
      <c r="P517" t="n">
        <v>0</v>
      </c>
      <c r="Q517" t="n">
        <v>0</v>
      </c>
      <c r="R517" s="2" t="inlineStr"/>
    </row>
    <row r="518" ht="15" customHeight="1">
      <c r="A518" t="inlineStr">
        <is>
          <t>A 15094-2025</t>
        </is>
      </c>
      <c r="B518" s="1" t="n">
        <v>45744.32981481482</v>
      </c>
      <c r="C518" s="1" t="n">
        <v>46082</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13969-2025</t>
        </is>
      </c>
      <c r="B519" s="1" t="n">
        <v>45738.43714120371</v>
      </c>
      <c r="C519" s="1" t="n">
        <v>46082</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24352-2023</t>
        </is>
      </c>
      <c r="B520" s="1" t="n">
        <v>45082.31421296296</v>
      </c>
      <c r="C520" s="1" t="n">
        <v>46082</v>
      </c>
      <c r="D520" t="inlineStr">
        <is>
          <t>ÖREBRO LÄN</t>
        </is>
      </c>
      <c r="E520" t="inlineStr">
        <is>
          <t>LINDESBERG</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484-2022</t>
        </is>
      </c>
      <c r="B521" s="1" t="n">
        <v>44566</v>
      </c>
      <c r="C521" s="1" t="n">
        <v>46082</v>
      </c>
      <c r="D521" t="inlineStr">
        <is>
          <t>ÖREBRO LÄN</t>
        </is>
      </c>
      <c r="E521" t="inlineStr">
        <is>
          <t>LINDESBERG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27702-2025</t>
        </is>
      </c>
      <c r="B522" s="1" t="n">
        <v>45813</v>
      </c>
      <c r="C522" s="1" t="n">
        <v>46082</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48867-2025</t>
        </is>
      </c>
      <c r="B523" s="1" t="n">
        <v>45937.4484837963</v>
      </c>
      <c r="C523" s="1" t="n">
        <v>46082</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49133-2025</t>
        </is>
      </c>
      <c r="B524" s="1" t="n">
        <v>45937.92319444445</v>
      </c>
      <c r="C524" s="1" t="n">
        <v>46082</v>
      </c>
      <c r="D524" t="inlineStr">
        <is>
          <t>ÖREBRO LÄN</t>
        </is>
      </c>
      <c r="E524" t="inlineStr">
        <is>
          <t>LINDESBERG</t>
        </is>
      </c>
      <c r="G524" t="n">
        <v>5</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46082</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49707-2025</t>
        </is>
      </c>
      <c r="B526" s="1" t="n">
        <v>45939.67951388889</v>
      </c>
      <c r="C526" s="1" t="n">
        <v>46082</v>
      </c>
      <c r="D526" t="inlineStr">
        <is>
          <t>ÖREBRO LÄN</t>
        </is>
      </c>
      <c r="E526" t="inlineStr">
        <is>
          <t>LINDESBERG</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10823-2023</t>
        </is>
      </c>
      <c r="B527" s="1" t="n">
        <v>44990</v>
      </c>
      <c r="C527" s="1" t="n">
        <v>46082</v>
      </c>
      <c r="D527" t="inlineStr">
        <is>
          <t>ÖREBRO LÄN</t>
        </is>
      </c>
      <c r="E527" t="inlineStr">
        <is>
          <t>LINDESBERG</t>
        </is>
      </c>
      <c r="G527" t="n">
        <v>1.8</v>
      </c>
      <c r="H527" t="n">
        <v>0</v>
      </c>
      <c r="I527" t="n">
        <v>0</v>
      </c>
      <c r="J527" t="n">
        <v>0</v>
      </c>
      <c r="K527" t="n">
        <v>0</v>
      </c>
      <c r="L527" t="n">
        <v>0</v>
      </c>
      <c r="M527" t="n">
        <v>0</v>
      </c>
      <c r="N527" t="n">
        <v>0</v>
      </c>
      <c r="O527" t="n">
        <v>0</v>
      </c>
      <c r="P527" t="n">
        <v>0</v>
      </c>
      <c r="Q527" t="n">
        <v>0</v>
      </c>
      <c r="R527" s="2" t="inlineStr"/>
    </row>
    <row r="528" ht="15" customHeight="1">
      <c r="A528" t="inlineStr">
        <is>
          <t>A 49946-2025</t>
        </is>
      </c>
      <c r="B528" s="1" t="n">
        <v>45940.69862268519</v>
      </c>
      <c r="C528" s="1" t="n">
        <v>46082</v>
      </c>
      <c r="D528" t="inlineStr">
        <is>
          <t>ÖREBRO LÄN</t>
        </is>
      </c>
      <c r="E528" t="inlineStr">
        <is>
          <t>LINDESBERG</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49944-2025</t>
        </is>
      </c>
      <c r="B529" s="1" t="n">
        <v>45940.69643518519</v>
      </c>
      <c r="C529" s="1" t="n">
        <v>46082</v>
      </c>
      <c r="D529" t="inlineStr">
        <is>
          <t>ÖREBRO LÄN</t>
        </is>
      </c>
      <c r="E529" t="inlineStr">
        <is>
          <t>LINDESBERG</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49947-2025</t>
        </is>
      </c>
      <c r="B530" s="1" t="n">
        <v>45940.70018518518</v>
      </c>
      <c r="C530" s="1" t="n">
        <v>46082</v>
      </c>
      <c r="D530" t="inlineStr">
        <is>
          <t>ÖREBRO LÄN</t>
        </is>
      </c>
      <c r="E530" t="inlineStr">
        <is>
          <t>LINDESBERG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49943-2025</t>
        </is>
      </c>
      <c r="B531" s="1" t="n">
        <v>45940.69521990741</v>
      </c>
      <c r="C531" s="1" t="n">
        <v>46082</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58603-2023</t>
        </is>
      </c>
      <c r="B532" s="1" t="n">
        <v>45251</v>
      </c>
      <c r="C532" s="1" t="n">
        <v>46082</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13417-2025</t>
        </is>
      </c>
      <c r="B533" s="1" t="n">
        <v>45736.30940972222</v>
      </c>
      <c r="C533" s="1" t="n">
        <v>46082</v>
      </c>
      <c r="D533" t="inlineStr">
        <is>
          <t>ÖREBRO LÄN</t>
        </is>
      </c>
      <c r="E533" t="inlineStr">
        <is>
          <t>LINDESBERG</t>
        </is>
      </c>
      <c r="G533" t="n">
        <v>2.2</v>
      </c>
      <c r="H533" t="n">
        <v>0</v>
      </c>
      <c r="I533" t="n">
        <v>0</v>
      </c>
      <c r="J533" t="n">
        <v>0</v>
      </c>
      <c r="K533" t="n">
        <v>0</v>
      </c>
      <c r="L533" t="n">
        <v>0</v>
      </c>
      <c r="M533" t="n">
        <v>0</v>
      </c>
      <c r="N533" t="n">
        <v>0</v>
      </c>
      <c r="O533" t="n">
        <v>0</v>
      </c>
      <c r="P533" t="n">
        <v>0</v>
      </c>
      <c r="Q533" t="n">
        <v>0</v>
      </c>
      <c r="R533" s="2" t="inlineStr"/>
    </row>
    <row r="534" ht="15" customHeight="1">
      <c r="A534" t="inlineStr">
        <is>
          <t>A 43066-2021</t>
        </is>
      </c>
      <c r="B534" s="1" t="n">
        <v>44431</v>
      </c>
      <c r="C534" s="1" t="n">
        <v>46082</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23603-2023</t>
        </is>
      </c>
      <c r="B535" s="1" t="n">
        <v>45077</v>
      </c>
      <c r="C535" s="1" t="n">
        <v>46082</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23607-2023</t>
        </is>
      </c>
      <c r="B536" s="1" t="n">
        <v>45077</v>
      </c>
      <c r="C536" s="1" t="n">
        <v>46082</v>
      </c>
      <c r="D536" t="inlineStr">
        <is>
          <t>ÖREBRO LÄN</t>
        </is>
      </c>
      <c r="E536" t="inlineStr">
        <is>
          <t>LINDESBERG</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23612-2023</t>
        </is>
      </c>
      <c r="B537" s="1" t="n">
        <v>45077</v>
      </c>
      <c r="C537" s="1" t="n">
        <v>46082</v>
      </c>
      <c r="D537" t="inlineStr">
        <is>
          <t>ÖREBRO LÄN</t>
        </is>
      </c>
      <c r="E537" t="inlineStr">
        <is>
          <t>LINDESBERG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23102-2023</t>
        </is>
      </c>
      <c r="B538" s="1" t="n">
        <v>45075.44152777778</v>
      </c>
      <c r="C538" s="1" t="n">
        <v>46082</v>
      </c>
      <c r="D538" t="inlineStr">
        <is>
          <t>ÖREBRO LÄN</t>
        </is>
      </c>
      <c r="E538" t="inlineStr">
        <is>
          <t>LINDESBERG</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15212-2025</t>
        </is>
      </c>
      <c r="B539" s="1" t="n">
        <v>45744.57673611111</v>
      </c>
      <c r="C539" s="1" t="n">
        <v>46082</v>
      </c>
      <c r="D539" t="inlineStr">
        <is>
          <t>ÖREBRO LÄN</t>
        </is>
      </c>
      <c r="E539" t="inlineStr">
        <is>
          <t>LINDESBERG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3148-2023</t>
        </is>
      </c>
      <c r="B540" s="1" t="n">
        <v>44946.54424768518</v>
      </c>
      <c r="C540" s="1" t="n">
        <v>46082</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50072-2025</t>
        </is>
      </c>
      <c r="B541" s="1" t="n">
        <v>45943.45966435185</v>
      </c>
      <c r="C541" s="1" t="n">
        <v>46082</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50086-2025</t>
        </is>
      </c>
      <c r="B542" s="1" t="n">
        <v>45943.47649305555</v>
      </c>
      <c r="C542" s="1" t="n">
        <v>46082</v>
      </c>
      <c r="D542" t="inlineStr">
        <is>
          <t>ÖREBRO LÄN</t>
        </is>
      </c>
      <c r="E542" t="inlineStr">
        <is>
          <t>LINDESBERG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50073-2025</t>
        </is>
      </c>
      <c r="B543" s="1" t="n">
        <v>45943.4603125</v>
      </c>
      <c r="C543" s="1" t="n">
        <v>46082</v>
      </c>
      <c r="D543" t="inlineStr">
        <is>
          <t>ÖREBRO LÄN</t>
        </is>
      </c>
      <c r="E543" t="inlineStr">
        <is>
          <t>LINDESBERG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50936-2025</t>
        </is>
      </c>
      <c r="B544" s="1" t="n">
        <v>45946.69616898148</v>
      </c>
      <c r="C544" s="1" t="n">
        <v>46082</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50225-2021</t>
        </is>
      </c>
      <c r="B545" s="1" t="n">
        <v>44457</v>
      </c>
      <c r="C545" s="1" t="n">
        <v>46082</v>
      </c>
      <c r="D545" t="inlineStr">
        <is>
          <t>ÖREBRO LÄN</t>
        </is>
      </c>
      <c r="E545" t="inlineStr">
        <is>
          <t>LINDESBERG</t>
        </is>
      </c>
      <c r="G545" t="n">
        <v>2.5</v>
      </c>
      <c r="H545" t="n">
        <v>0</v>
      </c>
      <c r="I545" t="n">
        <v>0</v>
      </c>
      <c r="J545" t="n">
        <v>0</v>
      </c>
      <c r="K545" t="n">
        <v>0</v>
      </c>
      <c r="L545" t="n">
        <v>0</v>
      </c>
      <c r="M545" t="n">
        <v>0</v>
      </c>
      <c r="N545" t="n">
        <v>0</v>
      </c>
      <c r="O545" t="n">
        <v>0</v>
      </c>
      <c r="P545" t="n">
        <v>0</v>
      </c>
      <c r="Q545" t="n">
        <v>0</v>
      </c>
      <c r="R545" s="2" t="inlineStr"/>
    </row>
    <row r="546" ht="15" customHeight="1">
      <c r="A546" t="inlineStr">
        <is>
          <t>A 50765-2025</t>
        </is>
      </c>
      <c r="B546" s="1" t="n">
        <v>45946.44216435185</v>
      </c>
      <c r="C546" s="1" t="n">
        <v>46082</v>
      </c>
      <c r="D546" t="inlineStr">
        <is>
          <t>ÖREBRO LÄN</t>
        </is>
      </c>
      <c r="E546" t="inlineStr">
        <is>
          <t>LINDESBERG</t>
        </is>
      </c>
      <c r="F546" t="inlineStr">
        <is>
          <t>Sveaskog</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61202-2023</t>
        </is>
      </c>
      <c r="B547" s="1" t="n">
        <v>45264.38084490741</v>
      </c>
      <c r="C547" s="1" t="n">
        <v>46082</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14187-2024</t>
        </is>
      </c>
      <c r="B548" s="1" t="n">
        <v>45393.35787037037</v>
      </c>
      <c r="C548" s="1" t="n">
        <v>46082</v>
      </c>
      <c r="D548" t="inlineStr">
        <is>
          <t>ÖREBRO LÄN</t>
        </is>
      </c>
      <c r="E548" t="inlineStr">
        <is>
          <t>LINDESBERG</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50933-2025</t>
        </is>
      </c>
      <c r="B549" s="1" t="n">
        <v>45946.68859953704</v>
      </c>
      <c r="C549" s="1" t="n">
        <v>46082</v>
      </c>
      <c r="D549" t="inlineStr">
        <is>
          <t>ÖREBRO LÄN</t>
        </is>
      </c>
      <c r="E549" t="inlineStr">
        <is>
          <t>LINDESBERG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195-2022</t>
        </is>
      </c>
      <c r="B550" s="1" t="n">
        <v>44564</v>
      </c>
      <c r="C550" s="1" t="n">
        <v>46082</v>
      </c>
      <c r="D550" t="inlineStr">
        <is>
          <t>ÖREBRO LÄN</t>
        </is>
      </c>
      <c r="E550" t="inlineStr">
        <is>
          <t>LINDESBERG</t>
        </is>
      </c>
      <c r="G550" t="n">
        <v>4.7</v>
      </c>
      <c r="H550" t="n">
        <v>0</v>
      </c>
      <c r="I550" t="n">
        <v>0</v>
      </c>
      <c r="J550" t="n">
        <v>0</v>
      </c>
      <c r="K550" t="n">
        <v>0</v>
      </c>
      <c r="L550" t="n">
        <v>0</v>
      </c>
      <c r="M550" t="n">
        <v>0</v>
      </c>
      <c r="N550" t="n">
        <v>0</v>
      </c>
      <c r="O550" t="n">
        <v>0</v>
      </c>
      <c r="P550" t="n">
        <v>0</v>
      </c>
      <c r="Q550" t="n">
        <v>0</v>
      </c>
      <c r="R550" s="2" t="inlineStr"/>
    </row>
    <row r="551" ht="15" customHeight="1">
      <c r="A551" t="inlineStr">
        <is>
          <t>A 29500-2023</t>
        </is>
      </c>
      <c r="B551" s="1" t="n">
        <v>45106</v>
      </c>
      <c r="C551" s="1" t="n">
        <v>46082</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51030-2025</t>
        </is>
      </c>
      <c r="B552" s="1" t="n">
        <v>45947.40105324074</v>
      </c>
      <c r="C552" s="1" t="n">
        <v>46082</v>
      </c>
      <c r="D552" t="inlineStr">
        <is>
          <t>ÖREBRO LÄN</t>
        </is>
      </c>
      <c r="E552" t="inlineStr">
        <is>
          <t>LINDESBERG</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39140-2024</t>
        </is>
      </c>
      <c r="B553" s="1" t="n">
        <v>45548</v>
      </c>
      <c r="C553" s="1" t="n">
        <v>46082</v>
      </c>
      <c r="D553" t="inlineStr">
        <is>
          <t>ÖREBRO LÄN</t>
        </is>
      </c>
      <c r="E553" t="inlineStr">
        <is>
          <t>LINDESBERG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265-2023</t>
        </is>
      </c>
      <c r="B554" s="1" t="n">
        <v>44928</v>
      </c>
      <c r="C554" s="1" t="n">
        <v>46082</v>
      </c>
      <c r="D554" t="inlineStr">
        <is>
          <t>ÖREBRO LÄN</t>
        </is>
      </c>
      <c r="E554" t="inlineStr">
        <is>
          <t>LINDESBERG</t>
        </is>
      </c>
      <c r="G554" t="n">
        <v>2.4</v>
      </c>
      <c r="H554" t="n">
        <v>0</v>
      </c>
      <c r="I554" t="n">
        <v>0</v>
      </c>
      <c r="J554" t="n">
        <v>0</v>
      </c>
      <c r="K554" t="n">
        <v>0</v>
      </c>
      <c r="L554" t="n">
        <v>0</v>
      </c>
      <c r="M554" t="n">
        <v>0</v>
      </c>
      <c r="N554" t="n">
        <v>0</v>
      </c>
      <c r="O554" t="n">
        <v>0</v>
      </c>
      <c r="P554" t="n">
        <v>0</v>
      </c>
      <c r="Q554" t="n">
        <v>0</v>
      </c>
      <c r="R554" s="2" t="inlineStr"/>
    </row>
    <row r="555" ht="15" customHeight="1">
      <c r="A555" t="inlineStr">
        <is>
          <t>A 41582-2021</t>
        </is>
      </c>
      <c r="B555" s="1" t="n">
        <v>44425.40297453704</v>
      </c>
      <c r="C555" s="1" t="n">
        <v>46082</v>
      </c>
      <c r="D555" t="inlineStr">
        <is>
          <t>ÖREBRO LÄN</t>
        </is>
      </c>
      <c r="E555" t="inlineStr">
        <is>
          <t>LINDESBERG</t>
        </is>
      </c>
      <c r="F555" t="inlineStr">
        <is>
          <t>Sveaskog</t>
        </is>
      </c>
      <c r="G555" t="n">
        <v>5.2</v>
      </c>
      <c r="H555" t="n">
        <v>0</v>
      </c>
      <c r="I555" t="n">
        <v>0</v>
      </c>
      <c r="J555" t="n">
        <v>0</v>
      </c>
      <c r="K555" t="n">
        <v>0</v>
      </c>
      <c r="L555" t="n">
        <v>0</v>
      </c>
      <c r="M555" t="n">
        <v>0</v>
      </c>
      <c r="N555" t="n">
        <v>0</v>
      </c>
      <c r="O555" t="n">
        <v>0</v>
      </c>
      <c r="P555" t="n">
        <v>0</v>
      </c>
      <c r="Q555" t="n">
        <v>0</v>
      </c>
      <c r="R555" s="2" t="inlineStr"/>
    </row>
    <row r="556" ht="15" customHeight="1">
      <c r="A556" t="inlineStr">
        <is>
          <t>A 19392-2025</t>
        </is>
      </c>
      <c r="B556" s="1" t="n">
        <v>45769.66260416667</v>
      </c>
      <c r="C556" s="1" t="n">
        <v>46082</v>
      </c>
      <c r="D556" t="inlineStr">
        <is>
          <t>ÖREBRO LÄN</t>
        </is>
      </c>
      <c r="E556" t="inlineStr">
        <is>
          <t>LINDESBERG</t>
        </is>
      </c>
      <c r="G556" t="n">
        <v>6.5</v>
      </c>
      <c r="H556" t="n">
        <v>0</v>
      </c>
      <c r="I556" t="n">
        <v>0</v>
      </c>
      <c r="J556" t="n">
        <v>0</v>
      </c>
      <c r="K556" t="n">
        <v>0</v>
      </c>
      <c r="L556" t="n">
        <v>0</v>
      </c>
      <c r="M556" t="n">
        <v>0</v>
      </c>
      <c r="N556" t="n">
        <v>0</v>
      </c>
      <c r="O556" t="n">
        <v>0</v>
      </c>
      <c r="P556" t="n">
        <v>0</v>
      </c>
      <c r="Q556" t="n">
        <v>0</v>
      </c>
      <c r="R556" s="2" t="inlineStr"/>
    </row>
    <row r="557" ht="15" customHeight="1">
      <c r="A557" t="inlineStr">
        <is>
          <t>A 51186-2025</t>
        </is>
      </c>
      <c r="B557" s="1" t="n">
        <v>45947.62353009259</v>
      </c>
      <c r="C557" s="1" t="n">
        <v>46082</v>
      </c>
      <c r="D557" t="inlineStr">
        <is>
          <t>ÖREBRO LÄN</t>
        </is>
      </c>
      <c r="E557" t="inlineStr">
        <is>
          <t>LINDESBERG</t>
        </is>
      </c>
      <c r="G557" t="n">
        <v>1</v>
      </c>
      <c r="H557" t="n">
        <v>0</v>
      </c>
      <c r="I557" t="n">
        <v>0</v>
      </c>
      <c r="J557" t="n">
        <v>0</v>
      </c>
      <c r="K557" t="n">
        <v>0</v>
      </c>
      <c r="L557" t="n">
        <v>0</v>
      </c>
      <c r="M557" t="n">
        <v>0</v>
      </c>
      <c r="N557" t="n">
        <v>0</v>
      </c>
      <c r="O557" t="n">
        <v>0</v>
      </c>
      <c r="P557" t="n">
        <v>0</v>
      </c>
      <c r="Q557" t="n">
        <v>0</v>
      </c>
      <c r="R557" s="2" t="inlineStr"/>
    </row>
    <row r="558" ht="15" customHeight="1">
      <c r="A558" t="inlineStr">
        <is>
          <t>A 59052-2023</t>
        </is>
      </c>
      <c r="B558" s="1" t="n">
        <v>45252.78021990741</v>
      </c>
      <c r="C558" s="1" t="n">
        <v>46082</v>
      </c>
      <c r="D558" t="inlineStr">
        <is>
          <t>ÖREBRO LÄN</t>
        </is>
      </c>
      <c r="E558" t="inlineStr">
        <is>
          <t>LINDESBERG</t>
        </is>
      </c>
      <c r="G558" t="n">
        <v>4.2</v>
      </c>
      <c r="H558" t="n">
        <v>0</v>
      </c>
      <c r="I558" t="n">
        <v>0</v>
      </c>
      <c r="J558" t="n">
        <v>0</v>
      </c>
      <c r="K558" t="n">
        <v>0</v>
      </c>
      <c r="L558" t="n">
        <v>0</v>
      </c>
      <c r="M558" t="n">
        <v>0</v>
      </c>
      <c r="N558" t="n">
        <v>0</v>
      </c>
      <c r="O558" t="n">
        <v>0</v>
      </c>
      <c r="P558" t="n">
        <v>0</v>
      </c>
      <c r="Q558" t="n">
        <v>0</v>
      </c>
      <c r="R558" s="2" t="inlineStr"/>
    </row>
    <row r="559" ht="15" customHeight="1">
      <c r="A559" t="inlineStr">
        <is>
          <t>A 6-2023</t>
        </is>
      </c>
      <c r="B559" s="1" t="n">
        <v>44927.72487268518</v>
      </c>
      <c r="C559" s="1" t="n">
        <v>46082</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54864-2024</t>
        </is>
      </c>
      <c r="B560" s="1" t="n">
        <v>45618.59456018519</v>
      </c>
      <c r="C560" s="1" t="n">
        <v>46082</v>
      </c>
      <c r="D560" t="inlineStr">
        <is>
          <t>ÖREBRO LÄN</t>
        </is>
      </c>
      <c r="E560" t="inlineStr">
        <is>
          <t>LINDESBERG</t>
        </is>
      </c>
      <c r="F560" t="inlineStr">
        <is>
          <t>Sveaskog</t>
        </is>
      </c>
      <c r="G560" t="n">
        <v>4.4</v>
      </c>
      <c r="H560" t="n">
        <v>0</v>
      </c>
      <c r="I560" t="n">
        <v>0</v>
      </c>
      <c r="J560" t="n">
        <v>0</v>
      </c>
      <c r="K560" t="n">
        <v>0</v>
      </c>
      <c r="L560" t="n">
        <v>0</v>
      </c>
      <c r="M560" t="n">
        <v>0</v>
      </c>
      <c r="N560" t="n">
        <v>0</v>
      </c>
      <c r="O560" t="n">
        <v>0</v>
      </c>
      <c r="P560" t="n">
        <v>0</v>
      </c>
      <c r="Q560" t="n">
        <v>0</v>
      </c>
      <c r="R560" s="2" t="inlineStr"/>
    </row>
    <row r="561" ht="15" customHeight="1">
      <c r="A561" t="inlineStr">
        <is>
          <t>A 51172-2025</t>
        </is>
      </c>
      <c r="B561" s="1" t="n">
        <v>45947.60508101852</v>
      </c>
      <c r="C561" s="1" t="n">
        <v>46082</v>
      </c>
      <c r="D561" t="inlineStr">
        <is>
          <t>ÖREBRO LÄN</t>
        </is>
      </c>
      <c r="E561" t="inlineStr">
        <is>
          <t>LINDESBERG</t>
        </is>
      </c>
      <c r="F561" t="inlineStr">
        <is>
          <t>Kyrkan</t>
        </is>
      </c>
      <c r="G561" t="n">
        <v>0.9</v>
      </c>
      <c r="H561" t="n">
        <v>0</v>
      </c>
      <c r="I561" t="n">
        <v>0</v>
      </c>
      <c r="J561" t="n">
        <v>0</v>
      </c>
      <c r="K561" t="n">
        <v>0</v>
      </c>
      <c r="L561" t="n">
        <v>0</v>
      </c>
      <c r="M561" t="n">
        <v>0</v>
      </c>
      <c r="N561" t="n">
        <v>0</v>
      </c>
      <c r="O561" t="n">
        <v>0</v>
      </c>
      <c r="P561" t="n">
        <v>0</v>
      </c>
      <c r="Q561" t="n">
        <v>0</v>
      </c>
      <c r="R561" s="2" t="inlineStr"/>
    </row>
    <row r="562" ht="15" customHeight="1">
      <c r="A562" t="inlineStr">
        <is>
          <t>A 52102-2025</t>
        </is>
      </c>
      <c r="B562" s="1" t="n">
        <v>45952.68358796297</v>
      </c>
      <c r="C562" s="1" t="n">
        <v>46082</v>
      </c>
      <c r="D562" t="inlineStr">
        <is>
          <t>ÖREBRO LÄN</t>
        </is>
      </c>
      <c r="E562" t="inlineStr">
        <is>
          <t>LINDESBERG</t>
        </is>
      </c>
      <c r="F562" t="inlineStr">
        <is>
          <t>Sveaskog</t>
        </is>
      </c>
      <c r="G562" t="n">
        <v>2.8</v>
      </c>
      <c r="H562" t="n">
        <v>0</v>
      </c>
      <c r="I562" t="n">
        <v>0</v>
      </c>
      <c r="J562" t="n">
        <v>0</v>
      </c>
      <c r="K562" t="n">
        <v>0</v>
      </c>
      <c r="L562" t="n">
        <v>0</v>
      </c>
      <c r="M562" t="n">
        <v>0</v>
      </c>
      <c r="N562" t="n">
        <v>0</v>
      </c>
      <c r="O562" t="n">
        <v>0</v>
      </c>
      <c r="P562" t="n">
        <v>0</v>
      </c>
      <c r="Q562" t="n">
        <v>0</v>
      </c>
      <c r="R562" s="2" t="inlineStr"/>
    </row>
    <row r="563" ht="15" customHeight="1">
      <c r="A563" t="inlineStr">
        <is>
          <t>A 52117-2025</t>
        </is>
      </c>
      <c r="B563" s="1" t="n">
        <v>45952.70765046297</v>
      </c>
      <c r="C563" s="1" t="n">
        <v>46082</v>
      </c>
      <c r="D563" t="inlineStr">
        <is>
          <t>ÖREBRO LÄN</t>
        </is>
      </c>
      <c r="E563" t="inlineStr">
        <is>
          <t>LINDESBERG</t>
        </is>
      </c>
      <c r="G563" t="n">
        <v>4.6</v>
      </c>
      <c r="H563" t="n">
        <v>0</v>
      </c>
      <c r="I563" t="n">
        <v>0</v>
      </c>
      <c r="J563" t="n">
        <v>0</v>
      </c>
      <c r="K563" t="n">
        <v>0</v>
      </c>
      <c r="L563" t="n">
        <v>0</v>
      </c>
      <c r="M563" t="n">
        <v>0</v>
      </c>
      <c r="N563" t="n">
        <v>0</v>
      </c>
      <c r="O563" t="n">
        <v>0</v>
      </c>
      <c r="P563" t="n">
        <v>0</v>
      </c>
      <c r="Q563" t="n">
        <v>0</v>
      </c>
      <c r="R563" s="2" t="inlineStr"/>
    </row>
    <row r="564" ht="15" customHeight="1">
      <c r="A564" t="inlineStr">
        <is>
          <t>A 52098-2025</t>
        </is>
      </c>
      <c r="B564" s="1" t="n">
        <v>45952.68001157408</v>
      </c>
      <c r="C564" s="1" t="n">
        <v>46082</v>
      </c>
      <c r="D564" t="inlineStr">
        <is>
          <t>ÖREBRO LÄN</t>
        </is>
      </c>
      <c r="E564" t="inlineStr">
        <is>
          <t>LINDESBERG</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52103-2025</t>
        </is>
      </c>
      <c r="B565" s="1" t="n">
        <v>45952.68439814815</v>
      </c>
      <c r="C565" s="1" t="n">
        <v>46082</v>
      </c>
      <c r="D565" t="inlineStr">
        <is>
          <t>ÖREBRO LÄN</t>
        </is>
      </c>
      <c r="E565" t="inlineStr">
        <is>
          <t>LINDESBERG</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52101-2025</t>
        </is>
      </c>
      <c r="B566" s="1" t="n">
        <v>45952.68271990741</v>
      </c>
      <c r="C566" s="1" t="n">
        <v>46082</v>
      </c>
      <c r="D566" t="inlineStr">
        <is>
          <t>ÖREBRO LÄN</t>
        </is>
      </c>
      <c r="E566" t="inlineStr">
        <is>
          <t>LINDESBERG</t>
        </is>
      </c>
      <c r="F566" t="inlineStr">
        <is>
          <t>Sveaskog</t>
        </is>
      </c>
      <c r="G566" t="n">
        <v>10.9</v>
      </c>
      <c r="H566" t="n">
        <v>0</v>
      </c>
      <c r="I566" t="n">
        <v>0</v>
      </c>
      <c r="J566" t="n">
        <v>0</v>
      </c>
      <c r="K566" t="n">
        <v>0</v>
      </c>
      <c r="L566" t="n">
        <v>0</v>
      </c>
      <c r="M566" t="n">
        <v>0</v>
      </c>
      <c r="N566" t="n">
        <v>0</v>
      </c>
      <c r="O566" t="n">
        <v>0</v>
      </c>
      <c r="P566" t="n">
        <v>0</v>
      </c>
      <c r="Q566" t="n">
        <v>0</v>
      </c>
      <c r="R566" s="2" t="inlineStr"/>
    </row>
    <row r="567" ht="15" customHeight="1">
      <c r="A567" t="inlineStr">
        <is>
          <t>A 52104-2025</t>
        </is>
      </c>
      <c r="B567" s="1" t="n">
        <v>45952.68524305556</v>
      </c>
      <c r="C567" s="1" t="n">
        <v>46082</v>
      </c>
      <c r="D567" t="inlineStr">
        <is>
          <t>ÖREBRO LÄN</t>
        </is>
      </c>
      <c r="E567" t="inlineStr">
        <is>
          <t>LINDESBERG</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46082</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15899-2025</t>
        </is>
      </c>
      <c r="B569" s="1" t="n">
        <v>45749.42258101852</v>
      </c>
      <c r="C569" s="1" t="n">
        <v>46082</v>
      </c>
      <c r="D569" t="inlineStr">
        <is>
          <t>ÖREBRO LÄN</t>
        </is>
      </c>
      <c r="E569" t="inlineStr">
        <is>
          <t>LINDESBERG</t>
        </is>
      </c>
      <c r="G569" t="n">
        <v>6.6</v>
      </c>
      <c r="H569" t="n">
        <v>0</v>
      </c>
      <c r="I569" t="n">
        <v>0</v>
      </c>
      <c r="J569" t="n">
        <v>0</v>
      </c>
      <c r="K569" t="n">
        <v>0</v>
      </c>
      <c r="L569" t="n">
        <v>0</v>
      </c>
      <c r="M569" t="n">
        <v>0</v>
      </c>
      <c r="N569" t="n">
        <v>0</v>
      </c>
      <c r="O569" t="n">
        <v>0</v>
      </c>
      <c r="P569" t="n">
        <v>0</v>
      </c>
      <c r="Q569" t="n">
        <v>0</v>
      </c>
      <c r="R569" s="2" t="inlineStr"/>
    </row>
    <row r="570" ht="15" customHeight="1">
      <c r="A570" t="inlineStr">
        <is>
          <t>A 52401-2025</t>
        </is>
      </c>
      <c r="B570" s="1" t="n">
        <v>45954.35075231481</v>
      </c>
      <c r="C570" s="1" t="n">
        <v>46082</v>
      </c>
      <c r="D570" t="inlineStr">
        <is>
          <t>ÖREBRO LÄN</t>
        </is>
      </c>
      <c r="E570" t="inlineStr">
        <is>
          <t>LINDESBERG</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50275-2024</t>
        </is>
      </c>
      <c r="B571" s="1" t="n">
        <v>45600.60071759259</v>
      </c>
      <c r="C571" s="1" t="n">
        <v>46082</v>
      </c>
      <c r="D571" t="inlineStr">
        <is>
          <t>ÖREBRO LÄN</t>
        </is>
      </c>
      <c r="E571" t="inlineStr">
        <is>
          <t>LINDESBERG</t>
        </is>
      </c>
      <c r="G571" t="n">
        <v>4.3</v>
      </c>
      <c r="H571" t="n">
        <v>0</v>
      </c>
      <c r="I571" t="n">
        <v>0</v>
      </c>
      <c r="J571" t="n">
        <v>0</v>
      </c>
      <c r="K571" t="n">
        <v>0</v>
      </c>
      <c r="L571" t="n">
        <v>0</v>
      </c>
      <c r="M571" t="n">
        <v>0</v>
      </c>
      <c r="N571" t="n">
        <v>0</v>
      </c>
      <c r="O571" t="n">
        <v>0</v>
      </c>
      <c r="P571" t="n">
        <v>0</v>
      </c>
      <c r="Q571" t="n">
        <v>0</v>
      </c>
      <c r="R571" s="2" t="inlineStr"/>
    </row>
    <row r="572" ht="15" customHeight="1">
      <c r="A572" t="inlineStr">
        <is>
          <t>A 7992-2025</t>
        </is>
      </c>
      <c r="B572" s="1" t="n">
        <v>45707</v>
      </c>
      <c r="C572" s="1" t="n">
        <v>46082</v>
      </c>
      <c r="D572" t="inlineStr">
        <is>
          <t>ÖREBRO LÄN</t>
        </is>
      </c>
      <c r="E572" t="inlineStr">
        <is>
          <t>LINDESBERG</t>
        </is>
      </c>
      <c r="G572" t="n">
        <v>4.8</v>
      </c>
      <c r="H572" t="n">
        <v>0</v>
      </c>
      <c r="I572" t="n">
        <v>0</v>
      </c>
      <c r="J572" t="n">
        <v>0</v>
      </c>
      <c r="K572" t="n">
        <v>0</v>
      </c>
      <c r="L572" t="n">
        <v>0</v>
      </c>
      <c r="M572" t="n">
        <v>0</v>
      </c>
      <c r="N572" t="n">
        <v>0</v>
      </c>
      <c r="O572" t="n">
        <v>0</v>
      </c>
      <c r="P572" t="n">
        <v>0</v>
      </c>
      <c r="Q572" t="n">
        <v>0</v>
      </c>
      <c r="R572" s="2" t="inlineStr"/>
    </row>
    <row r="573" ht="15" customHeight="1">
      <c r="A573" t="inlineStr">
        <is>
          <t>A 52298-2025</t>
        </is>
      </c>
      <c r="B573" s="1" t="n">
        <v>45953.61387731481</v>
      </c>
      <c r="C573" s="1" t="n">
        <v>46082</v>
      </c>
      <c r="D573" t="inlineStr">
        <is>
          <t>ÖREBRO LÄN</t>
        </is>
      </c>
      <c r="E573" t="inlineStr">
        <is>
          <t>LINDESBERG</t>
        </is>
      </c>
      <c r="G573" t="n">
        <v>18.2</v>
      </c>
      <c r="H573" t="n">
        <v>0</v>
      </c>
      <c r="I573" t="n">
        <v>0</v>
      </c>
      <c r="J573" t="n">
        <v>0</v>
      </c>
      <c r="K573" t="n">
        <v>0</v>
      </c>
      <c r="L573" t="n">
        <v>0</v>
      </c>
      <c r="M573" t="n">
        <v>0</v>
      </c>
      <c r="N573" t="n">
        <v>0</v>
      </c>
      <c r="O573" t="n">
        <v>0</v>
      </c>
      <c r="P573" t="n">
        <v>0</v>
      </c>
      <c r="Q573" t="n">
        <v>0</v>
      </c>
      <c r="R573" s="2" t="inlineStr"/>
    </row>
    <row r="574" ht="15" customHeight="1">
      <c r="A574" t="inlineStr">
        <is>
          <t>A 3294-2024</t>
        </is>
      </c>
      <c r="B574" s="1" t="n">
        <v>45316</v>
      </c>
      <c r="C574" s="1" t="n">
        <v>46082</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52730-2025</t>
        </is>
      </c>
      <c r="B575" s="1" t="n">
        <v>45957.36386574074</v>
      </c>
      <c r="C575" s="1" t="n">
        <v>46082</v>
      </c>
      <c r="D575" t="inlineStr">
        <is>
          <t>ÖREBRO LÄN</t>
        </is>
      </c>
      <c r="E575" t="inlineStr">
        <is>
          <t>LINDESBERG</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41947-2023</t>
        </is>
      </c>
      <c r="B576" s="1" t="n">
        <v>45177.31795138889</v>
      </c>
      <c r="C576" s="1" t="n">
        <v>46082</v>
      </c>
      <c r="D576" t="inlineStr">
        <is>
          <t>ÖREBRO LÄN</t>
        </is>
      </c>
      <c r="E576" t="inlineStr">
        <is>
          <t>LINDESBERG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16447-2025</t>
        </is>
      </c>
      <c r="B577" s="1" t="n">
        <v>45751.50498842593</v>
      </c>
      <c r="C577" s="1" t="n">
        <v>46082</v>
      </c>
      <c r="D577" t="inlineStr">
        <is>
          <t>ÖREBRO LÄN</t>
        </is>
      </c>
      <c r="E577" t="inlineStr">
        <is>
          <t>LINDESBERG</t>
        </is>
      </c>
      <c r="G577" t="n">
        <v>2</v>
      </c>
      <c r="H577" t="n">
        <v>0</v>
      </c>
      <c r="I577" t="n">
        <v>0</v>
      </c>
      <c r="J577" t="n">
        <v>0</v>
      </c>
      <c r="K577" t="n">
        <v>0</v>
      </c>
      <c r="L577" t="n">
        <v>0</v>
      </c>
      <c r="M577" t="n">
        <v>0</v>
      </c>
      <c r="N577" t="n">
        <v>0</v>
      </c>
      <c r="O577" t="n">
        <v>0</v>
      </c>
      <c r="P577" t="n">
        <v>0</v>
      </c>
      <c r="Q577" t="n">
        <v>0</v>
      </c>
      <c r="R577" s="2" t="inlineStr"/>
    </row>
    <row r="578" ht="15" customHeight="1">
      <c r="A578" t="inlineStr">
        <is>
          <t>A 29975-2023</t>
        </is>
      </c>
      <c r="B578" s="1" t="n">
        <v>45108.7553587963</v>
      </c>
      <c r="C578" s="1" t="n">
        <v>46082</v>
      </c>
      <c r="D578" t="inlineStr">
        <is>
          <t>ÖREBRO LÄN</t>
        </is>
      </c>
      <c r="E578" t="inlineStr">
        <is>
          <t>LINDESBERG</t>
        </is>
      </c>
      <c r="G578" t="n">
        <v>6.4</v>
      </c>
      <c r="H578" t="n">
        <v>0</v>
      </c>
      <c r="I578" t="n">
        <v>0</v>
      </c>
      <c r="J578" t="n">
        <v>0</v>
      </c>
      <c r="K578" t="n">
        <v>0</v>
      </c>
      <c r="L578" t="n">
        <v>0</v>
      </c>
      <c r="M578" t="n">
        <v>0</v>
      </c>
      <c r="N578" t="n">
        <v>0</v>
      </c>
      <c r="O578" t="n">
        <v>0</v>
      </c>
      <c r="P578" t="n">
        <v>0</v>
      </c>
      <c r="Q578" t="n">
        <v>0</v>
      </c>
      <c r="R578" s="2" t="inlineStr"/>
    </row>
    <row r="579" ht="15" customHeight="1">
      <c r="A579" t="inlineStr">
        <is>
          <t>A 16448-2025</t>
        </is>
      </c>
      <c r="B579" s="1" t="n">
        <v>45751.5056712963</v>
      </c>
      <c r="C579" s="1" t="n">
        <v>46082</v>
      </c>
      <c r="D579" t="inlineStr">
        <is>
          <t>ÖREBRO LÄN</t>
        </is>
      </c>
      <c r="E579" t="inlineStr">
        <is>
          <t>LINDESBERG</t>
        </is>
      </c>
      <c r="G579" t="n">
        <v>20.1</v>
      </c>
      <c r="H579" t="n">
        <v>0</v>
      </c>
      <c r="I579" t="n">
        <v>0</v>
      </c>
      <c r="J579" t="n">
        <v>0</v>
      </c>
      <c r="K579" t="n">
        <v>0</v>
      </c>
      <c r="L579" t="n">
        <v>0</v>
      </c>
      <c r="M579" t="n">
        <v>0</v>
      </c>
      <c r="N579" t="n">
        <v>0</v>
      </c>
      <c r="O579" t="n">
        <v>0</v>
      </c>
      <c r="P579" t="n">
        <v>0</v>
      </c>
      <c r="Q579" t="n">
        <v>0</v>
      </c>
      <c r="R579" s="2" t="inlineStr"/>
    </row>
    <row r="580" ht="15" customHeight="1">
      <c r="A580" t="inlineStr">
        <is>
          <t>A 7126-2025</t>
        </is>
      </c>
      <c r="B580" s="1" t="n">
        <v>45702</v>
      </c>
      <c r="C580" s="1" t="n">
        <v>46082</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53187-2025</t>
        </is>
      </c>
      <c r="B581" s="1" t="n">
        <v>45958.55577546296</v>
      </c>
      <c r="C581" s="1" t="n">
        <v>46082</v>
      </c>
      <c r="D581" t="inlineStr">
        <is>
          <t>ÖREBRO LÄN</t>
        </is>
      </c>
      <c r="E581" t="inlineStr">
        <is>
          <t>LINDESBERG</t>
        </is>
      </c>
      <c r="F581" t="inlineStr">
        <is>
          <t>Kommuner</t>
        </is>
      </c>
      <c r="G581" t="n">
        <v>2.7</v>
      </c>
      <c r="H581" t="n">
        <v>0</v>
      </c>
      <c r="I581" t="n">
        <v>0</v>
      </c>
      <c r="J581" t="n">
        <v>0</v>
      </c>
      <c r="K581" t="n">
        <v>0</v>
      </c>
      <c r="L581" t="n">
        <v>0</v>
      </c>
      <c r="M581" t="n">
        <v>0</v>
      </c>
      <c r="N581" t="n">
        <v>0</v>
      </c>
      <c r="O581" t="n">
        <v>0</v>
      </c>
      <c r="P581" t="n">
        <v>0</v>
      </c>
      <c r="Q581" t="n">
        <v>0</v>
      </c>
      <c r="R581" s="2" t="inlineStr"/>
    </row>
    <row r="582" ht="15" customHeight="1">
      <c r="A582" t="inlineStr">
        <is>
          <t>A 52402-2025</t>
        </is>
      </c>
      <c r="B582" s="1" t="n">
        <v>45954.35387731482</v>
      </c>
      <c r="C582" s="1" t="n">
        <v>46082</v>
      </c>
      <c r="D582" t="inlineStr">
        <is>
          <t>ÖREBRO LÄN</t>
        </is>
      </c>
      <c r="E582" t="inlineStr">
        <is>
          <t>LINDESBERG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40085-2023</t>
        </is>
      </c>
      <c r="B583" s="1" t="n">
        <v>45168.92155092592</v>
      </c>
      <c r="C583" s="1" t="n">
        <v>46082</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28470-2023</t>
        </is>
      </c>
      <c r="B584" s="1" t="n">
        <v>45103</v>
      </c>
      <c r="C584" s="1" t="n">
        <v>46082</v>
      </c>
      <c r="D584" t="inlineStr">
        <is>
          <t>ÖREBRO LÄN</t>
        </is>
      </c>
      <c r="E584" t="inlineStr">
        <is>
          <t>LINDESBERG</t>
        </is>
      </c>
      <c r="G584" t="n">
        <v>6.7</v>
      </c>
      <c r="H584" t="n">
        <v>0</v>
      </c>
      <c r="I584" t="n">
        <v>0</v>
      </c>
      <c r="J584" t="n">
        <v>0</v>
      </c>
      <c r="K584" t="n">
        <v>0</v>
      </c>
      <c r="L584" t="n">
        <v>0</v>
      </c>
      <c r="M584" t="n">
        <v>0</v>
      </c>
      <c r="N584" t="n">
        <v>0</v>
      </c>
      <c r="O584" t="n">
        <v>0</v>
      </c>
      <c r="P584" t="n">
        <v>0</v>
      </c>
      <c r="Q584" t="n">
        <v>0</v>
      </c>
      <c r="R584" s="2" t="inlineStr"/>
    </row>
    <row r="585" ht="15" customHeight="1">
      <c r="A585" t="inlineStr">
        <is>
          <t>A 32002-2023</t>
        </is>
      </c>
      <c r="B585" s="1" t="n">
        <v>45119.46452546296</v>
      </c>
      <c r="C585" s="1" t="n">
        <v>46082</v>
      </c>
      <c r="D585" t="inlineStr">
        <is>
          <t>ÖREBRO LÄN</t>
        </is>
      </c>
      <c r="E585" t="inlineStr">
        <is>
          <t>LINDESBERG</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29849-2023</t>
        </is>
      </c>
      <c r="B586" s="1" t="n">
        <v>45107</v>
      </c>
      <c r="C586" s="1" t="n">
        <v>46082</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53723-2025</t>
        </is>
      </c>
      <c r="B587" s="1" t="n">
        <v>45960.62986111111</v>
      </c>
      <c r="C587" s="1" t="n">
        <v>46082</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5784-2025</t>
        </is>
      </c>
      <c r="B588" s="1" t="n">
        <v>45694</v>
      </c>
      <c r="C588" s="1" t="n">
        <v>46082</v>
      </c>
      <c r="D588" t="inlineStr">
        <is>
          <t>ÖREBRO LÄN</t>
        </is>
      </c>
      <c r="E588" t="inlineStr">
        <is>
          <t>LINDESBERG</t>
        </is>
      </c>
      <c r="F588" t="inlineStr">
        <is>
          <t>Allmännings- och besparingsskogar</t>
        </is>
      </c>
      <c r="G588" t="n">
        <v>1.6</v>
      </c>
      <c r="H588" t="n">
        <v>0</v>
      </c>
      <c r="I588" t="n">
        <v>0</v>
      </c>
      <c r="J588" t="n">
        <v>0</v>
      </c>
      <c r="K588" t="n">
        <v>0</v>
      </c>
      <c r="L588" t="n">
        <v>0</v>
      </c>
      <c r="M588" t="n">
        <v>0</v>
      </c>
      <c r="N588" t="n">
        <v>0</v>
      </c>
      <c r="O588" t="n">
        <v>0</v>
      </c>
      <c r="P588" t="n">
        <v>0</v>
      </c>
      <c r="Q588" t="n">
        <v>0</v>
      </c>
      <c r="R588" s="2" t="inlineStr"/>
    </row>
    <row r="589" ht="15" customHeight="1">
      <c r="A589" t="inlineStr">
        <is>
          <t>A 53288-2025</t>
        </is>
      </c>
      <c r="B589" s="1" t="n">
        <v>45958.79287037037</v>
      </c>
      <c r="C589" s="1" t="n">
        <v>46082</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53721-2025</t>
        </is>
      </c>
      <c r="B590" s="1" t="n">
        <v>45960</v>
      </c>
      <c r="C590" s="1" t="n">
        <v>46082</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54070-2025</t>
        </is>
      </c>
      <c r="B591" s="1" t="n">
        <v>45964.34680555556</v>
      </c>
      <c r="C591" s="1" t="n">
        <v>46082</v>
      </c>
      <c r="D591" t="inlineStr">
        <is>
          <t>ÖREBRO LÄN</t>
        </is>
      </c>
      <c r="E591" t="inlineStr">
        <is>
          <t>LINDESBERG</t>
        </is>
      </c>
      <c r="G591" t="n">
        <v>0.5</v>
      </c>
      <c r="H591" t="n">
        <v>0</v>
      </c>
      <c r="I591" t="n">
        <v>0</v>
      </c>
      <c r="J591" t="n">
        <v>0</v>
      </c>
      <c r="K591" t="n">
        <v>0</v>
      </c>
      <c r="L591" t="n">
        <v>0</v>
      </c>
      <c r="M591" t="n">
        <v>0</v>
      </c>
      <c r="N591" t="n">
        <v>0</v>
      </c>
      <c r="O591" t="n">
        <v>0</v>
      </c>
      <c r="P591" t="n">
        <v>0</v>
      </c>
      <c r="Q591" t="n">
        <v>0</v>
      </c>
      <c r="R591" s="2" t="inlineStr"/>
    </row>
    <row r="592" ht="15" customHeight="1">
      <c r="A592" t="inlineStr">
        <is>
          <t>A 54250-2025</t>
        </is>
      </c>
      <c r="B592" s="1" t="n">
        <v>45964.64709490741</v>
      </c>
      <c r="C592" s="1" t="n">
        <v>46082</v>
      </c>
      <c r="D592" t="inlineStr">
        <is>
          <t>ÖREBRO LÄN</t>
        </is>
      </c>
      <c r="E592" t="inlineStr">
        <is>
          <t>LINDESBERG</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54251-2025</t>
        </is>
      </c>
      <c r="B593" s="1" t="n">
        <v>45964.64778935185</v>
      </c>
      <c r="C593" s="1" t="n">
        <v>46082</v>
      </c>
      <c r="D593" t="inlineStr">
        <is>
          <t>ÖREBRO LÄN</t>
        </is>
      </c>
      <c r="E593" t="inlineStr">
        <is>
          <t>LINDESBERG</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54240-2025</t>
        </is>
      </c>
      <c r="B594" s="1" t="n">
        <v>45964.62796296296</v>
      </c>
      <c r="C594" s="1" t="n">
        <v>46082</v>
      </c>
      <c r="D594" t="inlineStr">
        <is>
          <t>ÖREBRO LÄN</t>
        </is>
      </c>
      <c r="E594" t="inlineStr">
        <is>
          <t>LINDESBERG</t>
        </is>
      </c>
      <c r="G594" t="n">
        <v>3.9</v>
      </c>
      <c r="H594" t="n">
        <v>0</v>
      </c>
      <c r="I594" t="n">
        <v>0</v>
      </c>
      <c r="J594" t="n">
        <v>0</v>
      </c>
      <c r="K594" t="n">
        <v>0</v>
      </c>
      <c r="L594" t="n">
        <v>0</v>
      </c>
      <c r="M594" t="n">
        <v>0</v>
      </c>
      <c r="N594" t="n">
        <v>0</v>
      </c>
      <c r="O594" t="n">
        <v>0</v>
      </c>
      <c r="P594" t="n">
        <v>0</v>
      </c>
      <c r="Q594" t="n">
        <v>0</v>
      </c>
      <c r="R594" s="2" t="inlineStr"/>
    </row>
    <row r="595" ht="15" customHeight="1">
      <c r="A595" t="inlineStr">
        <is>
          <t>A 54072-2025</t>
        </is>
      </c>
      <c r="B595" s="1" t="n">
        <v>45964.3550925926</v>
      </c>
      <c r="C595" s="1" t="n">
        <v>46082</v>
      </c>
      <c r="D595" t="inlineStr">
        <is>
          <t>ÖREBRO LÄN</t>
        </is>
      </c>
      <c r="E595" t="inlineStr">
        <is>
          <t>LINDESBERG</t>
        </is>
      </c>
      <c r="G595" t="n">
        <v>1.3</v>
      </c>
      <c r="H595" t="n">
        <v>0</v>
      </c>
      <c r="I595" t="n">
        <v>0</v>
      </c>
      <c r="J595" t="n">
        <v>0</v>
      </c>
      <c r="K595" t="n">
        <v>0</v>
      </c>
      <c r="L595" t="n">
        <v>0</v>
      </c>
      <c r="M595" t="n">
        <v>0</v>
      </c>
      <c r="N595" t="n">
        <v>0</v>
      </c>
      <c r="O595" t="n">
        <v>0</v>
      </c>
      <c r="P595" t="n">
        <v>0</v>
      </c>
      <c r="Q595" t="n">
        <v>0</v>
      </c>
      <c r="R595" s="2" t="inlineStr"/>
    </row>
    <row r="596" ht="15" customHeight="1">
      <c r="A596" t="inlineStr">
        <is>
          <t>A 54249-2025</t>
        </is>
      </c>
      <c r="B596" s="1" t="n">
        <v>45964.64599537037</v>
      </c>
      <c r="C596" s="1" t="n">
        <v>46082</v>
      </c>
      <c r="D596" t="inlineStr">
        <is>
          <t>ÖREBRO LÄN</t>
        </is>
      </c>
      <c r="E596" t="inlineStr">
        <is>
          <t>LINDESBERG</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69208-2021</t>
        </is>
      </c>
      <c r="B597" s="1" t="n">
        <v>44531.3575</v>
      </c>
      <c r="C597" s="1" t="n">
        <v>46082</v>
      </c>
      <c r="D597" t="inlineStr">
        <is>
          <t>ÖREBRO LÄN</t>
        </is>
      </c>
      <c r="E597" t="inlineStr">
        <is>
          <t>LINDESBERG</t>
        </is>
      </c>
      <c r="G597" t="n">
        <v>2</v>
      </c>
      <c r="H597" t="n">
        <v>0</v>
      </c>
      <c r="I597" t="n">
        <v>0</v>
      </c>
      <c r="J597" t="n">
        <v>0</v>
      </c>
      <c r="K597" t="n">
        <v>0</v>
      </c>
      <c r="L597" t="n">
        <v>0</v>
      </c>
      <c r="M597" t="n">
        <v>0</v>
      </c>
      <c r="N597" t="n">
        <v>0</v>
      </c>
      <c r="O597" t="n">
        <v>0</v>
      </c>
      <c r="P597" t="n">
        <v>0</v>
      </c>
      <c r="Q597" t="n">
        <v>0</v>
      </c>
      <c r="R597" s="2" t="inlineStr"/>
    </row>
    <row r="598" ht="15" customHeight="1">
      <c r="A598" t="inlineStr">
        <is>
          <t>A 45038-2024</t>
        </is>
      </c>
      <c r="B598" s="1" t="n">
        <v>45575.53331018519</v>
      </c>
      <c r="C598" s="1" t="n">
        <v>46082</v>
      </c>
      <c r="D598" t="inlineStr">
        <is>
          <t>ÖREBRO LÄN</t>
        </is>
      </c>
      <c r="E598" t="inlineStr">
        <is>
          <t>LINDESBERG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45046-2024</t>
        </is>
      </c>
      <c r="B599" s="1" t="n">
        <v>45575.54489583334</v>
      </c>
      <c r="C599" s="1" t="n">
        <v>46082</v>
      </c>
      <c r="D599" t="inlineStr">
        <is>
          <t>ÖREBRO LÄN</t>
        </is>
      </c>
      <c r="E599" t="inlineStr">
        <is>
          <t>LINDESBERG</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55255-2025</t>
        </is>
      </c>
      <c r="B600" s="1" t="n">
        <v>45968.63695601852</v>
      </c>
      <c r="C600" s="1" t="n">
        <v>46082</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38552-2023</t>
        </is>
      </c>
      <c r="B601" s="1" t="n">
        <v>45162.5978125</v>
      </c>
      <c r="C601" s="1" t="n">
        <v>46082</v>
      </c>
      <c r="D601" t="inlineStr">
        <is>
          <t>ÖREBRO LÄN</t>
        </is>
      </c>
      <c r="E601" t="inlineStr">
        <is>
          <t>LINDESBERG</t>
        </is>
      </c>
      <c r="G601" t="n">
        <v>10.4</v>
      </c>
      <c r="H601" t="n">
        <v>0</v>
      </c>
      <c r="I601" t="n">
        <v>0</v>
      </c>
      <c r="J601" t="n">
        <v>0</v>
      </c>
      <c r="K601" t="n">
        <v>0</v>
      </c>
      <c r="L601" t="n">
        <v>0</v>
      </c>
      <c r="M601" t="n">
        <v>0</v>
      </c>
      <c r="N601" t="n">
        <v>0</v>
      </c>
      <c r="O601" t="n">
        <v>0</v>
      </c>
      <c r="P601" t="n">
        <v>0</v>
      </c>
      <c r="Q601" t="n">
        <v>0</v>
      </c>
      <c r="R601" s="2" t="inlineStr"/>
    </row>
    <row r="602" ht="15" customHeight="1">
      <c r="A602" t="inlineStr">
        <is>
          <t>A 64084-2023</t>
        </is>
      </c>
      <c r="B602" s="1" t="n">
        <v>45279</v>
      </c>
      <c r="C602" s="1" t="n">
        <v>46082</v>
      </c>
      <c r="D602" t="inlineStr">
        <is>
          <t>ÖREBRO LÄN</t>
        </is>
      </c>
      <c r="E602" t="inlineStr">
        <is>
          <t>LINDESBERG</t>
        </is>
      </c>
      <c r="G602" t="n">
        <v>2.1</v>
      </c>
      <c r="H602" t="n">
        <v>0</v>
      </c>
      <c r="I602" t="n">
        <v>0</v>
      </c>
      <c r="J602" t="n">
        <v>0</v>
      </c>
      <c r="K602" t="n">
        <v>0</v>
      </c>
      <c r="L602" t="n">
        <v>0</v>
      </c>
      <c r="M602" t="n">
        <v>0</v>
      </c>
      <c r="N602" t="n">
        <v>0</v>
      </c>
      <c r="O602" t="n">
        <v>0</v>
      </c>
      <c r="P602" t="n">
        <v>0</v>
      </c>
      <c r="Q602" t="n">
        <v>0</v>
      </c>
      <c r="R602" s="2" t="inlineStr"/>
    </row>
    <row r="603" ht="15" customHeight="1">
      <c r="A603" t="inlineStr">
        <is>
          <t>A 33424-2024</t>
        </is>
      </c>
      <c r="B603" s="1" t="n">
        <v>45519.51627314815</v>
      </c>
      <c r="C603" s="1" t="n">
        <v>46082</v>
      </c>
      <c r="D603" t="inlineStr">
        <is>
          <t>ÖREBRO LÄN</t>
        </is>
      </c>
      <c r="E603" t="inlineStr">
        <is>
          <t>LINDESBERG</t>
        </is>
      </c>
      <c r="F603" t="inlineStr">
        <is>
          <t>Sveaskog</t>
        </is>
      </c>
      <c r="G603" t="n">
        <v>0.1</v>
      </c>
      <c r="H603" t="n">
        <v>0</v>
      </c>
      <c r="I603" t="n">
        <v>0</v>
      </c>
      <c r="J603" t="n">
        <v>0</v>
      </c>
      <c r="K603" t="n">
        <v>0</v>
      </c>
      <c r="L603" t="n">
        <v>0</v>
      </c>
      <c r="M603" t="n">
        <v>0</v>
      </c>
      <c r="N603" t="n">
        <v>0</v>
      </c>
      <c r="O603" t="n">
        <v>0</v>
      </c>
      <c r="P603" t="n">
        <v>0</v>
      </c>
      <c r="Q603" t="n">
        <v>0</v>
      </c>
      <c r="R603" s="2" t="inlineStr"/>
    </row>
    <row r="604" ht="15" customHeight="1">
      <c r="A604" t="inlineStr">
        <is>
          <t>A 33427-2024</t>
        </is>
      </c>
      <c r="B604" s="1" t="n">
        <v>45519.52232638889</v>
      </c>
      <c r="C604" s="1" t="n">
        <v>46082</v>
      </c>
      <c r="D604" t="inlineStr">
        <is>
          <t>ÖREBRO LÄN</t>
        </is>
      </c>
      <c r="E604" t="inlineStr">
        <is>
          <t>LINDESBERG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36509-2024</t>
        </is>
      </c>
      <c r="B605" s="1" t="n">
        <v>45537.42240740741</v>
      </c>
      <c r="C605" s="1" t="n">
        <v>46082</v>
      </c>
      <c r="D605" t="inlineStr">
        <is>
          <t>ÖREBRO LÄN</t>
        </is>
      </c>
      <c r="E605" t="inlineStr">
        <is>
          <t>LINDESBERG</t>
        </is>
      </c>
      <c r="G605" t="n">
        <v>1.5</v>
      </c>
      <c r="H605" t="n">
        <v>0</v>
      </c>
      <c r="I605" t="n">
        <v>0</v>
      </c>
      <c r="J605" t="n">
        <v>0</v>
      </c>
      <c r="K605" t="n">
        <v>0</v>
      </c>
      <c r="L605" t="n">
        <v>0</v>
      </c>
      <c r="M605" t="n">
        <v>0</v>
      </c>
      <c r="N605" t="n">
        <v>0</v>
      </c>
      <c r="O605" t="n">
        <v>0</v>
      </c>
      <c r="P605" t="n">
        <v>0</v>
      </c>
      <c r="Q605" t="n">
        <v>0</v>
      </c>
      <c r="R605" s="2" t="inlineStr"/>
    </row>
    <row r="606" ht="15" customHeight="1">
      <c r="A606" t="inlineStr">
        <is>
          <t>A 29894-2023</t>
        </is>
      </c>
      <c r="B606" s="1" t="n">
        <v>45107</v>
      </c>
      <c r="C606" s="1" t="n">
        <v>46082</v>
      </c>
      <c r="D606" t="inlineStr">
        <is>
          <t>ÖREBRO LÄN</t>
        </is>
      </c>
      <c r="E606" t="inlineStr">
        <is>
          <t>LINDESBERG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55065-2025</t>
        </is>
      </c>
      <c r="B607" s="1" t="n">
        <v>45967.7096875</v>
      </c>
      <c r="C607" s="1" t="n">
        <v>46082</v>
      </c>
      <c r="D607" t="inlineStr">
        <is>
          <t>ÖREBRO LÄN</t>
        </is>
      </c>
      <c r="E607" t="inlineStr">
        <is>
          <t>LINDESBERG</t>
        </is>
      </c>
      <c r="G607" t="n">
        <v>3.5</v>
      </c>
      <c r="H607" t="n">
        <v>0</v>
      </c>
      <c r="I607" t="n">
        <v>0</v>
      </c>
      <c r="J607" t="n">
        <v>0</v>
      </c>
      <c r="K607" t="n">
        <v>0</v>
      </c>
      <c r="L607" t="n">
        <v>0</v>
      </c>
      <c r="M607" t="n">
        <v>0</v>
      </c>
      <c r="N607" t="n">
        <v>0</v>
      </c>
      <c r="O607" t="n">
        <v>0</v>
      </c>
      <c r="P607" t="n">
        <v>0</v>
      </c>
      <c r="Q607" t="n">
        <v>0</v>
      </c>
      <c r="R607" s="2" t="inlineStr"/>
    </row>
    <row r="608" ht="15" customHeight="1">
      <c r="A608" t="inlineStr">
        <is>
          <t>A 55477-2025</t>
        </is>
      </c>
      <c r="B608" s="1" t="n">
        <v>45971.56197916667</v>
      </c>
      <c r="C608" s="1" t="n">
        <v>46082</v>
      </c>
      <c r="D608" t="inlineStr">
        <is>
          <t>ÖREBRO LÄN</t>
        </is>
      </c>
      <c r="E608" t="inlineStr">
        <is>
          <t>LINDESBERG</t>
        </is>
      </c>
      <c r="G608" t="n">
        <v>1.2</v>
      </c>
      <c r="H608" t="n">
        <v>0</v>
      </c>
      <c r="I608" t="n">
        <v>0</v>
      </c>
      <c r="J608" t="n">
        <v>0</v>
      </c>
      <c r="K608" t="n">
        <v>0</v>
      </c>
      <c r="L608" t="n">
        <v>0</v>
      </c>
      <c r="M608" t="n">
        <v>0</v>
      </c>
      <c r="N608" t="n">
        <v>0</v>
      </c>
      <c r="O608" t="n">
        <v>0</v>
      </c>
      <c r="P608" t="n">
        <v>0</v>
      </c>
      <c r="Q608" t="n">
        <v>0</v>
      </c>
      <c r="R608" s="2" t="inlineStr"/>
    </row>
    <row r="609" ht="15" customHeight="1">
      <c r="A609" t="inlineStr">
        <is>
          <t>A 55490-2025</t>
        </is>
      </c>
      <c r="B609" s="1" t="n">
        <v>45971.57659722222</v>
      </c>
      <c r="C609" s="1" t="n">
        <v>46082</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11559-2024</t>
        </is>
      </c>
      <c r="B610" s="1" t="n">
        <v>45373.30434027778</v>
      </c>
      <c r="C610" s="1" t="n">
        <v>46082</v>
      </c>
      <c r="D610" t="inlineStr">
        <is>
          <t>ÖREBRO LÄN</t>
        </is>
      </c>
      <c r="E610" t="inlineStr">
        <is>
          <t>LINDESBERG</t>
        </is>
      </c>
      <c r="F610" t="inlineStr">
        <is>
          <t>BillerudKorsnäs AB</t>
        </is>
      </c>
      <c r="G610" t="n">
        <v>1.9</v>
      </c>
      <c r="H610" t="n">
        <v>0</v>
      </c>
      <c r="I610" t="n">
        <v>0</v>
      </c>
      <c r="J610" t="n">
        <v>0</v>
      </c>
      <c r="K610" t="n">
        <v>0</v>
      </c>
      <c r="L610" t="n">
        <v>0</v>
      </c>
      <c r="M610" t="n">
        <v>0</v>
      </c>
      <c r="N610" t="n">
        <v>0</v>
      </c>
      <c r="O610" t="n">
        <v>0</v>
      </c>
      <c r="P610" t="n">
        <v>0</v>
      </c>
      <c r="Q610" t="n">
        <v>0</v>
      </c>
      <c r="R610" s="2" t="inlineStr"/>
    </row>
    <row r="611" ht="15" customHeight="1">
      <c r="A611" t="inlineStr">
        <is>
          <t>A 13472-2023</t>
        </is>
      </c>
      <c r="B611" s="1" t="n">
        <v>45005</v>
      </c>
      <c r="C611" s="1" t="n">
        <v>46082</v>
      </c>
      <c r="D611" t="inlineStr">
        <is>
          <t>ÖREBRO LÄN</t>
        </is>
      </c>
      <c r="E611" t="inlineStr">
        <is>
          <t>LINDESBERG</t>
        </is>
      </c>
      <c r="G611" t="n">
        <v>2.5</v>
      </c>
      <c r="H611" t="n">
        <v>0</v>
      </c>
      <c r="I611" t="n">
        <v>0</v>
      </c>
      <c r="J611" t="n">
        <v>0</v>
      </c>
      <c r="K611" t="n">
        <v>0</v>
      </c>
      <c r="L611" t="n">
        <v>0</v>
      </c>
      <c r="M611" t="n">
        <v>0</v>
      </c>
      <c r="N611" t="n">
        <v>0</v>
      </c>
      <c r="O611" t="n">
        <v>0</v>
      </c>
      <c r="P611" t="n">
        <v>0</v>
      </c>
      <c r="Q611" t="n">
        <v>0</v>
      </c>
      <c r="R611" s="2" t="inlineStr"/>
    </row>
    <row r="612" ht="15" customHeight="1">
      <c r="A612" t="inlineStr">
        <is>
          <t>A 52284-2024</t>
        </is>
      </c>
      <c r="B612" s="1" t="n">
        <v>45608</v>
      </c>
      <c r="C612" s="1" t="n">
        <v>46082</v>
      </c>
      <c r="D612" t="inlineStr">
        <is>
          <t>ÖREBRO LÄN</t>
        </is>
      </c>
      <c r="E612" t="inlineStr">
        <is>
          <t>LINDESBERG</t>
        </is>
      </c>
      <c r="F612" t="inlineStr">
        <is>
          <t>Sveaskog</t>
        </is>
      </c>
      <c r="G612" t="n">
        <v>2.1</v>
      </c>
      <c r="H612" t="n">
        <v>0</v>
      </c>
      <c r="I612" t="n">
        <v>0</v>
      </c>
      <c r="J612" t="n">
        <v>0</v>
      </c>
      <c r="K612" t="n">
        <v>0</v>
      </c>
      <c r="L612" t="n">
        <v>0</v>
      </c>
      <c r="M612" t="n">
        <v>0</v>
      </c>
      <c r="N612" t="n">
        <v>0</v>
      </c>
      <c r="O612" t="n">
        <v>0</v>
      </c>
      <c r="P612" t="n">
        <v>0</v>
      </c>
      <c r="Q612" t="n">
        <v>0</v>
      </c>
      <c r="R612" s="2" t="inlineStr"/>
    </row>
    <row r="613" ht="15" customHeight="1">
      <c r="A613" t="inlineStr">
        <is>
          <t>A 38613-2024</t>
        </is>
      </c>
      <c r="B613" s="1" t="n">
        <v>45546.68743055555</v>
      </c>
      <c r="C613" s="1" t="n">
        <v>46082</v>
      </c>
      <c r="D613" t="inlineStr">
        <is>
          <t>ÖREBRO LÄN</t>
        </is>
      </c>
      <c r="E613" t="inlineStr">
        <is>
          <t>LINDESBERG</t>
        </is>
      </c>
      <c r="F613" t="inlineStr">
        <is>
          <t>Kyrkan</t>
        </is>
      </c>
      <c r="G613" t="n">
        <v>1.6</v>
      </c>
      <c r="H613" t="n">
        <v>0</v>
      </c>
      <c r="I613" t="n">
        <v>0</v>
      </c>
      <c r="J613" t="n">
        <v>0</v>
      </c>
      <c r="K613" t="n">
        <v>0</v>
      </c>
      <c r="L613" t="n">
        <v>0</v>
      </c>
      <c r="M613" t="n">
        <v>0</v>
      </c>
      <c r="N613" t="n">
        <v>0</v>
      </c>
      <c r="O613" t="n">
        <v>0</v>
      </c>
      <c r="P613" t="n">
        <v>0</v>
      </c>
      <c r="Q613" t="n">
        <v>0</v>
      </c>
      <c r="R613" s="2" t="inlineStr"/>
    </row>
    <row r="614" ht="15" customHeight="1">
      <c r="A614" t="inlineStr">
        <is>
          <t>A 56232-2025</t>
        </is>
      </c>
      <c r="B614" s="1" t="n">
        <v>45974.53239583333</v>
      </c>
      <c r="C614" s="1" t="n">
        <v>46082</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56308-2025</t>
        </is>
      </c>
      <c r="B615" s="1" t="n">
        <v>45974.61344907407</v>
      </c>
      <c r="C615" s="1" t="n">
        <v>46082</v>
      </c>
      <c r="D615" t="inlineStr">
        <is>
          <t>ÖREBRO LÄN</t>
        </is>
      </c>
      <c r="E615" t="inlineStr">
        <is>
          <t>LINDESBERG</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73500-2021</t>
        </is>
      </c>
      <c r="B616" s="1" t="n">
        <v>44551</v>
      </c>
      <c r="C616" s="1" t="n">
        <v>46082</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56507-2021</t>
        </is>
      </c>
      <c r="B617" s="1" t="n">
        <v>44480.58034722223</v>
      </c>
      <c r="C617" s="1" t="n">
        <v>46082</v>
      </c>
      <c r="D617" t="inlineStr">
        <is>
          <t>ÖREBRO LÄN</t>
        </is>
      </c>
      <c r="E617" t="inlineStr">
        <is>
          <t>LINDESBERG</t>
        </is>
      </c>
      <c r="G617" t="n">
        <v>2.3</v>
      </c>
      <c r="H617" t="n">
        <v>0</v>
      </c>
      <c r="I617" t="n">
        <v>0</v>
      </c>
      <c r="J617" t="n">
        <v>0</v>
      </c>
      <c r="K617" t="n">
        <v>0</v>
      </c>
      <c r="L617" t="n">
        <v>0</v>
      </c>
      <c r="M617" t="n">
        <v>0</v>
      </c>
      <c r="N617" t="n">
        <v>0</v>
      </c>
      <c r="O617" t="n">
        <v>0</v>
      </c>
      <c r="P617" t="n">
        <v>0</v>
      </c>
      <c r="Q617" t="n">
        <v>0</v>
      </c>
      <c r="R617" s="2" t="inlineStr"/>
    </row>
    <row r="618" ht="15" customHeight="1">
      <c r="A618" t="inlineStr">
        <is>
          <t>A 56226-2025</t>
        </is>
      </c>
      <c r="B618" s="1" t="n">
        <v>45974.51283564815</v>
      </c>
      <c r="C618" s="1" t="n">
        <v>46082</v>
      </c>
      <c r="D618" t="inlineStr">
        <is>
          <t>ÖREBRO LÄN</t>
        </is>
      </c>
      <c r="E618" t="inlineStr">
        <is>
          <t>LINDESBERG</t>
        </is>
      </c>
      <c r="G618" t="n">
        <v>1.8</v>
      </c>
      <c r="H618" t="n">
        <v>0</v>
      </c>
      <c r="I618" t="n">
        <v>0</v>
      </c>
      <c r="J618" t="n">
        <v>0</v>
      </c>
      <c r="K618" t="n">
        <v>0</v>
      </c>
      <c r="L618" t="n">
        <v>0</v>
      </c>
      <c r="M618" t="n">
        <v>0</v>
      </c>
      <c r="N618" t="n">
        <v>0</v>
      </c>
      <c r="O618" t="n">
        <v>0</v>
      </c>
      <c r="P618" t="n">
        <v>0</v>
      </c>
      <c r="Q618" t="n">
        <v>0</v>
      </c>
      <c r="R618" s="2" t="inlineStr"/>
    </row>
    <row r="619" ht="15" customHeight="1">
      <c r="A619" t="inlineStr">
        <is>
          <t>A 65194-2023</t>
        </is>
      </c>
      <c r="B619" s="1" t="n">
        <v>45289</v>
      </c>
      <c r="C619" s="1" t="n">
        <v>46082</v>
      </c>
      <c r="D619" t="inlineStr">
        <is>
          <t>ÖREBRO LÄN</t>
        </is>
      </c>
      <c r="E619" t="inlineStr">
        <is>
          <t>LINDESBERG</t>
        </is>
      </c>
      <c r="G619" t="n">
        <v>1</v>
      </c>
      <c r="H619" t="n">
        <v>0</v>
      </c>
      <c r="I619" t="n">
        <v>0</v>
      </c>
      <c r="J619" t="n">
        <v>0</v>
      </c>
      <c r="K619" t="n">
        <v>0</v>
      </c>
      <c r="L619" t="n">
        <v>0</v>
      </c>
      <c r="M619" t="n">
        <v>0</v>
      </c>
      <c r="N619" t="n">
        <v>0</v>
      </c>
      <c r="O619" t="n">
        <v>0</v>
      </c>
      <c r="P619" t="n">
        <v>0</v>
      </c>
      <c r="Q619" t="n">
        <v>0</v>
      </c>
      <c r="R619" s="2" t="inlineStr"/>
    </row>
    <row r="620" ht="15" customHeight="1">
      <c r="A620" t="inlineStr">
        <is>
          <t>A 56306-2025</t>
        </is>
      </c>
      <c r="B620" s="1" t="n">
        <v>45974.61217592593</v>
      </c>
      <c r="C620" s="1" t="n">
        <v>46082</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9436-2023</t>
        </is>
      </c>
      <c r="B621" s="1" t="n">
        <v>44981</v>
      </c>
      <c r="C621" s="1" t="n">
        <v>46082</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36121-2023</t>
        </is>
      </c>
      <c r="B622" s="1" t="n">
        <v>45148</v>
      </c>
      <c r="C622" s="1" t="n">
        <v>46082</v>
      </c>
      <c r="D622" t="inlineStr">
        <is>
          <t>ÖREBRO LÄN</t>
        </is>
      </c>
      <c r="E622" t="inlineStr">
        <is>
          <t>LINDESBERG</t>
        </is>
      </c>
      <c r="G622" t="n">
        <v>7.1</v>
      </c>
      <c r="H622" t="n">
        <v>0</v>
      </c>
      <c r="I622" t="n">
        <v>0</v>
      </c>
      <c r="J622" t="n">
        <v>0</v>
      </c>
      <c r="K622" t="n">
        <v>0</v>
      </c>
      <c r="L622" t="n">
        <v>0</v>
      </c>
      <c r="M622" t="n">
        <v>0</v>
      </c>
      <c r="N622" t="n">
        <v>0</v>
      </c>
      <c r="O622" t="n">
        <v>0</v>
      </c>
      <c r="P622" t="n">
        <v>0</v>
      </c>
      <c r="Q622" t="n">
        <v>0</v>
      </c>
      <c r="R622" s="2" t="inlineStr"/>
    </row>
    <row r="623" ht="15" customHeight="1">
      <c r="A623" t="inlineStr">
        <is>
          <t>A 34838-2023</t>
        </is>
      </c>
      <c r="B623" s="1" t="n">
        <v>45141.76530092592</v>
      </c>
      <c r="C623" s="1" t="n">
        <v>46082</v>
      </c>
      <c r="D623" t="inlineStr">
        <is>
          <t>ÖREBRO LÄN</t>
        </is>
      </c>
      <c r="E623" t="inlineStr">
        <is>
          <t>LINDESBERG</t>
        </is>
      </c>
      <c r="G623" t="n">
        <v>3</v>
      </c>
      <c r="H623" t="n">
        <v>0</v>
      </c>
      <c r="I623" t="n">
        <v>0</v>
      </c>
      <c r="J623" t="n">
        <v>0</v>
      </c>
      <c r="K623" t="n">
        <v>0</v>
      </c>
      <c r="L623" t="n">
        <v>0</v>
      </c>
      <c r="M623" t="n">
        <v>0</v>
      </c>
      <c r="N623" t="n">
        <v>0</v>
      </c>
      <c r="O623" t="n">
        <v>0</v>
      </c>
      <c r="P623" t="n">
        <v>0</v>
      </c>
      <c r="Q623" t="n">
        <v>0</v>
      </c>
      <c r="R623" s="2" t="inlineStr"/>
    </row>
    <row r="624" ht="15" customHeight="1">
      <c r="A624" t="inlineStr">
        <is>
          <t>A 56982-2025</t>
        </is>
      </c>
      <c r="B624" s="1" t="n">
        <v>45978.71075231482</v>
      </c>
      <c r="C624" s="1" t="n">
        <v>46082</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31024-2023</t>
        </is>
      </c>
      <c r="B625" s="1" t="n">
        <v>45113</v>
      </c>
      <c r="C625" s="1" t="n">
        <v>46082</v>
      </c>
      <c r="D625" t="inlineStr">
        <is>
          <t>ÖREBRO LÄN</t>
        </is>
      </c>
      <c r="E625" t="inlineStr">
        <is>
          <t>LINDESBERG</t>
        </is>
      </c>
      <c r="G625" t="n">
        <v>5.1</v>
      </c>
      <c r="H625" t="n">
        <v>0</v>
      </c>
      <c r="I625" t="n">
        <v>0</v>
      </c>
      <c r="J625" t="n">
        <v>0</v>
      </c>
      <c r="K625" t="n">
        <v>0</v>
      </c>
      <c r="L625" t="n">
        <v>0</v>
      </c>
      <c r="M625" t="n">
        <v>0</v>
      </c>
      <c r="N625" t="n">
        <v>0</v>
      </c>
      <c r="O625" t="n">
        <v>0</v>
      </c>
      <c r="P625" t="n">
        <v>0</v>
      </c>
      <c r="Q625" t="n">
        <v>0</v>
      </c>
      <c r="R625" s="2" t="inlineStr"/>
    </row>
    <row r="626" ht="15" customHeight="1">
      <c r="A626" t="inlineStr">
        <is>
          <t>A 33281-2024</t>
        </is>
      </c>
      <c r="B626" s="1" t="n">
        <v>45518.71202546296</v>
      </c>
      <c r="C626" s="1" t="n">
        <v>46082</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33283-2024</t>
        </is>
      </c>
      <c r="B627" s="1" t="n">
        <v>45518.71591435185</v>
      </c>
      <c r="C627" s="1" t="n">
        <v>46082</v>
      </c>
      <c r="D627" t="inlineStr">
        <is>
          <t>ÖREBRO LÄN</t>
        </is>
      </c>
      <c r="E627" t="inlineStr">
        <is>
          <t>LINDESBERG</t>
        </is>
      </c>
      <c r="G627" t="n">
        <v>3.9</v>
      </c>
      <c r="H627" t="n">
        <v>0</v>
      </c>
      <c r="I627" t="n">
        <v>0</v>
      </c>
      <c r="J627" t="n">
        <v>0</v>
      </c>
      <c r="K627" t="n">
        <v>0</v>
      </c>
      <c r="L627" t="n">
        <v>0</v>
      </c>
      <c r="M627" t="n">
        <v>0</v>
      </c>
      <c r="N627" t="n">
        <v>0</v>
      </c>
      <c r="O627" t="n">
        <v>0</v>
      </c>
      <c r="P627" t="n">
        <v>0</v>
      </c>
      <c r="Q627" t="n">
        <v>0</v>
      </c>
      <c r="R627" s="2" t="inlineStr"/>
    </row>
    <row r="628" ht="15" customHeight="1">
      <c r="A628" t="inlineStr">
        <is>
          <t>A 61960-2024</t>
        </is>
      </c>
      <c r="B628" s="1" t="n">
        <v>45653.53664351852</v>
      </c>
      <c r="C628" s="1" t="n">
        <v>46082</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48756-2024</t>
        </is>
      </c>
      <c r="B629" s="1" t="n">
        <v>45593.59681712963</v>
      </c>
      <c r="C629" s="1" t="n">
        <v>46082</v>
      </c>
      <c r="D629" t="inlineStr">
        <is>
          <t>ÖREBRO LÄN</t>
        </is>
      </c>
      <c r="E629" t="inlineStr">
        <is>
          <t>LINDESBERG</t>
        </is>
      </c>
      <c r="G629" t="n">
        <v>1.6</v>
      </c>
      <c r="H629" t="n">
        <v>0</v>
      </c>
      <c r="I629" t="n">
        <v>0</v>
      </c>
      <c r="J629" t="n">
        <v>0</v>
      </c>
      <c r="K629" t="n">
        <v>0</v>
      </c>
      <c r="L629" t="n">
        <v>0</v>
      </c>
      <c r="M629" t="n">
        <v>0</v>
      </c>
      <c r="N629" t="n">
        <v>0</v>
      </c>
      <c r="O629" t="n">
        <v>0</v>
      </c>
      <c r="P629" t="n">
        <v>0</v>
      </c>
      <c r="Q629" t="n">
        <v>0</v>
      </c>
      <c r="R629" s="2" t="inlineStr"/>
    </row>
    <row r="630" ht="15" customHeight="1">
      <c r="A630" t="inlineStr">
        <is>
          <t>A 60449-2024</t>
        </is>
      </c>
      <c r="B630" s="1" t="n">
        <v>45643</v>
      </c>
      <c r="C630" s="1" t="n">
        <v>46082</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57361-2025</t>
        </is>
      </c>
      <c r="B631" s="1" t="n">
        <v>45980.36988425926</v>
      </c>
      <c r="C631" s="1" t="n">
        <v>46082</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57299-2025</t>
        </is>
      </c>
      <c r="B632" s="1" t="n">
        <v>45979.81347222222</v>
      </c>
      <c r="C632" s="1" t="n">
        <v>46082</v>
      </c>
      <c r="D632" t="inlineStr">
        <is>
          <t>ÖREBRO LÄN</t>
        </is>
      </c>
      <c r="E632" t="inlineStr">
        <is>
          <t>LINDESBERG</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15060-2024</t>
        </is>
      </c>
      <c r="B633" s="1" t="n">
        <v>45399.56596064815</v>
      </c>
      <c r="C633" s="1" t="n">
        <v>46082</v>
      </c>
      <c r="D633" t="inlineStr">
        <is>
          <t>ÖREBRO LÄN</t>
        </is>
      </c>
      <c r="E633" t="inlineStr">
        <is>
          <t>LINDESBERG</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57359-2025</t>
        </is>
      </c>
      <c r="B634" s="1" t="n">
        <v>45980.36866898148</v>
      </c>
      <c r="C634" s="1" t="n">
        <v>46082</v>
      </c>
      <c r="D634" t="inlineStr">
        <is>
          <t>ÖREBRO LÄN</t>
        </is>
      </c>
      <c r="E634" t="inlineStr">
        <is>
          <t>LINDESBERG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46082</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57358-2025</t>
        </is>
      </c>
      <c r="B636" s="1" t="n">
        <v>45980.36679398148</v>
      </c>
      <c r="C636" s="1" t="n">
        <v>46082</v>
      </c>
      <c r="D636" t="inlineStr">
        <is>
          <t>ÖREBRO LÄN</t>
        </is>
      </c>
      <c r="E636" t="inlineStr">
        <is>
          <t>LINDESBERG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53510-2024</t>
        </is>
      </c>
      <c r="B637" s="1" t="n">
        <v>45614.5968287037</v>
      </c>
      <c r="C637" s="1" t="n">
        <v>46082</v>
      </c>
      <c r="D637" t="inlineStr">
        <is>
          <t>ÖREBRO LÄN</t>
        </is>
      </c>
      <c r="E637" t="inlineStr">
        <is>
          <t>LINDESBERG</t>
        </is>
      </c>
      <c r="G637" t="n">
        <v>1</v>
      </c>
      <c r="H637" t="n">
        <v>0</v>
      </c>
      <c r="I637" t="n">
        <v>0</v>
      </c>
      <c r="J637" t="n">
        <v>0</v>
      </c>
      <c r="K637" t="n">
        <v>0</v>
      </c>
      <c r="L637" t="n">
        <v>0</v>
      </c>
      <c r="M637" t="n">
        <v>0</v>
      </c>
      <c r="N637" t="n">
        <v>0</v>
      </c>
      <c r="O637" t="n">
        <v>0</v>
      </c>
      <c r="P637" t="n">
        <v>0</v>
      </c>
      <c r="Q637" t="n">
        <v>0</v>
      </c>
      <c r="R637" s="2" t="inlineStr"/>
    </row>
    <row r="638" ht="15" customHeight="1">
      <c r="A638" t="inlineStr">
        <is>
          <t>A 57313-2025</t>
        </is>
      </c>
      <c r="B638" s="1" t="n">
        <v>45979.97458333334</v>
      </c>
      <c r="C638" s="1" t="n">
        <v>46082</v>
      </c>
      <c r="D638" t="inlineStr">
        <is>
          <t>ÖREBRO LÄN</t>
        </is>
      </c>
      <c r="E638" t="inlineStr">
        <is>
          <t>LINDESBERG</t>
        </is>
      </c>
      <c r="F638" t="inlineStr">
        <is>
          <t>Sveaskog</t>
        </is>
      </c>
      <c r="G638" t="n">
        <v>9.1</v>
      </c>
      <c r="H638" t="n">
        <v>0</v>
      </c>
      <c r="I638" t="n">
        <v>0</v>
      </c>
      <c r="J638" t="n">
        <v>0</v>
      </c>
      <c r="K638" t="n">
        <v>0</v>
      </c>
      <c r="L638" t="n">
        <v>0</v>
      </c>
      <c r="M638" t="n">
        <v>0</v>
      </c>
      <c r="N638" t="n">
        <v>0</v>
      </c>
      <c r="O638" t="n">
        <v>0</v>
      </c>
      <c r="P638" t="n">
        <v>0</v>
      </c>
      <c r="Q638" t="n">
        <v>0</v>
      </c>
      <c r="R638" s="2" t="inlineStr"/>
    </row>
    <row r="639" ht="15" customHeight="1">
      <c r="A639" t="inlineStr">
        <is>
          <t>A 57314-2025</t>
        </is>
      </c>
      <c r="B639" s="1" t="n">
        <v>45980.00710648148</v>
      </c>
      <c r="C639" s="1" t="n">
        <v>46082</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57315-2025</t>
        </is>
      </c>
      <c r="B640" s="1" t="n">
        <v>45980.00753472222</v>
      </c>
      <c r="C640" s="1" t="n">
        <v>46082</v>
      </c>
      <c r="D640" t="inlineStr">
        <is>
          <t>ÖREBRO LÄN</t>
        </is>
      </c>
      <c r="E640" t="inlineStr">
        <is>
          <t>LINDESBERG</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57316-2025</t>
        </is>
      </c>
      <c r="B641" s="1" t="n">
        <v>45980.0115625</v>
      </c>
      <c r="C641" s="1" t="n">
        <v>46082</v>
      </c>
      <c r="D641" t="inlineStr">
        <is>
          <t>ÖREBRO LÄN</t>
        </is>
      </c>
      <c r="E641" t="inlineStr">
        <is>
          <t>LINDESBERG</t>
        </is>
      </c>
      <c r="F641" t="inlineStr">
        <is>
          <t>Sveaskog</t>
        </is>
      </c>
      <c r="G641" t="n">
        <v>6.5</v>
      </c>
      <c r="H641" t="n">
        <v>0</v>
      </c>
      <c r="I641" t="n">
        <v>0</v>
      </c>
      <c r="J641" t="n">
        <v>0</v>
      </c>
      <c r="K641" t="n">
        <v>0</v>
      </c>
      <c r="L641" t="n">
        <v>0</v>
      </c>
      <c r="M641" t="n">
        <v>0</v>
      </c>
      <c r="N641" t="n">
        <v>0</v>
      </c>
      <c r="O641" t="n">
        <v>0</v>
      </c>
      <c r="P641" t="n">
        <v>0</v>
      </c>
      <c r="Q641" t="n">
        <v>0</v>
      </c>
      <c r="R641" s="2" t="inlineStr"/>
    </row>
    <row r="642" ht="15" customHeight="1">
      <c r="A642" t="inlineStr">
        <is>
          <t>A 57320-2025</t>
        </is>
      </c>
      <c r="B642" s="1" t="n">
        <v>45980.01553240741</v>
      </c>
      <c r="C642" s="1" t="n">
        <v>46082</v>
      </c>
      <c r="D642" t="inlineStr">
        <is>
          <t>ÖREBRO LÄN</t>
        </is>
      </c>
      <c r="E642" t="inlineStr">
        <is>
          <t>LINDESBERG</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57363-2025</t>
        </is>
      </c>
      <c r="B643" s="1" t="n">
        <v>45980.3716087963</v>
      </c>
      <c r="C643" s="1" t="n">
        <v>46082</v>
      </c>
      <c r="D643" t="inlineStr">
        <is>
          <t>ÖREBRO LÄN</t>
        </is>
      </c>
      <c r="E643" t="inlineStr">
        <is>
          <t>LINDESBERG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57317-2025</t>
        </is>
      </c>
      <c r="B644" s="1" t="n">
        <v>45980.01226851852</v>
      </c>
      <c r="C644" s="1" t="n">
        <v>46082</v>
      </c>
      <c r="D644" t="inlineStr">
        <is>
          <t>ÖREBRO LÄN</t>
        </is>
      </c>
      <c r="E644" t="inlineStr">
        <is>
          <t>LINDESBERG</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57356-2025</t>
        </is>
      </c>
      <c r="B645" s="1" t="n">
        <v>45980.36633101852</v>
      </c>
      <c r="C645" s="1" t="n">
        <v>46082</v>
      </c>
      <c r="D645" t="inlineStr">
        <is>
          <t>ÖREBRO LÄN</t>
        </is>
      </c>
      <c r="E645" t="inlineStr">
        <is>
          <t>LINDESBERG</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34676-2023</t>
        </is>
      </c>
      <c r="B646" s="1" t="n">
        <v>45140</v>
      </c>
      <c r="C646" s="1" t="n">
        <v>46082</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61594-2024</t>
        </is>
      </c>
      <c r="B647" s="1" t="n">
        <v>45646.63482638889</v>
      </c>
      <c r="C647" s="1" t="n">
        <v>46082</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58166-2025</t>
        </is>
      </c>
      <c r="B648" s="1" t="n">
        <v>45982.71017361111</v>
      </c>
      <c r="C648" s="1" t="n">
        <v>46082</v>
      </c>
      <c r="D648" t="inlineStr">
        <is>
          <t>ÖREBRO LÄN</t>
        </is>
      </c>
      <c r="E648" t="inlineStr">
        <is>
          <t>LINDESBERG</t>
        </is>
      </c>
      <c r="G648" t="n">
        <v>2.5</v>
      </c>
      <c r="H648" t="n">
        <v>0</v>
      </c>
      <c r="I648" t="n">
        <v>0</v>
      </c>
      <c r="J648" t="n">
        <v>0</v>
      </c>
      <c r="K648" t="n">
        <v>0</v>
      </c>
      <c r="L648" t="n">
        <v>0</v>
      </c>
      <c r="M648" t="n">
        <v>0</v>
      </c>
      <c r="N648" t="n">
        <v>0</v>
      </c>
      <c r="O648" t="n">
        <v>0</v>
      </c>
      <c r="P648" t="n">
        <v>0</v>
      </c>
      <c r="Q648" t="n">
        <v>0</v>
      </c>
      <c r="R648" s="2" t="inlineStr"/>
    </row>
    <row r="649" ht="15" customHeight="1">
      <c r="A649" t="inlineStr">
        <is>
          <t>A 40563-2023</t>
        </is>
      </c>
      <c r="B649" s="1" t="n">
        <v>45170.45921296296</v>
      </c>
      <c r="C649" s="1" t="n">
        <v>46082</v>
      </c>
      <c r="D649" t="inlineStr">
        <is>
          <t>ÖREBRO LÄN</t>
        </is>
      </c>
      <c r="E649" t="inlineStr">
        <is>
          <t>LINDESBERG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7026-2024</t>
        </is>
      </c>
      <c r="B650" s="1" t="n">
        <v>45343.58587962963</v>
      </c>
      <c r="C650" s="1" t="n">
        <v>46082</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41353-2024</t>
        </is>
      </c>
      <c r="B651" s="1" t="n">
        <v>45559</v>
      </c>
      <c r="C651" s="1" t="n">
        <v>46082</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46082</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51379-2023</t>
        </is>
      </c>
      <c r="B653" s="1" t="n">
        <v>45219</v>
      </c>
      <c r="C653" s="1" t="n">
        <v>46082</v>
      </c>
      <c r="D653" t="inlineStr">
        <is>
          <t>ÖREBRO LÄN</t>
        </is>
      </c>
      <c r="E653" t="inlineStr">
        <is>
          <t>LINDESBERG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5080-2024</t>
        </is>
      </c>
      <c r="B654" s="1" t="n">
        <v>45330</v>
      </c>
      <c r="C654" s="1" t="n">
        <v>46082</v>
      </c>
      <c r="D654" t="inlineStr">
        <is>
          <t>ÖREBRO LÄN</t>
        </is>
      </c>
      <c r="E654" t="inlineStr">
        <is>
          <t>LINDESBERG</t>
        </is>
      </c>
      <c r="G654" t="n">
        <v>1.5</v>
      </c>
      <c r="H654" t="n">
        <v>0</v>
      </c>
      <c r="I654" t="n">
        <v>0</v>
      </c>
      <c r="J654" t="n">
        <v>0</v>
      </c>
      <c r="K654" t="n">
        <v>0</v>
      </c>
      <c r="L654" t="n">
        <v>0</v>
      </c>
      <c r="M654" t="n">
        <v>0</v>
      </c>
      <c r="N654" t="n">
        <v>0</v>
      </c>
      <c r="O654" t="n">
        <v>0</v>
      </c>
      <c r="P654" t="n">
        <v>0</v>
      </c>
      <c r="Q654" t="n">
        <v>0</v>
      </c>
      <c r="R654" s="2" t="inlineStr"/>
    </row>
    <row r="655" ht="15" customHeight="1">
      <c r="A655" t="inlineStr">
        <is>
          <t>A 12307-2025</t>
        </is>
      </c>
      <c r="B655" s="1" t="n">
        <v>45729.76231481481</v>
      </c>
      <c r="C655" s="1" t="n">
        <v>46082</v>
      </c>
      <c r="D655" t="inlineStr">
        <is>
          <t>ÖREBRO LÄN</t>
        </is>
      </c>
      <c r="E655" t="inlineStr">
        <is>
          <t>LINDESBERG</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45056-2024</t>
        </is>
      </c>
      <c r="B656" s="1" t="n">
        <v>45575.55273148148</v>
      </c>
      <c r="C656" s="1" t="n">
        <v>46082</v>
      </c>
      <c r="D656" t="inlineStr">
        <is>
          <t>ÖREBRO LÄN</t>
        </is>
      </c>
      <c r="E656" t="inlineStr">
        <is>
          <t>LINDESBERG</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45058-2024</t>
        </is>
      </c>
      <c r="B657" s="1" t="n">
        <v>45575.5547337963</v>
      </c>
      <c r="C657" s="1" t="n">
        <v>46082</v>
      </c>
      <c r="D657" t="inlineStr">
        <is>
          <t>ÖREBRO LÄN</t>
        </is>
      </c>
      <c r="E657" t="inlineStr">
        <is>
          <t>LINDESBERG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45063-2024</t>
        </is>
      </c>
      <c r="B658" s="1" t="n">
        <v>45575.55684027778</v>
      </c>
      <c r="C658" s="1" t="n">
        <v>46082</v>
      </c>
      <c r="D658" t="inlineStr">
        <is>
          <t>ÖREBRO LÄN</t>
        </is>
      </c>
      <c r="E658" t="inlineStr">
        <is>
          <t>LINDESBERG</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45072-2024</t>
        </is>
      </c>
      <c r="B659" s="1" t="n">
        <v>45575.56686342593</v>
      </c>
      <c r="C659" s="1" t="n">
        <v>46082</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45075-2024</t>
        </is>
      </c>
      <c r="B660" s="1" t="n">
        <v>45575.56820601852</v>
      </c>
      <c r="C660" s="1" t="n">
        <v>46082</v>
      </c>
      <c r="D660" t="inlineStr">
        <is>
          <t>ÖREBRO LÄN</t>
        </is>
      </c>
      <c r="E660" t="inlineStr">
        <is>
          <t>LINDESBERG</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41948-2023</t>
        </is>
      </c>
      <c r="B661" s="1" t="n">
        <v>45177.33091435185</v>
      </c>
      <c r="C661" s="1" t="n">
        <v>46082</v>
      </c>
      <c r="D661" t="inlineStr">
        <is>
          <t>ÖREBRO LÄN</t>
        </is>
      </c>
      <c r="E661" t="inlineStr">
        <is>
          <t>LINDESBERG</t>
        </is>
      </c>
      <c r="F661" t="inlineStr">
        <is>
          <t>Kyrkan</t>
        </is>
      </c>
      <c r="G661" t="n">
        <v>1.4</v>
      </c>
      <c r="H661" t="n">
        <v>0</v>
      </c>
      <c r="I661" t="n">
        <v>0</v>
      </c>
      <c r="J661" t="n">
        <v>0</v>
      </c>
      <c r="K661" t="n">
        <v>0</v>
      </c>
      <c r="L661" t="n">
        <v>0</v>
      </c>
      <c r="M661" t="n">
        <v>0</v>
      </c>
      <c r="N661" t="n">
        <v>0</v>
      </c>
      <c r="O661" t="n">
        <v>0</v>
      </c>
      <c r="P661" t="n">
        <v>0</v>
      </c>
      <c r="Q661" t="n">
        <v>0</v>
      </c>
      <c r="R661" s="2" t="inlineStr"/>
    </row>
    <row r="662" ht="15" customHeight="1">
      <c r="A662" t="inlineStr">
        <is>
          <t>A 67016-2021</t>
        </is>
      </c>
      <c r="B662" s="1" t="n">
        <v>44522</v>
      </c>
      <c r="C662" s="1" t="n">
        <v>46082</v>
      </c>
      <c r="D662" t="inlineStr">
        <is>
          <t>ÖREBRO LÄN</t>
        </is>
      </c>
      <c r="E662" t="inlineStr">
        <is>
          <t>LINDESBERG</t>
        </is>
      </c>
      <c r="G662" t="n">
        <v>8</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46082</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19960-2023</t>
        </is>
      </c>
      <c r="B664" s="1" t="n">
        <v>45054</v>
      </c>
      <c r="C664" s="1" t="n">
        <v>46082</v>
      </c>
      <c r="D664" t="inlineStr">
        <is>
          <t>ÖREBRO LÄN</t>
        </is>
      </c>
      <c r="E664" t="inlineStr">
        <is>
          <t>LINDESBERG</t>
        </is>
      </c>
      <c r="G664" t="n">
        <v>6.2</v>
      </c>
      <c r="H664" t="n">
        <v>0</v>
      </c>
      <c r="I664" t="n">
        <v>0</v>
      </c>
      <c r="J664" t="n">
        <v>0</v>
      </c>
      <c r="K664" t="n">
        <v>0</v>
      </c>
      <c r="L664" t="n">
        <v>0</v>
      </c>
      <c r="M664" t="n">
        <v>0</v>
      </c>
      <c r="N664" t="n">
        <v>0</v>
      </c>
      <c r="O664" t="n">
        <v>0</v>
      </c>
      <c r="P664" t="n">
        <v>0</v>
      </c>
      <c r="Q664" t="n">
        <v>0</v>
      </c>
      <c r="R664" s="2" t="inlineStr"/>
    </row>
    <row r="665" ht="15" customHeight="1">
      <c r="A665" t="inlineStr">
        <is>
          <t>A 50972-2023</t>
        </is>
      </c>
      <c r="B665" s="1" t="n">
        <v>45218</v>
      </c>
      <c r="C665" s="1" t="n">
        <v>46082</v>
      </c>
      <c r="D665" t="inlineStr">
        <is>
          <t>ÖREBRO LÄN</t>
        </is>
      </c>
      <c r="E665" t="inlineStr">
        <is>
          <t>LINDESBERG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60400-2025</t>
        </is>
      </c>
      <c r="B666" s="1" t="n">
        <v>45995</v>
      </c>
      <c r="C666" s="1" t="n">
        <v>46082</v>
      </c>
      <c r="D666" t="inlineStr">
        <is>
          <t>ÖREBRO LÄN</t>
        </is>
      </c>
      <c r="E666" t="inlineStr">
        <is>
          <t>LINDESBERG</t>
        </is>
      </c>
      <c r="G666" t="n">
        <v>11.2</v>
      </c>
      <c r="H666" t="n">
        <v>0</v>
      </c>
      <c r="I666" t="n">
        <v>0</v>
      </c>
      <c r="J666" t="n">
        <v>0</v>
      </c>
      <c r="K666" t="n">
        <v>0</v>
      </c>
      <c r="L666" t="n">
        <v>0</v>
      </c>
      <c r="M666" t="n">
        <v>0</v>
      </c>
      <c r="N666" t="n">
        <v>0</v>
      </c>
      <c r="O666" t="n">
        <v>0</v>
      </c>
      <c r="P666" t="n">
        <v>0</v>
      </c>
      <c r="Q666" t="n">
        <v>0</v>
      </c>
      <c r="R666" s="2" t="inlineStr"/>
    </row>
    <row r="667" ht="15" customHeight="1">
      <c r="A667" t="inlineStr">
        <is>
          <t>A 60450-2025</t>
        </is>
      </c>
      <c r="B667" s="1" t="n">
        <v>45995</v>
      </c>
      <c r="C667" s="1" t="n">
        <v>46082</v>
      </c>
      <c r="D667" t="inlineStr">
        <is>
          <t>ÖREBRO LÄN</t>
        </is>
      </c>
      <c r="E667" t="inlineStr">
        <is>
          <t>LINDESBERG</t>
        </is>
      </c>
      <c r="G667" t="n">
        <v>4.1</v>
      </c>
      <c r="H667" t="n">
        <v>0</v>
      </c>
      <c r="I667" t="n">
        <v>0</v>
      </c>
      <c r="J667" t="n">
        <v>0</v>
      </c>
      <c r="K667" t="n">
        <v>0</v>
      </c>
      <c r="L667" t="n">
        <v>0</v>
      </c>
      <c r="M667" t="n">
        <v>0</v>
      </c>
      <c r="N667" t="n">
        <v>0</v>
      </c>
      <c r="O667" t="n">
        <v>0</v>
      </c>
      <c r="P667" t="n">
        <v>0</v>
      </c>
      <c r="Q667" t="n">
        <v>0</v>
      </c>
      <c r="R667" s="2" t="inlineStr"/>
    </row>
    <row r="668" ht="15" customHeight="1">
      <c r="A668" t="inlineStr">
        <is>
          <t>A 33507-2023</t>
        </is>
      </c>
      <c r="B668" s="1" t="n">
        <v>45131</v>
      </c>
      <c r="C668" s="1" t="n">
        <v>46082</v>
      </c>
      <c r="D668" t="inlineStr">
        <is>
          <t>ÖREBRO LÄN</t>
        </is>
      </c>
      <c r="E668" t="inlineStr">
        <is>
          <t>LINDESBERG</t>
        </is>
      </c>
      <c r="G668" t="n">
        <v>3.2</v>
      </c>
      <c r="H668" t="n">
        <v>0</v>
      </c>
      <c r="I668" t="n">
        <v>0</v>
      </c>
      <c r="J668" t="n">
        <v>0</v>
      </c>
      <c r="K668" t="n">
        <v>0</v>
      </c>
      <c r="L668" t="n">
        <v>0</v>
      </c>
      <c r="M668" t="n">
        <v>0</v>
      </c>
      <c r="N668" t="n">
        <v>0</v>
      </c>
      <c r="O668" t="n">
        <v>0</v>
      </c>
      <c r="P668" t="n">
        <v>0</v>
      </c>
      <c r="Q668" t="n">
        <v>0</v>
      </c>
      <c r="R668" s="2" t="inlineStr"/>
    </row>
    <row r="669" ht="15" customHeight="1">
      <c r="A669" t="inlineStr">
        <is>
          <t>A 2406-2024</t>
        </is>
      </c>
      <c r="B669" s="1" t="n">
        <v>45310</v>
      </c>
      <c r="C669" s="1" t="n">
        <v>46082</v>
      </c>
      <c r="D669" t="inlineStr">
        <is>
          <t>ÖREBRO LÄN</t>
        </is>
      </c>
      <c r="E669" t="inlineStr">
        <is>
          <t>LINDESBERG</t>
        </is>
      </c>
      <c r="G669" t="n">
        <v>16.1</v>
      </c>
      <c r="H669" t="n">
        <v>0</v>
      </c>
      <c r="I669" t="n">
        <v>0</v>
      </c>
      <c r="J669" t="n">
        <v>0</v>
      </c>
      <c r="K669" t="n">
        <v>0</v>
      </c>
      <c r="L669" t="n">
        <v>0</v>
      </c>
      <c r="M669" t="n">
        <v>0</v>
      </c>
      <c r="N669" t="n">
        <v>0</v>
      </c>
      <c r="O669" t="n">
        <v>0</v>
      </c>
      <c r="P669" t="n">
        <v>0</v>
      </c>
      <c r="Q669" t="n">
        <v>0</v>
      </c>
      <c r="R669" s="2" t="inlineStr"/>
    </row>
    <row r="670" ht="15" customHeight="1">
      <c r="A670" t="inlineStr">
        <is>
          <t>A 17895-2022</t>
        </is>
      </c>
      <c r="B670" s="1" t="n">
        <v>44683</v>
      </c>
      <c r="C670" s="1" t="n">
        <v>46082</v>
      </c>
      <c r="D670" t="inlineStr">
        <is>
          <t>ÖREBRO LÄN</t>
        </is>
      </c>
      <c r="E670" t="inlineStr">
        <is>
          <t>LINDESBERG</t>
        </is>
      </c>
      <c r="G670" t="n">
        <v>1.3</v>
      </c>
      <c r="H670" t="n">
        <v>0</v>
      </c>
      <c r="I670" t="n">
        <v>0</v>
      </c>
      <c r="J670" t="n">
        <v>0</v>
      </c>
      <c r="K670" t="n">
        <v>0</v>
      </c>
      <c r="L670" t="n">
        <v>0</v>
      </c>
      <c r="M670" t="n">
        <v>0</v>
      </c>
      <c r="N670" t="n">
        <v>0</v>
      </c>
      <c r="O670" t="n">
        <v>0</v>
      </c>
      <c r="P670" t="n">
        <v>0</v>
      </c>
      <c r="Q670" t="n">
        <v>0</v>
      </c>
      <c r="R670" s="2" t="inlineStr"/>
    </row>
    <row r="671" ht="15" customHeight="1">
      <c r="A671" t="inlineStr">
        <is>
          <t>A 1395-2025</t>
        </is>
      </c>
      <c r="B671" s="1" t="n">
        <v>45667</v>
      </c>
      <c r="C671" s="1" t="n">
        <v>46082</v>
      </c>
      <c r="D671" t="inlineStr">
        <is>
          <t>ÖREBRO LÄN</t>
        </is>
      </c>
      <c r="E671" t="inlineStr">
        <is>
          <t>LINDESBERG</t>
        </is>
      </c>
      <c r="G671" t="n">
        <v>4.6</v>
      </c>
      <c r="H671" t="n">
        <v>0</v>
      </c>
      <c r="I671" t="n">
        <v>0</v>
      </c>
      <c r="J671" t="n">
        <v>0</v>
      </c>
      <c r="K671" t="n">
        <v>0</v>
      </c>
      <c r="L671" t="n">
        <v>0</v>
      </c>
      <c r="M671" t="n">
        <v>0</v>
      </c>
      <c r="N671" t="n">
        <v>0</v>
      </c>
      <c r="O671" t="n">
        <v>0</v>
      </c>
      <c r="P671" t="n">
        <v>0</v>
      </c>
      <c r="Q671" t="n">
        <v>0</v>
      </c>
      <c r="R671" s="2" t="inlineStr"/>
    </row>
    <row r="672" ht="15" customHeight="1">
      <c r="A672" t="inlineStr">
        <is>
          <t>A 52928-2024</t>
        </is>
      </c>
      <c r="B672" s="1" t="n">
        <v>45610</v>
      </c>
      <c r="C672" s="1" t="n">
        <v>46082</v>
      </c>
      <c r="D672" t="inlineStr">
        <is>
          <t>ÖREBRO LÄN</t>
        </is>
      </c>
      <c r="E672" t="inlineStr">
        <is>
          <t>LINDESBERG</t>
        </is>
      </c>
      <c r="G672" t="n">
        <v>8.6</v>
      </c>
      <c r="H672" t="n">
        <v>0</v>
      </c>
      <c r="I672" t="n">
        <v>0</v>
      </c>
      <c r="J672" t="n">
        <v>0</v>
      </c>
      <c r="K672" t="n">
        <v>0</v>
      </c>
      <c r="L672" t="n">
        <v>0</v>
      </c>
      <c r="M672" t="n">
        <v>0</v>
      </c>
      <c r="N672" t="n">
        <v>0</v>
      </c>
      <c r="O672" t="n">
        <v>0</v>
      </c>
      <c r="P672" t="n">
        <v>0</v>
      </c>
      <c r="Q672" t="n">
        <v>0</v>
      </c>
      <c r="R672" s="2" t="inlineStr"/>
    </row>
    <row r="673" ht="15" customHeight="1">
      <c r="A673" t="inlineStr">
        <is>
          <t>A 33716-2021</t>
        </is>
      </c>
      <c r="B673" s="1" t="n">
        <v>44378.46857638889</v>
      </c>
      <c r="C673" s="1" t="n">
        <v>46082</v>
      </c>
      <c r="D673" t="inlineStr">
        <is>
          <t>ÖREBRO LÄN</t>
        </is>
      </c>
      <c r="E673" t="inlineStr">
        <is>
          <t>LINDESBERG</t>
        </is>
      </c>
      <c r="G673" t="n">
        <v>4.6</v>
      </c>
      <c r="H673" t="n">
        <v>0</v>
      </c>
      <c r="I673" t="n">
        <v>0</v>
      </c>
      <c r="J673" t="n">
        <v>0</v>
      </c>
      <c r="K673" t="n">
        <v>0</v>
      </c>
      <c r="L673" t="n">
        <v>0</v>
      </c>
      <c r="M673" t="n">
        <v>0</v>
      </c>
      <c r="N673" t="n">
        <v>0</v>
      </c>
      <c r="O673" t="n">
        <v>0</v>
      </c>
      <c r="P673" t="n">
        <v>0</v>
      </c>
      <c r="Q673" t="n">
        <v>0</v>
      </c>
      <c r="R673" s="2" t="inlineStr"/>
    </row>
    <row r="674" ht="15" customHeight="1">
      <c r="A674" t="inlineStr">
        <is>
          <t>A 40970-2023</t>
        </is>
      </c>
      <c r="B674" s="1" t="n">
        <v>45173</v>
      </c>
      <c r="C674" s="1" t="n">
        <v>46082</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3227-2026</t>
        </is>
      </c>
      <c r="B675" s="1" t="n">
        <v>46041.54181712963</v>
      </c>
      <c r="C675" s="1" t="n">
        <v>46082</v>
      </c>
      <c r="D675" t="inlineStr">
        <is>
          <t>ÖREBRO LÄN</t>
        </is>
      </c>
      <c r="E675" t="inlineStr">
        <is>
          <t>LINDESBERG</t>
        </is>
      </c>
      <c r="G675" t="n">
        <v>4.4</v>
      </c>
      <c r="H675" t="n">
        <v>0</v>
      </c>
      <c r="I675" t="n">
        <v>0</v>
      </c>
      <c r="J675" t="n">
        <v>0</v>
      </c>
      <c r="K675" t="n">
        <v>0</v>
      </c>
      <c r="L675" t="n">
        <v>0</v>
      </c>
      <c r="M675" t="n">
        <v>0</v>
      </c>
      <c r="N675" t="n">
        <v>0</v>
      </c>
      <c r="O675" t="n">
        <v>0</v>
      </c>
      <c r="P675" t="n">
        <v>0</v>
      </c>
      <c r="Q675" t="n">
        <v>0</v>
      </c>
      <c r="R675" s="2" t="inlineStr"/>
    </row>
    <row r="676" ht="15" customHeight="1">
      <c r="A676" t="inlineStr">
        <is>
          <t>A 60806-2025</t>
        </is>
      </c>
      <c r="B676" s="1" t="n">
        <v>45999.43730324074</v>
      </c>
      <c r="C676" s="1" t="n">
        <v>46082</v>
      </c>
      <c r="D676" t="inlineStr">
        <is>
          <t>ÖREBRO LÄN</t>
        </is>
      </c>
      <c r="E676" t="inlineStr">
        <is>
          <t>LINDESBERG</t>
        </is>
      </c>
      <c r="G676" t="n">
        <v>7.9</v>
      </c>
      <c r="H676" t="n">
        <v>0</v>
      </c>
      <c r="I676" t="n">
        <v>0</v>
      </c>
      <c r="J676" t="n">
        <v>0</v>
      </c>
      <c r="K676" t="n">
        <v>0</v>
      </c>
      <c r="L676" t="n">
        <v>0</v>
      </c>
      <c r="M676" t="n">
        <v>0</v>
      </c>
      <c r="N676" t="n">
        <v>0</v>
      </c>
      <c r="O676" t="n">
        <v>0</v>
      </c>
      <c r="P676" t="n">
        <v>0</v>
      </c>
      <c r="Q676" t="n">
        <v>0</v>
      </c>
      <c r="R676" s="2" t="inlineStr"/>
    </row>
    <row r="677" ht="15" customHeight="1">
      <c r="A677" t="inlineStr">
        <is>
          <t>A 3315-2026</t>
        </is>
      </c>
      <c r="B677" s="1" t="n">
        <v>46041.68443287037</v>
      </c>
      <c r="C677" s="1" t="n">
        <v>46082</v>
      </c>
      <c r="D677" t="inlineStr">
        <is>
          <t>ÖREBRO LÄN</t>
        </is>
      </c>
      <c r="E677" t="inlineStr">
        <is>
          <t>LINDESBERG</t>
        </is>
      </c>
      <c r="G677" t="n">
        <v>7.6</v>
      </c>
      <c r="H677" t="n">
        <v>0</v>
      </c>
      <c r="I677" t="n">
        <v>0</v>
      </c>
      <c r="J677" t="n">
        <v>0</v>
      </c>
      <c r="K677" t="n">
        <v>0</v>
      </c>
      <c r="L677" t="n">
        <v>0</v>
      </c>
      <c r="M677" t="n">
        <v>0</v>
      </c>
      <c r="N677" t="n">
        <v>0</v>
      </c>
      <c r="O677" t="n">
        <v>0</v>
      </c>
      <c r="P677" t="n">
        <v>0</v>
      </c>
      <c r="Q677" t="n">
        <v>0</v>
      </c>
      <c r="R677" s="2" t="inlineStr"/>
    </row>
    <row r="678" ht="15" customHeight="1">
      <c r="A678" t="inlineStr">
        <is>
          <t>A 13729-2025</t>
        </is>
      </c>
      <c r="B678" s="1" t="n">
        <v>45737.3846412037</v>
      </c>
      <c r="C678" s="1" t="n">
        <v>46082</v>
      </c>
      <c r="D678" t="inlineStr">
        <is>
          <t>ÖREBRO LÄN</t>
        </is>
      </c>
      <c r="E678" t="inlineStr">
        <is>
          <t>LINDESBERG</t>
        </is>
      </c>
      <c r="F678" t="inlineStr">
        <is>
          <t>Sveaskog</t>
        </is>
      </c>
      <c r="G678" t="n">
        <v>5.4</v>
      </c>
      <c r="H678" t="n">
        <v>0</v>
      </c>
      <c r="I678" t="n">
        <v>0</v>
      </c>
      <c r="J678" t="n">
        <v>0</v>
      </c>
      <c r="K678" t="n">
        <v>0</v>
      </c>
      <c r="L678" t="n">
        <v>0</v>
      </c>
      <c r="M678" t="n">
        <v>0</v>
      </c>
      <c r="N678" t="n">
        <v>0</v>
      </c>
      <c r="O678" t="n">
        <v>0</v>
      </c>
      <c r="P678" t="n">
        <v>0</v>
      </c>
      <c r="Q678" t="n">
        <v>0</v>
      </c>
      <c r="R678" s="2" t="inlineStr"/>
    </row>
    <row r="679" ht="15" customHeight="1">
      <c r="A679" t="inlineStr">
        <is>
          <t>A 60492-2024</t>
        </is>
      </c>
      <c r="B679" s="1" t="n">
        <v>45642</v>
      </c>
      <c r="C679" s="1" t="n">
        <v>46082</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40117-2023</t>
        </is>
      </c>
      <c r="B680" s="1" t="n">
        <v>45168.94197916667</v>
      </c>
      <c r="C680" s="1" t="n">
        <v>46082</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11366-2024</t>
        </is>
      </c>
      <c r="B681" s="1" t="n">
        <v>45372.40246527778</v>
      </c>
      <c r="C681" s="1" t="n">
        <v>46082</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61761-2025</t>
        </is>
      </c>
      <c r="B682" s="1" t="n">
        <v>46002.62465277778</v>
      </c>
      <c r="C682" s="1" t="n">
        <v>46082</v>
      </c>
      <c r="D682" t="inlineStr">
        <is>
          <t>ÖREBRO LÄN</t>
        </is>
      </c>
      <c r="E682" t="inlineStr">
        <is>
          <t>LINDESBERG</t>
        </is>
      </c>
      <c r="G682" t="n">
        <v>3.8</v>
      </c>
      <c r="H682" t="n">
        <v>0</v>
      </c>
      <c r="I682" t="n">
        <v>0</v>
      </c>
      <c r="J682" t="n">
        <v>0</v>
      </c>
      <c r="K682" t="n">
        <v>0</v>
      </c>
      <c r="L682" t="n">
        <v>0</v>
      </c>
      <c r="M682" t="n">
        <v>0</v>
      </c>
      <c r="N682" t="n">
        <v>0</v>
      </c>
      <c r="O682" t="n">
        <v>0</v>
      </c>
      <c r="P682" t="n">
        <v>0</v>
      </c>
      <c r="Q682" t="n">
        <v>0</v>
      </c>
      <c r="R682" s="2" t="inlineStr"/>
    </row>
    <row r="683" ht="15" customHeight="1">
      <c r="A683" t="inlineStr">
        <is>
          <t>A 60943-2024</t>
        </is>
      </c>
      <c r="B683" s="1" t="n">
        <v>45645.3737962963</v>
      </c>
      <c r="C683" s="1" t="n">
        <v>46082</v>
      </c>
      <c r="D683" t="inlineStr">
        <is>
          <t>ÖREBRO LÄN</t>
        </is>
      </c>
      <c r="E683" t="inlineStr">
        <is>
          <t>LINDESBERG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56912-2024</t>
        </is>
      </c>
      <c r="B684" s="1" t="n">
        <v>45628.59233796296</v>
      </c>
      <c r="C684" s="1" t="n">
        <v>46082</v>
      </c>
      <c r="D684" t="inlineStr">
        <is>
          <t>ÖREBRO LÄN</t>
        </is>
      </c>
      <c r="E684" t="inlineStr">
        <is>
          <t>LINDESBERG</t>
        </is>
      </c>
      <c r="G684" t="n">
        <v>1</v>
      </c>
      <c r="H684" t="n">
        <v>0</v>
      </c>
      <c r="I684" t="n">
        <v>0</v>
      </c>
      <c r="J684" t="n">
        <v>0</v>
      </c>
      <c r="K684" t="n">
        <v>0</v>
      </c>
      <c r="L684" t="n">
        <v>0</v>
      </c>
      <c r="M684" t="n">
        <v>0</v>
      </c>
      <c r="N684" t="n">
        <v>0</v>
      </c>
      <c r="O684" t="n">
        <v>0</v>
      </c>
      <c r="P684" t="n">
        <v>0</v>
      </c>
      <c r="Q684" t="n">
        <v>0</v>
      </c>
      <c r="R684" s="2" t="inlineStr"/>
    </row>
    <row r="685" ht="15" customHeight="1">
      <c r="A685" t="inlineStr">
        <is>
          <t>A 61745-2025</t>
        </is>
      </c>
      <c r="B685" s="1" t="n">
        <v>46002.60324074074</v>
      </c>
      <c r="C685" s="1" t="n">
        <v>46082</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47620-2023</t>
        </is>
      </c>
      <c r="B686" s="1" t="n">
        <v>45203.510625</v>
      </c>
      <c r="C686" s="1" t="n">
        <v>46082</v>
      </c>
      <c r="D686" t="inlineStr">
        <is>
          <t>ÖREBRO LÄN</t>
        </is>
      </c>
      <c r="E686" t="inlineStr">
        <is>
          <t>LINDESBERG</t>
        </is>
      </c>
      <c r="G686" t="n">
        <v>2.7</v>
      </c>
      <c r="H686" t="n">
        <v>0</v>
      </c>
      <c r="I686" t="n">
        <v>0</v>
      </c>
      <c r="J686" t="n">
        <v>0</v>
      </c>
      <c r="K686" t="n">
        <v>0</v>
      </c>
      <c r="L686" t="n">
        <v>0</v>
      </c>
      <c r="M686" t="n">
        <v>0</v>
      </c>
      <c r="N686" t="n">
        <v>0</v>
      </c>
      <c r="O686" t="n">
        <v>0</v>
      </c>
      <c r="P686" t="n">
        <v>0</v>
      </c>
      <c r="Q686" t="n">
        <v>0</v>
      </c>
      <c r="R686" s="2" t="inlineStr"/>
    </row>
    <row r="687" ht="15" customHeight="1">
      <c r="A687" t="inlineStr">
        <is>
          <t>A 3660-2026</t>
        </is>
      </c>
      <c r="B687" s="1" t="n">
        <v>46043.38744212963</v>
      </c>
      <c r="C687" s="1" t="n">
        <v>46082</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44010-2023</t>
        </is>
      </c>
      <c r="B688" s="1" t="n">
        <v>45188</v>
      </c>
      <c r="C688" s="1" t="n">
        <v>46082</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61758-2025</t>
        </is>
      </c>
      <c r="B689" s="1" t="n">
        <v>46002.61762731482</v>
      </c>
      <c r="C689" s="1" t="n">
        <v>46082</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2107-2022</t>
        </is>
      </c>
      <c r="B690" s="1" t="n">
        <v>44577.83484953704</v>
      </c>
      <c r="C690" s="1" t="n">
        <v>46082</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62246-2025</t>
        </is>
      </c>
      <c r="B691" s="1" t="n">
        <v>46006.60633101852</v>
      </c>
      <c r="C691" s="1" t="n">
        <v>46082</v>
      </c>
      <c r="D691" t="inlineStr">
        <is>
          <t>ÖREBRO LÄN</t>
        </is>
      </c>
      <c r="E691" t="inlineStr">
        <is>
          <t>LINDESBERG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16864-2022</t>
        </is>
      </c>
      <c r="B692" s="1" t="n">
        <v>44675</v>
      </c>
      <c r="C692" s="1" t="n">
        <v>46082</v>
      </c>
      <c r="D692" t="inlineStr">
        <is>
          <t>ÖREBRO LÄN</t>
        </is>
      </c>
      <c r="E692" t="inlineStr">
        <is>
          <t>LINDESBERG</t>
        </is>
      </c>
      <c r="F692" t="inlineStr">
        <is>
          <t>Kyrkan</t>
        </is>
      </c>
      <c r="G692" t="n">
        <v>1.7</v>
      </c>
      <c r="H692" t="n">
        <v>0</v>
      </c>
      <c r="I692" t="n">
        <v>0</v>
      </c>
      <c r="J692" t="n">
        <v>0</v>
      </c>
      <c r="K692" t="n">
        <v>0</v>
      </c>
      <c r="L692" t="n">
        <v>0</v>
      </c>
      <c r="M692" t="n">
        <v>0</v>
      </c>
      <c r="N692" t="n">
        <v>0</v>
      </c>
      <c r="O692" t="n">
        <v>0</v>
      </c>
      <c r="P692" t="n">
        <v>0</v>
      </c>
      <c r="Q692" t="n">
        <v>0</v>
      </c>
      <c r="R692" s="2" t="inlineStr"/>
    </row>
    <row r="693" ht="15" customHeight="1">
      <c r="A693" t="inlineStr">
        <is>
          <t>A 32928-2023</t>
        </is>
      </c>
      <c r="B693" s="1" t="n">
        <v>45125.41458333333</v>
      </c>
      <c r="C693" s="1" t="n">
        <v>46082</v>
      </c>
      <c r="D693" t="inlineStr">
        <is>
          <t>ÖREBRO LÄN</t>
        </is>
      </c>
      <c r="E693" t="inlineStr">
        <is>
          <t>LINDESBERG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21016-2023</t>
        </is>
      </c>
      <c r="B694" s="1" t="n">
        <v>45061.53414351852</v>
      </c>
      <c r="C694" s="1" t="n">
        <v>46082</v>
      </c>
      <c r="D694" t="inlineStr">
        <is>
          <t>ÖREBRO LÄN</t>
        </is>
      </c>
      <c r="E694" t="inlineStr">
        <is>
          <t>LINDESBERG</t>
        </is>
      </c>
      <c r="G694" t="n">
        <v>8.1</v>
      </c>
      <c r="H694" t="n">
        <v>0</v>
      </c>
      <c r="I694" t="n">
        <v>0</v>
      </c>
      <c r="J694" t="n">
        <v>0</v>
      </c>
      <c r="K694" t="n">
        <v>0</v>
      </c>
      <c r="L694" t="n">
        <v>0</v>
      </c>
      <c r="M694" t="n">
        <v>0</v>
      </c>
      <c r="N694" t="n">
        <v>0</v>
      </c>
      <c r="O694" t="n">
        <v>0</v>
      </c>
      <c r="P694" t="n">
        <v>0</v>
      </c>
      <c r="Q694" t="n">
        <v>0</v>
      </c>
      <c r="R694" s="2" t="inlineStr"/>
    </row>
    <row r="695" ht="15" customHeight="1">
      <c r="A695" t="inlineStr">
        <is>
          <t>A 40306-2022</t>
        </is>
      </c>
      <c r="B695" s="1" t="n">
        <v>44822</v>
      </c>
      <c r="C695" s="1" t="n">
        <v>46082</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27440-2023</t>
        </is>
      </c>
      <c r="B696" s="1" t="n">
        <v>45097.39893518519</v>
      </c>
      <c r="C696" s="1" t="n">
        <v>46082</v>
      </c>
      <c r="D696" t="inlineStr">
        <is>
          <t>ÖREBRO LÄN</t>
        </is>
      </c>
      <c r="E696" t="inlineStr">
        <is>
          <t>LINDESBERG</t>
        </is>
      </c>
      <c r="G696" t="n">
        <v>6.6</v>
      </c>
      <c r="H696" t="n">
        <v>0</v>
      </c>
      <c r="I696" t="n">
        <v>0</v>
      </c>
      <c r="J696" t="n">
        <v>0</v>
      </c>
      <c r="K696" t="n">
        <v>0</v>
      </c>
      <c r="L696" t="n">
        <v>0</v>
      </c>
      <c r="M696" t="n">
        <v>0</v>
      </c>
      <c r="N696" t="n">
        <v>0</v>
      </c>
      <c r="O696" t="n">
        <v>0</v>
      </c>
      <c r="P696" t="n">
        <v>0</v>
      </c>
      <c r="Q696" t="n">
        <v>0</v>
      </c>
      <c r="R696" s="2" t="inlineStr"/>
    </row>
    <row r="697" ht="15" customHeight="1">
      <c r="A697" t="inlineStr">
        <is>
          <t>A 40905-2023</t>
        </is>
      </c>
      <c r="B697" s="1" t="n">
        <v>45173.39315972223</v>
      </c>
      <c r="C697" s="1" t="n">
        <v>46082</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46082</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46082</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41951-2023</t>
        </is>
      </c>
      <c r="B700" s="1" t="n">
        <v>45177.33991898148</v>
      </c>
      <c r="C700" s="1" t="n">
        <v>46082</v>
      </c>
      <c r="D700" t="inlineStr">
        <is>
          <t>ÖREBRO LÄN</t>
        </is>
      </c>
      <c r="E700" t="inlineStr">
        <is>
          <t>LINDESBERG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62603-2025</t>
        </is>
      </c>
      <c r="B701" s="1" t="n">
        <v>46008.25765046296</v>
      </c>
      <c r="C701" s="1" t="n">
        <v>46082</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4310-2025</t>
        </is>
      </c>
      <c r="B702" s="1" t="n">
        <v>45685</v>
      </c>
      <c r="C702" s="1" t="n">
        <v>46082</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5235-2026</t>
        </is>
      </c>
      <c r="B703" s="1" t="n">
        <v>46049.84017361111</v>
      </c>
      <c r="C703" s="1" t="n">
        <v>46082</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40758-2021</t>
        </is>
      </c>
      <c r="B704" s="1" t="n">
        <v>44420</v>
      </c>
      <c r="C704" s="1" t="n">
        <v>46082</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34025-2024</t>
        </is>
      </c>
      <c r="B705" s="1" t="n">
        <v>45523.58565972222</v>
      </c>
      <c r="C705" s="1" t="n">
        <v>46082</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58056-2025</t>
        </is>
      </c>
      <c r="B706" s="1" t="n">
        <v>45982</v>
      </c>
      <c r="C706" s="1" t="n">
        <v>46082</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62604-2025</t>
        </is>
      </c>
      <c r="B707" s="1" t="n">
        <v>46008.26085648148</v>
      </c>
      <c r="C707" s="1" t="n">
        <v>46082</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46082</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63078-2025</t>
        </is>
      </c>
      <c r="B709" s="1" t="n">
        <v>46009</v>
      </c>
      <c r="C709" s="1" t="n">
        <v>46082</v>
      </c>
      <c r="D709" t="inlineStr">
        <is>
          <t>ÖREBRO LÄN</t>
        </is>
      </c>
      <c r="E709" t="inlineStr">
        <is>
          <t>LINDESBERG</t>
        </is>
      </c>
      <c r="G709" t="n">
        <v>0.9</v>
      </c>
      <c r="H709" t="n">
        <v>0</v>
      </c>
      <c r="I709" t="n">
        <v>0</v>
      </c>
      <c r="J709" t="n">
        <v>0</v>
      </c>
      <c r="K709" t="n">
        <v>0</v>
      </c>
      <c r="L709" t="n">
        <v>0</v>
      </c>
      <c r="M709" t="n">
        <v>0</v>
      </c>
      <c r="N709" t="n">
        <v>0</v>
      </c>
      <c r="O709" t="n">
        <v>0</v>
      </c>
      <c r="P709" t="n">
        <v>0</v>
      </c>
      <c r="Q709" t="n">
        <v>0</v>
      </c>
      <c r="R709" s="2" t="inlineStr"/>
    </row>
    <row r="710" ht="15" customHeight="1">
      <c r="A710" t="inlineStr">
        <is>
          <t>A 5715-2026</t>
        </is>
      </c>
      <c r="B710" s="1" t="n">
        <v>46051.53563657407</v>
      </c>
      <c r="C710" s="1" t="n">
        <v>46082</v>
      </c>
      <c r="D710" t="inlineStr">
        <is>
          <t>ÖREBRO LÄN</t>
        </is>
      </c>
      <c r="E710" t="inlineStr">
        <is>
          <t>LINDESBERG</t>
        </is>
      </c>
      <c r="G710" t="n">
        <v>0.7</v>
      </c>
      <c r="H710" t="n">
        <v>0</v>
      </c>
      <c r="I710" t="n">
        <v>0</v>
      </c>
      <c r="J710" t="n">
        <v>0</v>
      </c>
      <c r="K710" t="n">
        <v>0</v>
      </c>
      <c r="L710" t="n">
        <v>0</v>
      </c>
      <c r="M710" t="n">
        <v>0</v>
      </c>
      <c r="N710" t="n">
        <v>0</v>
      </c>
      <c r="O710" t="n">
        <v>0</v>
      </c>
      <c r="P710" t="n">
        <v>0</v>
      </c>
      <c r="Q710" t="n">
        <v>0</v>
      </c>
      <c r="R710" s="2" t="inlineStr"/>
    </row>
    <row r="711" ht="15" customHeight="1">
      <c r="A711" t="inlineStr">
        <is>
          <t>A 7990-2025</t>
        </is>
      </c>
      <c r="B711" s="1" t="n">
        <v>45707</v>
      </c>
      <c r="C711" s="1" t="n">
        <v>46082</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5928-2026</t>
        </is>
      </c>
      <c r="B712" s="1" t="n">
        <v>46052.46519675926</v>
      </c>
      <c r="C712" s="1" t="n">
        <v>46082</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5717-2026</t>
        </is>
      </c>
      <c r="B713" s="1" t="n">
        <v>46051.53689814815</v>
      </c>
      <c r="C713" s="1" t="n">
        <v>46082</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46082</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63083-2025</t>
        </is>
      </c>
      <c r="B715" s="1" t="n">
        <v>46009.67175925926</v>
      </c>
      <c r="C715" s="1" t="n">
        <v>46082</v>
      </c>
      <c r="D715" t="inlineStr">
        <is>
          <t>ÖREBRO LÄN</t>
        </is>
      </c>
      <c r="E715" t="inlineStr">
        <is>
          <t>LINDESBERG</t>
        </is>
      </c>
      <c r="G715" t="n">
        <v>0.7</v>
      </c>
      <c r="H715" t="n">
        <v>0</v>
      </c>
      <c r="I715" t="n">
        <v>0</v>
      </c>
      <c r="J715" t="n">
        <v>0</v>
      </c>
      <c r="K715" t="n">
        <v>0</v>
      </c>
      <c r="L715" t="n">
        <v>0</v>
      </c>
      <c r="M715" t="n">
        <v>0</v>
      </c>
      <c r="N715" t="n">
        <v>0</v>
      </c>
      <c r="O715" t="n">
        <v>0</v>
      </c>
      <c r="P715" t="n">
        <v>0</v>
      </c>
      <c r="Q715" t="n">
        <v>0</v>
      </c>
      <c r="R715" s="2" t="inlineStr"/>
    </row>
    <row r="716" ht="15" customHeight="1">
      <c r="A716" t="inlineStr">
        <is>
          <t>A 61691-2023</t>
        </is>
      </c>
      <c r="B716" s="1" t="n">
        <v>45265.64142361111</v>
      </c>
      <c r="C716" s="1" t="n">
        <v>46082</v>
      </c>
      <c r="D716" t="inlineStr">
        <is>
          <t>ÖREBRO LÄN</t>
        </is>
      </c>
      <c r="E716" t="inlineStr">
        <is>
          <t>LINDESBERG</t>
        </is>
      </c>
      <c r="G716" t="n">
        <v>2.6</v>
      </c>
      <c r="H716" t="n">
        <v>0</v>
      </c>
      <c r="I716" t="n">
        <v>0</v>
      </c>
      <c r="J716" t="n">
        <v>0</v>
      </c>
      <c r="K716" t="n">
        <v>0</v>
      </c>
      <c r="L716" t="n">
        <v>0</v>
      </c>
      <c r="M716" t="n">
        <v>0</v>
      </c>
      <c r="N716" t="n">
        <v>0</v>
      </c>
      <c r="O716" t="n">
        <v>0</v>
      </c>
      <c r="P716" t="n">
        <v>0</v>
      </c>
      <c r="Q716" t="n">
        <v>0</v>
      </c>
      <c r="R716" s="2" t="inlineStr"/>
    </row>
    <row r="717" ht="15" customHeight="1">
      <c r="A717" t="inlineStr">
        <is>
          <t>A 61736-2025</t>
        </is>
      </c>
      <c r="B717" s="1" t="n">
        <v>46002</v>
      </c>
      <c r="C717" s="1" t="n">
        <v>46082</v>
      </c>
      <c r="D717" t="inlineStr">
        <is>
          <t>ÖREBRO LÄN</t>
        </is>
      </c>
      <c r="E717" t="inlineStr">
        <is>
          <t>LINDESBERG</t>
        </is>
      </c>
      <c r="G717" t="n">
        <v>4.5</v>
      </c>
      <c r="H717" t="n">
        <v>0</v>
      </c>
      <c r="I717" t="n">
        <v>0</v>
      </c>
      <c r="J717" t="n">
        <v>0</v>
      </c>
      <c r="K717" t="n">
        <v>0</v>
      </c>
      <c r="L717" t="n">
        <v>0</v>
      </c>
      <c r="M717" t="n">
        <v>0</v>
      </c>
      <c r="N717" t="n">
        <v>0</v>
      </c>
      <c r="O717" t="n">
        <v>0</v>
      </c>
      <c r="P717" t="n">
        <v>0</v>
      </c>
      <c r="Q717" t="n">
        <v>0</v>
      </c>
      <c r="R717" s="2" t="inlineStr"/>
    </row>
    <row r="718" ht="15" customHeight="1">
      <c r="A718" t="inlineStr">
        <is>
          <t>A 61739-2025</t>
        </is>
      </c>
      <c r="B718" s="1" t="n">
        <v>46002</v>
      </c>
      <c r="C718" s="1" t="n">
        <v>46082</v>
      </c>
      <c r="D718" t="inlineStr">
        <is>
          <t>ÖREBRO LÄN</t>
        </is>
      </c>
      <c r="E718" t="inlineStr">
        <is>
          <t>LINDESBERG</t>
        </is>
      </c>
      <c r="G718" t="n">
        <v>5.3</v>
      </c>
      <c r="H718" t="n">
        <v>0</v>
      </c>
      <c r="I718" t="n">
        <v>0</v>
      </c>
      <c r="J718" t="n">
        <v>0</v>
      </c>
      <c r="K718" t="n">
        <v>0</v>
      </c>
      <c r="L718" t="n">
        <v>0</v>
      </c>
      <c r="M718" t="n">
        <v>0</v>
      </c>
      <c r="N718" t="n">
        <v>0</v>
      </c>
      <c r="O718" t="n">
        <v>0</v>
      </c>
      <c r="P718" t="n">
        <v>0</v>
      </c>
      <c r="Q718" t="n">
        <v>0</v>
      </c>
      <c r="R718" s="2" t="inlineStr"/>
    </row>
    <row r="719" ht="15" customHeight="1">
      <c r="A719" t="inlineStr">
        <is>
          <t>A 6520-2026</t>
        </is>
      </c>
      <c r="B719" s="1" t="n">
        <v>46056.40149305556</v>
      </c>
      <c r="C719" s="1" t="n">
        <v>46082</v>
      </c>
      <c r="D719" t="inlineStr">
        <is>
          <t>ÖREBRO LÄN</t>
        </is>
      </c>
      <c r="E719" t="inlineStr">
        <is>
          <t>LINDESBERG</t>
        </is>
      </c>
      <c r="G719" t="n">
        <v>2.2</v>
      </c>
      <c r="H719" t="n">
        <v>0</v>
      </c>
      <c r="I719" t="n">
        <v>0</v>
      </c>
      <c r="J719" t="n">
        <v>0</v>
      </c>
      <c r="K719" t="n">
        <v>0</v>
      </c>
      <c r="L719" t="n">
        <v>0</v>
      </c>
      <c r="M719" t="n">
        <v>0</v>
      </c>
      <c r="N719" t="n">
        <v>0</v>
      </c>
      <c r="O719" t="n">
        <v>0</v>
      </c>
      <c r="P719" t="n">
        <v>0</v>
      </c>
      <c r="Q719" t="n">
        <v>0</v>
      </c>
      <c r="R719" s="2" t="inlineStr"/>
    </row>
    <row r="720" ht="15" customHeight="1">
      <c r="A720" t="inlineStr">
        <is>
          <t>A 63526-2025</t>
        </is>
      </c>
      <c r="B720" s="1" t="n">
        <v>46013</v>
      </c>
      <c r="C720" s="1" t="n">
        <v>46082</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6524-2026</t>
        </is>
      </c>
      <c r="B721" s="1" t="n">
        <v>46056.40425925926</v>
      </c>
      <c r="C721" s="1" t="n">
        <v>46082</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46082</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37507-2023</t>
        </is>
      </c>
      <c r="B723" s="1" t="n">
        <v>45158.41768518519</v>
      </c>
      <c r="C723" s="1" t="n">
        <v>46082</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41576-2021</t>
        </is>
      </c>
      <c r="B724" s="1" t="n">
        <v>44425</v>
      </c>
      <c r="C724" s="1" t="n">
        <v>46082</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46675-2023</t>
        </is>
      </c>
      <c r="B725" s="1" t="n">
        <v>45194</v>
      </c>
      <c r="C725" s="1" t="n">
        <v>46082</v>
      </c>
      <c r="D725" t="inlineStr">
        <is>
          <t>ÖREBRO LÄN</t>
        </is>
      </c>
      <c r="E725" t="inlineStr">
        <is>
          <t>LINDESBERG</t>
        </is>
      </c>
      <c r="G725" t="n">
        <v>3.8</v>
      </c>
      <c r="H725" t="n">
        <v>0</v>
      </c>
      <c r="I725" t="n">
        <v>0</v>
      </c>
      <c r="J725" t="n">
        <v>0</v>
      </c>
      <c r="K725" t="n">
        <v>0</v>
      </c>
      <c r="L725" t="n">
        <v>0</v>
      </c>
      <c r="M725" t="n">
        <v>0</v>
      </c>
      <c r="N725" t="n">
        <v>0</v>
      </c>
      <c r="O725" t="n">
        <v>0</v>
      </c>
      <c r="P725" t="n">
        <v>0</v>
      </c>
      <c r="Q725" t="n">
        <v>0</v>
      </c>
      <c r="R725" s="2" t="inlineStr"/>
    </row>
    <row r="726" ht="15" customHeight="1">
      <c r="A726" t="inlineStr">
        <is>
          <t>A 34434-2023</t>
        </is>
      </c>
      <c r="B726" s="1" t="n">
        <v>45139.63480324074</v>
      </c>
      <c r="C726" s="1" t="n">
        <v>46082</v>
      </c>
      <c r="D726" t="inlineStr">
        <is>
          <t>ÖREBRO LÄN</t>
        </is>
      </c>
      <c r="E726" t="inlineStr">
        <is>
          <t>LINDESBERG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6989-2026</t>
        </is>
      </c>
      <c r="B727" s="1" t="n">
        <v>46057.60342592592</v>
      </c>
      <c r="C727" s="1" t="n">
        <v>46082</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46082</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7121-2026</t>
        </is>
      </c>
      <c r="B729" s="1" t="n">
        <v>46058.38300925926</v>
      </c>
      <c r="C729" s="1" t="n">
        <v>46082</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54432-2023</t>
        </is>
      </c>
      <c r="B730" s="1" t="n">
        <v>45233.42121527778</v>
      </c>
      <c r="C730" s="1" t="n">
        <v>46082</v>
      </c>
      <c r="D730" t="inlineStr">
        <is>
          <t>ÖREBRO LÄN</t>
        </is>
      </c>
      <c r="E730" t="inlineStr">
        <is>
          <t>LINDESBERG</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15933-2025</t>
        </is>
      </c>
      <c r="B731" s="1" t="n">
        <v>45749.47251157407</v>
      </c>
      <c r="C731" s="1" t="n">
        <v>46082</v>
      </c>
      <c r="D731" t="inlineStr">
        <is>
          <t>ÖREBRO LÄN</t>
        </is>
      </c>
      <c r="E731" t="inlineStr">
        <is>
          <t>LINDESBERG</t>
        </is>
      </c>
      <c r="G731" t="n">
        <v>6.1</v>
      </c>
      <c r="H731" t="n">
        <v>0</v>
      </c>
      <c r="I731" t="n">
        <v>0</v>
      </c>
      <c r="J731" t="n">
        <v>0</v>
      </c>
      <c r="K731" t="n">
        <v>0</v>
      </c>
      <c r="L731" t="n">
        <v>0</v>
      </c>
      <c r="M731" t="n">
        <v>0</v>
      </c>
      <c r="N731" t="n">
        <v>0</v>
      </c>
      <c r="O731" t="n">
        <v>0</v>
      </c>
      <c r="P731" t="n">
        <v>0</v>
      </c>
      <c r="Q731" t="n">
        <v>0</v>
      </c>
      <c r="R731" s="2" t="inlineStr"/>
    </row>
    <row r="732" ht="15" customHeight="1">
      <c r="A732" t="inlineStr">
        <is>
          <t>A 15936-2025</t>
        </is>
      </c>
      <c r="B732" s="1" t="n">
        <v>45749.4737962963</v>
      </c>
      <c r="C732" s="1" t="n">
        <v>46082</v>
      </c>
      <c r="D732" t="inlineStr">
        <is>
          <t>ÖREBRO LÄN</t>
        </is>
      </c>
      <c r="E732" t="inlineStr">
        <is>
          <t>LINDESBERG</t>
        </is>
      </c>
      <c r="G732" t="n">
        <v>22.3</v>
      </c>
      <c r="H732" t="n">
        <v>0</v>
      </c>
      <c r="I732" t="n">
        <v>0</v>
      </c>
      <c r="J732" t="n">
        <v>0</v>
      </c>
      <c r="K732" t="n">
        <v>0</v>
      </c>
      <c r="L732" t="n">
        <v>0</v>
      </c>
      <c r="M732" t="n">
        <v>0</v>
      </c>
      <c r="N732" t="n">
        <v>0</v>
      </c>
      <c r="O732" t="n">
        <v>0</v>
      </c>
      <c r="P732" t="n">
        <v>0</v>
      </c>
      <c r="Q732" t="n">
        <v>0</v>
      </c>
      <c r="R732" s="2" t="inlineStr"/>
    </row>
    <row r="733" ht="15" customHeight="1">
      <c r="A733" t="inlineStr">
        <is>
          <t>A 1490-2024</t>
        </is>
      </c>
      <c r="B733" s="1" t="n">
        <v>45305</v>
      </c>
      <c r="C733" s="1" t="n">
        <v>46082</v>
      </c>
      <c r="D733" t="inlineStr">
        <is>
          <t>ÖREBRO LÄN</t>
        </is>
      </c>
      <c r="E733" t="inlineStr">
        <is>
          <t>LINDESBERG</t>
        </is>
      </c>
      <c r="G733" t="n">
        <v>17.6</v>
      </c>
      <c r="H733" t="n">
        <v>0</v>
      </c>
      <c r="I733" t="n">
        <v>0</v>
      </c>
      <c r="J733" t="n">
        <v>0</v>
      </c>
      <c r="K733" t="n">
        <v>0</v>
      </c>
      <c r="L733" t="n">
        <v>0</v>
      </c>
      <c r="M733" t="n">
        <v>0</v>
      </c>
      <c r="N733" t="n">
        <v>0</v>
      </c>
      <c r="O733" t="n">
        <v>0</v>
      </c>
      <c r="P733" t="n">
        <v>0</v>
      </c>
      <c r="Q733" t="n">
        <v>0</v>
      </c>
      <c r="R733" s="2" t="inlineStr"/>
    </row>
    <row r="734" ht="15" customHeight="1">
      <c r="A734" t="inlineStr">
        <is>
          <t>A 7069-2026</t>
        </is>
      </c>
      <c r="B734" s="1" t="n">
        <v>46058.30956018518</v>
      </c>
      <c r="C734" s="1" t="n">
        <v>46082</v>
      </c>
      <c r="D734" t="inlineStr">
        <is>
          <t>ÖREBRO LÄN</t>
        </is>
      </c>
      <c r="E734" t="inlineStr">
        <is>
          <t>LINDESBERG</t>
        </is>
      </c>
      <c r="G734" t="n">
        <v>0.9</v>
      </c>
      <c r="H734" t="n">
        <v>0</v>
      </c>
      <c r="I734" t="n">
        <v>0</v>
      </c>
      <c r="J734" t="n">
        <v>0</v>
      </c>
      <c r="K734" t="n">
        <v>0</v>
      </c>
      <c r="L734" t="n">
        <v>0</v>
      </c>
      <c r="M734" t="n">
        <v>0</v>
      </c>
      <c r="N734" t="n">
        <v>0</v>
      </c>
      <c r="O734" t="n">
        <v>0</v>
      </c>
      <c r="P734" t="n">
        <v>0</v>
      </c>
      <c r="Q734" t="n">
        <v>0</v>
      </c>
      <c r="R734" s="2" t="inlineStr"/>
    </row>
    <row r="735" ht="15" customHeight="1">
      <c r="A735" t="inlineStr">
        <is>
          <t>A 7202-2026</t>
        </is>
      </c>
      <c r="B735" s="1" t="n">
        <v>46058.52864583334</v>
      </c>
      <c r="C735" s="1" t="n">
        <v>46082</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53168-2023</t>
        </is>
      </c>
      <c r="B736" s="1" t="n">
        <v>45229</v>
      </c>
      <c r="C736" s="1" t="n">
        <v>46082</v>
      </c>
      <c r="D736" t="inlineStr">
        <is>
          <t>ÖREBRO LÄN</t>
        </is>
      </c>
      <c r="E736" t="inlineStr">
        <is>
          <t>LINDESBERG</t>
        </is>
      </c>
      <c r="G736" t="n">
        <v>1.5</v>
      </c>
      <c r="H736" t="n">
        <v>0</v>
      </c>
      <c r="I736" t="n">
        <v>0</v>
      </c>
      <c r="J736" t="n">
        <v>0</v>
      </c>
      <c r="K736" t="n">
        <v>0</v>
      </c>
      <c r="L736" t="n">
        <v>0</v>
      </c>
      <c r="M736" t="n">
        <v>0</v>
      </c>
      <c r="N736" t="n">
        <v>0</v>
      </c>
      <c r="O736" t="n">
        <v>0</v>
      </c>
      <c r="P736" t="n">
        <v>0</v>
      </c>
      <c r="Q736" t="n">
        <v>0</v>
      </c>
      <c r="R736" s="2" t="inlineStr"/>
    </row>
    <row r="737" ht="15" customHeight="1">
      <c r="A737" t="inlineStr">
        <is>
          <t>A 17242-2025</t>
        </is>
      </c>
      <c r="B737" s="1" t="n">
        <v>45756.49009259259</v>
      </c>
      <c r="C737" s="1" t="n">
        <v>46082</v>
      </c>
      <c r="D737" t="inlineStr">
        <is>
          <t>ÖREBRO LÄN</t>
        </is>
      </c>
      <c r="E737" t="inlineStr">
        <is>
          <t>LINDESBERG</t>
        </is>
      </c>
      <c r="G737" t="n">
        <v>7.3</v>
      </c>
      <c r="H737" t="n">
        <v>0</v>
      </c>
      <c r="I737" t="n">
        <v>0</v>
      </c>
      <c r="J737" t="n">
        <v>0</v>
      </c>
      <c r="K737" t="n">
        <v>0</v>
      </c>
      <c r="L737" t="n">
        <v>0</v>
      </c>
      <c r="M737" t="n">
        <v>0</v>
      </c>
      <c r="N737" t="n">
        <v>0</v>
      </c>
      <c r="O737" t="n">
        <v>0</v>
      </c>
      <c r="P737" t="n">
        <v>0</v>
      </c>
      <c r="Q737" t="n">
        <v>0</v>
      </c>
      <c r="R737" s="2" t="inlineStr"/>
    </row>
    <row r="738" ht="15" customHeight="1">
      <c r="A738" t="inlineStr">
        <is>
          <t>A 4603-2024</t>
        </is>
      </c>
      <c r="B738" s="1" t="n">
        <v>45328</v>
      </c>
      <c r="C738" s="1" t="n">
        <v>46082</v>
      </c>
      <c r="D738" t="inlineStr">
        <is>
          <t>ÖREBRO LÄN</t>
        </is>
      </c>
      <c r="E738" t="inlineStr">
        <is>
          <t>LINDESBERG</t>
        </is>
      </c>
      <c r="F738" t="inlineStr">
        <is>
          <t>BillerudKorsnäs AB</t>
        </is>
      </c>
      <c r="G738" t="n">
        <v>4.3</v>
      </c>
      <c r="H738" t="n">
        <v>0</v>
      </c>
      <c r="I738" t="n">
        <v>0</v>
      </c>
      <c r="J738" t="n">
        <v>0</v>
      </c>
      <c r="K738" t="n">
        <v>0</v>
      </c>
      <c r="L738" t="n">
        <v>0</v>
      </c>
      <c r="M738" t="n">
        <v>0</v>
      </c>
      <c r="N738" t="n">
        <v>0</v>
      </c>
      <c r="O738" t="n">
        <v>0</v>
      </c>
      <c r="P738" t="n">
        <v>0</v>
      </c>
      <c r="Q738" t="n">
        <v>0</v>
      </c>
      <c r="R738" s="2" t="inlineStr"/>
    </row>
    <row r="739" ht="15" customHeight="1">
      <c r="A739" t="inlineStr">
        <is>
          <t>A 53062-2023</t>
        </is>
      </c>
      <c r="B739" s="1" t="n">
        <v>45227.31859953704</v>
      </c>
      <c r="C739" s="1" t="n">
        <v>46082</v>
      </c>
      <c r="D739" t="inlineStr">
        <is>
          <t>ÖREBRO LÄN</t>
        </is>
      </c>
      <c r="E739" t="inlineStr">
        <is>
          <t>LINDESBERG</t>
        </is>
      </c>
      <c r="G739" t="n">
        <v>3.1</v>
      </c>
      <c r="H739" t="n">
        <v>0</v>
      </c>
      <c r="I739" t="n">
        <v>0</v>
      </c>
      <c r="J739" t="n">
        <v>0</v>
      </c>
      <c r="K739" t="n">
        <v>0</v>
      </c>
      <c r="L739" t="n">
        <v>0</v>
      </c>
      <c r="M739" t="n">
        <v>0</v>
      </c>
      <c r="N739" t="n">
        <v>0</v>
      </c>
      <c r="O739" t="n">
        <v>0</v>
      </c>
      <c r="P739" t="n">
        <v>0</v>
      </c>
      <c r="Q739" t="n">
        <v>0</v>
      </c>
      <c r="R739" s="2" t="inlineStr"/>
    </row>
    <row r="740" ht="15" customHeight="1">
      <c r="A740" t="inlineStr">
        <is>
          <t>A 8902-2024</t>
        </is>
      </c>
      <c r="B740" s="1" t="n">
        <v>45357.34521990741</v>
      </c>
      <c r="C740" s="1" t="n">
        <v>46082</v>
      </c>
      <c r="D740" t="inlineStr">
        <is>
          <t>ÖREBRO LÄN</t>
        </is>
      </c>
      <c r="E740" t="inlineStr">
        <is>
          <t>LINDESBERG</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59631-2023</t>
        </is>
      </c>
      <c r="B741" s="1" t="n">
        <v>45254.68105324074</v>
      </c>
      <c r="C741" s="1" t="n">
        <v>46082</v>
      </c>
      <c r="D741" t="inlineStr">
        <is>
          <t>ÖREBRO LÄN</t>
        </is>
      </c>
      <c r="E741" t="inlineStr">
        <is>
          <t>LINDESBERG</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19110-2025</t>
        </is>
      </c>
      <c r="B742" s="1" t="n">
        <v>45768.49947916667</v>
      </c>
      <c r="C742" s="1" t="n">
        <v>46082</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21245-2024</t>
        </is>
      </c>
      <c r="B743" s="1" t="n">
        <v>45440</v>
      </c>
      <c r="C743" s="1" t="n">
        <v>46082</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29350-2022</t>
        </is>
      </c>
      <c r="B744" s="1" t="n">
        <v>44753</v>
      </c>
      <c r="C744" s="1" t="n">
        <v>46082</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8189-2026</t>
        </is>
      </c>
      <c r="B745" s="1" t="n">
        <v>46064.42460648148</v>
      </c>
      <c r="C745" s="1" t="n">
        <v>46082</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46082</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46082</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46082</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3659-2026</t>
        </is>
      </c>
      <c r="B749" s="1" t="n">
        <v>46043</v>
      </c>
      <c r="C749" s="1" t="n">
        <v>46082</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63668-2023</t>
        </is>
      </c>
      <c r="B750" s="1" t="n">
        <v>45274</v>
      </c>
      <c r="C750" s="1" t="n">
        <v>46082</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8139-2023</t>
        </is>
      </c>
      <c r="B751" s="1" t="n">
        <v>44970</v>
      </c>
      <c r="C751" s="1" t="n">
        <v>46082</v>
      </c>
      <c r="D751" t="inlineStr">
        <is>
          <t>ÖREBRO LÄN</t>
        </is>
      </c>
      <c r="E751" t="inlineStr">
        <is>
          <t>LINDESBERG</t>
        </is>
      </c>
      <c r="G751" t="n">
        <v>3.6</v>
      </c>
      <c r="H751" t="n">
        <v>0</v>
      </c>
      <c r="I751" t="n">
        <v>0</v>
      </c>
      <c r="J751" t="n">
        <v>0</v>
      </c>
      <c r="K751" t="n">
        <v>0</v>
      </c>
      <c r="L751" t="n">
        <v>0</v>
      </c>
      <c r="M751" t="n">
        <v>0</v>
      </c>
      <c r="N751" t="n">
        <v>0</v>
      </c>
      <c r="O751" t="n">
        <v>0</v>
      </c>
      <c r="P751" t="n">
        <v>0</v>
      </c>
      <c r="Q751" t="n">
        <v>0</v>
      </c>
      <c r="R751" s="2" t="inlineStr"/>
    </row>
    <row r="752" ht="15" customHeight="1">
      <c r="A752" t="inlineStr">
        <is>
          <t>A 12276-2025</t>
        </is>
      </c>
      <c r="B752" s="1" t="n">
        <v>45729.65061342593</v>
      </c>
      <c r="C752" s="1" t="n">
        <v>46082</v>
      </c>
      <c r="D752" t="inlineStr">
        <is>
          <t>ÖREBRO LÄN</t>
        </is>
      </c>
      <c r="E752" t="inlineStr">
        <is>
          <t>LINDESBERG</t>
        </is>
      </c>
      <c r="G752" t="n">
        <v>7.6</v>
      </c>
      <c r="H752" t="n">
        <v>0</v>
      </c>
      <c r="I752" t="n">
        <v>0</v>
      </c>
      <c r="J752" t="n">
        <v>0</v>
      </c>
      <c r="K752" t="n">
        <v>0</v>
      </c>
      <c r="L752" t="n">
        <v>0</v>
      </c>
      <c r="M752" t="n">
        <v>0</v>
      </c>
      <c r="N752" t="n">
        <v>0</v>
      </c>
      <c r="O752" t="n">
        <v>0</v>
      </c>
      <c r="P752" t="n">
        <v>0</v>
      </c>
      <c r="Q752" t="n">
        <v>0</v>
      </c>
      <c r="R752" s="2" t="inlineStr"/>
    </row>
    <row r="753" ht="15" customHeight="1">
      <c r="A753" t="inlineStr">
        <is>
          <t>A 36291-2022</t>
        </is>
      </c>
      <c r="B753" s="1" t="n">
        <v>44803.64361111111</v>
      </c>
      <c r="C753" s="1" t="n">
        <v>46082</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61597-2023</t>
        </is>
      </c>
      <c r="B754" s="1" t="n">
        <v>45265.49225694445</v>
      </c>
      <c r="C754" s="1" t="n">
        <v>46082</v>
      </c>
      <c r="D754" t="inlineStr">
        <is>
          <t>ÖREBRO LÄN</t>
        </is>
      </c>
      <c r="E754" t="inlineStr">
        <is>
          <t>LINDESBERG</t>
        </is>
      </c>
      <c r="G754" t="n">
        <v>10.3</v>
      </c>
      <c r="H754" t="n">
        <v>0</v>
      </c>
      <c r="I754" t="n">
        <v>0</v>
      </c>
      <c r="J754" t="n">
        <v>0</v>
      </c>
      <c r="K754" t="n">
        <v>0</v>
      </c>
      <c r="L754" t="n">
        <v>0</v>
      </c>
      <c r="M754" t="n">
        <v>0</v>
      </c>
      <c r="N754" t="n">
        <v>0</v>
      </c>
      <c r="O754" t="n">
        <v>0</v>
      </c>
      <c r="P754" t="n">
        <v>0</v>
      </c>
      <c r="Q754" t="n">
        <v>0</v>
      </c>
      <c r="R754" s="2" t="inlineStr"/>
    </row>
    <row r="755" ht="15" customHeight="1">
      <c r="A755" t="inlineStr">
        <is>
          <t>A 62968-2023</t>
        </is>
      </c>
      <c r="B755" s="1" t="n">
        <v>45272.57385416667</v>
      </c>
      <c r="C755" s="1" t="n">
        <v>46082</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24270-2023</t>
        </is>
      </c>
      <c r="B756" s="1" t="n">
        <v>45079</v>
      </c>
      <c r="C756" s="1" t="n">
        <v>46082</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24271-2023</t>
        </is>
      </c>
      <c r="B757" s="1" t="n">
        <v>45079</v>
      </c>
      <c r="C757" s="1" t="n">
        <v>46082</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9432-2026</t>
        </is>
      </c>
      <c r="B758" s="1" t="n">
        <v>46071.45568287037</v>
      </c>
      <c r="C758" s="1" t="n">
        <v>46082</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9567-2026</t>
        </is>
      </c>
      <c r="B759" s="1" t="n">
        <v>46071.65692129629</v>
      </c>
      <c r="C759" s="1" t="n">
        <v>46082</v>
      </c>
      <c r="D759" t="inlineStr">
        <is>
          <t>ÖREBRO LÄN</t>
        </is>
      </c>
      <c r="E759" t="inlineStr">
        <is>
          <t>LINDESBERG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9577-2026</t>
        </is>
      </c>
      <c r="B760" s="1" t="n">
        <v>46071.67334490741</v>
      </c>
      <c r="C760" s="1" t="n">
        <v>46082</v>
      </c>
      <c r="D760" t="inlineStr">
        <is>
          <t>ÖREBRO LÄN</t>
        </is>
      </c>
      <c r="E760" t="inlineStr">
        <is>
          <t>LINDESBERG</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610-2026</t>
        </is>
      </c>
      <c r="B761" s="1" t="n">
        <v>46029</v>
      </c>
      <c r="C761" s="1" t="n">
        <v>46082</v>
      </c>
      <c r="D761" t="inlineStr">
        <is>
          <t>ÖREBRO LÄN</t>
        </is>
      </c>
      <c r="E761" t="inlineStr">
        <is>
          <t>LINDESBERG</t>
        </is>
      </c>
      <c r="G761" t="n">
        <v>0.8</v>
      </c>
      <c r="H761" t="n">
        <v>0</v>
      </c>
      <c r="I761" t="n">
        <v>0</v>
      </c>
      <c r="J761" t="n">
        <v>0</v>
      </c>
      <c r="K761" t="n">
        <v>0</v>
      </c>
      <c r="L761" t="n">
        <v>0</v>
      </c>
      <c r="M761" t="n">
        <v>0</v>
      </c>
      <c r="N761" t="n">
        <v>0</v>
      </c>
      <c r="O761" t="n">
        <v>0</v>
      </c>
      <c r="P761" t="n">
        <v>0</v>
      </c>
      <c r="Q761" t="n">
        <v>0</v>
      </c>
      <c r="R761" s="2" t="inlineStr"/>
    </row>
    <row r="762" ht="15" customHeight="1">
      <c r="A762" t="inlineStr">
        <is>
          <t>A 62866-2023</t>
        </is>
      </c>
      <c r="B762" s="1" t="n">
        <v>45272.36168981482</v>
      </c>
      <c r="C762" s="1" t="n">
        <v>46082</v>
      </c>
      <c r="D762" t="inlineStr">
        <is>
          <t>ÖREBRO LÄN</t>
        </is>
      </c>
      <c r="E762" t="inlineStr">
        <is>
          <t>LINDESBERG</t>
        </is>
      </c>
      <c r="G762" t="n">
        <v>14.5</v>
      </c>
      <c r="H762" t="n">
        <v>0</v>
      </c>
      <c r="I762" t="n">
        <v>0</v>
      </c>
      <c r="J762" t="n">
        <v>0</v>
      </c>
      <c r="K762" t="n">
        <v>0</v>
      </c>
      <c r="L762" t="n">
        <v>0</v>
      </c>
      <c r="M762" t="n">
        <v>0</v>
      </c>
      <c r="N762" t="n">
        <v>0</v>
      </c>
      <c r="O762" t="n">
        <v>0</v>
      </c>
      <c r="P762" t="n">
        <v>0</v>
      </c>
      <c r="Q762" t="n">
        <v>0</v>
      </c>
      <c r="R762" s="2" t="inlineStr"/>
    </row>
    <row r="763" ht="15" customHeight="1">
      <c r="A763" t="inlineStr">
        <is>
          <t>A 13416-2025</t>
        </is>
      </c>
      <c r="B763" s="1" t="n">
        <v>45736.308125</v>
      </c>
      <c r="C763" s="1" t="n">
        <v>46082</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911-2026</t>
        </is>
      </c>
      <c r="B764" s="1" t="n">
        <v>46030.47725694445</v>
      </c>
      <c r="C764" s="1" t="n">
        <v>46082</v>
      </c>
      <c r="D764" t="inlineStr">
        <is>
          <t>ÖREBRO LÄN</t>
        </is>
      </c>
      <c r="E764" t="inlineStr">
        <is>
          <t>LINDESBERG</t>
        </is>
      </c>
      <c r="G764" t="n">
        <v>1.6</v>
      </c>
      <c r="H764" t="n">
        <v>0</v>
      </c>
      <c r="I764" t="n">
        <v>0</v>
      </c>
      <c r="J764" t="n">
        <v>0</v>
      </c>
      <c r="K764" t="n">
        <v>0</v>
      </c>
      <c r="L764" t="n">
        <v>0</v>
      </c>
      <c r="M764" t="n">
        <v>0</v>
      </c>
      <c r="N764" t="n">
        <v>0</v>
      </c>
      <c r="O764" t="n">
        <v>0</v>
      </c>
      <c r="P764" t="n">
        <v>0</v>
      </c>
      <c r="Q764" t="n">
        <v>0</v>
      </c>
      <c r="R764" s="2" t="inlineStr"/>
    </row>
    <row r="765" ht="15" customHeight="1">
      <c r="A765" t="inlineStr">
        <is>
          <t>A 4013-2025</t>
        </is>
      </c>
      <c r="B765" s="1" t="n">
        <v>45684.5790162037</v>
      </c>
      <c r="C765" s="1" t="n">
        <v>46082</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44803-2024</t>
        </is>
      </c>
      <c r="B766" s="1" t="n">
        <v>45574.65087962963</v>
      </c>
      <c r="C766" s="1" t="n">
        <v>46082</v>
      </c>
      <c r="D766" t="inlineStr">
        <is>
          <t>ÖREBRO LÄN</t>
        </is>
      </c>
      <c r="E766" t="inlineStr">
        <is>
          <t>LINDESBERG</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878-2026</t>
        </is>
      </c>
      <c r="B767" s="1" t="n">
        <v>46030.44277777777</v>
      </c>
      <c r="C767" s="1" t="n">
        <v>46082</v>
      </c>
      <c r="D767" t="inlineStr">
        <is>
          <t>ÖREBRO LÄN</t>
        </is>
      </c>
      <c r="E767" t="inlineStr">
        <is>
          <t>LINDESBERG</t>
        </is>
      </c>
      <c r="G767" t="n">
        <v>2.2</v>
      </c>
      <c r="H767" t="n">
        <v>0</v>
      </c>
      <c r="I767" t="n">
        <v>0</v>
      </c>
      <c r="J767" t="n">
        <v>0</v>
      </c>
      <c r="K767" t="n">
        <v>0</v>
      </c>
      <c r="L767" t="n">
        <v>0</v>
      </c>
      <c r="M767" t="n">
        <v>0</v>
      </c>
      <c r="N767" t="n">
        <v>0</v>
      </c>
      <c r="O767" t="n">
        <v>0</v>
      </c>
      <c r="P767" t="n">
        <v>0</v>
      </c>
      <c r="Q767" t="n">
        <v>0</v>
      </c>
      <c r="R767" s="2" t="inlineStr"/>
    </row>
    <row r="768" ht="15" customHeight="1">
      <c r="A768" t="inlineStr">
        <is>
          <t>A 27130-2024</t>
        </is>
      </c>
      <c r="B768" s="1" t="n">
        <v>45471.52072916667</v>
      </c>
      <c r="C768" s="1" t="n">
        <v>46082</v>
      </c>
      <c r="D768" t="inlineStr">
        <is>
          <t>ÖREBRO LÄN</t>
        </is>
      </c>
      <c r="E768" t="inlineStr">
        <is>
          <t>LINDESBERG</t>
        </is>
      </c>
      <c r="G768" t="n">
        <v>2</v>
      </c>
      <c r="H768" t="n">
        <v>0</v>
      </c>
      <c r="I768" t="n">
        <v>0</v>
      </c>
      <c r="J768" t="n">
        <v>0</v>
      </c>
      <c r="K768" t="n">
        <v>0</v>
      </c>
      <c r="L768" t="n">
        <v>0</v>
      </c>
      <c r="M768" t="n">
        <v>0</v>
      </c>
      <c r="N768" t="n">
        <v>0</v>
      </c>
      <c r="O768" t="n">
        <v>0</v>
      </c>
      <c r="P768" t="n">
        <v>0</v>
      </c>
      <c r="Q768" t="n">
        <v>0</v>
      </c>
      <c r="R768" s="2" t="inlineStr"/>
    </row>
    <row r="769" ht="15" customHeight="1">
      <c r="A769" t="inlineStr">
        <is>
          <t>A 59804-2023</t>
        </is>
      </c>
      <c r="B769" s="1" t="n">
        <v>45257.48188657407</v>
      </c>
      <c r="C769" s="1" t="n">
        <v>46082</v>
      </c>
      <c r="D769" t="inlineStr">
        <is>
          <t>ÖREBRO LÄN</t>
        </is>
      </c>
      <c r="E769" t="inlineStr">
        <is>
          <t>LINDESBERG</t>
        </is>
      </c>
      <c r="G769" t="n">
        <v>1.2</v>
      </c>
      <c r="H769" t="n">
        <v>0</v>
      </c>
      <c r="I769" t="n">
        <v>0</v>
      </c>
      <c r="J769" t="n">
        <v>0</v>
      </c>
      <c r="K769" t="n">
        <v>0</v>
      </c>
      <c r="L769" t="n">
        <v>0</v>
      </c>
      <c r="M769" t="n">
        <v>0</v>
      </c>
      <c r="N769" t="n">
        <v>0</v>
      </c>
      <c r="O769" t="n">
        <v>0</v>
      </c>
      <c r="P769" t="n">
        <v>0</v>
      </c>
      <c r="Q769" t="n">
        <v>0</v>
      </c>
      <c r="R769" s="2" t="inlineStr"/>
    </row>
    <row r="770" ht="15" customHeight="1">
      <c r="A770" t="inlineStr">
        <is>
          <t>A 27434-2023</t>
        </is>
      </c>
      <c r="B770" s="1" t="n">
        <v>45097.38688657407</v>
      </c>
      <c r="C770" s="1" t="n">
        <v>46082</v>
      </c>
      <c r="D770" t="inlineStr">
        <is>
          <t>ÖREBRO LÄN</t>
        </is>
      </c>
      <c r="E770" t="inlineStr">
        <is>
          <t>LINDESBERG</t>
        </is>
      </c>
      <c r="G770" t="n">
        <v>10.7</v>
      </c>
      <c r="H770" t="n">
        <v>0</v>
      </c>
      <c r="I770" t="n">
        <v>0</v>
      </c>
      <c r="J770" t="n">
        <v>0</v>
      </c>
      <c r="K770" t="n">
        <v>0</v>
      </c>
      <c r="L770" t="n">
        <v>0</v>
      </c>
      <c r="M770" t="n">
        <v>0</v>
      </c>
      <c r="N770" t="n">
        <v>0</v>
      </c>
      <c r="O770" t="n">
        <v>0</v>
      </c>
      <c r="P770" t="n">
        <v>0</v>
      </c>
      <c r="Q770" t="n">
        <v>0</v>
      </c>
      <c r="R770" s="2" t="inlineStr"/>
    </row>
    <row r="771" ht="15" customHeight="1">
      <c r="A771" t="inlineStr">
        <is>
          <t>A 1160-2026</t>
        </is>
      </c>
      <c r="B771" s="1" t="n">
        <v>46031</v>
      </c>
      <c r="C771" s="1" t="n">
        <v>46082</v>
      </c>
      <c r="D771" t="inlineStr">
        <is>
          <t>ÖREBRO LÄN</t>
        </is>
      </c>
      <c r="E771" t="inlineStr">
        <is>
          <t>LINDESBERG</t>
        </is>
      </c>
      <c r="G771" t="n">
        <v>12.2</v>
      </c>
      <c r="H771" t="n">
        <v>0</v>
      </c>
      <c r="I771" t="n">
        <v>0</v>
      </c>
      <c r="J771" t="n">
        <v>0</v>
      </c>
      <c r="K771" t="n">
        <v>0</v>
      </c>
      <c r="L771" t="n">
        <v>0</v>
      </c>
      <c r="M771" t="n">
        <v>0</v>
      </c>
      <c r="N771" t="n">
        <v>0</v>
      </c>
      <c r="O771" t="n">
        <v>0</v>
      </c>
      <c r="P771" t="n">
        <v>0</v>
      </c>
      <c r="Q771" t="n">
        <v>0</v>
      </c>
      <c r="R771" s="2" t="inlineStr"/>
    </row>
    <row r="772" ht="15" customHeight="1">
      <c r="A772" t="inlineStr">
        <is>
          <t>A 45060-2024</t>
        </is>
      </c>
      <c r="B772" s="1" t="n">
        <v>45575.55570601852</v>
      </c>
      <c r="C772" s="1" t="n">
        <v>46082</v>
      </c>
      <c r="D772" t="inlineStr">
        <is>
          <t>ÖREBRO LÄN</t>
        </is>
      </c>
      <c r="E772" t="inlineStr">
        <is>
          <t>LINDESBERG</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72706-2021</t>
        </is>
      </c>
      <c r="B773" s="1" t="n">
        <v>44546.67222222222</v>
      </c>
      <c r="C773" s="1" t="n">
        <v>46082</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53366-2023</t>
        </is>
      </c>
      <c r="B774" s="1" t="n">
        <v>45229</v>
      </c>
      <c r="C774" s="1" t="n">
        <v>46082</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46034.65601851852</v>
      </c>
      <c r="C775" s="1" t="n">
        <v>46082</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19219-2023</t>
        </is>
      </c>
      <c r="B776" s="1" t="n">
        <v>45048</v>
      </c>
      <c r="C776" s="1" t="n">
        <v>46082</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19043-2023</t>
        </is>
      </c>
      <c r="B777" s="1" t="n">
        <v>45047.7181712963</v>
      </c>
      <c r="C777" s="1" t="n">
        <v>46082</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27031-2024</t>
        </is>
      </c>
      <c r="B778" s="1" t="n">
        <v>45471.42659722222</v>
      </c>
      <c r="C778" s="1" t="n">
        <v>46082</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38696-2024</t>
        </is>
      </c>
      <c r="B779" s="1" t="n">
        <v>45547.36590277778</v>
      </c>
      <c r="C779" s="1" t="n">
        <v>46082</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54663-2021</t>
        </is>
      </c>
      <c r="B780" s="1" t="n">
        <v>44473.6343287037</v>
      </c>
      <c r="C780" s="1" t="n">
        <v>46082</v>
      </c>
      <c r="D780" t="inlineStr">
        <is>
          <t>ÖREBRO LÄN</t>
        </is>
      </c>
      <c r="E780" t="inlineStr">
        <is>
          <t>LINDESBERG</t>
        </is>
      </c>
      <c r="G780" t="n">
        <v>1.2</v>
      </c>
      <c r="H780" t="n">
        <v>0</v>
      </c>
      <c r="I780" t="n">
        <v>0</v>
      </c>
      <c r="J780" t="n">
        <v>0</v>
      </c>
      <c r="K780" t="n">
        <v>0</v>
      </c>
      <c r="L780" t="n">
        <v>0</v>
      </c>
      <c r="M780" t="n">
        <v>0</v>
      </c>
      <c r="N780" t="n">
        <v>0</v>
      </c>
      <c r="O780" t="n">
        <v>0</v>
      </c>
      <c r="P780" t="n">
        <v>0</v>
      </c>
      <c r="Q780" t="n">
        <v>0</v>
      </c>
      <c r="R780" s="2" t="inlineStr"/>
    </row>
    <row r="781" ht="15" customHeight="1">
      <c r="A781" t="inlineStr">
        <is>
          <t>A 32262-2021</t>
        </is>
      </c>
      <c r="B781" s="1" t="n">
        <v>44371.47609953704</v>
      </c>
      <c r="C781" s="1" t="n">
        <v>46082</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3756-2026</t>
        </is>
      </c>
      <c r="B782" s="1" t="n">
        <v>46043</v>
      </c>
      <c r="C782" s="1" t="n">
        <v>46082</v>
      </c>
      <c r="D782" t="inlineStr">
        <is>
          <t>ÖREBRO LÄN</t>
        </is>
      </c>
      <c r="E782" t="inlineStr">
        <is>
          <t>LINDESBERG</t>
        </is>
      </c>
      <c r="G782" t="n">
        <v>6.3</v>
      </c>
      <c r="H782" t="n">
        <v>0</v>
      </c>
      <c r="I782" t="n">
        <v>0</v>
      </c>
      <c r="J782" t="n">
        <v>0</v>
      </c>
      <c r="K782" t="n">
        <v>0</v>
      </c>
      <c r="L782" t="n">
        <v>0</v>
      </c>
      <c r="M782" t="n">
        <v>0</v>
      </c>
      <c r="N782" t="n">
        <v>0</v>
      </c>
      <c r="O782" t="n">
        <v>0</v>
      </c>
      <c r="P782" t="n">
        <v>0</v>
      </c>
      <c r="Q782" t="n">
        <v>0</v>
      </c>
      <c r="R782" s="2" t="inlineStr"/>
    </row>
    <row r="783" ht="15" customHeight="1">
      <c r="A783" t="inlineStr">
        <is>
          <t>A 48265-2021</t>
        </is>
      </c>
      <c r="B783" s="1" t="n">
        <v>44449</v>
      </c>
      <c r="C783" s="1" t="n">
        <v>46082</v>
      </c>
      <c r="D783" t="inlineStr">
        <is>
          <t>ÖREBRO LÄN</t>
        </is>
      </c>
      <c r="E783" t="inlineStr">
        <is>
          <t>LINDESBERG</t>
        </is>
      </c>
      <c r="G783" t="n">
        <v>23.7</v>
      </c>
      <c r="H783" t="n">
        <v>0</v>
      </c>
      <c r="I783" t="n">
        <v>0</v>
      </c>
      <c r="J783" t="n">
        <v>0</v>
      </c>
      <c r="K783" t="n">
        <v>0</v>
      </c>
      <c r="L783" t="n">
        <v>0</v>
      </c>
      <c r="M783" t="n">
        <v>0</v>
      </c>
      <c r="N783" t="n">
        <v>0</v>
      </c>
      <c r="O783" t="n">
        <v>0</v>
      </c>
      <c r="P783" t="n">
        <v>0</v>
      </c>
      <c r="Q783" t="n">
        <v>0</v>
      </c>
      <c r="R783" s="2" t="inlineStr"/>
    </row>
    <row r="784" ht="15" customHeight="1">
      <c r="A784" t="inlineStr">
        <is>
          <t>A 14028-2023</t>
        </is>
      </c>
      <c r="B784" s="1" t="n">
        <v>45008</v>
      </c>
      <c r="C784" s="1" t="n">
        <v>46082</v>
      </c>
      <c r="D784" t="inlineStr">
        <is>
          <t>ÖREBRO LÄN</t>
        </is>
      </c>
      <c r="E784" t="inlineStr">
        <is>
          <t>LINDESBERG</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2556-2026</t>
        </is>
      </c>
      <c r="B785" s="1" t="n">
        <v>46035</v>
      </c>
      <c r="C785" s="1" t="n">
        <v>46082</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57069-2022</t>
        </is>
      </c>
      <c r="B786" s="1" t="n">
        <v>44895</v>
      </c>
      <c r="C786" s="1" t="n">
        <v>46082</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2958-2026</t>
        </is>
      </c>
      <c r="B787" s="1" t="n">
        <v>46038.61067129629</v>
      </c>
      <c r="C787" s="1" t="n">
        <v>46082</v>
      </c>
      <c r="D787" t="inlineStr">
        <is>
          <t>ÖREBRO LÄN</t>
        </is>
      </c>
      <c r="E787" t="inlineStr">
        <is>
          <t>LINDESBERG</t>
        </is>
      </c>
      <c r="G787" t="n">
        <v>5.8</v>
      </c>
      <c r="H787" t="n">
        <v>0</v>
      </c>
      <c r="I787" t="n">
        <v>0</v>
      </c>
      <c r="J787" t="n">
        <v>0</v>
      </c>
      <c r="K787" t="n">
        <v>0</v>
      </c>
      <c r="L787" t="n">
        <v>0</v>
      </c>
      <c r="M787" t="n">
        <v>0</v>
      </c>
      <c r="N787" t="n">
        <v>0</v>
      </c>
      <c r="O787" t="n">
        <v>0</v>
      </c>
      <c r="P787" t="n">
        <v>0</v>
      </c>
      <c r="Q787" t="n">
        <v>0</v>
      </c>
      <c r="R787" s="2" t="inlineStr"/>
    </row>
    <row r="788" ht="15" customHeight="1">
      <c r="A788" t="inlineStr">
        <is>
          <t>A 61405-2022</t>
        </is>
      </c>
      <c r="B788" s="1" t="n">
        <v>44916</v>
      </c>
      <c r="C788" s="1" t="n">
        <v>46082</v>
      </c>
      <c r="D788" t="inlineStr">
        <is>
          <t>ÖREBRO LÄN</t>
        </is>
      </c>
      <c r="E788" t="inlineStr">
        <is>
          <t>LINDESBERG</t>
        </is>
      </c>
      <c r="G788" t="n">
        <v>4.4</v>
      </c>
      <c r="H788" t="n">
        <v>0</v>
      </c>
      <c r="I788" t="n">
        <v>0</v>
      </c>
      <c r="J788" t="n">
        <v>0</v>
      </c>
      <c r="K788" t="n">
        <v>0</v>
      </c>
      <c r="L788" t="n">
        <v>0</v>
      </c>
      <c r="M788" t="n">
        <v>0</v>
      </c>
      <c r="N788" t="n">
        <v>0</v>
      </c>
      <c r="O788" t="n">
        <v>0</v>
      </c>
      <c r="P788" t="n">
        <v>0</v>
      </c>
      <c r="Q788" t="n">
        <v>0</v>
      </c>
      <c r="R788" s="2" t="inlineStr"/>
    </row>
    <row r="789" ht="15" customHeight="1">
      <c r="A789" t="inlineStr">
        <is>
          <t>A 9961-2023</t>
        </is>
      </c>
      <c r="B789" s="1" t="n">
        <v>44979</v>
      </c>
      <c r="C789" s="1" t="n">
        <v>46082</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45041-2024</t>
        </is>
      </c>
      <c r="B790" s="1" t="n">
        <v>45575.53690972222</v>
      </c>
      <c r="C790" s="1" t="n">
        <v>46082</v>
      </c>
      <c r="D790" t="inlineStr">
        <is>
          <t>ÖREBRO LÄN</t>
        </is>
      </c>
      <c r="E790" t="inlineStr">
        <is>
          <t>LINDESBERG</t>
        </is>
      </c>
      <c r="F790" t="inlineStr">
        <is>
          <t>Sveaskog</t>
        </is>
      </c>
      <c r="G790" t="n">
        <v>0.3</v>
      </c>
      <c r="H790" t="n">
        <v>0</v>
      </c>
      <c r="I790" t="n">
        <v>0</v>
      </c>
      <c r="J790" t="n">
        <v>0</v>
      </c>
      <c r="K790" t="n">
        <v>0</v>
      </c>
      <c r="L790" t="n">
        <v>0</v>
      </c>
      <c r="M790" t="n">
        <v>0</v>
      </c>
      <c r="N790" t="n">
        <v>0</v>
      </c>
      <c r="O790" t="n">
        <v>0</v>
      </c>
      <c r="P790" t="n">
        <v>0</v>
      </c>
      <c r="Q790" t="n">
        <v>0</v>
      </c>
      <c r="R790" s="2" t="inlineStr"/>
    </row>
    <row r="791" ht="15" customHeight="1">
      <c r="A791" t="inlineStr">
        <is>
          <t>A 45068-2024</t>
        </is>
      </c>
      <c r="B791" s="1" t="n">
        <v>45575.56256944445</v>
      </c>
      <c r="C791" s="1" t="n">
        <v>46082</v>
      </c>
      <c r="D791" t="inlineStr">
        <is>
          <t>ÖREBRO LÄN</t>
        </is>
      </c>
      <c r="E791" t="inlineStr">
        <is>
          <t>LINDESBERG</t>
        </is>
      </c>
      <c r="F791" t="inlineStr">
        <is>
          <t>Sveaskog</t>
        </is>
      </c>
      <c r="G791" t="n">
        <v>16.5</v>
      </c>
      <c r="H791" t="n">
        <v>0</v>
      </c>
      <c r="I791" t="n">
        <v>0</v>
      </c>
      <c r="J791" t="n">
        <v>0</v>
      </c>
      <c r="K791" t="n">
        <v>0</v>
      </c>
      <c r="L791" t="n">
        <v>0</v>
      </c>
      <c r="M791" t="n">
        <v>0</v>
      </c>
      <c r="N791" t="n">
        <v>0</v>
      </c>
      <c r="O791" t="n">
        <v>0</v>
      </c>
      <c r="P791" t="n">
        <v>0</v>
      </c>
      <c r="Q791" t="n">
        <v>0</v>
      </c>
      <c r="R791" s="2" t="inlineStr"/>
    </row>
    <row r="792" ht="15" customHeight="1">
      <c r="A792" t="inlineStr">
        <is>
          <t>A 39419-2023</t>
        </is>
      </c>
      <c r="B792" s="1" t="n">
        <v>45166.68493055556</v>
      </c>
      <c r="C792" s="1" t="n">
        <v>46082</v>
      </c>
      <c r="D792" t="inlineStr">
        <is>
          <t>ÖREBRO LÄN</t>
        </is>
      </c>
      <c r="E792" t="inlineStr">
        <is>
          <t>LINDESBERG</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10825-2021</t>
        </is>
      </c>
      <c r="B793" s="1" t="n">
        <v>44259</v>
      </c>
      <c r="C793" s="1" t="n">
        <v>46082</v>
      </c>
      <c r="D793" t="inlineStr">
        <is>
          <t>ÖREBRO LÄN</t>
        </is>
      </c>
      <c r="E793" t="inlineStr">
        <is>
          <t>LINDESBERG</t>
        </is>
      </c>
      <c r="G793" t="n">
        <v>7.4</v>
      </c>
      <c r="H793" t="n">
        <v>0</v>
      </c>
      <c r="I793" t="n">
        <v>0</v>
      </c>
      <c r="J793" t="n">
        <v>0</v>
      </c>
      <c r="K793" t="n">
        <v>0</v>
      </c>
      <c r="L793" t="n">
        <v>0</v>
      </c>
      <c r="M793" t="n">
        <v>0</v>
      </c>
      <c r="N793" t="n">
        <v>0</v>
      </c>
      <c r="O793" t="n">
        <v>0</v>
      </c>
      <c r="P793" t="n">
        <v>0</v>
      </c>
      <c r="Q793" t="n">
        <v>0</v>
      </c>
      <c r="R793" s="2" t="inlineStr"/>
    </row>
    <row r="794" ht="15" customHeight="1">
      <c r="A794" t="inlineStr">
        <is>
          <t>A 2704-2026</t>
        </is>
      </c>
      <c r="B794" s="1" t="n">
        <v>46037.69133101852</v>
      </c>
      <c r="C794" s="1" t="n">
        <v>46082</v>
      </c>
      <c r="D794" t="inlineStr">
        <is>
          <t>ÖREBRO LÄN</t>
        </is>
      </c>
      <c r="E794" t="inlineStr">
        <is>
          <t>LINDESBERG</t>
        </is>
      </c>
      <c r="G794" t="n">
        <v>1.9</v>
      </c>
      <c r="H794" t="n">
        <v>0</v>
      </c>
      <c r="I794" t="n">
        <v>0</v>
      </c>
      <c r="J794" t="n">
        <v>0</v>
      </c>
      <c r="K794" t="n">
        <v>0</v>
      </c>
      <c r="L794" t="n">
        <v>0</v>
      </c>
      <c r="M794" t="n">
        <v>0</v>
      </c>
      <c r="N794" t="n">
        <v>0</v>
      </c>
      <c r="O794" t="n">
        <v>0</v>
      </c>
      <c r="P794" t="n">
        <v>0</v>
      </c>
      <c r="Q794" t="n">
        <v>0</v>
      </c>
      <c r="R794" s="2" t="inlineStr"/>
    </row>
    <row r="795" ht="15" customHeight="1">
      <c r="A795" t="inlineStr">
        <is>
          <t>A 2859-2026</t>
        </is>
      </c>
      <c r="B795" s="1" t="n">
        <v>46038.49269675926</v>
      </c>
      <c r="C795" s="1" t="n">
        <v>46082</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3026-2026</t>
        </is>
      </c>
      <c r="B796" s="1" t="n">
        <v>46038</v>
      </c>
      <c r="C796" s="1" t="n">
        <v>46082</v>
      </c>
      <c r="D796" t="inlineStr">
        <is>
          <t>ÖREBRO LÄN</t>
        </is>
      </c>
      <c r="E796" t="inlineStr">
        <is>
          <t>LINDESBERG</t>
        </is>
      </c>
      <c r="G796" t="n">
        <v>10.3</v>
      </c>
      <c r="H796" t="n">
        <v>0</v>
      </c>
      <c r="I796" t="n">
        <v>0</v>
      </c>
      <c r="J796" t="n">
        <v>0</v>
      </c>
      <c r="K796" t="n">
        <v>0</v>
      </c>
      <c r="L796" t="n">
        <v>0</v>
      </c>
      <c r="M796" t="n">
        <v>0</v>
      </c>
      <c r="N796" t="n">
        <v>0</v>
      </c>
      <c r="O796" t="n">
        <v>0</v>
      </c>
      <c r="P796" t="n">
        <v>0</v>
      </c>
      <c r="Q796" t="n">
        <v>0</v>
      </c>
      <c r="R796" s="2" t="inlineStr"/>
    </row>
    <row r="797" ht="15" customHeight="1">
      <c r="A797" t="inlineStr">
        <is>
          <t>A 2929-2026</t>
        </is>
      </c>
      <c r="B797" s="1" t="n">
        <v>46038.58241898148</v>
      </c>
      <c r="C797" s="1" t="n">
        <v>46082</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2902-2026</t>
        </is>
      </c>
      <c r="B798" s="1" t="n">
        <v>46038.55849537037</v>
      </c>
      <c r="C798" s="1" t="n">
        <v>46082</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2949-2026</t>
        </is>
      </c>
      <c r="B799" s="1" t="n">
        <v>46038.59640046296</v>
      </c>
      <c r="C799" s="1" t="n">
        <v>46082</v>
      </c>
      <c r="D799" t="inlineStr">
        <is>
          <t>ÖREBRO LÄN</t>
        </is>
      </c>
      <c r="E799" t="inlineStr">
        <is>
          <t>LINDESBERG</t>
        </is>
      </c>
      <c r="G799" t="n">
        <v>4</v>
      </c>
      <c r="H799" t="n">
        <v>0</v>
      </c>
      <c r="I799" t="n">
        <v>0</v>
      </c>
      <c r="J799" t="n">
        <v>0</v>
      </c>
      <c r="K799" t="n">
        <v>0</v>
      </c>
      <c r="L799" t="n">
        <v>0</v>
      </c>
      <c r="M799" t="n">
        <v>0</v>
      </c>
      <c r="N799" t="n">
        <v>0</v>
      </c>
      <c r="O799" t="n">
        <v>0</v>
      </c>
      <c r="P799" t="n">
        <v>0</v>
      </c>
      <c r="Q799" t="n">
        <v>0</v>
      </c>
      <c r="R799" s="2" t="inlineStr"/>
    </row>
    <row r="800" ht="15" customHeight="1">
      <c r="A800" t="inlineStr">
        <is>
          <t>A 15745-2024</t>
        </is>
      </c>
      <c r="B800" s="1" t="n">
        <v>45404.55239583334</v>
      </c>
      <c r="C800" s="1" t="n">
        <v>46082</v>
      </c>
      <c r="D800" t="inlineStr">
        <is>
          <t>ÖREBRO LÄN</t>
        </is>
      </c>
      <c r="E800" t="inlineStr">
        <is>
          <t>LINDESBERG</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15750-2024</t>
        </is>
      </c>
      <c r="B801" s="1" t="n">
        <v>45404.55601851852</v>
      </c>
      <c r="C801" s="1" t="n">
        <v>46082</v>
      </c>
      <c r="D801" t="inlineStr">
        <is>
          <t>ÖREBRO LÄN</t>
        </is>
      </c>
      <c r="E801" t="inlineStr">
        <is>
          <t>LINDESBERG</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60115-2022</t>
        </is>
      </c>
      <c r="B802" s="1" t="n">
        <v>44902</v>
      </c>
      <c r="C802" s="1" t="n">
        <v>46082</v>
      </c>
      <c r="D802" t="inlineStr">
        <is>
          <t>ÖREBRO LÄN</t>
        </is>
      </c>
      <c r="E802" t="inlineStr">
        <is>
          <t>LINDESBERG</t>
        </is>
      </c>
      <c r="G802" t="n">
        <v>0.5</v>
      </c>
      <c r="H802" t="n">
        <v>0</v>
      </c>
      <c r="I802" t="n">
        <v>0</v>
      </c>
      <c r="J802" t="n">
        <v>0</v>
      </c>
      <c r="K802" t="n">
        <v>0</v>
      </c>
      <c r="L802" t="n">
        <v>0</v>
      </c>
      <c r="M802" t="n">
        <v>0</v>
      </c>
      <c r="N802" t="n">
        <v>0</v>
      </c>
      <c r="O802" t="n">
        <v>0</v>
      </c>
      <c r="P802" t="n">
        <v>0</v>
      </c>
      <c r="Q802" t="n">
        <v>0</v>
      </c>
      <c r="R802" s="2" t="inlineStr"/>
    </row>
    <row r="803" ht="15" customHeight="1">
      <c r="A803" t="inlineStr">
        <is>
          <t>A 2969-2026</t>
        </is>
      </c>
      <c r="B803" s="1" t="n">
        <v>46038.61912037037</v>
      </c>
      <c r="C803" s="1" t="n">
        <v>46082</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29857-2023</t>
        </is>
      </c>
      <c r="B804" s="1" t="n">
        <v>45107</v>
      </c>
      <c r="C804" s="1" t="n">
        <v>46082</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44664-2023</t>
        </is>
      </c>
      <c r="B805" s="1" t="n">
        <v>45189</v>
      </c>
      <c r="C805" s="1" t="n">
        <v>46082</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18610-2021</t>
        </is>
      </c>
      <c r="B806" s="1" t="n">
        <v>44306.6371412037</v>
      </c>
      <c r="C806" s="1" t="n">
        <v>46082</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19026-2021</t>
        </is>
      </c>
      <c r="B807" s="1" t="n">
        <v>44308</v>
      </c>
      <c r="C807" s="1" t="n">
        <v>46082</v>
      </c>
      <c r="D807" t="inlineStr">
        <is>
          <t>ÖREBRO LÄN</t>
        </is>
      </c>
      <c r="E807" t="inlineStr">
        <is>
          <t>LINDESBERG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47535-2022</t>
        </is>
      </c>
      <c r="B808" s="1" t="n">
        <v>44853.79818287037</v>
      </c>
      <c r="C808" s="1" t="n">
        <v>46082</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30830-2024</t>
        </is>
      </c>
      <c r="B809" s="1" t="n">
        <v>45497</v>
      </c>
      <c r="C809" s="1" t="n">
        <v>46082</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59395-2022</t>
        </is>
      </c>
      <c r="B810" s="1" t="n">
        <v>44906.73321759259</v>
      </c>
      <c r="C810" s="1" t="n">
        <v>46082</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55272-2023</t>
        </is>
      </c>
      <c r="B811" s="1" t="n">
        <v>45237.67819444444</v>
      </c>
      <c r="C811" s="1" t="n">
        <v>46082</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53597-2024</t>
        </is>
      </c>
      <c r="B812" s="1" t="n">
        <v>45614.68083333333</v>
      </c>
      <c r="C812" s="1" t="n">
        <v>46082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27576-2024</t>
        </is>
      </c>
      <c r="B813" s="1" t="n">
        <v>45474.65005787037</v>
      </c>
      <c r="C813" s="1" t="n">
        <v>46082</v>
      </c>
      <c r="D813" t="inlineStr">
        <is>
          <t>ÖREBRO LÄN</t>
        </is>
      </c>
      <c r="E813" t="inlineStr">
        <is>
          <t>LINDESBERG</t>
        </is>
      </c>
      <c r="F813" t="inlineStr">
        <is>
          <t>Kyrkan</t>
        </is>
      </c>
      <c r="G813" t="n">
        <v>1.3</v>
      </c>
      <c r="H813" t="n">
        <v>0</v>
      </c>
      <c r="I813" t="n">
        <v>0</v>
      </c>
      <c r="J813" t="n">
        <v>0</v>
      </c>
      <c r="K813" t="n">
        <v>0</v>
      </c>
      <c r="L813" t="n">
        <v>0</v>
      </c>
      <c r="M813" t="n">
        <v>0</v>
      </c>
      <c r="N813" t="n">
        <v>0</v>
      </c>
      <c r="O813" t="n">
        <v>0</v>
      </c>
      <c r="P813" t="n">
        <v>0</v>
      </c>
      <c r="Q813" t="n">
        <v>0</v>
      </c>
      <c r="R813" s="2" t="inlineStr"/>
    </row>
    <row r="814" ht="15" customHeight="1">
      <c r="A814" t="inlineStr">
        <is>
          <t>A 21986-2023</t>
        </is>
      </c>
      <c r="B814" s="1" t="n">
        <v>45068</v>
      </c>
      <c r="C814" s="1" t="n">
        <v>46082</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52930-2024</t>
        </is>
      </c>
      <c r="B815" s="1" t="n">
        <v>45610.7466087963</v>
      </c>
      <c r="C815" s="1" t="n">
        <v>46082</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2103-2022</t>
        </is>
      </c>
      <c r="B816" s="1" t="n">
        <v>44577.81121527778</v>
      </c>
      <c r="C816" s="1" t="n">
        <v>46082</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54860-2024</t>
        </is>
      </c>
      <c r="B817" s="1" t="n">
        <v>45618.59219907408</v>
      </c>
      <c r="C817" s="1" t="n">
        <v>46082</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49358-2023</t>
        </is>
      </c>
      <c r="B818" s="1" t="n">
        <v>45211</v>
      </c>
      <c r="C818" s="1" t="n">
        <v>46082</v>
      </c>
      <c r="D818" t="inlineStr">
        <is>
          <t>ÖREBRO LÄN</t>
        </is>
      </c>
      <c r="E818" t="inlineStr">
        <is>
          <t>LINDESBERG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23579-2022</t>
        </is>
      </c>
      <c r="B819" s="1" t="n">
        <v>44721.52627314815</v>
      </c>
      <c r="C819" s="1" t="n">
        <v>46082</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32009-2023</t>
        </is>
      </c>
      <c r="B820" s="1" t="n">
        <v>45119</v>
      </c>
      <c r="C820" s="1" t="n">
        <v>46082</v>
      </c>
      <c r="D820" t="inlineStr">
        <is>
          <t>ÖREBRO LÄN</t>
        </is>
      </c>
      <c r="E820" t="inlineStr">
        <is>
          <t>LINDESBERG</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46647-2024</t>
        </is>
      </c>
      <c r="B821" s="1" t="n">
        <v>45583</v>
      </c>
      <c r="C821" s="1" t="n">
        <v>46082</v>
      </c>
      <c r="D821" t="inlineStr">
        <is>
          <t>ÖREBRO LÄN</t>
        </is>
      </c>
      <c r="E821" t="inlineStr">
        <is>
          <t>LINDESBERG</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23260-2024</t>
        </is>
      </c>
      <c r="B822" s="1" t="n">
        <v>45453.36664351852</v>
      </c>
      <c r="C822" s="1" t="n">
        <v>46082</v>
      </c>
      <c r="D822" t="inlineStr">
        <is>
          <t>ÖREBRO LÄN</t>
        </is>
      </c>
      <c r="E822" t="inlineStr">
        <is>
          <t>LINDESBERG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26067-2022</t>
        </is>
      </c>
      <c r="B823" s="1" t="n">
        <v>44734.64337962963</v>
      </c>
      <c r="C823" s="1" t="n">
        <v>46082</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3233-2023</t>
        </is>
      </c>
      <c r="B824" s="1" t="n">
        <v>44946</v>
      </c>
      <c r="C824" s="1" t="n">
        <v>46082</v>
      </c>
      <c r="D824" t="inlineStr">
        <is>
          <t>ÖREBRO LÄN</t>
        </is>
      </c>
      <c r="E824" t="inlineStr">
        <is>
          <t>LINDESBERG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5047-2023</t>
        </is>
      </c>
      <c r="B825" s="1" t="n">
        <v>44958.58982638889</v>
      </c>
      <c r="C825" s="1" t="n">
        <v>46082</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8836-2023</t>
        </is>
      </c>
      <c r="B826" s="1" t="n">
        <v>44978</v>
      </c>
      <c r="C826" s="1" t="n">
        <v>46082</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38460-2024</t>
        </is>
      </c>
      <c r="B827" s="1" t="n">
        <v>45546.46497685185</v>
      </c>
      <c r="C827" s="1" t="n">
        <v>46082</v>
      </c>
      <c r="D827" t="inlineStr">
        <is>
          <t>ÖREBRO LÄN</t>
        </is>
      </c>
      <c r="E827" t="inlineStr">
        <is>
          <t>LINDESBERG</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46219-2022</t>
        </is>
      </c>
      <c r="B828" s="1" t="n">
        <v>44846</v>
      </c>
      <c r="C828" s="1" t="n">
        <v>46082</v>
      </c>
      <c r="D828" t="inlineStr">
        <is>
          <t>ÖREBRO LÄN</t>
        </is>
      </c>
      <c r="E828" t="inlineStr">
        <is>
          <t>LINDESBERG</t>
        </is>
      </c>
      <c r="G828" t="n">
        <v>6</v>
      </c>
      <c r="H828" t="n">
        <v>0</v>
      </c>
      <c r="I828" t="n">
        <v>0</v>
      </c>
      <c r="J828" t="n">
        <v>0</v>
      </c>
      <c r="K828" t="n">
        <v>0</v>
      </c>
      <c r="L828" t="n">
        <v>0</v>
      </c>
      <c r="M828" t="n">
        <v>0</v>
      </c>
      <c r="N828" t="n">
        <v>0</v>
      </c>
      <c r="O828" t="n">
        <v>0</v>
      </c>
      <c r="P828" t="n">
        <v>0</v>
      </c>
      <c r="Q828" t="n">
        <v>0</v>
      </c>
      <c r="R828" s="2" t="inlineStr"/>
    </row>
    <row r="829" ht="15" customHeight="1">
      <c r="A829" t="inlineStr">
        <is>
          <t>A 11953-2024</t>
        </is>
      </c>
      <c r="B829" s="1" t="n">
        <v>45376.70292824074</v>
      </c>
      <c r="C829" s="1" t="n">
        <v>46082</v>
      </c>
      <c r="D829" t="inlineStr">
        <is>
          <t>ÖREBRO LÄN</t>
        </is>
      </c>
      <c r="E829" t="inlineStr">
        <is>
          <t>LINDESBERG</t>
        </is>
      </c>
      <c r="G829" t="n">
        <v>5.7</v>
      </c>
      <c r="H829" t="n">
        <v>0</v>
      </c>
      <c r="I829" t="n">
        <v>0</v>
      </c>
      <c r="J829" t="n">
        <v>0</v>
      </c>
      <c r="K829" t="n">
        <v>0</v>
      </c>
      <c r="L829" t="n">
        <v>0</v>
      </c>
      <c r="M829" t="n">
        <v>0</v>
      </c>
      <c r="N829" t="n">
        <v>0</v>
      </c>
      <c r="O829" t="n">
        <v>0</v>
      </c>
      <c r="P829" t="n">
        <v>0</v>
      </c>
      <c r="Q829" t="n">
        <v>0</v>
      </c>
      <c r="R829" s="2" t="inlineStr"/>
    </row>
    <row r="830" ht="15" customHeight="1">
      <c r="A830" t="inlineStr">
        <is>
          <t>A 4440-2024</t>
        </is>
      </c>
      <c r="B830" s="1" t="n">
        <v>45327</v>
      </c>
      <c r="C830" s="1" t="n">
        <v>46082</v>
      </c>
      <c r="D830" t="inlineStr">
        <is>
          <t>ÖREBRO LÄN</t>
        </is>
      </c>
      <c r="E830" t="inlineStr">
        <is>
          <t>LINDESBERG</t>
        </is>
      </c>
      <c r="F830" t="inlineStr">
        <is>
          <t>BillerudKorsnäs AB</t>
        </is>
      </c>
      <c r="G830" t="n">
        <v>2</v>
      </c>
      <c r="H830" t="n">
        <v>0</v>
      </c>
      <c r="I830" t="n">
        <v>0</v>
      </c>
      <c r="J830" t="n">
        <v>0</v>
      </c>
      <c r="K830" t="n">
        <v>0</v>
      </c>
      <c r="L830" t="n">
        <v>0</v>
      </c>
      <c r="M830" t="n">
        <v>0</v>
      </c>
      <c r="N830" t="n">
        <v>0</v>
      </c>
      <c r="O830" t="n">
        <v>0</v>
      </c>
      <c r="P830" t="n">
        <v>0</v>
      </c>
      <c r="Q830" t="n">
        <v>0</v>
      </c>
      <c r="R830" s="2" t="inlineStr"/>
    </row>
    <row r="831" ht="15" customHeight="1">
      <c r="A831" t="inlineStr">
        <is>
          <t>A 48244-2024</t>
        </is>
      </c>
      <c r="B831" s="1" t="n">
        <v>45590.39471064815</v>
      </c>
      <c r="C831" s="1" t="n">
        <v>46082</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59633-2023</t>
        </is>
      </c>
      <c r="B832" s="1" t="n">
        <v>45254</v>
      </c>
      <c r="C832" s="1" t="n">
        <v>46082</v>
      </c>
      <c r="D832" t="inlineStr">
        <is>
          <t>ÖREBRO LÄN</t>
        </is>
      </c>
      <c r="E832" t="inlineStr">
        <is>
          <t>LINDESBERG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46082</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23649-2023</t>
        </is>
      </c>
      <c r="B834" s="1" t="n">
        <v>45074</v>
      </c>
      <c r="C834" s="1" t="n">
        <v>46082</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43081-2021</t>
        </is>
      </c>
      <c r="B835" s="1" t="n">
        <v>44431</v>
      </c>
      <c r="C835" s="1" t="n">
        <v>46082</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51071-2022</t>
        </is>
      </c>
      <c r="B836" s="1" t="n">
        <v>44868.36924768519</v>
      </c>
      <c r="C836" s="1" t="n">
        <v>46082</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44449-2023</t>
        </is>
      </c>
      <c r="B837" s="1" t="n">
        <v>45189.38135416667</v>
      </c>
      <c r="C837" s="1" t="n">
        <v>46082</v>
      </c>
      <c r="D837" t="inlineStr">
        <is>
          <t>ÖREBRO LÄN</t>
        </is>
      </c>
      <c r="E837" t="inlineStr">
        <is>
          <t>LINDESBERG</t>
        </is>
      </c>
      <c r="G837" t="n">
        <v>13.7</v>
      </c>
      <c r="H837" t="n">
        <v>0</v>
      </c>
      <c r="I837" t="n">
        <v>0</v>
      </c>
      <c r="J837" t="n">
        <v>0</v>
      </c>
      <c r="K837" t="n">
        <v>0</v>
      </c>
      <c r="L837" t="n">
        <v>0</v>
      </c>
      <c r="M837" t="n">
        <v>0</v>
      </c>
      <c r="N837" t="n">
        <v>0</v>
      </c>
      <c r="O837" t="n">
        <v>0</v>
      </c>
      <c r="P837" t="n">
        <v>0</v>
      </c>
      <c r="Q837" t="n">
        <v>0</v>
      </c>
      <c r="R837" s="2" t="inlineStr"/>
    </row>
    <row r="838" ht="15" customHeight="1">
      <c r="A838" t="inlineStr">
        <is>
          <t>A 15894-2025</t>
        </is>
      </c>
      <c r="B838" s="1" t="n">
        <v>45749</v>
      </c>
      <c r="C838" s="1" t="n">
        <v>46082</v>
      </c>
      <c r="D838" t="inlineStr">
        <is>
          <t>ÖREBRO LÄN</t>
        </is>
      </c>
      <c r="E838" t="inlineStr">
        <is>
          <t>LINDESBERG</t>
        </is>
      </c>
      <c r="G838" t="n">
        <v>1.5</v>
      </c>
      <c r="H838" t="n">
        <v>0</v>
      </c>
      <c r="I838" t="n">
        <v>0</v>
      </c>
      <c r="J838" t="n">
        <v>0</v>
      </c>
      <c r="K838" t="n">
        <v>0</v>
      </c>
      <c r="L838" t="n">
        <v>0</v>
      </c>
      <c r="M838" t="n">
        <v>0</v>
      </c>
      <c r="N838" t="n">
        <v>0</v>
      </c>
      <c r="O838" t="n">
        <v>0</v>
      </c>
      <c r="P838" t="n">
        <v>0</v>
      </c>
      <c r="Q838" t="n">
        <v>0</v>
      </c>
      <c r="R838" s="2" t="inlineStr"/>
    </row>
    <row r="839" ht="15" customHeight="1">
      <c r="A839" t="inlineStr">
        <is>
          <t>A 34436-2023</t>
        </is>
      </c>
      <c r="B839" s="1" t="n">
        <v>45139.64328703703</v>
      </c>
      <c r="C839" s="1" t="n">
        <v>46082</v>
      </c>
      <c r="D839" t="inlineStr">
        <is>
          <t>ÖREBRO LÄN</t>
        </is>
      </c>
      <c r="E839" t="inlineStr">
        <is>
          <t>LINDESBERG</t>
        </is>
      </c>
      <c r="F839" t="inlineStr">
        <is>
          <t>Kyrkan</t>
        </is>
      </c>
      <c r="G839" t="n">
        <v>5.8</v>
      </c>
      <c r="H839" t="n">
        <v>0</v>
      </c>
      <c r="I839" t="n">
        <v>0</v>
      </c>
      <c r="J839" t="n">
        <v>0</v>
      </c>
      <c r="K839" t="n">
        <v>0</v>
      </c>
      <c r="L839" t="n">
        <v>0</v>
      </c>
      <c r="M839" t="n">
        <v>0</v>
      </c>
      <c r="N839" t="n">
        <v>0</v>
      </c>
      <c r="O839" t="n">
        <v>0</v>
      </c>
      <c r="P839" t="n">
        <v>0</v>
      </c>
      <c r="Q839" t="n">
        <v>0</v>
      </c>
      <c r="R839" s="2" t="inlineStr"/>
    </row>
    <row r="840" ht="15" customHeight="1">
      <c r="A840" t="inlineStr">
        <is>
          <t>A 45078-2024</t>
        </is>
      </c>
      <c r="B840" s="1" t="n">
        <v>45575.57104166667</v>
      </c>
      <c r="C840" s="1" t="n">
        <v>46082</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27001-2024</t>
        </is>
      </c>
      <c r="B841" s="1" t="n">
        <v>45471.38995370371</v>
      </c>
      <c r="C841" s="1" t="n">
        <v>46082</v>
      </c>
      <c r="D841" t="inlineStr">
        <is>
          <t>ÖREBRO LÄN</t>
        </is>
      </c>
      <c r="E841" t="inlineStr">
        <is>
          <t>LINDESBERG</t>
        </is>
      </c>
      <c r="G841" t="n">
        <v>2.8</v>
      </c>
      <c r="H841" t="n">
        <v>0</v>
      </c>
      <c r="I841" t="n">
        <v>0</v>
      </c>
      <c r="J841" t="n">
        <v>0</v>
      </c>
      <c r="K841" t="n">
        <v>0</v>
      </c>
      <c r="L841" t="n">
        <v>0</v>
      </c>
      <c r="M841" t="n">
        <v>0</v>
      </c>
      <c r="N841" t="n">
        <v>0</v>
      </c>
      <c r="O841" t="n">
        <v>0</v>
      </c>
      <c r="P841" t="n">
        <v>0</v>
      </c>
      <c r="Q841" t="n">
        <v>0</v>
      </c>
      <c r="R841" s="2" t="inlineStr"/>
    </row>
    <row r="842" ht="15" customHeight="1">
      <c r="A842" t="inlineStr">
        <is>
          <t>A 20467-2023</t>
        </is>
      </c>
      <c r="B842" s="1" t="n">
        <v>45057</v>
      </c>
      <c r="C842" s="1" t="n">
        <v>46082</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25012-2023</t>
        </is>
      </c>
      <c r="B843" s="1" t="n">
        <v>45085</v>
      </c>
      <c r="C843" s="1" t="n">
        <v>46082</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26778-2023</t>
        </is>
      </c>
      <c r="B844" s="1" t="n">
        <v>45093.48221064815</v>
      </c>
      <c r="C844" s="1" t="n">
        <v>46082</v>
      </c>
      <c r="D844" t="inlineStr">
        <is>
          <t>ÖREBRO LÄN</t>
        </is>
      </c>
      <c r="E844" t="inlineStr">
        <is>
          <t>LINDESBERG</t>
        </is>
      </c>
      <c r="G844" t="n">
        <v>7.5</v>
      </c>
      <c r="H844" t="n">
        <v>0</v>
      </c>
      <c r="I844" t="n">
        <v>0</v>
      </c>
      <c r="J844" t="n">
        <v>0</v>
      </c>
      <c r="K844" t="n">
        <v>0</v>
      </c>
      <c r="L844" t="n">
        <v>0</v>
      </c>
      <c r="M844" t="n">
        <v>0</v>
      </c>
      <c r="N844" t="n">
        <v>0</v>
      </c>
      <c r="O844" t="n">
        <v>0</v>
      </c>
      <c r="P844" t="n">
        <v>0</v>
      </c>
      <c r="Q844" t="n">
        <v>0</v>
      </c>
      <c r="R844" s="2" t="inlineStr"/>
    </row>
    <row r="845" ht="15" customHeight="1">
      <c r="A845" t="inlineStr">
        <is>
          <t>A 50170-2022</t>
        </is>
      </c>
      <c r="B845" s="1" t="n">
        <v>44865.600625</v>
      </c>
      <c r="C845" s="1" t="n">
        <v>46082</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1354-2024</t>
        </is>
      </c>
      <c r="B846" s="1" t="n">
        <v>45303</v>
      </c>
      <c r="C846" s="1" t="n">
        <v>46082</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33886-2024</t>
        </is>
      </c>
      <c r="B847" s="1" t="n">
        <v>45523.31621527778</v>
      </c>
      <c r="C847" s="1" t="n">
        <v>46082</v>
      </c>
      <c r="D847" t="inlineStr">
        <is>
          <t>ÖREBRO LÄN</t>
        </is>
      </c>
      <c r="E847" t="inlineStr">
        <is>
          <t>LINDESBERG</t>
        </is>
      </c>
      <c r="G847" t="n">
        <v>1.3</v>
      </c>
      <c r="H847" t="n">
        <v>0</v>
      </c>
      <c r="I847" t="n">
        <v>0</v>
      </c>
      <c r="J847" t="n">
        <v>0</v>
      </c>
      <c r="K847" t="n">
        <v>0</v>
      </c>
      <c r="L847" t="n">
        <v>0</v>
      </c>
      <c r="M847" t="n">
        <v>0</v>
      </c>
      <c r="N847" t="n">
        <v>0</v>
      </c>
      <c r="O847" t="n">
        <v>0</v>
      </c>
      <c r="P847" t="n">
        <v>0</v>
      </c>
      <c r="Q847" t="n">
        <v>0</v>
      </c>
      <c r="R847" s="2" t="inlineStr"/>
    </row>
    <row r="848" ht="15" customHeight="1">
      <c r="A848" t="inlineStr">
        <is>
          <t>A 50285-2022</t>
        </is>
      </c>
      <c r="B848" s="1" t="n">
        <v>44865.87770833333</v>
      </c>
      <c r="C848" s="1" t="n">
        <v>46082</v>
      </c>
      <c r="D848" t="inlineStr">
        <is>
          <t>ÖREBRO LÄN</t>
        </is>
      </c>
      <c r="E848" t="inlineStr">
        <is>
          <t>LINDESBERG</t>
        </is>
      </c>
      <c r="G848" t="n">
        <v>2.5</v>
      </c>
      <c r="H848" t="n">
        <v>0</v>
      </c>
      <c r="I848" t="n">
        <v>0</v>
      </c>
      <c r="J848" t="n">
        <v>0</v>
      </c>
      <c r="K848" t="n">
        <v>0</v>
      </c>
      <c r="L848" t="n">
        <v>0</v>
      </c>
      <c r="M848" t="n">
        <v>0</v>
      </c>
      <c r="N848" t="n">
        <v>0</v>
      </c>
      <c r="O848" t="n">
        <v>0</v>
      </c>
      <c r="P848" t="n">
        <v>0</v>
      </c>
      <c r="Q848" t="n">
        <v>0</v>
      </c>
      <c r="R848" s="2" t="inlineStr"/>
    </row>
    <row r="849" ht="15" customHeight="1">
      <c r="A849" t="inlineStr">
        <is>
          <t>A 1405-2025</t>
        </is>
      </c>
      <c r="B849" s="1" t="n">
        <v>45667</v>
      </c>
      <c r="C849" s="1" t="n">
        <v>46082</v>
      </c>
      <c r="D849" t="inlineStr">
        <is>
          <t>ÖREBRO LÄN</t>
        </is>
      </c>
      <c r="E849" t="inlineStr">
        <is>
          <t>LINDESBERG</t>
        </is>
      </c>
      <c r="F849" t="inlineStr">
        <is>
          <t>Allmännings- och besparingsskogar</t>
        </is>
      </c>
      <c r="G849" t="n">
        <v>3.1</v>
      </c>
      <c r="H849" t="n">
        <v>0</v>
      </c>
      <c r="I849" t="n">
        <v>0</v>
      </c>
      <c r="J849" t="n">
        <v>0</v>
      </c>
      <c r="K849" t="n">
        <v>0</v>
      </c>
      <c r="L849" t="n">
        <v>0</v>
      </c>
      <c r="M849" t="n">
        <v>0</v>
      </c>
      <c r="N849" t="n">
        <v>0</v>
      </c>
      <c r="O849" t="n">
        <v>0</v>
      </c>
      <c r="P849" t="n">
        <v>0</v>
      </c>
      <c r="Q849" t="n">
        <v>0</v>
      </c>
      <c r="R849" s="2" t="inlineStr"/>
    </row>
    <row r="850" ht="15" customHeight="1">
      <c r="A850" t="inlineStr">
        <is>
          <t>A 40456-2023</t>
        </is>
      </c>
      <c r="B850" s="1" t="n">
        <v>45170</v>
      </c>
      <c r="C850" s="1" t="n">
        <v>46082</v>
      </c>
      <c r="D850" t="inlineStr">
        <is>
          <t>ÖREBRO LÄN</t>
        </is>
      </c>
      <c r="E850" t="inlineStr">
        <is>
          <t>LINDESBERG</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28562-2023</t>
        </is>
      </c>
      <c r="B851" s="1" t="n">
        <v>45103.53614583334</v>
      </c>
      <c r="C851" s="1" t="n">
        <v>46082</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46082</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6511-2025</t>
        </is>
      </c>
      <c r="B853" s="1" t="n">
        <v>45699.65424768518</v>
      </c>
      <c r="C853" s="1" t="n">
        <v>46082</v>
      </c>
      <c r="D853" t="inlineStr">
        <is>
          <t>ÖREBRO LÄN</t>
        </is>
      </c>
      <c r="E853" t="inlineStr">
        <is>
          <t>LINDESBERG</t>
        </is>
      </c>
      <c r="G853" t="n">
        <v>9.1</v>
      </c>
      <c r="H853" t="n">
        <v>0</v>
      </c>
      <c r="I853" t="n">
        <v>0</v>
      </c>
      <c r="J853" t="n">
        <v>0</v>
      </c>
      <c r="K853" t="n">
        <v>0</v>
      </c>
      <c r="L853" t="n">
        <v>0</v>
      </c>
      <c r="M853" t="n">
        <v>0</v>
      </c>
      <c r="N853" t="n">
        <v>0</v>
      </c>
      <c r="O853" t="n">
        <v>0</v>
      </c>
      <c r="P853" t="n">
        <v>0</v>
      </c>
      <c r="Q853" t="n">
        <v>0</v>
      </c>
      <c r="R853" s="2" t="inlineStr"/>
    </row>
    <row r="854" ht="15" customHeight="1">
      <c r="A854" t="inlineStr">
        <is>
          <t>A 22829-2023</t>
        </is>
      </c>
      <c r="B854" s="1" t="n">
        <v>45072.42776620371</v>
      </c>
      <c r="C854" s="1" t="n">
        <v>46082</v>
      </c>
      <c r="D854" t="inlineStr">
        <is>
          <t>ÖREBRO LÄN</t>
        </is>
      </c>
      <c r="E854" t="inlineStr">
        <is>
          <t>LINDESBERG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60105-2022</t>
        </is>
      </c>
      <c r="B855" s="1" t="n">
        <v>44902</v>
      </c>
      <c r="C855" s="1" t="n">
        <v>46082</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53046-2024</t>
        </is>
      </c>
      <c r="B856" s="1" t="n">
        <v>45611.44960648148</v>
      </c>
      <c r="C856" s="1" t="n">
        <v>46082</v>
      </c>
      <c r="D856" t="inlineStr">
        <is>
          <t>ÖREBRO LÄN</t>
        </is>
      </c>
      <c r="E856" t="inlineStr">
        <is>
          <t>LINDESBERG</t>
        </is>
      </c>
      <c r="G856" t="n">
        <v>1.2</v>
      </c>
      <c r="H856" t="n">
        <v>0</v>
      </c>
      <c r="I856" t="n">
        <v>0</v>
      </c>
      <c r="J856" t="n">
        <v>0</v>
      </c>
      <c r="K856" t="n">
        <v>0</v>
      </c>
      <c r="L856" t="n">
        <v>0</v>
      </c>
      <c r="M856" t="n">
        <v>0</v>
      </c>
      <c r="N856" t="n">
        <v>0</v>
      </c>
      <c r="O856" t="n">
        <v>0</v>
      </c>
      <c r="P856" t="n">
        <v>0</v>
      </c>
      <c r="Q856" t="n">
        <v>0</v>
      </c>
      <c r="R856" s="2" t="inlineStr"/>
    </row>
    <row r="857" ht="15" customHeight="1">
      <c r="A857" t="inlineStr">
        <is>
          <t>A 18590-2023</t>
        </is>
      </c>
      <c r="B857" s="1" t="n">
        <v>45043.40300925926</v>
      </c>
      <c r="C857" s="1" t="n">
        <v>46082</v>
      </c>
      <c r="D857" t="inlineStr">
        <is>
          <t>ÖREBRO LÄN</t>
        </is>
      </c>
      <c r="E857" t="inlineStr">
        <is>
          <t>LINDESBERG</t>
        </is>
      </c>
      <c r="G857" t="n">
        <v>2.4</v>
      </c>
      <c r="H857" t="n">
        <v>0</v>
      </c>
      <c r="I857" t="n">
        <v>0</v>
      </c>
      <c r="J857" t="n">
        <v>0</v>
      </c>
      <c r="K857" t="n">
        <v>0</v>
      </c>
      <c r="L857" t="n">
        <v>0</v>
      </c>
      <c r="M857" t="n">
        <v>0</v>
      </c>
      <c r="N857" t="n">
        <v>0</v>
      </c>
      <c r="O857" t="n">
        <v>0</v>
      </c>
      <c r="P857" t="n">
        <v>0</v>
      </c>
      <c r="Q857" t="n">
        <v>0</v>
      </c>
      <c r="R857" s="2" t="inlineStr"/>
    </row>
    <row r="858" ht="15" customHeight="1">
      <c r="A858" t="inlineStr">
        <is>
          <t>A 51539-2024</t>
        </is>
      </c>
      <c r="B858" s="1" t="n">
        <v>45604.58837962963</v>
      </c>
      <c r="C858" s="1" t="n">
        <v>46082</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15852-2025</t>
        </is>
      </c>
      <c r="B859" s="1" t="n">
        <v>45749</v>
      </c>
      <c r="C859" s="1" t="n">
        <v>46082</v>
      </c>
      <c r="D859" t="inlineStr">
        <is>
          <t>ÖREBRO LÄN</t>
        </is>
      </c>
      <c r="E859" t="inlineStr">
        <is>
          <t>LINDESBERG</t>
        </is>
      </c>
      <c r="G859" t="n">
        <v>8.9</v>
      </c>
      <c r="H859" t="n">
        <v>0</v>
      </c>
      <c r="I859" t="n">
        <v>0</v>
      </c>
      <c r="J859" t="n">
        <v>0</v>
      </c>
      <c r="K859" t="n">
        <v>0</v>
      </c>
      <c r="L859" t="n">
        <v>0</v>
      </c>
      <c r="M859" t="n">
        <v>0</v>
      </c>
      <c r="N859" t="n">
        <v>0</v>
      </c>
      <c r="O859" t="n">
        <v>0</v>
      </c>
      <c r="P859" t="n">
        <v>0</v>
      </c>
      <c r="Q859" t="n">
        <v>0</v>
      </c>
      <c r="R859" s="2" t="inlineStr"/>
    </row>
    <row r="860" ht="15" customHeight="1">
      <c r="A860" t="inlineStr">
        <is>
          <t>A 34539-2024</t>
        </is>
      </c>
      <c r="B860" s="1" t="n">
        <v>45525.7374537037</v>
      </c>
      <c r="C860" s="1" t="n">
        <v>46082</v>
      </c>
      <c r="D860" t="inlineStr">
        <is>
          <t>ÖREBRO LÄN</t>
        </is>
      </c>
      <c r="E860" t="inlineStr">
        <is>
          <t>LINDESBERG</t>
        </is>
      </c>
      <c r="G860" t="n">
        <v>5.4</v>
      </c>
      <c r="H860" t="n">
        <v>0</v>
      </c>
      <c r="I860" t="n">
        <v>0</v>
      </c>
      <c r="J860" t="n">
        <v>0</v>
      </c>
      <c r="K860" t="n">
        <v>0</v>
      </c>
      <c r="L860" t="n">
        <v>0</v>
      </c>
      <c r="M860" t="n">
        <v>0</v>
      </c>
      <c r="N860" t="n">
        <v>0</v>
      </c>
      <c r="O860" t="n">
        <v>0</v>
      </c>
      <c r="P860" t="n">
        <v>0</v>
      </c>
      <c r="Q860" t="n">
        <v>0</v>
      </c>
      <c r="R860" s="2" t="inlineStr"/>
    </row>
    <row r="861" ht="15" customHeight="1">
      <c r="A861" t="inlineStr">
        <is>
          <t>A 35739-2024</t>
        </is>
      </c>
      <c r="B861" s="1" t="n">
        <v>45532</v>
      </c>
      <c r="C861" s="1" t="n">
        <v>46082</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1383-2025</t>
        </is>
      </c>
      <c r="B862" s="1" t="n">
        <v>45667</v>
      </c>
      <c r="C862" s="1" t="n">
        <v>46082</v>
      </c>
      <c r="D862" t="inlineStr">
        <is>
          <t>ÖREBRO LÄN</t>
        </is>
      </c>
      <c r="E862" t="inlineStr">
        <is>
          <t>LINDESBERG</t>
        </is>
      </c>
      <c r="G862" t="n">
        <v>5</v>
      </c>
      <c r="H862" t="n">
        <v>0</v>
      </c>
      <c r="I862" t="n">
        <v>0</v>
      </c>
      <c r="J862" t="n">
        <v>0</v>
      </c>
      <c r="K862" t="n">
        <v>0</v>
      </c>
      <c r="L862" t="n">
        <v>0</v>
      </c>
      <c r="M862" t="n">
        <v>0</v>
      </c>
      <c r="N862" t="n">
        <v>0</v>
      </c>
      <c r="O862" t="n">
        <v>0</v>
      </c>
      <c r="P862" t="n">
        <v>0</v>
      </c>
      <c r="Q862" t="n">
        <v>0</v>
      </c>
      <c r="R862" s="2" t="inlineStr"/>
    </row>
    <row r="863" ht="15" customHeight="1">
      <c r="A863" t="inlineStr">
        <is>
          <t>A 10057-2025</t>
        </is>
      </c>
      <c r="B863" s="1" t="n">
        <v>45719.52871527777</v>
      </c>
      <c r="C863" s="1" t="n">
        <v>46082</v>
      </c>
      <c r="D863" t="inlineStr">
        <is>
          <t>ÖREBRO LÄN</t>
        </is>
      </c>
      <c r="E863" t="inlineStr">
        <is>
          <t>LINDESBERG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46082</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43247-2023</t>
        </is>
      </c>
      <c r="B865" s="1" t="n">
        <v>45183.48666666666</v>
      </c>
      <c r="C865" s="1" t="n">
        <v>46082</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626-2025</t>
        </is>
      </c>
      <c r="B866" s="1" t="n">
        <v>45664</v>
      </c>
      <c r="C866" s="1" t="n">
        <v>46082</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43046-2022</t>
        </is>
      </c>
      <c r="B867" s="1" t="n">
        <v>44833</v>
      </c>
      <c r="C867" s="1" t="n">
        <v>46082</v>
      </c>
      <c r="D867" t="inlineStr">
        <is>
          <t>ÖREBRO LÄN</t>
        </is>
      </c>
      <c r="E867" t="inlineStr">
        <is>
          <t>LINDESBERG</t>
        </is>
      </c>
      <c r="G867" t="n">
        <v>0.9</v>
      </c>
      <c r="H867" t="n">
        <v>0</v>
      </c>
      <c r="I867" t="n">
        <v>0</v>
      </c>
      <c r="J867" t="n">
        <v>0</v>
      </c>
      <c r="K867" t="n">
        <v>0</v>
      </c>
      <c r="L867" t="n">
        <v>0</v>
      </c>
      <c r="M867" t="n">
        <v>0</v>
      </c>
      <c r="N867" t="n">
        <v>0</v>
      </c>
      <c r="O867" t="n">
        <v>0</v>
      </c>
      <c r="P867" t="n">
        <v>0</v>
      </c>
      <c r="Q867" t="n">
        <v>0</v>
      </c>
      <c r="R867" s="2" t="inlineStr"/>
    </row>
    <row r="868" ht="15" customHeight="1">
      <c r="A868" t="inlineStr">
        <is>
          <t>A 57795-2021</t>
        </is>
      </c>
      <c r="B868" s="1" t="n">
        <v>44484</v>
      </c>
      <c r="C868" s="1" t="n">
        <v>46082</v>
      </c>
      <c r="D868" t="inlineStr">
        <is>
          <t>ÖREBRO LÄN</t>
        </is>
      </c>
      <c r="E868" t="inlineStr">
        <is>
          <t>LINDESBERG</t>
        </is>
      </c>
      <c r="G868" t="n">
        <v>39.4</v>
      </c>
      <c r="H868" t="n">
        <v>0</v>
      </c>
      <c r="I868" t="n">
        <v>0</v>
      </c>
      <c r="J868" t="n">
        <v>0</v>
      </c>
      <c r="K868" t="n">
        <v>0</v>
      </c>
      <c r="L868" t="n">
        <v>0</v>
      </c>
      <c r="M868" t="n">
        <v>0</v>
      </c>
      <c r="N868" t="n">
        <v>0</v>
      </c>
      <c r="O868" t="n">
        <v>0</v>
      </c>
      <c r="P868" t="n">
        <v>0</v>
      </c>
      <c r="Q868" t="n">
        <v>0</v>
      </c>
      <c r="R868" s="2" t="inlineStr"/>
    </row>
    <row r="869" ht="15" customHeight="1">
      <c r="A869" t="inlineStr">
        <is>
          <t>A 43433-2024</t>
        </is>
      </c>
      <c r="B869" s="1" t="n">
        <v>45568.64523148148</v>
      </c>
      <c r="C869" s="1" t="n">
        <v>46082</v>
      </c>
      <c r="D869" t="inlineStr">
        <is>
          <t>ÖREBRO LÄN</t>
        </is>
      </c>
      <c r="E869" t="inlineStr">
        <is>
          <t>LINDESBERG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6604-2024</t>
        </is>
      </c>
      <c r="B870" s="1" t="n">
        <v>45341.56577546296</v>
      </c>
      <c r="C870" s="1" t="n">
        <v>46082</v>
      </c>
      <c r="D870" t="inlineStr">
        <is>
          <t>ÖREBRO LÄN</t>
        </is>
      </c>
      <c r="E870" t="inlineStr">
        <is>
          <t>LINDESBERG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5550-2024</t>
        </is>
      </c>
      <c r="B871" s="1" t="n">
        <v>45334</v>
      </c>
      <c r="C871" s="1" t="n">
        <v>46082</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63125-2023</t>
        </is>
      </c>
      <c r="B872" s="1" t="n">
        <v>45273</v>
      </c>
      <c r="C872" s="1" t="n">
        <v>46082</v>
      </c>
      <c r="D872" t="inlineStr">
        <is>
          <t>ÖREBRO LÄN</t>
        </is>
      </c>
      <c r="E872" t="inlineStr">
        <is>
          <t>LINDESBERG</t>
        </is>
      </c>
      <c r="G872" t="n">
        <v>1.7</v>
      </c>
      <c r="H872" t="n">
        <v>0</v>
      </c>
      <c r="I872" t="n">
        <v>0</v>
      </c>
      <c r="J872" t="n">
        <v>0</v>
      </c>
      <c r="K872" t="n">
        <v>0</v>
      </c>
      <c r="L872" t="n">
        <v>0</v>
      </c>
      <c r="M872" t="n">
        <v>0</v>
      </c>
      <c r="N872" t="n">
        <v>0</v>
      </c>
      <c r="O872" t="n">
        <v>0</v>
      </c>
      <c r="P872" t="n">
        <v>0</v>
      </c>
      <c r="Q872" t="n">
        <v>0</v>
      </c>
      <c r="R872" s="2" t="inlineStr"/>
    </row>
    <row r="873" ht="15" customHeight="1">
      <c r="A873" t="inlineStr">
        <is>
          <t>A 15752-2024</t>
        </is>
      </c>
      <c r="B873" s="1" t="n">
        <v>45404.55681712963</v>
      </c>
      <c r="C873" s="1" t="n">
        <v>46082</v>
      </c>
      <c r="D873" t="inlineStr">
        <is>
          <t>ÖREBRO LÄN</t>
        </is>
      </c>
      <c r="E873" t="inlineStr">
        <is>
          <t>LINDESBERG</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35229-2024</t>
        </is>
      </c>
      <c r="B874" s="1" t="n">
        <v>45530</v>
      </c>
      <c r="C874" s="1" t="n">
        <v>46082</v>
      </c>
      <c r="D874" t="inlineStr">
        <is>
          <t>ÖREBRO LÄN</t>
        </is>
      </c>
      <c r="E874" t="inlineStr">
        <is>
          <t>LINDESBERG</t>
        </is>
      </c>
      <c r="G874" t="n">
        <v>0.8</v>
      </c>
      <c r="H874" t="n">
        <v>0</v>
      </c>
      <c r="I874" t="n">
        <v>0</v>
      </c>
      <c r="J874" t="n">
        <v>0</v>
      </c>
      <c r="K874" t="n">
        <v>0</v>
      </c>
      <c r="L874" t="n">
        <v>0</v>
      </c>
      <c r="M874" t="n">
        <v>0</v>
      </c>
      <c r="N874" t="n">
        <v>0</v>
      </c>
      <c r="O874" t="n">
        <v>0</v>
      </c>
      <c r="P874" t="n">
        <v>0</v>
      </c>
      <c r="Q874" t="n">
        <v>0</v>
      </c>
      <c r="R874" s="2" t="inlineStr"/>
    </row>
    <row r="875" ht="15" customHeight="1">
      <c r="A875" t="inlineStr">
        <is>
          <t>A 50986-2023</t>
        </is>
      </c>
      <c r="B875" s="1" t="n">
        <v>45218</v>
      </c>
      <c r="C875" s="1" t="n">
        <v>46082</v>
      </c>
      <c r="D875" t="inlineStr">
        <is>
          <t>ÖREBRO LÄN</t>
        </is>
      </c>
      <c r="E875" t="inlineStr">
        <is>
          <t>LINDESBERG</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25046-2024</t>
        </is>
      </c>
      <c r="B876" s="1" t="n">
        <v>45462</v>
      </c>
      <c r="C876" s="1" t="n">
        <v>46082</v>
      </c>
      <c r="D876" t="inlineStr">
        <is>
          <t>ÖREBRO LÄN</t>
        </is>
      </c>
      <c r="E876" t="inlineStr">
        <is>
          <t>LINDESBERG</t>
        </is>
      </c>
      <c r="G876" t="n">
        <v>4.1</v>
      </c>
      <c r="H876" t="n">
        <v>0</v>
      </c>
      <c r="I876" t="n">
        <v>0</v>
      </c>
      <c r="J876" t="n">
        <v>0</v>
      </c>
      <c r="K876" t="n">
        <v>0</v>
      </c>
      <c r="L876" t="n">
        <v>0</v>
      </c>
      <c r="M876" t="n">
        <v>0</v>
      </c>
      <c r="N876" t="n">
        <v>0</v>
      </c>
      <c r="O876" t="n">
        <v>0</v>
      </c>
      <c r="P876" t="n">
        <v>0</v>
      </c>
      <c r="Q876" t="n">
        <v>0</v>
      </c>
      <c r="R876" s="2" t="inlineStr"/>
    </row>
    <row r="877" ht="15" customHeight="1">
      <c r="A877" t="inlineStr">
        <is>
          <t>A 44675-2021</t>
        </is>
      </c>
      <c r="B877" s="1" t="n">
        <v>44438</v>
      </c>
      <c r="C877" s="1" t="n">
        <v>46082</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32829-2024</t>
        </is>
      </c>
      <c r="B878" s="1" t="n">
        <v>45516.59447916667</v>
      </c>
      <c r="C878" s="1" t="n">
        <v>46082</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43416-2024</t>
        </is>
      </c>
      <c r="B879" s="1" t="n">
        <v>45568.62625</v>
      </c>
      <c r="C879" s="1" t="n">
        <v>46082</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54859-2024</t>
        </is>
      </c>
      <c r="B880" s="1" t="n">
        <v>45618.58962962963</v>
      </c>
      <c r="C880" s="1" t="n">
        <v>46082</v>
      </c>
      <c r="D880" t="inlineStr">
        <is>
          <t>ÖREBRO LÄN</t>
        </is>
      </c>
      <c r="E880" t="inlineStr">
        <is>
          <t>LINDESBERG</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10654-2023</t>
        </is>
      </c>
      <c r="B881" s="1" t="n">
        <v>44984</v>
      </c>
      <c r="C881" s="1" t="n">
        <v>46082</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30534-2023</t>
        </is>
      </c>
      <c r="B882" s="1" t="n">
        <v>45111</v>
      </c>
      <c r="C882" s="1" t="n">
        <v>46082</v>
      </c>
      <c r="D882" t="inlineStr">
        <is>
          <t>ÖREBRO LÄN</t>
        </is>
      </c>
      <c r="E882" t="inlineStr">
        <is>
          <t>LINDESBERG</t>
        </is>
      </c>
      <c r="G882" t="n">
        <v>0.7</v>
      </c>
      <c r="H882" t="n">
        <v>0</v>
      </c>
      <c r="I882" t="n">
        <v>0</v>
      </c>
      <c r="J882" t="n">
        <v>0</v>
      </c>
      <c r="K882" t="n">
        <v>0</v>
      </c>
      <c r="L882" t="n">
        <v>0</v>
      </c>
      <c r="M882" t="n">
        <v>0</v>
      </c>
      <c r="N882" t="n">
        <v>0</v>
      </c>
      <c r="O882" t="n">
        <v>0</v>
      </c>
      <c r="P882" t="n">
        <v>0</v>
      </c>
      <c r="Q882" t="n">
        <v>0</v>
      </c>
      <c r="R882" s="2" t="inlineStr"/>
    </row>
    <row r="883" ht="15" customHeight="1">
      <c r="A883" t="inlineStr">
        <is>
          <t>A 27013-2024</t>
        </is>
      </c>
      <c r="B883" s="1" t="n">
        <v>45471.40384259259</v>
      </c>
      <c r="C883" s="1" t="n">
        <v>46082</v>
      </c>
      <c r="D883" t="inlineStr">
        <is>
          <t>ÖREBRO LÄN</t>
        </is>
      </c>
      <c r="E883" t="inlineStr">
        <is>
          <t>LINDESBERG</t>
        </is>
      </c>
      <c r="G883" t="n">
        <v>5.2</v>
      </c>
      <c r="H883" t="n">
        <v>0</v>
      </c>
      <c r="I883" t="n">
        <v>0</v>
      </c>
      <c r="J883" t="n">
        <v>0</v>
      </c>
      <c r="K883" t="n">
        <v>0</v>
      </c>
      <c r="L883" t="n">
        <v>0</v>
      </c>
      <c r="M883" t="n">
        <v>0</v>
      </c>
      <c r="N883" t="n">
        <v>0</v>
      </c>
      <c r="O883" t="n">
        <v>0</v>
      </c>
      <c r="P883" t="n">
        <v>0</v>
      </c>
      <c r="Q883" t="n">
        <v>0</v>
      </c>
      <c r="R883" s="2" t="inlineStr"/>
    </row>
    <row r="884" ht="15" customHeight="1">
      <c r="A884" t="inlineStr">
        <is>
          <t>A 9140-2025</t>
        </is>
      </c>
      <c r="B884" s="1" t="n">
        <v>45714.31533564815</v>
      </c>
      <c r="C884" s="1" t="n">
        <v>46082</v>
      </c>
      <c r="D884" t="inlineStr">
        <is>
          <t>ÖREBRO LÄN</t>
        </is>
      </c>
      <c r="E884" t="inlineStr">
        <is>
          <t>LINDESBERG</t>
        </is>
      </c>
      <c r="G884" t="n">
        <v>0.8</v>
      </c>
      <c r="H884" t="n">
        <v>0</v>
      </c>
      <c r="I884" t="n">
        <v>0</v>
      </c>
      <c r="J884" t="n">
        <v>0</v>
      </c>
      <c r="K884" t="n">
        <v>0</v>
      </c>
      <c r="L884" t="n">
        <v>0</v>
      </c>
      <c r="M884" t="n">
        <v>0</v>
      </c>
      <c r="N884" t="n">
        <v>0</v>
      </c>
      <c r="O884" t="n">
        <v>0</v>
      </c>
      <c r="P884" t="n">
        <v>0</v>
      </c>
      <c r="Q884" t="n">
        <v>0</v>
      </c>
      <c r="R884" s="2" t="inlineStr"/>
    </row>
    <row r="885" ht="15" customHeight="1">
      <c r="A885" t="inlineStr">
        <is>
          <t>A 28469-2023</t>
        </is>
      </c>
      <c r="B885" s="1" t="n">
        <v>45103</v>
      </c>
      <c r="C885" s="1" t="n">
        <v>46082</v>
      </c>
      <c r="D885" t="inlineStr">
        <is>
          <t>ÖREBRO LÄN</t>
        </is>
      </c>
      <c r="E885" t="inlineStr">
        <is>
          <t>LINDESBERG</t>
        </is>
      </c>
      <c r="G885" t="n">
        <v>0.3</v>
      </c>
      <c r="H885" t="n">
        <v>0</v>
      </c>
      <c r="I885" t="n">
        <v>0</v>
      </c>
      <c r="J885" t="n">
        <v>0</v>
      </c>
      <c r="K885" t="n">
        <v>0</v>
      </c>
      <c r="L885" t="n">
        <v>0</v>
      </c>
      <c r="M885" t="n">
        <v>0</v>
      </c>
      <c r="N885" t="n">
        <v>0</v>
      </c>
      <c r="O885" t="n">
        <v>0</v>
      </c>
      <c r="P885" t="n">
        <v>0</v>
      </c>
      <c r="Q885" t="n">
        <v>0</v>
      </c>
      <c r="R885" s="2" t="inlineStr"/>
    </row>
    <row r="886" ht="15" customHeight="1">
      <c r="A886" t="inlineStr">
        <is>
          <t>A 12278-2025</t>
        </is>
      </c>
      <c r="B886" s="1" t="n">
        <v>45729.65171296296</v>
      </c>
      <c r="C886" s="1" t="n">
        <v>46082</v>
      </c>
      <c r="D886" t="inlineStr">
        <is>
          <t>ÖREBRO LÄN</t>
        </is>
      </c>
      <c r="E886" t="inlineStr">
        <is>
          <t>LINDESBERG</t>
        </is>
      </c>
      <c r="G886" t="n">
        <v>3.2</v>
      </c>
      <c r="H886" t="n">
        <v>0</v>
      </c>
      <c r="I886" t="n">
        <v>0</v>
      </c>
      <c r="J886" t="n">
        <v>0</v>
      </c>
      <c r="K886" t="n">
        <v>0</v>
      </c>
      <c r="L886" t="n">
        <v>0</v>
      </c>
      <c r="M886" t="n">
        <v>0</v>
      </c>
      <c r="N886" t="n">
        <v>0</v>
      </c>
      <c r="O886" t="n">
        <v>0</v>
      </c>
      <c r="P886" t="n">
        <v>0</v>
      </c>
      <c r="Q886" t="n">
        <v>0</v>
      </c>
      <c r="R886" s="2" t="inlineStr"/>
    </row>
    <row r="887" ht="15" customHeight="1">
      <c r="A887" t="inlineStr">
        <is>
          <t>A 20954-2024</t>
        </is>
      </c>
      <c r="B887" s="1" t="n">
        <v>45439.56605324074</v>
      </c>
      <c r="C887" s="1" t="n">
        <v>46082</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7120-2025</t>
        </is>
      </c>
      <c r="B888" s="1" t="n">
        <v>45702</v>
      </c>
      <c r="C888" s="1" t="n">
        <v>46082</v>
      </c>
      <c r="D888" t="inlineStr">
        <is>
          <t>ÖREBRO LÄN</t>
        </is>
      </c>
      <c r="E888" t="inlineStr">
        <is>
          <t>LINDESBERG</t>
        </is>
      </c>
      <c r="G888" t="n">
        <v>0.5</v>
      </c>
      <c r="H888" t="n">
        <v>0</v>
      </c>
      <c r="I888" t="n">
        <v>0</v>
      </c>
      <c r="J888" t="n">
        <v>0</v>
      </c>
      <c r="K888" t="n">
        <v>0</v>
      </c>
      <c r="L888" t="n">
        <v>0</v>
      </c>
      <c r="M888" t="n">
        <v>0</v>
      </c>
      <c r="N888" t="n">
        <v>0</v>
      </c>
      <c r="O888" t="n">
        <v>0</v>
      </c>
      <c r="P888" t="n">
        <v>0</v>
      </c>
      <c r="Q888" t="n">
        <v>0</v>
      </c>
      <c r="R888" s="2" t="inlineStr"/>
    </row>
    <row r="889" ht="15" customHeight="1">
      <c r="A889" t="inlineStr">
        <is>
          <t>A 36773-2024</t>
        </is>
      </c>
      <c r="B889" s="1" t="n">
        <v>45538</v>
      </c>
      <c r="C889" s="1" t="n">
        <v>46082</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53897-2024</t>
        </is>
      </c>
      <c r="B890" s="1" t="n">
        <v>45615.69570601852</v>
      </c>
      <c r="C890" s="1" t="n">
        <v>46082</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12692-2024</t>
        </is>
      </c>
      <c r="B891" s="1" t="n">
        <v>45384.43418981481</v>
      </c>
      <c r="C891" s="1" t="n">
        <v>46082</v>
      </c>
      <c r="D891" t="inlineStr">
        <is>
          <t>ÖREBRO LÄN</t>
        </is>
      </c>
      <c r="E891" t="inlineStr">
        <is>
          <t>LINDESBERG</t>
        </is>
      </c>
      <c r="G891" t="n">
        <v>5.2</v>
      </c>
      <c r="H891" t="n">
        <v>0</v>
      </c>
      <c r="I891" t="n">
        <v>0</v>
      </c>
      <c r="J891" t="n">
        <v>0</v>
      </c>
      <c r="K891" t="n">
        <v>0</v>
      </c>
      <c r="L891" t="n">
        <v>0</v>
      </c>
      <c r="M891" t="n">
        <v>0</v>
      </c>
      <c r="N891" t="n">
        <v>0</v>
      </c>
      <c r="O891" t="n">
        <v>0</v>
      </c>
      <c r="P891" t="n">
        <v>0</v>
      </c>
      <c r="Q891" t="n">
        <v>0</v>
      </c>
      <c r="R891" s="2" t="inlineStr"/>
    </row>
    <row r="892" ht="15" customHeight="1">
      <c r="A892" t="inlineStr">
        <is>
          <t>A 15325-2024</t>
        </is>
      </c>
      <c r="B892" s="1" t="n">
        <v>45400.6709837963</v>
      </c>
      <c r="C892" s="1" t="n">
        <v>46082</v>
      </c>
      <c r="D892" t="inlineStr">
        <is>
          <t>ÖREBRO LÄN</t>
        </is>
      </c>
      <c r="E892" t="inlineStr">
        <is>
          <t>LINDESBERG</t>
        </is>
      </c>
      <c r="F892" t="inlineStr">
        <is>
          <t>Sveaskog</t>
        </is>
      </c>
      <c r="G892" t="n">
        <v>0.3</v>
      </c>
      <c r="H892" t="n">
        <v>0</v>
      </c>
      <c r="I892" t="n">
        <v>0</v>
      </c>
      <c r="J892" t="n">
        <v>0</v>
      </c>
      <c r="K892" t="n">
        <v>0</v>
      </c>
      <c r="L892" t="n">
        <v>0</v>
      </c>
      <c r="M892" t="n">
        <v>0</v>
      </c>
      <c r="N892" t="n">
        <v>0</v>
      </c>
      <c r="O892" t="n">
        <v>0</v>
      </c>
      <c r="P892" t="n">
        <v>0</v>
      </c>
      <c r="Q892" t="n">
        <v>0</v>
      </c>
      <c r="R892" s="2" t="inlineStr"/>
    </row>
    <row r="893" ht="15" customHeight="1">
      <c r="A893" t="inlineStr">
        <is>
          <t>A 7119-2025</t>
        </is>
      </c>
      <c r="B893" s="1" t="n">
        <v>45702</v>
      </c>
      <c r="C893" s="1" t="n">
        <v>46082</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20804-2025</t>
        </is>
      </c>
      <c r="B894" s="1" t="n">
        <v>45776.65518518518</v>
      </c>
      <c r="C894" s="1" t="n">
        <v>46082</v>
      </c>
      <c r="D894" t="inlineStr">
        <is>
          <t>ÖREBRO LÄN</t>
        </is>
      </c>
      <c r="E894" t="inlineStr">
        <is>
          <t>LINDESBERG</t>
        </is>
      </c>
      <c r="G894" t="n">
        <v>3.2</v>
      </c>
      <c r="H894" t="n">
        <v>0</v>
      </c>
      <c r="I894" t="n">
        <v>0</v>
      </c>
      <c r="J894" t="n">
        <v>0</v>
      </c>
      <c r="K894" t="n">
        <v>0</v>
      </c>
      <c r="L894" t="n">
        <v>0</v>
      </c>
      <c r="M894" t="n">
        <v>0</v>
      </c>
      <c r="N894" t="n">
        <v>0</v>
      </c>
      <c r="O894" t="n">
        <v>0</v>
      </c>
      <c r="P894" t="n">
        <v>0</v>
      </c>
      <c r="Q894" t="n">
        <v>0</v>
      </c>
      <c r="R894" s="2" t="inlineStr"/>
    </row>
    <row r="895" ht="15" customHeight="1">
      <c r="A895" t="inlineStr">
        <is>
          <t>A 20923-2025</t>
        </is>
      </c>
      <c r="B895" s="1" t="n">
        <v>45777.41673611111</v>
      </c>
      <c r="C895" s="1" t="n">
        <v>46082</v>
      </c>
      <c r="D895" t="inlineStr">
        <is>
          <t>ÖREBRO LÄN</t>
        </is>
      </c>
      <c r="E895" t="inlineStr">
        <is>
          <t>LINDESBERG</t>
        </is>
      </c>
      <c r="F895" t="inlineStr">
        <is>
          <t>Sveaskog</t>
        </is>
      </c>
      <c r="G895" t="n">
        <v>10.3</v>
      </c>
      <c r="H895" t="n">
        <v>0</v>
      </c>
      <c r="I895" t="n">
        <v>0</v>
      </c>
      <c r="J895" t="n">
        <v>0</v>
      </c>
      <c r="K895" t="n">
        <v>0</v>
      </c>
      <c r="L895" t="n">
        <v>0</v>
      </c>
      <c r="M895" t="n">
        <v>0</v>
      </c>
      <c r="N895" t="n">
        <v>0</v>
      </c>
      <c r="O895" t="n">
        <v>0</v>
      </c>
      <c r="P895" t="n">
        <v>0</v>
      </c>
      <c r="Q895" t="n">
        <v>0</v>
      </c>
      <c r="R895" s="2" t="inlineStr"/>
    </row>
    <row r="896" ht="15" customHeight="1">
      <c r="A896" t="inlineStr">
        <is>
          <t>A 20950-2025</t>
        </is>
      </c>
      <c r="B896" s="1" t="n">
        <v>45777.43878472222</v>
      </c>
      <c r="C896" s="1" t="n">
        <v>46082</v>
      </c>
      <c r="D896" t="inlineStr">
        <is>
          <t>ÖREBRO LÄN</t>
        </is>
      </c>
      <c r="E896" t="inlineStr">
        <is>
          <t>LINDESBERG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12795-2025</t>
        </is>
      </c>
      <c r="B897" s="1" t="n">
        <v>45733.60959490741</v>
      </c>
      <c r="C897" s="1" t="n">
        <v>46082</v>
      </c>
      <c r="D897" t="inlineStr">
        <is>
          <t>ÖREBRO LÄN</t>
        </is>
      </c>
      <c r="E897" t="inlineStr">
        <is>
          <t>LINDESBERG</t>
        </is>
      </c>
      <c r="G897" t="n">
        <v>10.8</v>
      </c>
      <c r="H897" t="n">
        <v>0</v>
      </c>
      <c r="I897" t="n">
        <v>0</v>
      </c>
      <c r="J897" t="n">
        <v>0</v>
      </c>
      <c r="K897" t="n">
        <v>0</v>
      </c>
      <c r="L897" t="n">
        <v>0</v>
      </c>
      <c r="M897" t="n">
        <v>0</v>
      </c>
      <c r="N897" t="n">
        <v>0</v>
      </c>
      <c r="O897" t="n">
        <v>0</v>
      </c>
      <c r="P897" t="n">
        <v>0</v>
      </c>
      <c r="Q897" t="n">
        <v>0</v>
      </c>
      <c r="R897" s="2" t="inlineStr"/>
    </row>
    <row r="898" ht="15" customHeight="1">
      <c r="A898" t="inlineStr">
        <is>
          <t>A 20930-2025</t>
        </is>
      </c>
      <c r="B898" s="1" t="n">
        <v>45777.42628472222</v>
      </c>
      <c r="C898" s="1" t="n">
        <v>46082</v>
      </c>
      <c r="D898" t="inlineStr">
        <is>
          <t>ÖREBRO LÄN</t>
        </is>
      </c>
      <c r="E898" t="inlineStr">
        <is>
          <t>LINDESBERG</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20944-2025</t>
        </is>
      </c>
      <c r="B899" s="1" t="n">
        <v>45777</v>
      </c>
      <c r="C899" s="1" t="n">
        <v>46082</v>
      </c>
      <c r="D899" t="inlineStr">
        <is>
          <t>ÖREBRO LÄN</t>
        </is>
      </c>
      <c r="E899" t="inlineStr">
        <is>
          <t>LINDESBERG</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21812-2025</t>
        </is>
      </c>
      <c r="B900" s="1" t="n">
        <v>45783.71833333333</v>
      </c>
      <c r="C900" s="1" t="n">
        <v>46082</v>
      </c>
      <c r="D900" t="inlineStr">
        <is>
          <t>ÖREBRO LÄN</t>
        </is>
      </c>
      <c r="E900" t="inlineStr">
        <is>
          <t>LINDESBERG</t>
        </is>
      </c>
      <c r="G900" t="n">
        <v>0.9</v>
      </c>
      <c r="H900" t="n">
        <v>0</v>
      </c>
      <c r="I900" t="n">
        <v>0</v>
      </c>
      <c r="J900" t="n">
        <v>0</v>
      </c>
      <c r="K900" t="n">
        <v>0</v>
      </c>
      <c r="L900" t="n">
        <v>0</v>
      </c>
      <c r="M900" t="n">
        <v>0</v>
      </c>
      <c r="N900" t="n">
        <v>0</v>
      </c>
      <c r="O900" t="n">
        <v>0</v>
      </c>
      <c r="P900" t="n">
        <v>0</v>
      </c>
      <c r="Q900" t="n">
        <v>0</v>
      </c>
      <c r="R900" s="2" t="inlineStr"/>
    </row>
    <row r="901" ht="15" customHeight="1">
      <c r="A901" t="inlineStr">
        <is>
          <t>A 31861-2024</t>
        </is>
      </c>
      <c r="B901" s="1" t="n">
        <v>45509.73383101852</v>
      </c>
      <c r="C901" s="1" t="n">
        <v>46082</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43195-2024</t>
        </is>
      </c>
      <c r="B902" s="1" t="n">
        <v>45567.68003472222</v>
      </c>
      <c r="C902" s="1" t="n">
        <v>46082</v>
      </c>
      <c r="D902" t="inlineStr">
        <is>
          <t>ÖREBRO LÄN</t>
        </is>
      </c>
      <c r="E902" t="inlineStr">
        <is>
          <t>LINDESBERG</t>
        </is>
      </c>
      <c r="G902" t="n">
        <v>27.8</v>
      </c>
      <c r="H902" t="n">
        <v>0</v>
      </c>
      <c r="I902" t="n">
        <v>0</v>
      </c>
      <c r="J902" t="n">
        <v>0</v>
      </c>
      <c r="K902" t="n">
        <v>0</v>
      </c>
      <c r="L902" t="n">
        <v>0</v>
      </c>
      <c r="M902" t="n">
        <v>0</v>
      </c>
      <c r="N902" t="n">
        <v>0</v>
      </c>
      <c r="O902" t="n">
        <v>0</v>
      </c>
      <c r="P902" t="n">
        <v>0</v>
      </c>
      <c r="Q902" t="n">
        <v>0</v>
      </c>
      <c r="R902" s="2" t="inlineStr"/>
    </row>
    <row r="903" ht="15" customHeight="1">
      <c r="A903" t="inlineStr">
        <is>
          <t>A 24583-2024</t>
        </is>
      </c>
      <c r="B903" s="1" t="n">
        <v>45460.46358796296</v>
      </c>
      <c r="C903" s="1" t="n">
        <v>46082</v>
      </c>
      <c r="D903" t="inlineStr">
        <is>
          <t>ÖREBRO LÄN</t>
        </is>
      </c>
      <c r="E903" t="inlineStr">
        <is>
          <t>LINDESBERG</t>
        </is>
      </c>
      <c r="G903" t="n">
        <v>13.7</v>
      </c>
      <c r="H903" t="n">
        <v>0</v>
      </c>
      <c r="I903" t="n">
        <v>0</v>
      </c>
      <c r="J903" t="n">
        <v>0</v>
      </c>
      <c r="K903" t="n">
        <v>0</v>
      </c>
      <c r="L903" t="n">
        <v>0</v>
      </c>
      <c r="M903" t="n">
        <v>0</v>
      </c>
      <c r="N903" t="n">
        <v>0</v>
      </c>
      <c r="O903" t="n">
        <v>0</v>
      </c>
      <c r="P903" t="n">
        <v>0</v>
      </c>
      <c r="Q903" t="n">
        <v>0</v>
      </c>
      <c r="R903" s="2" t="inlineStr"/>
    </row>
    <row r="904" ht="15" customHeight="1">
      <c r="A904" t="inlineStr">
        <is>
          <t>A 28776-2023</t>
        </is>
      </c>
      <c r="B904" s="1" t="n">
        <v>45104.34107638889</v>
      </c>
      <c r="C904" s="1" t="n">
        <v>46082</v>
      </c>
      <c r="D904" t="inlineStr">
        <is>
          <t>ÖREBRO LÄN</t>
        </is>
      </c>
      <c r="E904" t="inlineStr">
        <is>
          <t>LINDESBERG</t>
        </is>
      </c>
      <c r="F904" t="inlineStr">
        <is>
          <t>Sveaskog</t>
        </is>
      </c>
      <c r="G904" t="n">
        <v>4.1</v>
      </c>
      <c r="H904" t="n">
        <v>0</v>
      </c>
      <c r="I904" t="n">
        <v>0</v>
      </c>
      <c r="J904" t="n">
        <v>0</v>
      </c>
      <c r="K904" t="n">
        <v>0</v>
      </c>
      <c r="L904" t="n">
        <v>0</v>
      </c>
      <c r="M904" t="n">
        <v>0</v>
      </c>
      <c r="N904" t="n">
        <v>0</v>
      </c>
      <c r="O904" t="n">
        <v>0</v>
      </c>
      <c r="P904" t="n">
        <v>0</v>
      </c>
      <c r="Q904" t="n">
        <v>0</v>
      </c>
      <c r="R904" s="2" t="inlineStr"/>
    </row>
    <row r="905" ht="15" customHeight="1">
      <c r="A905" t="inlineStr">
        <is>
          <t>A 22438-2025</t>
        </is>
      </c>
      <c r="B905" s="1" t="n">
        <v>45786</v>
      </c>
      <c r="C905" s="1" t="n">
        <v>46082</v>
      </c>
      <c r="D905" t="inlineStr">
        <is>
          <t>ÖREBRO LÄN</t>
        </is>
      </c>
      <c r="E905" t="inlineStr">
        <is>
          <t>LINDESBERG</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43532-2024</t>
        </is>
      </c>
      <c r="B906" s="1" t="n">
        <v>45569.3533912037</v>
      </c>
      <c r="C906" s="1" t="n">
        <v>46082</v>
      </c>
      <c r="D906" t="inlineStr">
        <is>
          <t>ÖREBRO LÄN</t>
        </is>
      </c>
      <c r="E906" t="inlineStr">
        <is>
          <t>LINDESBERG</t>
        </is>
      </c>
      <c r="G906" t="n">
        <v>2.4</v>
      </c>
      <c r="H906" t="n">
        <v>0</v>
      </c>
      <c r="I906" t="n">
        <v>0</v>
      </c>
      <c r="J906" t="n">
        <v>0</v>
      </c>
      <c r="K906" t="n">
        <v>0</v>
      </c>
      <c r="L906" t="n">
        <v>0</v>
      </c>
      <c r="M906" t="n">
        <v>0</v>
      </c>
      <c r="N906" t="n">
        <v>0</v>
      </c>
      <c r="O906" t="n">
        <v>0</v>
      </c>
      <c r="P906" t="n">
        <v>0</v>
      </c>
      <c r="Q906" t="n">
        <v>0</v>
      </c>
      <c r="R906" s="2" t="inlineStr"/>
    </row>
    <row r="907" ht="15" customHeight="1">
      <c r="A907" t="inlineStr">
        <is>
          <t>A 59282-2023</t>
        </is>
      </c>
      <c r="B907" s="1" t="n">
        <v>45253</v>
      </c>
      <c r="C907" s="1" t="n">
        <v>46082</v>
      </c>
      <c r="D907" t="inlineStr">
        <is>
          <t>ÖREBRO LÄN</t>
        </is>
      </c>
      <c r="E907" t="inlineStr">
        <is>
          <t>LINDESBERG</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47601-2023</t>
        </is>
      </c>
      <c r="B908" s="1" t="n">
        <v>45203.45681712963</v>
      </c>
      <c r="C908" s="1" t="n">
        <v>46082</v>
      </c>
      <c r="D908" t="inlineStr">
        <is>
          <t>ÖREBRO LÄN</t>
        </is>
      </c>
      <c r="E908" t="inlineStr">
        <is>
          <t>LINDESBERG</t>
        </is>
      </c>
      <c r="G908" t="n">
        <v>37.6</v>
      </c>
      <c r="H908" t="n">
        <v>0</v>
      </c>
      <c r="I908" t="n">
        <v>0</v>
      </c>
      <c r="J908" t="n">
        <v>0</v>
      </c>
      <c r="K908" t="n">
        <v>0</v>
      </c>
      <c r="L908" t="n">
        <v>0</v>
      </c>
      <c r="M908" t="n">
        <v>0</v>
      </c>
      <c r="N908" t="n">
        <v>0</v>
      </c>
      <c r="O908" t="n">
        <v>0</v>
      </c>
      <c r="P908" t="n">
        <v>0</v>
      </c>
      <c r="Q908" t="n">
        <v>0</v>
      </c>
      <c r="R908" s="2" t="inlineStr"/>
    </row>
    <row r="909" ht="15" customHeight="1">
      <c r="A909" t="inlineStr">
        <is>
          <t>A 62308-2023</t>
        </is>
      </c>
      <c r="B909" s="1" t="n">
        <v>45267.69052083333</v>
      </c>
      <c r="C909" s="1" t="n">
        <v>46082</v>
      </c>
      <c r="D909" t="inlineStr">
        <is>
          <t>ÖREBRO LÄN</t>
        </is>
      </c>
      <c r="E909" t="inlineStr">
        <is>
          <t>LINDESBERG</t>
        </is>
      </c>
      <c r="F909" t="inlineStr">
        <is>
          <t>Naturvårdsverket</t>
        </is>
      </c>
      <c r="G909" t="n">
        <v>3.1</v>
      </c>
      <c r="H909" t="n">
        <v>0</v>
      </c>
      <c r="I909" t="n">
        <v>0</v>
      </c>
      <c r="J909" t="n">
        <v>0</v>
      </c>
      <c r="K909" t="n">
        <v>0</v>
      </c>
      <c r="L909" t="n">
        <v>0</v>
      </c>
      <c r="M909" t="n">
        <v>0</v>
      </c>
      <c r="N909" t="n">
        <v>0</v>
      </c>
      <c r="O909" t="n">
        <v>0</v>
      </c>
      <c r="P909" t="n">
        <v>0</v>
      </c>
      <c r="Q909" t="n">
        <v>0</v>
      </c>
      <c r="R909" s="2" t="inlineStr"/>
    </row>
    <row r="910" ht="15" customHeight="1">
      <c r="A910" t="inlineStr">
        <is>
          <t>A 22078-2025</t>
        </is>
      </c>
      <c r="B910" s="1" t="n">
        <v>45785.4253125</v>
      </c>
      <c r="C910" s="1" t="n">
        <v>46082</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36686-2024</t>
        </is>
      </c>
      <c r="B911" s="1" t="n">
        <v>45537.665</v>
      </c>
      <c r="C911" s="1" t="n">
        <v>46082</v>
      </c>
      <c r="D911" t="inlineStr">
        <is>
          <t>ÖREBRO LÄN</t>
        </is>
      </c>
      <c r="E911" t="inlineStr">
        <is>
          <t>LINDESBERG</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53355-2023</t>
        </is>
      </c>
      <c r="B912" s="1" t="n">
        <v>45229.66430555555</v>
      </c>
      <c r="C912" s="1" t="n">
        <v>46082</v>
      </c>
      <c r="D912" t="inlineStr">
        <is>
          <t>ÖREBRO LÄN</t>
        </is>
      </c>
      <c r="E912" t="inlineStr">
        <is>
          <t>LINDESBERG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36680-2024</t>
        </is>
      </c>
      <c r="B913" s="1" t="n">
        <v>45537.65305555556</v>
      </c>
      <c r="C913" s="1" t="n">
        <v>46082</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54793-2024</t>
        </is>
      </c>
      <c r="B914" s="1" t="n">
        <v>45618</v>
      </c>
      <c r="C914" s="1" t="n">
        <v>46082</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22543-2025</t>
        </is>
      </c>
      <c r="B915" s="1" t="n">
        <v>45788.42467592593</v>
      </c>
      <c r="C915" s="1" t="n">
        <v>46082</v>
      </c>
      <c r="D915" t="inlineStr">
        <is>
          <t>ÖREBRO LÄN</t>
        </is>
      </c>
      <c r="E915" t="inlineStr">
        <is>
          <t>LINDESBERG</t>
        </is>
      </c>
      <c r="G915" t="n">
        <v>6.7</v>
      </c>
      <c r="H915" t="n">
        <v>0</v>
      </c>
      <c r="I915" t="n">
        <v>0</v>
      </c>
      <c r="J915" t="n">
        <v>0</v>
      </c>
      <c r="K915" t="n">
        <v>0</v>
      </c>
      <c r="L915" t="n">
        <v>0</v>
      </c>
      <c r="M915" t="n">
        <v>0</v>
      </c>
      <c r="N915" t="n">
        <v>0</v>
      </c>
      <c r="O915" t="n">
        <v>0</v>
      </c>
      <c r="P915" t="n">
        <v>0</v>
      </c>
      <c r="Q915" t="n">
        <v>0</v>
      </c>
      <c r="R915" s="2" t="inlineStr"/>
    </row>
    <row r="916" ht="15" customHeight="1">
      <c r="A916" t="inlineStr">
        <is>
          <t>A 23245-2025</t>
        </is>
      </c>
      <c r="B916" s="1" t="n">
        <v>45791.50862268519</v>
      </c>
      <c r="C916" s="1" t="n">
        <v>46082</v>
      </c>
      <c r="D916" t="inlineStr">
        <is>
          <t>ÖREBRO LÄN</t>
        </is>
      </c>
      <c r="E916" t="inlineStr">
        <is>
          <t>LINDESBERG</t>
        </is>
      </c>
      <c r="G916" t="n">
        <v>6.8</v>
      </c>
      <c r="H916" t="n">
        <v>0</v>
      </c>
      <c r="I916" t="n">
        <v>0</v>
      </c>
      <c r="J916" t="n">
        <v>0</v>
      </c>
      <c r="K916" t="n">
        <v>0</v>
      </c>
      <c r="L916" t="n">
        <v>0</v>
      </c>
      <c r="M916" t="n">
        <v>0</v>
      </c>
      <c r="N916" t="n">
        <v>0</v>
      </c>
      <c r="O916" t="n">
        <v>0</v>
      </c>
      <c r="P916" t="n">
        <v>0</v>
      </c>
      <c r="Q916" t="n">
        <v>0</v>
      </c>
      <c r="R916" s="2" t="inlineStr"/>
    </row>
    <row r="917" ht="15" customHeight="1">
      <c r="A917" t="inlineStr">
        <is>
          <t>A 42707-2023</t>
        </is>
      </c>
      <c r="B917" s="1" t="n">
        <v>45181</v>
      </c>
      <c r="C917" s="1" t="n">
        <v>46082</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59641-2024</t>
        </is>
      </c>
      <c r="B918" s="1" t="n">
        <v>45639.30934027778</v>
      </c>
      <c r="C918" s="1" t="n">
        <v>46082</v>
      </c>
      <c r="D918" t="inlineStr">
        <is>
          <t>ÖREBRO LÄN</t>
        </is>
      </c>
      <c r="E918" t="inlineStr">
        <is>
          <t>LINDESBERG</t>
        </is>
      </c>
      <c r="G918" t="n">
        <v>2.1</v>
      </c>
      <c r="H918" t="n">
        <v>0</v>
      </c>
      <c r="I918" t="n">
        <v>0</v>
      </c>
      <c r="J918" t="n">
        <v>0</v>
      </c>
      <c r="K918" t="n">
        <v>0</v>
      </c>
      <c r="L918" t="n">
        <v>0</v>
      </c>
      <c r="M918" t="n">
        <v>0</v>
      </c>
      <c r="N918" t="n">
        <v>0</v>
      </c>
      <c r="O918" t="n">
        <v>0</v>
      </c>
      <c r="P918" t="n">
        <v>0</v>
      </c>
      <c r="Q918" t="n">
        <v>0</v>
      </c>
      <c r="R918" s="2" t="inlineStr"/>
    </row>
    <row r="919" ht="15" customHeight="1">
      <c r="A919" t="inlineStr">
        <is>
          <t>A 17779-2024</t>
        </is>
      </c>
      <c r="B919" s="1" t="n">
        <v>45418.66800925926</v>
      </c>
      <c r="C919" s="1" t="n">
        <v>46082</v>
      </c>
      <c r="D919" t="inlineStr">
        <is>
          <t>ÖREBRO LÄN</t>
        </is>
      </c>
      <c r="E919" t="inlineStr">
        <is>
          <t>LINDESBERG</t>
        </is>
      </c>
      <c r="G919" t="n">
        <v>3.7</v>
      </c>
      <c r="H919" t="n">
        <v>0</v>
      </c>
      <c r="I919" t="n">
        <v>0</v>
      </c>
      <c r="J919" t="n">
        <v>0</v>
      </c>
      <c r="K919" t="n">
        <v>0</v>
      </c>
      <c r="L919" t="n">
        <v>0</v>
      </c>
      <c r="M919" t="n">
        <v>0</v>
      </c>
      <c r="N919" t="n">
        <v>0</v>
      </c>
      <c r="O919" t="n">
        <v>0</v>
      </c>
      <c r="P919" t="n">
        <v>0</v>
      </c>
      <c r="Q919" t="n">
        <v>0</v>
      </c>
      <c r="R919" s="2" t="inlineStr"/>
    </row>
    <row r="920" ht="15" customHeight="1">
      <c r="A920" t="inlineStr">
        <is>
          <t>A 21202-2024</t>
        </is>
      </c>
      <c r="B920" s="1" t="n">
        <v>45440.5433912037</v>
      </c>
      <c r="C920" s="1" t="n">
        <v>46082</v>
      </c>
      <c r="D920" t="inlineStr">
        <is>
          <t>ÖREBRO LÄN</t>
        </is>
      </c>
      <c r="E920" t="inlineStr">
        <is>
          <t>LINDESBERG</t>
        </is>
      </c>
      <c r="G920" t="n">
        <v>4</v>
      </c>
      <c r="H920" t="n">
        <v>0</v>
      </c>
      <c r="I920" t="n">
        <v>0</v>
      </c>
      <c r="J920" t="n">
        <v>0</v>
      </c>
      <c r="K920" t="n">
        <v>0</v>
      </c>
      <c r="L920" t="n">
        <v>0</v>
      </c>
      <c r="M920" t="n">
        <v>0</v>
      </c>
      <c r="N920" t="n">
        <v>0</v>
      </c>
      <c r="O920" t="n">
        <v>0</v>
      </c>
      <c r="P920" t="n">
        <v>0</v>
      </c>
      <c r="Q920" t="n">
        <v>0</v>
      </c>
      <c r="R920" s="2" t="inlineStr"/>
    </row>
    <row r="921" ht="15" customHeight="1">
      <c r="A921" t="inlineStr">
        <is>
          <t>A 1400-2025</t>
        </is>
      </c>
      <c r="B921" s="1" t="n">
        <v>45667</v>
      </c>
      <c r="C921" s="1" t="n">
        <v>46082</v>
      </c>
      <c r="D921" t="inlineStr">
        <is>
          <t>ÖREBRO LÄN</t>
        </is>
      </c>
      <c r="E921" t="inlineStr">
        <is>
          <t>LINDESBERG</t>
        </is>
      </c>
      <c r="F921" t="inlineStr">
        <is>
          <t>Allmännings- och besparingsskogar</t>
        </is>
      </c>
      <c r="G921" t="n">
        <v>11.3</v>
      </c>
      <c r="H921" t="n">
        <v>0</v>
      </c>
      <c r="I921" t="n">
        <v>0</v>
      </c>
      <c r="J921" t="n">
        <v>0</v>
      </c>
      <c r="K921" t="n">
        <v>0</v>
      </c>
      <c r="L921" t="n">
        <v>0</v>
      </c>
      <c r="M921" t="n">
        <v>0</v>
      </c>
      <c r="N921" t="n">
        <v>0</v>
      </c>
      <c r="O921" t="n">
        <v>0</v>
      </c>
      <c r="P921" t="n">
        <v>0</v>
      </c>
      <c r="Q921" t="n">
        <v>0</v>
      </c>
      <c r="R921" s="2" t="inlineStr"/>
    </row>
    <row r="922" ht="15" customHeight="1">
      <c r="A922" t="inlineStr">
        <is>
          <t>A 23835-2025</t>
        </is>
      </c>
      <c r="B922" s="1" t="n">
        <v>45793.61047453704</v>
      </c>
      <c r="C922" s="1" t="n">
        <v>46082</v>
      </c>
      <c r="D922" t="inlineStr">
        <is>
          <t>ÖREBRO LÄN</t>
        </is>
      </c>
      <c r="E922" t="inlineStr">
        <is>
          <t>LINDESBERG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46082</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24107-2025</t>
        </is>
      </c>
      <c r="B924" s="1" t="n">
        <v>45796</v>
      </c>
      <c r="C924" s="1" t="n">
        <v>46082</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23932-2025</t>
        </is>
      </c>
      <c r="B925" s="1" t="n">
        <v>45795.70912037037</v>
      </c>
      <c r="C925" s="1" t="n">
        <v>46082</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24011-2025</t>
        </is>
      </c>
      <c r="B926" s="1" t="n">
        <v>45796</v>
      </c>
      <c r="C926" s="1" t="n">
        <v>46082</v>
      </c>
      <c r="D926" t="inlineStr">
        <is>
          <t>ÖREBRO LÄN</t>
        </is>
      </c>
      <c r="E926" t="inlineStr">
        <is>
          <t>LINDESBERG</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24020-2025</t>
        </is>
      </c>
      <c r="B927" s="1" t="n">
        <v>45796.45054398148</v>
      </c>
      <c r="C927" s="1" t="n">
        <v>46082</v>
      </c>
      <c r="D927" t="inlineStr">
        <is>
          <t>ÖREBRO LÄN</t>
        </is>
      </c>
      <c r="E927" t="inlineStr">
        <is>
          <t>LINDESBERG</t>
        </is>
      </c>
      <c r="F927" t="inlineStr">
        <is>
          <t>Sveaskog</t>
        </is>
      </c>
      <c r="G927" t="n">
        <v>3.1</v>
      </c>
      <c r="H927" t="n">
        <v>0</v>
      </c>
      <c r="I927" t="n">
        <v>0</v>
      </c>
      <c r="J927" t="n">
        <v>0</v>
      </c>
      <c r="K927" t="n">
        <v>0</v>
      </c>
      <c r="L927" t="n">
        <v>0</v>
      </c>
      <c r="M927" t="n">
        <v>0</v>
      </c>
      <c r="N927" t="n">
        <v>0</v>
      </c>
      <c r="O927" t="n">
        <v>0</v>
      </c>
      <c r="P927" t="n">
        <v>0</v>
      </c>
      <c r="Q927" t="n">
        <v>0</v>
      </c>
      <c r="R927" s="2" t="inlineStr"/>
    </row>
    <row r="928" ht="15" customHeight="1">
      <c r="A928" t="inlineStr">
        <is>
          <t>A 23897-2025</t>
        </is>
      </c>
      <c r="B928" s="1" t="n">
        <v>45794.33498842592</v>
      </c>
      <c r="C928" s="1" t="n">
        <v>46082</v>
      </c>
      <c r="D928" t="inlineStr">
        <is>
          <t>ÖREBRO LÄN</t>
        </is>
      </c>
      <c r="E928" t="inlineStr">
        <is>
          <t>LINDESBERG</t>
        </is>
      </c>
      <c r="G928" t="n">
        <v>5.6</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46082</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23933-2025</t>
        </is>
      </c>
      <c r="B930" s="1" t="n">
        <v>45795.71300925926</v>
      </c>
      <c r="C930" s="1" t="n">
        <v>46082</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23934-2025</t>
        </is>
      </c>
      <c r="B931" s="1" t="n">
        <v>45795.71547453704</v>
      </c>
      <c r="C931" s="1" t="n">
        <v>46082</v>
      </c>
      <c r="D931" t="inlineStr">
        <is>
          <t>ÖREBRO LÄN</t>
        </is>
      </c>
      <c r="E931" t="inlineStr">
        <is>
          <t>LINDESBERG</t>
        </is>
      </c>
      <c r="G931" t="n">
        <v>1.9</v>
      </c>
      <c r="H931" t="n">
        <v>0</v>
      </c>
      <c r="I931" t="n">
        <v>0</v>
      </c>
      <c r="J931" t="n">
        <v>0</v>
      </c>
      <c r="K931" t="n">
        <v>0</v>
      </c>
      <c r="L931" t="n">
        <v>0</v>
      </c>
      <c r="M931" t="n">
        <v>0</v>
      </c>
      <c r="N931" t="n">
        <v>0</v>
      </c>
      <c r="O931" t="n">
        <v>0</v>
      </c>
      <c r="P931" t="n">
        <v>0</v>
      </c>
      <c r="Q931" t="n">
        <v>0</v>
      </c>
      <c r="R931" s="2" t="inlineStr"/>
    </row>
    <row r="932" ht="15" customHeight="1">
      <c r="A932" t="inlineStr">
        <is>
          <t>A 57944-2023</t>
        </is>
      </c>
      <c r="B932" s="1" t="n">
        <v>45244</v>
      </c>
      <c r="C932" s="1" t="n">
        <v>46082</v>
      </c>
      <c r="D932" t="inlineStr">
        <is>
          <t>ÖREBRO LÄN</t>
        </is>
      </c>
      <c r="E932" t="inlineStr">
        <is>
          <t>LINDESBERG</t>
        </is>
      </c>
      <c r="G932" t="n">
        <v>2.4</v>
      </c>
      <c r="H932" t="n">
        <v>0</v>
      </c>
      <c r="I932" t="n">
        <v>0</v>
      </c>
      <c r="J932" t="n">
        <v>0</v>
      </c>
      <c r="K932" t="n">
        <v>0</v>
      </c>
      <c r="L932" t="n">
        <v>0</v>
      </c>
      <c r="M932" t="n">
        <v>0</v>
      </c>
      <c r="N932" t="n">
        <v>0</v>
      </c>
      <c r="O932" t="n">
        <v>0</v>
      </c>
      <c r="P932" t="n">
        <v>0</v>
      </c>
      <c r="Q932" t="n">
        <v>0</v>
      </c>
      <c r="R932" s="2" t="inlineStr"/>
    </row>
    <row r="933" ht="15" customHeight="1">
      <c r="A933" t="inlineStr">
        <is>
          <t>A 24043-2024</t>
        </is>
      </c>
      <c r="B933" s="1" t="n">
        <v>45456.48927083334</v>
      </c>
      <c r="C933" s="1" t="n">
        <v>46082</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row r="934" ht="15" customHeight="1">
      <c r="A934" t="inlineStr">
        <is>
          <t>A 23844-2025</t>
        </is>
      </c>
      <c r="B934" s="1" t="n">
        <v>45793.62422453704</v>
      </c>
      <c r="C934" s="1" t="n">
        <v>46082</v>
      </c>
      <c r="D934" t="inlineStr">
        <is>
          <t>ÖREBRO LÄN</t>
        </is>
      </c>
      <c r="E934" t="inlineStr">
        <is>
          <t>LINDESBERG</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12250-2025</t>
        </is>
      </c>
      <c r="B935" s="1" t="n">
        <v>45729.60775462963</v>
      </c>
      <c r="C935" s="1" t="n">
        <v>46082</v>
      </c>
      <c r="D935" t="inlineStr">
        <is>
          <t>ÖREBRO LÄN</t>
        </is>
      </c>
      <c r="E935" t="inlineStr">
        <is>
          <t>LINDESBERG</t>
        </is>
      </c>
      <c r="G935" t="n">
        <v>3.4</v>
      </c>
      <c r="H935" t="n">
        <v>0</v>
      </c>
      <c r="I935" t="n">
        <v>0</v>
      </c>
      <c r="J935" t="n">
        <v>0</v>
      </c>
      <c r="K935" t="n">
        <v>0</v>
      </c>
      <c r="L935" t="n">
        <v>0</v>
      </c>
      <c r="M935" t="n">
        <v>0</v>
      </c>
      <c r="N935" t="n">
        <v>0</v>
      </c>
      <c r="O935" t="n">
        <v>0</v>
      </c>
      <c r="P935" t="n">
        <v>0</v>
      </c>
      <c r="Q935" t="n">
        <v>0</v>
      </c>
      <c r="R935" s="2" t="inlineStr"/>
    </row>
    <row r="936" ht="15" customHeight="1">
      <c r="A936" t="inlineStr">
        <is>
          <t>A 48231-2024</t>
        </is>
      </c>
      <c r="B936" s="1" t="n">
        <v>45590.37590277778</v>
      </c>
      <c r="C936" s="1" t="n">
        <v>46082</v>
      </c>
      <c r="D936" t="inlineStr">
        <is>
          <t>ÖREBRO LÄN</t>
        </is>
      </c>
      <c r="E936" t="inlineStr">
        <is>
          <t>LINDESBERG</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37125-2023</t>
        </is>
      </c>
      <c r="B937" s="1" t="n">
        <v>45155.5653125</v>
      </c>
      <c r="C937" s="1" t="n">
        <v>46082</v>
      </c>
      <c r="D937" t="inlineStr">
        <is>
          <t>ÖREBRO LÄN</t>
        </is>
      </c>
      <c r="E937" t="inlineStr">
        <is>
          <t>LINDESBERG</t>
        </is>
      </c>
      <c r="G937" t="n">
        <v>2</v>
      </c>
      <c r="H937" t="n">
        <v>0</v>
      </c>
      <c r="I937" t="n">
        <v>0</v>
      </c>
      <c r="J937" t="n">
        <v>0</v>
      </c>
      <c r="K937" t="n">
        <v>0</v>
      </c>
      <c r="L937" t="n">
        <v>0</v>
      </c>
      <c r="M937" t="n">
        <v>0</v>
      </c>
      <c r="N937" t="n">
        <v>0</v>
      </c>
      <c r="O937" t="n">
        <v>0</v>
      </c>
      <c r="P937" t="n">
        <v>0</v>
      </c>
      <c r="Q937" t="n">
        <v>0</v>
      </c>
      <c r="R937" s="2" t="inlineStr"/>
    </row>
    <row r="938" ht="15" customHeight="1">
      <c r="A938" t="inlineStr">
        <is>
          <t>A 24186-2024</t>
        </is>
      </c>
      <c r="B938" s="1" t="n">
        <v>45456.90869212963</v>
      </c>
      <c r="C938" s="1" t="n">
        <v>46082</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25842-2025</t>
        </is>
      </c>
      <c r="B939" s="1" t="n">
        <v>45804.45474537037</v>
      </c>
      <c r="C939" s="1" t="n">
        <v>46082</v>
      </c>
      <c r="D939" t="inlineStr">
        <is>
          <t>ÖREBRO LÄN</t>
        </is>
      </c>
      <c r="E939" t="inlineStr">
        <is>
          <t>LINDESBERG</t>
        </is>
      </c>
      <c r="G939" t="n">
        <v>1.7</v>
      </c>
      <c r="H939" t="n">
        <v>0</v>
      </c>
      <c r="I939" t="n">
        <v>0</v>
      </c>
      <c r="J939" t="n">
        <v>0</v>
      </c>
      <c r="K939" t="n">
        <v>0</v>
      </c>
      <c r="L939" t="n">
        <v>0</v>
      </c>
      <c r="M939" t="n">
        <v>0</v>
      </c>
      <c r="N939" t="n">
        <v>0</v>
      </c>
      <c r="O939" t="n">
        <v>0</v>
      </c>
      <c r="P939" t="n">
        <v>0</v>
      </c>
      <c r="Q939" t="n">
        <v>0</v>
      </c>
      <c r="R939" s="2" t="inlineStr"/>
    </row>
    <row r="940" ht="15" customHeight="1">
      <c r="A940" t="inlineStr">
        <is>
          <t>A 25643-2025</t>
        </is>
      </c>
      <c r="B940" s="1" t="n">
        <v>45803</v>
      </c>
      <c r="C940" s="1" t="n">
        <v>46082</v>
      </c>
      <c r="D940" t="inlineStr">
        <is>
          <t>ÖREBRO LÄN</t>
        </is>
      </c>
      <c r="E940" t="inlineStr">
        <is>
          <t>LINDESBERG</t>
        </is>
      </c>
      <c r="F940" t="inlineStr">
        <is>
          <t>Sveaskog</t>
        </is>
      </c>
      <c r="G940" t="n">
        <v>3.6</v>
      </c>
      <c r="H940" t="n">
        <v>0</v>
      </c>
      <c r="I940" t="n">
        <v>0</v>
      </c>
      <c r="J940" t="n">
        <v>0</v>
      </c>
      <c r="K940" t="n">
        <v>0</v>
      </c>
      <c r="L940" t="n">
        <v>0</v>
      </c>
      <c r="M940" t="n">
        <v>0</v>
      </c>
      <c r="N940" t="n">
        <v>0</v>
      </c>
      <c r="O940" t="n">
        <v>0</v>
      </c>
      <c r="P940" t="n">
        <v>0</v>
      </c>
      <c r="Q940" t="n">
        <v>0</v>
      </c>
      <c r="R940" s="2" t="inlineStr"/>
    </row>
    <row r="941">
      <c r="A941" t="inlineStr">
        <is>
          <t>A 25843-2025</t>
        </is>
      </c>
      <c r="B941" s="1" t="n">
        <v>45804.45584490741</v>
      </c>
      <c r="C941" s="1" t="n">
        <v>46082</v>
      </c>
      <c r="D941" t="inlineStr">
        <is>
          <t>ÖREBRO LÄN</t>
        </is>
      </c>
      <c r="E941" t="inlineStr">
        <is>
          <t>LINDESBERG</t>
        </is>
      </c>
      <c r="G941" t="n">
        <v>4.6</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2026-03-01T11:07:58Z</dcterms:created>
  <dcterms:modified xmlns:dcterms="http://purl.org/dc/terms/" xmlns:xsi="http://www.w3.org/2001/XMLSchema-instance" xsi:type="dcterms:W3CDTF">2026-03-01T11:07:58Z</dcterms:modified>
</cp:coreProperties>
</file>