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46169</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46169</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46169</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46169</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46169</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46169</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46169</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46169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46169</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8195-2026</t>
        </is>
      </c>
      <c r="B16" s="1" t="n">
        <v>46064.43017361111</v>
      </c>
      <c r="C16" s="1" t="n">
        <v>46169</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46169</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28033-2023</t>
        </is>
      </c>
      <c r="B18" s="1" t="n">
        <v>45099</v>
      </c>
      <c r="C18" s="1" t="n">
        <v>46169</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46169</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46169</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46169</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46169</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46169</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46169</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46169</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28035-2023</t>
        </is>
      </c>
      <c r="B26" s="1" t="n">
        <v>45099</v>
      </c>
      <c r="C26" s="1" t="n">
        <v>46169</v>
      </c>
      <c r="D26" t="inlineStr">
        <is>
          <t>ÖREBRO LÄN</t>
        </is>
      </c>
      <c r="E26" t="inlineStr">
        <is>
          <t>LINDESBERG</t>
        </is>
      </c>
      <c r="F26" t="inlineStr">
        <is>
          <t>Kyrkan</t>
        </is>
      </c>
      <c r="G26" t="n">
        <v>1.1</v>
      </c>
      <c r="H26" t="n">
        <v>1</v>
      </c>
      <c r="I26" t="n">
        <v>1</v>
      </c>
      <c r="J26" t="n">
        <v>0</v>
      </c>
      <c r="K26" t="n">
        <v>0</v>
      </c>
      <c r="L26" t="n">
        <v>2</v>
      </c>
      <c r="M26" t="n">
        <v>0</v>
      </c>
      <c r="N26" t="n">
        <v>0</v>
      </c>
      <c r="O26" t="n">
        <v>2</v>
      </c>
      <c r="P26" t="n">
        <v>2</v>
      </c>
      <c r="Q26" t="n">
        <v>3</v>
      </c>
      <c r="R26" s="2" t="inlineStr">
        <is>
          <t>Ask
Asknätfjäril
Tibast</t>
        </is>
      </c>
      <c r="S26">
        <f>HYPERLINK("https://klasma.github.io/Logging_1885/artfynd/A 28035-2023 artfynd.xlsx", "A 28035-2023")</f>
        <v/>
      </c>
      <c r="T26">
        <f>HYPERLINK("https://klasma.github.io/Logging_1885/kartor/A 28035-2023 karta.png", "A 28035-2023")</f>
        <v/>
      </c>
      <c r="V26">
        <f>HYPERLINK("https://klasma.github.io/Logging_1885/klagomål/A 28035-2023 FSC-klagomål.docx", "A 28035-2023")</f>
        <v/>
      </c>
      <c r="W26">
        <f>HYPERLINK("https://klasma.github.io/Logging_1885/klagomålsmail/A 28035-2023 FSC-klagomål mail.docx", "A 28035-2023")</f>
        <v/>
      </c>
      <c r="X26">
        <f>HYPERLINK("https://klasma.github.io/Logging_1885/tillsyn/A 28035-2023 tillsynsbegäran.docx", "A 28035-2023")</f>
        <v/>
      </c>
      <c r="Y26">
        <f>HYPERLINK("https://klasma.github.io/Logging_1885/tillsynsmail/A 28035-2023 tillsynsbegäran mail.docx", "A 28035-2023")</f>
        <v/>
      </c>
    </row>
    <row r="27" ht="15" customHeight="1">
      <c r="A27" t="inlineStr">
        <is>
          <t>A 34266-2025</t>
        </is>
      </c>
      <c r="B27" s="1" t="n">
        <v>45845.75751157408</v>
      </c>
      <c r="C27" s="1" t="n">
        <v>46169</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49945-2025</t>
        </is>
      </c>
      <c r="B28" s="1" t="n">
        <v>45940.69754629629</v>
      </c>
      <c r="C28" s="1" t="n">
        <v>46169</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50989-2023</t>
        </is>
      </c>
      <c r="B29" s="1" t="n">
        <v>45218</v>
      </c>
      <c r="C29" s="1" t="n">
        <v>46169</v>
      </c>
      <c r="D29" t="inlineStr">
        <is>
          <t>ÖREBRO LÄN</t>
        </is>
      </c>
      <c r="E29" t="inlineStr">
        <is>
          <t>LINDESBERG</t>
        </is>
      </c>
      <c r="F29" t="inlineStr">
        <is>
          <t>Sveaskog</t>
        </is>
      </c>
      <c r="G29" t="n">
        <v>3.4</v>
      </c>
      <c r="H29" t="n">
        <v>0</v>
      </c>
      <c r="I29" t="n">
        <v>1</v>
      </c>
      <c r="J29" t="n">
        <v>2</v>
      </c>
      <c r="K29" t="n">
        <v>0</v>
      </c>
      <c r="L29" t="n">
        <v>0</v>
      </c>
      <c r="M29" t="n">
        <v>0</v>
      </c>
      <c r="N29" t="n">
        <v>0</v>
      </c>
      <c r="O29" t="n">
        <v>2</v>
      </c>
      <c r="P29" t="n">
        <v>0</v>
      </c>
      <c r="Q29" t="n">
        <v>3</v>
      </c>
      <c r="R29" s="2" t="inlineStr">
        <is>
          <t>Grantaggsvamp
Svartvit taggsvamp
Dropptaggsvamp</t>
        </is>
      </c>
      <c r="S29">
        <f>HYPERLINK("https://klasma.github.io/Logging_1885/artfynd/A 50989-2023 artfynd.xlsx", "A 50989-2023")</f>
        <v/>
      </c>
      <c r="T29">
        <f>HYPERLINK("https://klasma.github.io/Logging_1885/kartor/A 50989-2023 karta.png", "A 50989-2023")</f>
        <v/>
      </c>
      <c r="V29">
        <f>HYPERLINK("https://klasma.github.io/Logging_1885/klagomål/A 50989-2023 FSC-klagomål.docx", "A 50989-2023")</f>
        <v/>
      </c>
      <c r="W29">
        <f>HYPERLINK("https://klasma.github.io/Logging_1885/klagomålsmail/A 50989-2023 FSC-klagomål mail.docx", "A 50989-2023")</f>
        <v/>
      </c>
      <c r="X29">
        <f>HYPERLINK("https://klasma.github.io/Logging_1885/tillsyn/A 50989-2023 tillsynsbegäran.docx", "A 50989-2023")</f>
        <v/>
      </c>
      <c r="Y29">
        <f>HYPERLINK("https://klasma.github.io/Logging_1885/tillsynsmail/A 50989-2023 tillsynsbegäran mail.docx", "A 50989-2023")</f>
        <v/>
      </c>
    </row>
    <row r="30" ht="15" customHeight="1">
      <c r="A30" t="inlineStr">
        <is>
          <t>A 20744-2026</t>
        </is>
      </c>
      <c r="B30" s="1" t="n">
        <v>46141.58104166666</v>
      </c>
      <c r="C30" s="1" t="n">
        <v>46169</v>
      </c>
      <c r="D30" t="inlineStr">
        <is>
          <t>ÖREBRO LÄN</t>
        </is>
      </c>
      <c r="E30" t="inlineStr">
        <is>
          <t>LINDESBERG</t>
        </is>
      </c>
      <c r="G30" t="n">
        <v>3</v>
      </c>
      <c r="H30" t="n">
        <v>3</v>
      </c>
      <c r="I30" t="n">
        <v>0</v>
      </c>
      <c r="J30" t="n">
        <v>1</v>
      </c>
      <c r="K30" t="n">
        <v>0</v>
      </c>
      <c r="L30" t="n">
        <v>1</v>
      </c>
      <c r="M30" t="n">
        <v>0</v>
      </c>
      <c r="N30" t="n">
        <v>0</v>
      </c>
      <c r="O30" t="n">
        <v>2</v>
      </c>
      <c r="P30" t="n">
        <v>1</v>
      </c>
      <c r="Q30" t="n">
        <v>3</v>
      </c>
      <c r="R30" s="2" t="inlineStr">
        <is>
          <t>Asknätfjäril
Spillkråka
Grönsiska</t>
        </is>
      </c>
      <c r="S30">
        <f>HYPERLINK("https://klasma.github.io/Logging_1885/artfynd/A 20744-2026 artfynd.xlsx", "A 20744-2026")</f>
        <v/>
      </c>
      <c r="T30">
        <f>HYPERLINK("https://klasma.github.io/Logging_1885/kartor/A 20744-2026 karta.png", "A 20744-2026")</f>
        <v/>
      </c>
      <c r="V30">
        <f>HYPERLINK("https://klasma.github.io/Logging_1885/klagomål/A 20744-2026 FSC-klagomål.docx", "A 20744-2026")</f>
        <v/>
      </c>
      <c r="W30">
        <f>HYPERLINK("https://klasma.github.io/Logging_1885/klagomålsmail/A 20744-2026 FSC-klagomål mail.docx", "A 20744-2026")</f>
        <v/>
      </c>
      <c r="X30">
        <f>HYPERLINK("https://klasma.github.io/Logging_1885/tillsyn/A 20744-2026 tillsynsbegäran.docx", "A 20744-2026")</f>
        <v/>
      </c>
      <c r="Y30">
        <f>HYPERLINK("https://klasma.github.io/Logging_1885/tillsynsmail/A 20744-2026 tillsynsbegäran mail.docx", "A 20744-2026")</f>
        <v/>
      </c>
      <c r="Z30">
        <f>HYPERLINK("https://klasma.github.io/Logging_1885/fåglar/A 20744-2026 prioriterade fågelarter.docx", "A 20744-2026")</f>
        <v/>
      </c>
    </row>
    <row r="31" ht="15" customHeight="1">
      <c r="A31" t="inlineStr">
        <is>
          <t>A 54020-2024</t>
        </is>
      </c>
      <c r="B31" s="1" t="n">
        <v>45616.38605324074</v>
      </c>
      <c r="C31" s="1" t="n">
        <v>46169</v>
      </c>
      <c r="D31" t="inlineStr">
        <is>
          <t>ÖREBRO LÄN</t>
        </is>
      </c>
      <c r="E31" t="inlineStr">
        <is>
          <t>LINDESBERG</t>
        </is>
      </c>
      <c r="G31" t="n">
        <v>2.8</v>
      </c>
      <c r="H31" t="n">
        <v>1</v>
      </c>
      <c r="I31" t="n">
        <v>1</v>
      </c>
      <c r="J31" t="n">
        <v>2</v>
      </c>
      <c r="K31" t="n">
        <v>0</v>
      </c>
      <c r="L31" t="n">
        <v>0</v>
      </c>
      <c r="M31" t="n">
        <v>0</v>
      </c>
      <c r="N31" t="n">
        <v>0</v>
      </c>
      <c r="O31" t="n">
        <v>2</v>
      </c>
      <c r="P31" t="n">
        <v>0</v>
      </c>
      <c r="Q31" t="n">
        <v>3</v>
      </c>
      <c r="R31" s="2" t="inlineStr">
        <is>
          <t>Mindre hackspett
Skogsklocka
Kambräken</t>
        </is>
      </c>
      <c r="S31">
        <f>HYPERLINK("https://klasma.github.io/Logging_1885/artfynd/A 54020-2024 artfynd.xlsx", "A 54020-2024")</f>
        <v/>
      </c>
      <c r="T31">
        <f>HYPERLINK("https://klasma.github.io/Logging_1885/kartor/A 54020-2024 karta.png", "A 54020-2024")</f>
        <v/>
      </c>
      <c r="V31">
        <f>HYPERLINK("https://klasma.github.io/Logging_1885/klagomål/A 54020-2024 FSC-klagomål.docx", "A 54020-2024")</f>
        <v/>
      </c>
      <c r="W31">
        <f>HYPERLINK("https://klasma.github.io/Logging_1885/klagomålsmail/A 54020-2024 FSC-klagomål mail.docx", "A 54020-2024")</f>
        <v/>
      </c>
      <c r="X31">
        <f>HYPERLINK("https://klasma.github.io/Logging_1885/tillsyn/A 54020-2024 tillsynsbegäran.docx", "A 54020-2024")</f>
        <v/>
      </c>
      <c r="Y31">
        <f>HYPERLINK("https://klasma.github.io/Logging_1885/tillsynsmail/A 54020-2024 tillsynsbegäran mail.docx", "A 54020-2024")</f>
        <v/>
      </c>
      <c r="Z31">
        <f>HYPERLINK("https://klasma.github.io/Logging_1885/fåglar/A 54020-2024 prioriterade fågelarter.docx", "A 54020-2024")</f>
        <v/>
      </c>
    </row>
    <row r="32" ht="15" customHeight="1">
      <c r="A32" t="inlineStr">
        <is>
          <t>A 54332-2021</t>
        </is>
      </c>
      <c r="B32" s="1" t="n">
        <v>44472</v>
      </c>
      <c r="C32" s="1" t="n">
        <v>46169</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46169</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38380-2024</t>
        </is>
      </c>
      <c r="B34" s="1" t="n">
        <v>45546.28121527778</v>
      </c>
      <c r="C34" s="1" t="n">
        <v>46169</v>
      </c>
      <c r="D34" t="inlineStr">
        <is>
          <t>ÖREBRO LÄN</t>
        </is>
      </c>
      <c r="E34" t="inlineStr">
        <is>
          <t>LINDESBERG</t>
        </is>
      </c>
      <c r="G34" t="n">
        <v>6.8</v>
      </c>
      <c r="H34" t="n">
        <v>2</v>
      </c>
      <c r="I34" t="n">
        <v>0</v>
      </c>
      <c r="J34" t="n">
        <v>0</v>
      </c>
      <c r="K34" t="n">
        <v>0</v>
      </c>
      <c r="L34" t="n">
        <v>0</v>
      </c>
      <c r="M34" t="n">
        <v>0</v>
      </c>
      <c r="N34" t="n">
        <v>0</v>
      </c>
      <c r="O34" t="n">
        <v>0</v>
      </c>
      <c r="P34" t="n">
        <v>0</v>
      </c>
      <c r="Q34" t="n">
        <v>2</v>
      </c>
      <c r="R34" s="2" t="inlineStr">
        <is>
          <t>Blåsippa
Gullviva</t>
        </is>
      </c>
      <c r="S34">
        <f>HYPERLINK("https://klasma.github.io/Logging_1885/artfynd/A 38380-2024 artfynd.xlsx", "A 38380-2024")</f>
        <v/>
      </c>
      <c r="T34">
        <f>HYPERLINK("https://klasma.github.io/Logging_1885/kartor/A 38380-2024 karta.png", "A 38380-2024")</f>
        <v/>
      </c>
      <c r="V34">
        <f>HYPERLINK("https://klasma.github.io/Logging_1885/klagomål/A 38380-2024 FSC-klagomål.docx", "A 38380-2024")</f>
        <v/>
      </c>
      <c r="W34">
        <f>HYPERLINK("https://klasma.github.io/Logging_1885/klagomålsmail/A 38380-2024 FSC-klagomål mail.docx", "A 38380-2024")</f>
        <v/>
      </c>
      <c r="X34">
        <f>HYPERLINK("https://klasma.github.io/Logging_1885/tillsyn/A 38380-2024 tillsynsbegäran.docx", "A 38380-2024")</f>
        <v/>
      </c>
      <c r="Y34">
        <f>HYPERLINK("https://klasma.github.io/Logging_1885/tillsynsmail/A 38380-2024 tillsynsbegäran mail.docx", "A 38380-2024")</f>
        <v/>
      </c>
    </row>
    <row r="35" ht="15" customHeight="1">
      <c r="A35" t="inlineStr">
        <is>
          <t>A 51851-2025</t>
        </is>
      </c>
      <c r="B35" s="1" t="n">
        <v>45952.35611111111</v>
      </c>
      <c r="C35" s="1" t="n">
        <v>46169</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42629-2025</t>
        </is>
      </c>
      <c r="B36" s="1" t="n">
        <v>45905.88938657408</v>
      </c>
      <c r="C36" s="1" t="n">
        <v>46169</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54239-2025</t>
        </is>
      </c>
      <c r="B37" s="1" t="n">
        <v>45964.62771990741</v>
      </c>
      <c r="C37" s="1" t="n">
        <v>46169</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46169</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1475-2025</t>
        </is>
      </c>
      <c r="B39" s="1" t="n">
        <v>45670</v>
      </c>
      <c r="C39" s="1" t="n">
        <v>46169</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57319-2025</t>
        </is>
      </c>
      <c r="B40" s="1" t="n">
        <v>45980.01497685185</v>
      </c>
      <c r="C40" s="1" t="n">
        <v>46169</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15687-2023</t>
        </is>
      </c>
      <c r="B41" s="1" t="n">
        <v>45021</v>
      </c>
      <c r="C41" s="1" t="n">
        <v>46169</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33574-2022</t>
        </is>
      </c>
      <c r="B42" s="1" t="n">
        <v>44789</v>
      </c>
      <c r="C42" s="1" t="n">
        <v>46169</v>
      </c>
      <c r="D42" t="inlineStr">
        <is>
          <t>ÖREBRO LÄN</t>
        </is>
      </c>
      <c r="E42" t="inlineStr">
        <is>
          <t>LINDESBERG</t>
        </is>
      </c>
      <c r="G42" t="n">
        <v>11.5</v>
      </c>
      <c r="H42" t="n">
        <v>1</v>
      </c>
      <c r="I42" t="n">
        <v>1</v>
      </c>
      <c r="J42" t="n">
        <v>0</v>
      </c>
      <c r="K42" t="n">
        <v>1</v>
      </c>
      <c r="L42" t="n">
        <v>0</v>
      </c>
      <c r="M42" t="n">
        <v>0</v>
      </c>
      <c r="N42" t="n">
        <v>0</v>
      </c>
      <c r="O42" t="n">
        <v>1</v>
      </c>
      <c r="P42" t="n">
        <v>1</v>
      </c>
      <c r="Q42" t="n">
        <v>2</v>
      </c>
      <c r="R42" s="2" t="inlineStr">
        <is>
          <t>Knärot
Vedticka</t>
        </is>
      </c>
      <c r="S42">
        <f>HYPERLINK("https://klasma.github.io/Logging_1885/artfynd/A 33574-2022 artfynd.xlsx", "A 33574-2022")</f>
        <v/>
      </c>
      <c r="T42">
        <f>HYPERLINK("https://klasma.github.io/Logging_1885/kartor/A 33574-2022 karta.png", "A 33574-2022")</f>
        <v/>
      </c>
      <c r="U42">
        <f>HYPERLINK("https://klasma.github.io/Logging_1885/knärot/A 33574-2022 karta knärot.png", "A 33574-2022")</f>
        <v/>
      </c>
      <c r="V42">
        <f>HYPERLINK("https://klasma.github.io/Logging_1885/klagomål/A 33574-2022 FSC-klagomål.docx", "A 33574-2022")</f>
        <v/>
      </c>
      <c r="W42">
        <f>HYPERLINK("https://klasma.github.io/Logging_1885/klagomålsmail/A 33574-2022 FSC-klagomål mail.docx", "A 33574-2022")</f>
        <v/>
      </c>
      <c r="X42">
        <f>HYPERLINK("https://klasma.github.io/Logging_1885/tillsyn/A 33574-2022 tillsynsbegäran.docx", "A 33574-2022")</f>
        <v/>
      </c>
      <c r="Y42">
        <f>HYPERLINK("https://klasma.github.io/Logging_1885/tillsynsmail/A 33574-2022 tillsynsbegäran mail.docx", "A 33574-2022")</f>
        <v/>
      </c>
    </row>
    <row r="43" ht="15" customHeight="1">
      <c r="A43" t="inlineStr">
        <is>
          <t>A 9567-2026</t>
        </is>
      </c>
      <c r="B43" s="1" t="n">
        <v>46071.65692129629</v>
      </c>
      <c r="C43" s="1" t="n">
        <v>46169</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16103-2026</t>
        </is>
      </c>
      <c r="B44" s="1" t="n">
        <v>46108.59048611111</v>
      </c>
      <c r="C44" s="1" t="n">
        <v>46169</v>
      </c>
      <c r="D44" t="inlineStr">
        <is>
          <t>ÖREBRO LÄN</t>
        </is>
      </c>
      <c r="E44" t="inlineStr">
        <is>
          <t>LINDESBERG</t>
        </is>
      </c>
      <c r="G44" t="n">
        <v>5.5</v>
      </c>
      <c r="H44" t="n">
        <v>1</v>
      </c>
      <c r="I44" t="n">
        <v>0</v>
      </c>
      <c r="J44" t="n">
        <v>2</v>
      </c>
      <c r="K44" t="n">
        <v>0</v>
      </c>
      <c r="L44" t="n">
        <v>0</v>
      </c>
      <c r="M44" t="n">
        <v>0</v>
      </c>
      <c r="N44" t="n">
        <v>0</v>
      </c>
      <c r="O44" t="n">
        <v>2</v>
      </c>
      <c r="P44" t="n">
        <v>0</v>
      </c>
      <c r="Q44" t="n">
        <v>2</v>
      </c>
      <c r="R44" s="2" t="inlineStr">
        <is>
          <t>Garnlav
Spillkråka</t>
        </is>
      </c>
      <c r="S44">
        <f>HYPERLINK("https://klasma.github.io/Logging_1885/artfynd/A 16103-2026 artfynd.xlsx", "A 16103-2026")</f>
        <v/>
      </c>
      <c r="T44">
        <f>HYPERLINK("https://klasma.github.io/Logging_1885/kartor/A 16103-2026 karta.png", "A 16103-2026")</f>
        <v/>
      </c>
      <c r="V44">
        <f>HYPERLINK("https://klasma.github.io/Logging_1885/klagomål/A 16103-2026 FSC-klagomål.docx", "A 16103-2026")</f>
        <v/>
      </c>
      <c r="W44">
        <f>HYPERLINK("https://klasma.github.io/Logging_1885/klagomålsmail/A 16103-2026 FSC-klagomål mail.docx", "A 16103-2026")</f>
        <v/>
      </c>
      <c r="X44">
        <f>HYPERLINK("https://klasma.github.io/Logging_1885/tillsyn/A 16103-2026 tillsynsbegäran.docx", "A 16103-2026")</f>
        <v/>
      </c>
      <c r="Y44">
        <f>HYPERLINK("https://klasma.github.io/Logging_1885/tillsynsmail/A 16103-2026 tillsynsbegäran mail.docx", "A 16103-2026")</f>
        <v/>
      </c>
      <c r="Z44">
        <f>HYPERLINK("https://klasma.github.io/Logging_1885/fåglar/A 16103-2026 prioriterade fågelarter.docx", "A 16103-2026")</f>
        <v/>
      </c>
    </row>
    <row r="45" ht="15" customHeight="1">
      <c r="A45" t="inlineStr">
        <is>
          <t>A 53686-2024</t>
        </is>
      </c>
      <c r="B45" s="1" t="n">
        <v>45615</v>
      </c>
      <c r="C45" s="1" t="n">
        <v>46169</v>
      </c>
      <c r="D45" t="inlineStr">
        <is>
          <t>ÖREBRO LÄN</t>
        </is>
      </c>
      <c r="E45" t="inlineStr">
        <is>
          <t>LINDESBERG</t>
        </is>
      </c>
      <c r="G45" t="n">
        <v>9.1</v>
      </c>
      <c r="H45" t="n">
        <v>0</v>
      </c>
      <c r="I45" t="n">
        <v>1</v>
      </c>
      <c r="J45" t="n">
        <v>1</v>
      </c>
      <c r="K45" t="n">
        <v>0</v>
      </c>
      <c r="L45" t="n">
        <v>0</v>
      </c>
      <c r="M45" t="n">
        <v>0</v>
      </c>
      <c r="N45" t="n">
        <v>0</v>
      </c>
      <c r="O45" t="n">
        <v>1</v>
      </c>
      <c r="P45" t="n">
        <v>0</v>
      </c>
      <c r="Q45" t="n">
        <v>2</v>
      </c>
      <c r="R45" s="2" t="inlineStr">
        <is>
          <t>Dofttaggsvamp
Vedticka</t>
        </is>
      </c>
      <c r="S45">
        <f>HYPERLINK("https://klasma.github.io/Logging_1885/artfynd/A 53686-2024 artfynd.xlsx", "A 53686-2024")</f>
        <v/>
      </c>
      <c r="T45">
        <f>HYPERLINK("https://klasma.github.io/Logging_1885/kartor/A 53686-2024 karta.png", "A 53686-2024")</f>
        <v/>
      </c>
      <c r="V45">
        <f>HYPERLINK("https://klasma.github.io/Logging_1885/klagomål/A 53686-2024 FSC-klagomål.docx", "A 53686-2024")</f>
        <v/>
      </c>
      <c r="W45">
        <f>HYPERLINK("https://klasma.github.io/Logging_1885/klagomålsmail/A 53686-2024 FSC-klagomål mail.docx", "A 53686-2024")</f>
        <v/>
      </c>
      <c r="X45">
        <f>HYPERLINK("https://klasma.github.io/Logging_1885/tillsyn/A 53686-2024 tillsynsbegäran.docx", "A 53686-2024")</f>
        <v/>
      </c>
      <c r="Y45">
        <f>HYPERLINK("https://klasma.github.io/Logging_1885/tillsynsmail/A 53686-2024 tillsynsbegäran mail.docx", "A 53686-2024")</f>
        <v/>
      </c>
    </row>
    <row r="46" ht="15" customHeight="1">
      <c r="A46" t="inlineStr">
        <is>
          <t>A 32713-2021</t>
        </is>
      </c>
      <c r="B46" s="1" t="n">
        <v>44375</v>
      </c>
      <c r="C46" s="1" t="n">
        <v>46169</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46169</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46169</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46169</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33286-2024</t>
        </is>
      </c>
      <c r="B50" s="1" t="n">
        <v>45518</v>
      </c>
      <c r="C50" s="1" t="n">
        <v>46169</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50777-2025</t>
        </is>
      </c>
      <c r="B51" s="1" t="n">
        <v>45946.45171296296</v>
      </c>
      <c r="C51" s="1" t="n">
        <v>46169</v>
      </c>
      <c r="D51" t="inlineStr">
        <is>
          <t>ÖREBRO LÄN</t>
        </is>
      </c>
      <c r="E51" t="inlineStr">
        <is>
          <t>LINDESBERG</t>
        </is>
      </c>
      <c r="F51" t="inlineStr">
        <is>
          <t>Sveaskog</t>
        </is>
      </c>
      <c r="G51" t="n">
        <v>5.3</v>
      </c>
      <c r="H51" t="n">
        <v>0</v>
      </c>
      <c r="I51" t="n">
        <v>1</v>
      </c>
      <c r="J51" t="n">
        <v>0</v>
      </c>
      <c r="K51" t="n">
        <v>0</v>
      </c>
      <c r="L51" t="n">
        <v>0</v>
      </c>
      <c r="M51" t="n">
        <v>0</v>
      </c>
      <c r="N51" t="n">
        <v>0</v>
      </c>
      <c r="O51" t="n">
        <v>0</v>
      </c>
      <c r="P51" t="n">
        <v>0</v>
      </c>
      <c r="Q51" t="n">
        <v>1</v>
      </c>
      <c r="R51" s="2" t="inlineStr">
        <is>
          <t>Zontaggsvamp</t>
        </is>
      </c>
      <c r="S51">
        <f>HYPERLINK("https://klasma.github.io/Logging_1885/artfynd/A 50777-2025 artfynd.xlsx", "A 50777-2025")</f>
        <v/>
      </c>
      <c r="T51">
        <f>HYPERLINK("https://klasma.github.io/Logging_1885/kartor/A 50777-2025 karta.png", "A 50777-2025")</f>
        <v/>
      </c>
      <c r="V51">
        <f>HYPERLINK("https://klasma.github.io/Logging_1885/klagomål/A 50777-2025 FSC-klagomål.docx", "A 50777-2025")</f>
        <v/>
      </c>
      <c r="W51">
        <f>HYPERLINK("https://klasma.github.io/Logging_1885/klagomålsmail/A 50777-2025 FSC-klagomål mail.docx", "A 50777-2025")</f>
        <v/>
      </c>
      <c r="X51">
        <f>HYPERLINK("https://klasma.github.io/Logging_1885/tillsyn/A 50777-2025 tillsynsbegäran.docx", "A 50777-2025")</f>
        <v/>
      </c>
      <c r="Y51">
        <f>HYPERLINK("https://klasma.github.io/Logging_1885/tillsynsmail/A 50777-2025 tillsynsbegäran mail.docx", "A 50777-2025")</f>
        <v/>
      </c>
    </row>
    <row r="52" ht="15" customHeight="1">
      <c r="A52" t="inlineStr">
        <is>
          <t>A 50766-2025</t>
        </is>
      </c>
      <c r="B52" s="1" t="n">
        <v>45946.44423611111</v>
      </c>
      <c r="C52" s="1" t="n">
        <v>46169</v>
      </c>
      <c r="D52" t="inlineStr">
        <is>
          <t>ÖREBRO LÄN</t>
        </is>
      </c>
      <c r="E52" t="inlineStr">
        <is>
          <t>LINDESBERG</t>
        </is>
      </c>
      <c r="F52" t="inlineStr">
        <is>
          <t>Sveaskog</t>
        </is>
      </c>
      <c r="G52" t="n">
        <v>2.4</v>
      </c>
      <c r="H52" t="n">
        <v>0</v>
      </c>
      <c r="I52" t="n">
        <v>0</v>
      </c>
      <c r="J52" t="n">
        <v>0</v>
      </c>
      <c r="K52" t="n">
        <v>1</v>
      </c>
      <c r="L52" t="n">
        <v>0</v>
      </c>
      <c r="M52" t="n">
        <v>0</v>
      </c>
      <c r="N52" t="n">
        <v>0</v>
      </c>
      <c r="O52" t="n">
        <v>1</v>
      </c>
      <c r="P52" t="n">
        <v>1</v>
      </c>
      <c r="Q52" t="n">
        <v>1</v>
      </c>
      <c r="R52" s="2" t="inlineStr">
        <is>
          <t>Rotfingersvamp</t>
        </is>
      </c>
      <c r="S52">
        <f>HYPERLINK("https://klasma.github.io/Logging_1885/artfynd/A 50766-2025 artfynd.xlsx", "A 50766-2025")</f>
        <v/>
      </c>
      <c r="T52">
        <f>HYPERLINK("https://klasma.github.io/Logging_1885/kartor/A 50766-2025 karta.png", "A 50766-2025")</f>
        <v/>
      </c>
      <c r="V52">
        <f>HYPERLINK("https://klasma.github.io/Logging_1885/klagomål/A 50766-2025 FSC-klagomål.docx", "A 50766-2025")</f>
        <v/>
      </c>
      <c r="W52">
        <f>HYPERLINK("https://klasma.github.io/Logging_1885/klagomålsmail/A 50766-2025 FSC-klagomål mail.docx", "A 50766-2025")</f>
        <v/>
      </c>
      <c r="X52">
        <f>HYPERLINK("https://klasma.github.io/Logging_1885/tillsyn/A 50766-2025 tillsynsbegäran.docx", "A 50766-2025")</f>
        <v/>
      </c>
      <c r="Y52">
        <f>HYPERLINK("https://klasma.github.io/Logging_1885/tillsynsmail/A 50766-2025 tillsynsbegäran mail.docx", "A 50766-2025")</f>
        <v/>
      </c>
    </row>
    <row r="53" ht="15" customHeight="1">
      <c r="A53" t="inlineStr">
        <is>
          <t>A 50768-2025</t>
        </is>
      </c>
      <c r="B53" s="1" t="n">
        <v>45946.44790509259</v>
      </c>
      <c r="C53" s="1" t="n">
        <v>46169</v>
      </c>
      <c r="D53" t="inlineStr">
        <is>
          <t>ÖREBRO LÄN</t>
        </is>
      </c>
      <c r="E53" t="inlineStr">
        <is>
          <t>LINDESBERG</t>
        </is>
      </c>
      <c r="F53" t="inlineStr">
        <is>
          <t>Sveaskog</t>
        </is>
      </c>
      <c r="G53" t="n">
        <v>3.1</v>
      </c>
      <c r="H53" t="n">
        <v>1</v>
      </c>
      <c r="I53" t="n">
        <v>1</v>
      </c>
      <c r="J53" t="n">
        <v>0</v>
      </c>
      <c r="K53" t="n">
        <v>0</v>
      </c>
      <c r="L53" t="n">
        <v>0</v>
      </c>
      <c r="M53" t="n">
        <v>0</v>
      </c>
      <c r="N53" t="n">
        <v>0</v>
      </c>
      <c r="O53" t="n">
        <v>0</v>
      </c>
      <c r="P53" t="n">
        <v>0</v>
      </c>
      <c r="Q53" t="n">
        <v>1</v>
      </c>
      <c r="R53" s="2" t="inlineStr">
        <is>
          <t>Plattlummer</t>
        </is>
      </c>
      <c r="S53">
        <f>HYPERLINK("https://klasma.github.io/Logging_1885/artfynd/A 50768-2025 artfynd.xlsx", "A 50768-2025")</f>
        <v/>
      </c>
      <c r="T53">
        <f>HYPERLINK("https://klasma.github.io/Logging_1885/kartor/A 50768-2025 karta.png", "A 50768-2025")</f>
        <v/>
      </c>
      <c r="V53">
        <f>HYPERLINK("https://klasma.github.io/Logging_1885/klagomål/A 50768-2025 FSC-klagomål.docx", "A 50768-2025")</f>
        <v/>
      </c>
      <c r="W53">
        <f>HYPERLINK("https://klasma.github.io/Logging_1885/klagomålsmail/A 50768-2025 FSC-klagomål mail.docx", "A 50768-2025")</f>
        <v/>
      </c>
      <c r="X53">
        <f>HYPERLINK("https://klasma.github.io/Logging_1885/tillsyn/A 50768-2025 tillsynsbegäran.docx", "A 50768-2025")</f>
        <v/>
      </c>
      <c r="Y53">
        <f>HYPERLINK("https://klasma.github.io/Logging_1885/tillsynsmail/A 50768-2025 tillsynsbegäran mail.docx", "A 50768-2025")</f>
        <v/>
      </c>
    </row>
    <row r="54" ht="15" customHeight="1">
      <c r="A54" t="inlineStr">
        <is>
          <t>A 45051-2024</t>
        </is>
      </c>
      <c r="B54" s="1" t="n">
        <v>45575.54934027778</v>
      </c>
      <c r="C54" s="1" t="n">
        <v>46169</v>
      </c>
      <c r="D54" t="inlineStr">
        <is>
          <t>ÖREBRO LÄN</t>
        </is>
      </c>
      <c r="E54" t="inlineStr">
        <is>
          <t>LINDESBERG</t>
        </is>
      </c>
      <c r="F54" t="inlineStr">
        <is>
          <t>Sveaskog</t>
        </is>
      </c>
      <c r="G54" t="n">
        <v>2.2</v>
      </c>
      <c r="H54" t="n">
        <v>1</v>
      </c>
      <c r="I54" t="n">
        <v>0</v>
      </c>
      <c r="J54" t="n">
        <v>1</v>
      </c>
      <c r="K54" t="n">
        <v>0</v>
      </c>
      <c r="L54" t="n">
        <v>0</v>
      </c>
      <c r="M54" t="n">
        <v>0</v>
      </c>
      <c r="N54" t="n">
        <v>0</v>
      </c>
      <c r="O54" t="n">
        <v>1</v>
      </c>
      <c r="P54" t="n">
        <v>0</v>
      </c>
      <c r="Q54" t="n">
        <v>1</v>
      </c>
      <c r="R54" s="2" t="inlineStr">
        <is>
          <t>Spillkråka</t>
        </is>
      </c>
      <c r="S54">
        <f>HYPERLINK("https://klasma.github.io/Logging_1885/artfynd/A 45051-2024 artfynd.xlsx", "A 45051-2024")</f>
        <v/>
      </c>
      <c r="T54">
        <f>HYPERLINK("https://klasma.github.io/Logging_1885/kartor/A 45051-2024 karta.png", "A 45051-2024")</f>
        <v/>
      </c>
      <c r="V54">
        <f>HYPERLINK("https://klasma.github.io/Logging_1885/klagomål/A 45051-2024 FSC-klagomål.docx", "A 45051-2024")</f>
        <v/>
      </c>
      <c r="W54">
        <f>HYPERLINK("https://klasma.github.io/Logging_1885/klagomålsmail/A 45051-2024 FSC-klagomål mail.docx", "A 45051-2024")</f>
        <v/>
      </c>
      <c r="X54">
        <f>HYPERLINK("https://klasma.github.io/Logging_1885/tillsyn/A 45051-2024 tillsynsbegäran.docx", "A 45051-2024")</f>
        <v/>
      </c>
      <c r="Y54">
        <f>HYPERLINK("https://klasma.github.io/Logging_1885/tillsynsmail/A 45051-2024 tillsynsbegäran mail.docx", "A 45051-2024")</f>
        <v/>
      </c>
      <c r="Z54">
        <f>HYPERLINK("https://klasma.github.io/Logging_1885/fåglar/A 45051-2024 prioriterade fågelarter.docx", "A 45051-2024")</f>
        <v/>
      </c>
    </row>
    <row r="55" ht="15" customHeight="1">
      <c r="A55" t="inlineStr">
        <is>
          <t>A 61129-2024</t>
        </is>
      </c>
      <c r="B55" s="1" t="n">
        <v>45645</v>
      </c>
      <c r="C55" s="1" t="n">
        <v>46169</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52105-2025</t>
        </is>
      </c>
      <c r="B56" s="1" t="n">
        <v>45952.68596064814</v>
      </c>
      <c r="C56" s="1" t="n">
        <v>46169</v>
      </c>
      <c r="D56" t="inlineStr">
        <is>
          <t>ÖREBRO LÄN</t>
        </is>
      </c>
      <c r="E56" t="inlineStr">
        <is>
          <t>LINDESBERG</t>
        </is>
      </c>
      <c r="F56" t="inlineStr">
        <is>
          <t>Sveaskog</t>
        </is>
      </c>
      <c r="G56" t="n">
        <v>3.8</v>
      </c>
      <c r="H56" t="n">
        <v>1</v>
      </c>
      <c r="I56" t="n">
        <v>0</v>
      </c>
      <c r="J56" t="n">
        <v>0</v>
      </c>
      <c r="K56" t="n">
        <v>0</v>
      </c>
      <c r="L56" t="n">
        <v>0</v>
      </c>
      <c r="M56" t="n">
        <v>0</v>
      </c>
      <c r="N56" t="n">
        <v>0</v>
      </c>
      <c r="O56" t="n">
        <v>0</v>
      </c>
      <c r="P56" t="n">
        <v>0</v>
      </c>
      <c r="Q56" t="n">
        <v>1</v>
      </c>
      <c r="R56" s="2" t="inlineStr">
        <is>
          <t>Revlummer</t>
        </is>
      </c>
      <c r="S56">
        <f>HYPERLINK("https://klasma.github.io/Logging_1885/artfynd/A 52105-2025 artfynd.xlsx", "A 52105-2025")</f>
        <v/>
      </c>
      <c r="T56">
        <f>HYPERLINK("https://klasma.github.io/Logging_1885/kartor/A 52105-2025 karta.png", "A 52105-2025")</f>
        <v/>
      </c>
      <c r="V56">
        <f>HYPERLINK("https://klasma.github.io/Logging_1885/klagomål/A 52105-2025 FSC-klagomål.docx", "A 52105-2025")</f>
        <v/>
      </c>
      <c r="W56">
        <f>HYPERLINK("https://klasma.github.io/Logging_1885/klagomålsmail/A 52105-2025 FSC-klagomål mail.docx", "A 52105-2025")</f>
        <v/>
      </c>
      <c r="X56">
        <f>HYPERLINK("https://klasma.github.io/Logging_1885/tillsyn/A 52105-2025 tillsynsbegäran.docx", "A 52105-2025")</f>
        <v/>
      </c>
      <c r="Y56">
        <f>HYPERLINK("https://klasma.github.io/Logging_1885/tillsynsmail/A 52105-2025 tillsynsbegäran mail.docx", "A 52105-2025")</f>
        <v/>
      </c>
    </row>
    <row r="57" ht="15" customHeight="1">
      <c r="A57" t="inlineStr">
        <is>
          <t>A 52337-2025</t>
        </is>
      </c>
      <c r="B57" s="1" t="n">
        <v>45953.69287037037</v>
      </c>
      <c r="C57" s="1" t="n">
        <v>46169</v>
      </c>
      <c r="D57" t="inlineStr">
        <is>
          <t>ÖREBRO LÄN</t>
        </is>
      </c>
      <c r="E57" t="inlineStr">
        <is>
          <t>LINDESBERG</t>
        </is>
      </c>
      <c r="F57" t="inlineStr">
        <is>
          <t>Sveaskog</t>
        </is>
      </c>
      <c r="G57" t="n">
        <v>3.3</v>
      </c>
      <c r="H57" t="n">
        <v>1</v>
      </c>
      <c r="I57" t="n">
        <v>0</v>
      </c>
      <c r="J57" t="n">
        <v>0</v>
      </c>
      <c r="K57" t="n">
        <v>0</v>
      </c>
      <c r="L57" t="n">
        <v>0</v>
      </c>
      <c r="M57" t="n">
        <v>0</v>
      </c>
      <c r="N57" t="n">
        <v>0</v>
      </c>
      <c r="O57" t="n">
        <v>0</v>
      </c>
      <c r="P57" t="n">
        <v>0</v>
      </c>
      <c r="Q57" t="n">
        <v>1</v>
      </c>
      <c r="R57" s="2" t="inlineStr">
        <is>
          <t>Fläcknycklar</t>
        </is>
      </c>
      <c r="S57">
        <f>HYPERLINK("https://klasma.github.io/Logging_1885/artfynd/A 52337-2025 artfynd.xlsx", "A 52337-2025")</f>
        <v/>
      </c>
      <c r="T57">
        <f>HYPERLINK("https://klasma.github.io/Logging_1885/kartor/A 52337-2025 karta.png", "A 52337-2025")</f>
        <v/>
      </c>
      <c r="V57">
        <f>HYPERLINK("https://klasma.github.io/Logging_1885/klagomål/A 52337-2025 FSC-klagomål.docx", "A 52337-2025")</f>
        <v/>
      </c>
      <c r="W57">
        <f>HYPERLINK("https://klasma.github.io/Logging_1885/klagomålsmail/A 52337-2025 FSC-klagomål mail.docx", "A 52337-2025")</f>
        <v/>
      </c>
      <c r="X57">
        <f>HYPERLINK("https://klasma.github.io/Logging_1885/tillsyn/A 52337-2025 tillsynsbegäran.docx", "A 52337-2025")</f>
        <v/>
      </c>
      <c r="Y57">
        <f>HYPERLINK("https://klasma.github.io/Logging_1885/tillsynsmail/A 52337-2025 tillsynsbegäran mail.docx", "A 52337-2025")</f>
        <v/>
      </c>
    </row>
    <row r="58" ht="15" customHeight="1">
      <c r="A58" t="inlineStr">
        <is>
          <t>A 30347-2025</t>
        </is>
      </c>
      <c r="B58" s="1" t="n">
        <v>45827.53077546296</v>
      </c>
      <c r="C58" s="1" t="n">
        <v>46169</v>
      </c>
      <c r="D58" t="inlineStr">
        <is>
          <t>ÖREBRO LÄN</t>
        </is>
      </c>
      <c r="E58" t="inlineStr">
        <is>
          <t>LINDESBERG</t>
        </is>
      </c>
      <c r="F58" t="inlineStr">
        <is>
          <t>Sveaskog</t>
        </is>
      </c>
      <c r="G58" t="n">
        <v>4.6</v>
      </c>
      <c r="H58" t="n">
        <v>1</v>
      </c>
      <c r="I58" t="n">
        <v>0</v>
      </c>
      <c r="J58" t="n">
        <v>1</v>
      </c>
      <c r="K58" t="n">
        <v>0</v>
      </c>
      <c r="L58" t="n">
        <v>0</v>
      </c>
      <c r="M58" t="n">
        <v>0</v>
      </c>
      <c r="N58" t="n">
        <v>0</v>
      </c>
      <c r="O58" t="n">
        <v>1</v>
      </c>
      <c r="P58" t="n">
        <v>0</v>
      </c>
      <c r="Q58" t="n">
        <v>1</v>
      </c>
      <c r="R58" s="2" t="inlineStr">
        <is>
          <t>Järpe</t>
        </is>
      </c>
      <c r="S58">
        <f>HYPERLINK("https://klasma.github.io/Logging_1885/artfynd/A 30347-2025 artfynd.xlsx", "A 30347-2025")</f>
        <v/>
      </c>
      <c r="T58">
        <f>HYPERLINK("https://klasma.github.io/Logging_1885/kartor/A 30347-2025 karta.png", "A 30347-2025")</f>
        <v/>
      </c>
      <c r="V58">
        <f>HYPERLINK("https://klasma.github.io/Logging_1885/klagomål/A 30347-2025 FSC-klagomål.docx", "A 30347-2025")</f>
        <v/>
      </c>
      <c r="W58">
        <f>HYPERLINK("https://klasma.github.io/Logging_1885/klagomålsmail/A 30347-2025 FSC-klagomål mail.docx", "A 30347-2025")</f>
        <v/>
      </c>
      <c r="X58">
        <f>HYPERLINK("https://klasma.github.io/Logging_1885/tillsyn/A 30347-2025 tillsynsbegäran.docx", "A 30347-2025")</f>
        <v/>
      </c>
      <c r="Y58">
        <f>HYPERLINK("https://klasma.github.io/Logging_1885/tillsynsmail/A 30347-2025 tillsynsbegäran mail.docx", "A 30347-2025")</f>
        <v/>
      </c>
      <c r="Z58">
        <f>HYPERLINK("https://klasma.github.io/Logging_1885/fåglar/A 30347-2025 prioriterade fågelarter.docx", "A 30347-2025")</f>
        <v/>
      </c>
    </row>
    <row r="59" ht="15" customHeight="1">
      <c r="A59" t="inlineStr">
        <is>
          <t>A 54092-2025</t>
        </is>
      </c>
      <c r="B59" s="1" t="n">
        <v>45964.3965625</v>
      </c>
      <c r="C59" s="1" t="n">
        <v>46169</v>
      </c>
      <c r="D59" t="inlineStr">
        <is>
          <t>ÖREBRO LÄN</t>
        </is>
      </c>
      <c r="E59" t="inlineStr">
        <is>
          <t>LINDESBERG</t>
        </is>
      </c>
      <c r="G59" t="n">
        <v>2.4</v>
      </c>
      <c r="H59" t="n">
        <v>0</v>
      </c>
      <c r="I59" t="n">
        <v>1</v>
      </c>
      <c r="J59" t="n">
        <v>0</v>
      </c>
      <c r="K59" t="n">
        <v>0</v>
      </c>
      <c r="L59" t="n">
        <v>0</v>
      </c>
      <c r="M59" t="n">
        <v>0</v>
      </c>
      <c r="N59" t="n">
        <v>0</v>
      </c>
      <c r="O59" t="n">
        <v>0</v>
      </c>
      <c r="P59" t="n">
        <v>0</v>
      </c>
      <c r="Q59" t="n">
        <v>1</v>
      </c>
      <c r="R59" s="2" t="inlineStr">
        <is>
          <t>Hagfingersvamp</t>
        </is>
      </c>
      <c r="S59">
        <f>HYPERLINK("https://klasma.github.io/Logging_1885/artfynd/A 54092-2025 artfynd.xlsx", "A 54092-2025")</f>
        <v/>
      </c>
      <c r="T59">
        <f>HYPERLINK("https://klasma.github.io/Logging_1885/kartor/A 54092-2025 karta.png", "A 54092-2025")</f>
        <v/>
      </c>
      <c r="V59">
        <f>HYPERLINK("https://klasma.github.io/Logging_1885/klagomål/A 54092-2025 FSC-klagomål.docx", "A 54092-2025")</f>
        <v/>
      </c>
      <c r="W59">
        <f>HYPERLINK("https://klasma.github.io/Logging_1885/klagomålsmail/A 54092-2025 FSC-klagomål mail.docx", "A 54092-2025")</f>
        <v/>
      </c>
      <c r="X59">
        <f>HYPERLINK("https://klasma.github.io/Logging_1885/tillsyn/A 54092-2025 tillsynsbegäran.docx", "A 54092-2025")</f>
        <v/>
      </c>
      <c r="Y59">
        <f>HYPERLINK("https://klasma.github.io/Logging_1885/tillsynsmail/A 54092-2025 tillsynsbegäran mail.docx", "A 54092-2025")</f>
        <v/>
      </c>
    </row>
    <row r="60" ht="15" customHeight="1">
      <c r="A60" t="inlineStr">
        <is>
          <t>A 45467-2025</t>
        </is>
      </c>
      <c r="B60" s="1" t="n">
        <v>45922.49990740741</v>
      </c>
      <c r="C60" s="1" t="n">
        <v>46169</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31052-2025</t>
        </is>
      </c>
      <c r="B61" s="1" t="n">
        <v>45832.56153935185</v>
      </c>
      <c r="C61" s="1" t="n">
        <v>46169</v>
      </c>
      <c r="D61" t="inlineStr">
        <is>
          <t>ÖREBRO LÄN</t>
        </is>
      </c>
      <c r="E61" t="inlineStr">
        <is>
          <t>LINDESBERG</t>
        </is>
      </c>
      <c r="F61" t="inlineStr">
        <is>
          <t>Sveaskog</t>
        </is>
      </c>
      <c r="G61" t="n">
        <v>1.1</v>
      </c>
      <c r="H61" t="n">
        <v>1</v>
      </c>
      <c r="I61" t="n">
        <v>0</v>
      </c>
      <c r="J61" t="n">
        <v>0</v>
      </c>
      <c r="K61" t="n">
        <v>0</v>
      </c>
      <c r="L61" t="n">
        <v>0</v>
      </c>
      <c r="M61" t="n">
        <v>0</v>
      </c>
      <c r="N61" t="n">
        <v>0</v>
      </c>
      <c r="O61" t="n">
        <v>0</v>
      </c>
      <c r="P61" t="n">
        <v>0</v>
      </c>
      <c r="Q61" t="n">
        <v>1</v>
      </c>
      <c r="R61" s="2" t="inlineStr">
        <is>
          <t>Fläcknycklar</t>
        </is>
      </c>
      <c r="S61">
        <f>HYPERLINK("https://klasma.github.io/Logging_1885/artfynd/A 31052-2025 artfynd.xlsx", "A 31052-2025")</f>
        <v/>
      </c>
      <c r="T61">
        <f>HYPERLINK("https://klasma.github.io/Logging_1885/kartor/A 31052-2025 karta.png", "A 31052-2025")</f>
        <v/>
      </c>
      <c r="V61">
        <f>HYPERLINK("https://klasma.github.io/Logging_1885/klagomål/A 31052-2025 FSC-klagomål.docx", "A 31052-2025")</f>
        <v/>
      </c>
      <c r="W61">
        <f>HYPERLINK("https://klasma.github.io/Logging_1885/klagomålsmail/A 31052-2025 FSC-klagomål mail.docx", "A 31052-2025")</f>
        <v/>
      </c>
      <c r="X61">
        <f>HYPERLINK("https://klasma.github.io/Logging_1885/tillsyn/A 31052-2025 tillsynsbegäran.docx", "A 31052-2025")</f>
        <v/>
      </c>
      <c r="Y61">
        <f>HYPERLINK("https://klasma.github.io/Logging_1885/tillsynsmail/A 31052-2025 tillsynsbegäran mail.docx", "A 31052-2025")</f>
        <v/>
      </c>
    </row>
    <row r="62" ht="15" customHeight="1">
      <c r="A62" t="inlineStr">
        <is>
          <t>A 3729-2023</t>
        </is>
      </c>
      <c r="B62" s="1" t="n">
        <v>44949</v>
      </c>
      <c r="C62" s="1" t="n">
        <v>46169</v>
      </c>
      <c r="D62" t="inlineStr">
        <is>
          <t>ÖREBRO LÄN</t>
        </is>
      </c>
      <c r="E62" t="inlineStr">
        <is>
          <t>LINDESBERG</t>
        </is>
      </c>
      <c r="G62" t="n">
        <v>4</v>
      </c>
      <c r="H62" t="n">
        <v>0</v>
      </c>
      <c r="I62" t="n">
        <v>0</v>
      </c>
      <c r="J62" t="n">
        <v>1</v>
      </c>
      <c r="K62" t="n">
        <v>0</v>
      </c>
      <c r="L62" t="n">
        <v>0</v>
      </c>
      <c r="M62" t="n">
        <v>0</v>
      </c>
      <c r="N62" t="n">
        <v>0</v>
      </c>
      <c r="O62" t="n">
        <v>1</v>
      </c>
      <c r="P62" t="n">
        <v>0</v>
      </c>
      <c r="Q62" t="n">
        <v>1</v>
      </c>
      <c r="R62" s="2" t="inlineStr">
        <is>
          <t>Motaggsvamp</t>
        </is>
      </c>
      <c r="S62">
        <f>HYPERLINK("https://klasma.github.io/Logging_1885/artfynd/A 3729-2023 artfynd.xlsx", "A 3729-2023")</f>
        <v/>
      </c>
      <c r="T62">
        <f>HYPERLINK("https://klasma.github.io/Logging_1885/kartor/A 3729-2023 karta.png", "A 3729-2023")</f>
        <v/>
      </c>
      <c r="V62">
        <f>HYPERLINK("https://klasma.github.io/Logging_1885/klagomål/A 3729-2023 FSC-klagomål.docx", "A 3729-2023")</f>
        <v/>
      </c>
      <c r="W62">
        <f>HYPERLINK("https://klasma.github.io/Logging_1885/klagomålsmail/A 3729-2023 FSC-klagomål mail.docx", "A 3729-2023")</f>
        <v/>
      </c>
      <c r="X62">
        <f>HYPERLINK("https://klasma.github.io/Logging_1885/tillsyn/A 3729-2023 tillsynsbegäran.docx", "A 3729-2023")</f>
        <v/>
      </c>
      <c r="Y62">
        <f>HYPERLINK("https://klasma.github.io/Logging_1885/tillsynsmail/A 3729-2023 tillsynsbegäran mail.docx", "A 3729-2023")</f>
        <v/>
      </c>
    </row>
    <row r="63" ht="15" customHeight="1">
      <c r="A63" t="inlineStr">
        <is>
          <t>A 48956-2025</t>
        </is>
      </c>
      <c r="B63" s="1" t="n">
        <v>45937.54982638889</v>
      </c>
      <c r="C63" s="1" t="n">
        <v>46169</v>
      </c>
      <c r="D63" t="inlineStr">
        <is>
          <t>ÖREBRO LÄN</t>
        </is>
      </c>
      <c r="E63" t="inlineStr">
        <is>
          <t>LINDESBERG</t>
        </is>
      </c>
      <c r="F63" t="inlineStr">
        <is>
          <t>Sveaskog</t>
        </is>
      </c>
      <c r="G63" t="n">
        <v>2.7</v>
      </c>
      <c r="H63" t="n">
        <v>1</v>
      </c>
      <c r="I63" t="n">
        <v>0</v>
      </c>
      <c r="J63" t="n">
        <v>0</v>
      </c>
      <c r="K63" t="n">
        <v>0</v>
      </c>
      <c r="L63" t="n">
        <v>0</v>
      </c>
      <c r="M63" t="n">
        <v>0</v>
      </c>
      <c r="N63" t="n">
        <v>0</v>
      </c>
      <c r="O63" t="n">
        <v>0</v>
      </c>
      <c r="P63" t="n">
        <v>0</v>
      </c>
      <c r="Q63" t="n">
        <v>1</v>
      </c>
      <c r="R63" s="2" t="inlineStr">
        <is>
          <t>Mattlummer</t>
        </is>
      </c>
      <c r="S63">
        <f>HYPERLINK("https://klasma.github.io/Logging_1885/artfynd/A 48956-2025 artfynd.xlsx", "A 48956-2025")</f>
        <v/>
      </c>
      <c r="T63">
        <f>HYPERLINK("https://klasma.github.io/Logging_1885/kartor/A 48956-2025 karta.png", "A 48956-2025")</f>
        <v/>
      </c>
      <c r="V63">
        <f>HYPERLINK("https://klasma.github.io/Logging_1885/klagomål/A 48956-2025 FSC-klagomål.docx", "A 48956-2025")</f>
        <v/>
      </c>
      <c r="W63">
        <f>HYPERLINK("https://klasma.github.io/Logging_1885/klagomålsmail/A 48956-2025 FSC-klagomål mail.docx", "A 48956-2025")</f>
        <v/>
      </c>
      <c r="X63">
        <f>HYPERLINK("https://klasma.github.io/Logging_1885/tillsyn/A 48956-2025 tillsynsbegäran.docx", "A 48956-2025")</f>
        <v/>
      </c>
      <c r="Y63">
        <f>HYPERLINK("https://klasma.github.io/Logging_1885/tillsynsmail/A 48956-2025 tillsynsbegäran mail.docx", "A 48956-2025")</f>
        <v/>
      </c>
    </row>
    <row r="64" ht="15" customHeight="1">
      <c r="A64" t="inlineStr">
        <is>
          <t>A 36669-2024</t>
        </is>
      </c>
      <c r="B64" s="1" t="n">
        <v>45537.64484953704</v>
      </c>
      <c r="C64" s="1" t="n">
        <v>46169</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HYPERLINK("https://klasma.github.io/Logging_1885/artfynd/A 36669-2024 artfynd.xlsx", "A 36669-2024")</f>
        <v/>
      </c>
      <c r="T64">
        <f>HYPERLINK("https://klasma.github.io/Logging_1885/kartor/A 36669-2024 karta.png", "A 36669-2024")</f>
        <v/>
      </c>
      <c r="V64">
        <f>HYPERLINK("https://klasma.github.io/Logging_1885/klagomål/A 36669-2024 FSC-klagomål.docx", "A 36669-2024")</f>
        <v/>
      </c>
      <c r="W64">
        <f>HYPERLINK("https://klasma.github.io/Logging_1885/klagomålsmail/A 36669-2024 FSC-klagomål mail.docx", "A 36669-2024")</f>
        <v/>
      </c>
      <c r="X64">
        <f>HYPERLINK("https://klasma.github.io/Logging_1885/tillsyn/A 36669-2024 tillsynsbegäran.docx", "A 36669-2024")</f>
        <v/>
      </c>
      <c r="Y64">
        <f>HYPERLINK("https://klasma.github.io/Logging_1885/tillsynsmail/A 36669-2024 tillsynsbegäran mail.docx", "A 36669-2024")</f>
        <v/>
      </c>
    </row>
    <row r="65" ht="15" customHeight="1">
      <c r="A65" t="inlineStr">
        <is>
          <t>A 64513-2023</t>
        </is>
      </c>
      <c r="B65" s="1" t="n">
        <v>45281</v>
      </c>
      <c r="C65" s="1" t="n">
        <v>46169</v>
      </c>
      <c r="D65" t="inlineStr">
        <is>
          <t>ÖREBRO LÄN</t>
        </is>
      </c>
      <c r="E65" t="inlineStr">
        <is>
          <t>LINDESBERG</t>
        </is>
      </c>
      <c r="G65" t="n">
        <v>4.7</v>
      </c>
      <c r="H65" t="n">
        <v>0</v>
      </c>
      <c r="I65" t="n">
        <v>1</v>
      </c>
      <c r="J65" t="n">
        <v>0</v>
      </c>
      <c r="K65" t="n">
        <v>0</v>
      </c>
      <c r="L65" t="n">
        <v>0</v>
      </c>
      <c r="M65" t="n">
        <v>0</v>
      </c>
      <c r="N65" t="n">
        <v>0</v>
      </c>
      <c r="O65" t="n">
        <v>0</v>
      </c>
      <c r="P65" t="n">
        <v>0</v>
      </c>
      <c r="Q65" t="n">
        <v>1</v>
      </c>
      <c r="R65" s="2" t="inlineStr">
        <is>
          <t>Västlig hakmossa</t>
        </is>
      </c>
      <c r="S65">
        <f>HYPERLINK("https://klasma.github.io/Logging_1885/artfynd/A 64513-2023 artfynd.xlsx", "A 64513-2023")</f>
        <v/>
      </c>
      <c r="T65">
        <f>HYPERLINK("https://klasma.github.io/Logging_1885/kartor/A 64513-2023 karta.png", "A 64513-2023")</f>
        <v/>
      </c>
      <c r="V65">
        <f>HYPERLINK("https://klasma.github.io/Logging_1885/klagomål/A 64513-2023 FSC-klagomål.docx", "A 64513-2023")</f>
        <v/>
      </c>
      <c r="W65">
        <f>HYPERLINK("https://klasma.github.io/Logging_1885/klagomålsmail/A 64513-2023 FSC-klagomål mail.docx", "A 64513-2023")</f>
        <v/>
      </c>
      <c r="X65">
        <f>HYPERLINK("https://klasma.github.io/Logging_1885/tillsyn/A 64513-2023 tillsynsbegäran.docx", "A 64513-2023")</f>
        <v/>
      </c>
      <c r="Y65">
        <f>HYPERLINK("https://klasma.github.io/Logging_1885/tillsynsmail/A 64513-2023 tillsynsbegäran mail.docx", "A 64513-2023")</f>
        <v/>
      </c>
    </row>
    <row r="66" ht="15" customHeight="1">
      <c r="A66" t="inlineStr">
        <is>
          <t>A 61132-2024</t>
        </is>
      </c>
      <c r="B66" s="1" t="n">
        <v>45645</v>
      </c>
      <c r="C66" s="1" t="n">
        <v>46169</v>
      </c>
      <c r="D66" t="inlineStr">
        <is>
          <t>ÖREBRO LÄN</t>
        </is>
      </c>
      <c r="E66" t="inlineStr">
        <is>
          <t>LINDESBERG</t>
        </is>
      </c>
      <c r="F66" t="inlineStr">
        <is>
          <t>Sveaskog</t>
        </is>
      </c>
      <c r="G66" t="n">
        <v>2.5</v>
      </c>
      <c r="H66" t="n">
        <v>0</v>
      </c>
      <c r="I66" t="n">
        <v>1</v>
      </c>
      <c r="J66" t="n">
        <v>0</v>
      </c>
      <c r="K66" t="n">
        <v>0</v>
      </c>
      <c r="L66" t="n">
        <v>0</v>
      </c>
      <c r="M66" t="n">
        <v>0</v>
      </c>
      <c r="N66" t="n">
        <v>0</v>
      </c>
      <c r="O66" t="n">
        <v>0</v>
      </c>
      <c r="P66" t="n">
        <v>0</v>
      </c>
      <c r="Q66" t="n">
        <v>1</v>
      </c>
      <c r="R66" s="2" t="inlineStr">
        <is>
          <t>Bollvitmossa</t>
        </is>
      </c>
      <c r="S66">
        <f>HYPERLINK("https://klasma.github.io/Logging_1885/artfynd/A 61132-2024 artfynd.xlsx", "A 61132-2024")</f>
        <v/>
      </c>
      <c r="T66">
        <f>HYPERLINK("https://klasma.github.io/Logging_1885/kartor/A 61132-2024 karta.png", "A 61132-2024")</f>
        <v/>
      </c>
      <c r="V66">
        <f>HYPERLINK("https://klasma.github.io/Logging_1885/klagomål/A 61132-2024 FSC-klagomål.docx", "A 61132-2024")</f>
        <v/>
      </c>
      <c r="W66">
        <f>HYPERLINK("https://klasma.github.io/Logging_1885/klagomålsmail/A 61132-2024 FSC-klagomål mail.docx", "A 61132-2024")</f>
        <v/>
      </c>
      <c r="X66">
        <f>HYPERLINK("https://klasma.github.io/Logging_1885/tillsyn/A 61132-2024 tillsynsbegäran.docx", "A 61132-2024")</f>
        <v/>
      </c>
      <c r="Y66">
        <f>HYPERLINK("https://klasma.github.io/Logging_1885/tillsynsmail/A 61132-2024 tillsynsbegäran mail.docx", "A 61132-2024")</f>
        <v/>
      </c>
    </row>
    <row r="67" ht="15" customHeight="1">
      <c r="A67" t="inlineStr">
        <is>
          <t>A 37834-2025</t>
        </is>
      </c>
      <c r="B67" s="1" t="n">
        <v>45881.42446759259</v>
      </c>
      <c r="C67" s="1" t="n">
        <v>46169</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57362-2025</t>
        </is>
      </c>
      <c r="B68" s="1" t="n">
        <v>45980.37108796297</v>
      </c>
      <c r="C68" s="1" t="n">
        <v>46169</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46169</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67013-2021</t>
        </is>
      </c>
      <c r="B70" s="1" t="n">
        <v>44522</v>
      </c>
      <c r="C70" s="1" t="n">
        <v>46169</v>
      </c>
      <c r="D70" t="inlineStr">
        <is>
          <t>ÖREBRO LÄN</t>
        </is>
      </c>
      <c r="E70" t="inlineStr">
        <is>
          <t>LINDESBERG</t>
        </is>
      </c>
      <c r="G70" t="n">
        <v>0.5</v>
      </c>
      <c r="H70" t="n">
        <v>0</v>
      </c>
      <c r="I70" t="n">
        <v>0</v>
      </c>
      <c r="J70" t="n">
        <v>1</v>
      </c>
      <c r="K70" t="n">
        <v>0</v>
      </c>
      <c r="L70" t="n">
        <v>0</v>
      </c>
      <c r="M70" t="n">
        <v>0</v>
      </c>
      <c r="N70" t="n">
        <v>0</v>
      </c>
      <c r="O70" t="n">
        <v>1</v>
      </c>
      <c r="P70" t="n">
        <v>0</v>
      </c>
      <c r="Q70" t="n">
        <v>1</v>
      </c>
      <c r="R70" s="2" t="inlineStr">
        <is>
          <t>Skogsklocka</t>
        </is>
      </c>
      <c r="S70">
        <f>HYPERLINK("https://klasma.github.io/Logging_1885/artfynd/A 67013-2021 artfynd.xlsx", "A 67013-2021")</f>
        <v/>
      </c>
      <c r="T70">
        <f>HYPERLINK("https://klasma.github.io/Logging_1885/kartor/A 67013-2021 karta.png", "A 67013-2021")</f>
        <v/>
      </c>
      <c r="V70">
        <f>HYPERLINK("https://klasma.github.io/Logging_1885/klagomål/A 67013-2021 FSC-klagomål.docx", "A 67013-2021")</f>
        <v/>
      </c>
      <c r="W70">
        <f>HYPERLINK("https://klasma.github.io/Logging_1885/klagomålsmail/A 67013-2021 FSC-klagomål mail.docx", "A 67013-2021")</f>
        <v/>
      </c>
      <c r="X70">
        <f>HYPERLINK("https://klasma.github.io/Logging_1885/tillsyn/A 67013-2021 tillsynsbegäran.docx", "A 67013-2021")</f>
        <v/>
      </c>
      <c r="Y70">
        <f>HYPERLINK("https://klasma.github.io/Logging_1885/tillsynsmail/A 67013-2021 tillsynsbegäran mail.docx", "A 67013-2021")</f>
        <v/>
      </c>
    </row>
    <row r="71" ht="15" customHeight="1">
      <c r="A71" t="inlineStr">
        <is>
          <t>A 54857-2024</t>
        </is>
      </c>
      <c r="B71" s="1" t="n">
        <v>45618.58876157407</v>
      </c>
      <c r="C71" s="1" t="n">
        <v>46169</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2829-2026</t>
        </is>
      </c>
      <c r="B72" s="1" t="n">
        <v>46038.45296296296</v>
      </c>
      <c r="C72" s="1" t="n">
        <v>46169</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6192-2025</t>
        </is>
      </c>
      <c r="B73" s="1" t="n">
        <v>45698.46697916667</v>
      </c>
      <c r="C73" s="1" t="n">
        <v>46169</v>
      </c>
      <c r="D73" t="inlineStr">
        <is>
          <t>ÖREBRO LÄN</t>
        </is>
      </c>
      <c r="E73" t="inlineStr">
        <is>
          <t>LINDESBERG</t>
        </is>
      </c>
      <c r="F73" t="inlineStr">
        <is>
          <t>BillerudKorsnäs AB</t>
        </is>
      </c>
      <c r="G73" t="n">
        <v>1.8</v>
      </c>
      <c r="H73" t="n">
        <v>1</v>
      </c>
      <c r="I73" t="n">
        <v>0</v>
      </c>
      <c r="J73" t="n">
        <v>0</v>
      </c>
      <c r="K73" t="n">
        <v>0</v>
      </c>
      <c r="L73" t="n">
        <v>0</v>
      </c>
      <c r="M73" t="n">
        <v>0</v>
      </c>
      <c r="N73" t="n">
        <v>0</v>
      </c>
      <c r="O73" t="n">
        <v>0</v>
      </c>
      <c r="P73" t="n">
        <v>0</v>
      </c>
      <c r="Q73" t="n">
        <v>1</v>
      </c>
      <c r="R73" s="2" t="inlineStr">
        <is>
          <t>Blåsippa</t>
        </is>
      </c>
      <c r="S73">
        <f>HYPERLINK("https://klasma.github.io/Logging_1885/artfynd/A 6192-2025 artfynd.xlsx", "A 6192-2025")</f>
        <v/>
      </c>
      <c r="T73">
        <f>HYPERLINK("https://klasma.github.io/Logging_1885/kartor/A 6192-2025 karta.png", "A 6192-2025")</f>
        <v/>
      </c>
      <c r="V73">
        <f>HYPERLINK("https://klasma.github.io/Logging_1885/klagomål/A 6192-2025 FSC-klagomål.docx", "A 6192-2025")</f>
        <v/>
      </c>
      <c r="W73">
        <f>HYPERLINK("https://klasma.github.io/Logging_1885/klagomålsmail/A 6192-2025 FSC-klagomål mail.docx", "A 6192-2025")</f>
        <v/>
      </c>
      <c r="X73">
        <f>HYPERLINK("https://klasma.github.io/Logging_1885/tillsyn/A 6192-2025 tillsynsbegäran.docx", "A 6192-2025")</f>
        <v/>
      </c>
      <c r="Y73">
        <f>HYPERLINK("https://klasma.github.io/Logging_1885/tillsynsmail/A 6192-2025 tillsynsbegäran mail.docx", "A 6192-2025")</f>
        <v/>
      </c>
    </row>
    <row r="74" ht="15" customHeight="1">
      <c r="A74" t="inlineStr">
        <is>
          <t>A 8172-2026</t>
        </is>
      </c>
      <c r="B74" s="1" t="n">
        <v>46064</v>
      </c>
      <c r="C74" s="1" t="n">
        <v>46169</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28569-2024</t>
        </is>
      </c>
      <c r="B75" s="1" t="n">
        <v>45478.39592592593</v>
      </c>
      <c r="C75" s="1" t="n">
        <v>46169</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18639-2026</t>
        </is>
      </c>
      <c r="B76" s="1" t="n">
        <v>46128.32203703704</v>
      </c>
      <c r="C76" s="1" t="n">
        <v>46169</v>
      </c>
      <c r="D76" t="inlineStr">
        <is>
          <t>ÖREBRO LÄN</t>
        </is>
      </c>
      <c r="E76" t="inlineStr">
        <is>
          <t>LINDESBERG</t>
        </is>
      </c>
      <c r="F76" t="inlineStr">
        <is>
          <t>Sveaskog</t>
        </is>
      </c>
      <c r="G76" t="n">
        <v>6</v>
      </c>
      <c r="H76" t="n">
        <v>1</v>
      </c>
      <c r="I76" t="n">
        <v>1</v>
      </c>
      <c r="J76" t="n">
        <v>0</v>
      </c>
      <c r="K76" t="n">
        <v>0</v>
      </c>
      <c r="L76" t="n">
        <v>0</v>
      </c>
      <c r="M76" t="n">
        <v>0</v>
      </c>
      <c r="N76" t="n">
        <v>0</v>
      </c>
      <c r="O76" t="n">
        <v>0</v>
      </c>
      <c r="P76" t="n">
        <v>0</v>
      </c>
      <c r="Q76" t="n">
        <v>1</v>
      </c>
      <c r="R76" s="2" t="inlineStr">
        <is>
          <t>Plattlummer</t>
        </is>
      </c>
      <c r="S76">
        <f>HYPERLINK("https://klasma.github.io/Logging_1885/artfynd/A 18639-2026 artfynd.xlsx", "A 18639-2026")</f>
        <v/>
      </c>
      <c r="T76">
        <f>HYPERLINK("https://klasma.github.io/Logging_1885/kartor/A 18639-2026 karta.png", "A 18639-2026")</f>
        <v/>
      </c>
      <c r="V76">
        <f>HYPERLINK("https://klasma.github.io/Logging_1885/klagomål/A 18639-2026 FSC-klagomål.docx", "A 18639-2026")</f>
        <v/>
      </c>
      <c r="W76">
        <f>HYPERLINK("https://klasma.github.io/Logging_1885/klagomålsmail/A 18639-2026 FSC-klagomål mail.docx", "A 18639-2026")</f>
        <v/>
      </c>
      <c r="X76">
        <f>HYPERLINK("https://klasma.github.io/Logging_1885/tillsyn/A 18639-2026 tillsynsbegäran.docx", "A 18639-2026")</f>
        <v/>
      </c>
      <c r="Y76">
        <f>HYPERLINK("https://klasma.github.io/Logging_1885/tillsynsmail/A 18639-2026 tillsynsbegäran mail.docx", "A 18639-2026")</f>
        <v/>
      </c>
    </row>
    <row r="77" ht="15" customHeight="1">
      <c r="A77" t="inlineStr">
        <is>
          <t>A 16791-2024</t>
        </is>
      </c>
      <c r="B77" s="1" t="n">
        <v>45411.42858796296</v>
      </c>
      <c r="C77" s="1" t="n">
        <v>46169</v>
      </c>
      <c r="D77" t="inlineStr">
        <is>
          <t>ÖREBRO LÄN</t>
        </is>
      </c>
      <c r="E77" t="inlineStr">
        <is>
          <t>LINDESBERG</t>
        </is>
      </c>
      <c r="G77" t="n">
        <v>16.1</v>
      </c>
      <c r="H77" t="n">
        <v>1</v>
      </c>
      <c r="I77" t="n">
        <v>0</v>
      </c>
      <c r="J77" t="n">
        <v>1</v>
      </c>
      <c r="K77" t="n">
        <v>0</v>
      </c>
      <c r="L77" t="n">
        <v>0</v>
      </c>
      <c r="M77" t="n">
        <v>0</v>
      </c>
      <c r="N77" t="n">
        <v>0</v>
      </c>
      <c r="O77" t="n">
        <v>1</v>
      </c>
      <c r="P77" t="n">
        <v>0</v>
      </c>
      <c r="Q77" t="n">
        <v>1</v>
      </c>
      <c r="R77" s="2" t="inlineStr">
        <is>
          <t>Spillkråka</t>
        </is>
      </c>
      <c r="S77">
        <f>HYPERLINK("https://klasma.github.io/Logging_1885/artfynd/A 16791-2024 artfynd.xlsx", "A 16791-2024")</f>
        <v/>
      </c>
      <c r="T77">
        <f>HYPERLINK("https://klasma.github.io/Logging_1885/kartor/A 16791-2024 karta.png", "A 16791-2024")</f>
        <v/>
      </c>
      <c r="V77">
        <f>HYPERLINK("https://klasma.github.io/Logging_1885/klagomål/A 16791-2024 FSC-klagomål.docx", "A 16791-2024")</f>
        <v/>
      </c>
      <c r="W77">
        <f>HYPERLINK("https://klasma.github.io/Logging_1885/klagomålsmail/A 16791-2024 FSC-klagomål mail.docx", "A 16791-2024")</f>
        <v/>
      </c>
      <c r="X77">
        <f>HYPERLINK("https://klasma.github.io/Logging_1885/tillsyn/A 16791-2024 tillsynsbegäran.docx", "A 16791-2024")</f>
        <v/>
      </c>
      <c r="Y77">
        <f>HYPERLINK("https://klasma.github.io/Logging_1885/tillsynsmail/A 16791-2024 tillsynsbegäran mail.docx", "A 16791-2024")</f>
        <v/>
      </c>
      <c r="Z77">
        <f>HYPERLINK("https://klasma.github.io/Logging_1885/fåglar/A 16791-2024 prioriterade fågelarter.docx", "A 16791-2024")</f>
        <v/>
      </c>
    </row>
    <row r="78" ht="15" customHeight="1">
      <c r="A78" t="inlineStr">
        <is>
          <t>A 53600-2024</t>
        </is>
      </c>
      <c r="B78" s="1" t="n">
        <v>45614.68596064814</v>
      </c>
      <c r="C78" s="1" t="n">
        <v>46169</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70466-2021</t>
        </is>
      </c>
      <c r="B79" s="1" t="n">
        <v>44536</v>
      </c>
      <c r="C79" s="1" t="n">
        <v>46169</v>
      </c>
      <c r="D79" t="inlineStr">
        <is>
          <t>ÖREBRO LÄN</t>
        </is>
      </c>
      <c r="E79" t="inlineStr">
        <is>
          <t>LINDESBERG</t>
        </is>
      </c>
      <c r="G79" t="n">
        <v>4.4</v>
      </c>
      <c r="H79" t="n">
        <v>1</v>
      </c>
      <c r="I79" t="n">
        <v>0</v>
      </c>
      <c r="J79" t="n">
        <v>0</v>
      </c>
      <c r="K79" t="n">
        <v>1</v>
      </c>
      <c r="L79" t="n">
        <v>0</v>
      </c>
      <c r="M79" t="n">
        <v>0</v>
      </c>
      <c r="N79" t="n">
        <v>0</v>
      </c>
      <c r="O79" t="n">
        <v>1</v>
      </c>
      <c r="P79" t="n">
        <v>1</v>
      </c>
      <c r="Q79" t="n">
        <v>1</v>
      </c>
      <c r="R79" s="2" t="inlineStr">
        <is>
          <t>Knärot</t>
        </is>
      </c>
      <c r="S79">
        <f>HYPERLINK("https://klasma.github.io/Logging_1885/artfynd/A 70466-2021 artfynd.xlsx", "A 70466-2021")</f>
        <v/>
      </c>
      <c r="T79">
        <f>HYPERLINK("https://klasma.github.io/Logging_1885/kartor/A 70466-2021 karta.png", "A 70466-2021")</f>
        <v/>
      </c>
      <c r="U79">
        <f>HYPERLINK("https://klasma.github.io/Logging_1885/knärot/A 70466-2021 karta knärot.png", "A 70466-2021")</f>
        <v/>
      </c>
      <c r="V79">
        <f>HYPERLINK("https://klasma.github.io/Logging_1885/klagomål/A 70466-2021 FSC-klagomål.docx", "A 70466-2021")</f>
        <v/>
      </c>
      <c r="W79">
        <f>HYPERLINK("https://klasma.github.io/Logging_1885/klagomålsmail/A 70466-2021 FSC-klagomål mail.docx", "A 70466-2021")</f>
        <v/>
      </c>
      <c r="X79">
        <f>HYPERLINK("https://klasma.github.io/Logging_1885/tillsyn/A 70466-2021 tillsynsbegäran.docx", "A 70466-2021")</f>
        <v/>
      </c>
      <c r="Y79">
        <f>HYPERLINK("https://klasma.github.io/Logging_1885/tillsynsmail/A 70466-2021 tillsynsbegäran mail.docx", "A 70466-2021")</f>
        <v/>
      </c>
    </row>
    <row r="80" ht="15" customHeight="1">
      <c r="A80" t="inlineStr">
        <is>
          <t>A 20364-2026</t>
        </is>
      </c>
      <c r="B80" s="1" t="n">
        <v>46139.67759259259</v>
      </c>
      <c r="C80" s="1" t="n">
        <v>46169</v>
      </c>
      <c r="D80" t="inlineStr">
        <is>
          <t>ÖREBRO LÄN</t>
        </is>
      </c>
      <c r="E80" t="inlineStr">
        <is>
          <t>LINDESBERG</t>
        </is>
      </c>
      <c r="G80" t="n">
        <v>8.199999999999999</v>
      </c>
      <c r="H80" t="n">
        <v>1</v>
      </c>
      <c r="I80" t="n">
        <v>0</v>
      </c>
      <c r="J80" t="n">
        <v>1</v>
      </c>
      <c r="K80" t="n">
        <v>0</v>
      </c>
      <c r="L80" t="n">
        <v>0</v>
      </c>
      <c r="M80" t="n">
        <v>0</v>
      </c>
      <c r="N80" t="n">
        <v>0</v>
      </c>
      <c r="O80" t="n">
        <v>1</v>
      </c>
      <c r="P80" t="n">
        <v>0</v>
      </c>
      <c r="Q80" t="n">
        <v>1</v>
      </c>
      <c r="R80" s="2" t="inlineStr">
        <is>
          <t>Spillkråka</t>
        </is>
      </c>
      <c r="S80">
        <f>HYPERLINK("https://klasma.github.io/Logging_1885/artfynd/A 20364-2026 artfynd.xlsx", "A 20364-2026")</f>
        <v/>
      </c>
      <c r="T80">
        <f>HYPERLINK("https://klasma.github.io/Logging_1885/kartor/A 20364-2026 karta.png", "A 20364-2026")</f>
        <v/>
      </c>
      <c r="V80">
        <f>HYPERLINK("https://klasma.github.io/Logging_1885/klagomål/A 20364-2026 FSC-klagomål.docx", "A 20364-2026")</f>
        <v/>
      </c>
      <c r="W80">
        <f>HYPERLINK("https://klasma.github.io/Logging_1885/klagomålsmail/A 20364-2026 FSC-klagomål mail.docx", "A 20364-2026")</f>
        <v/>
      </c>
      <c r="X80">
        <f>HYPERLINK("https://klasma.github.io/Logging_1885/tillsyn/A 20364-2026 tillsynsbegäran.docx", "A 20364-2026")</f>
        <v/>
      </c>
      <c r="Y80">
        <f>HYPERLINK("https://klasma.github.io/Logging_1885/tillsynsmail/A 20364-2026 tillsynsbegäran mail.docx", "A 20364-2026")</f>
        <v/>
      </c>
      <c r="Z80">
        <f>HYPERLINK("https://klasma.github.io/Logging_1885/fåglar/A 20364-2026 prioriterade fågelarter.docx", "A 20364-2026")</f>
        <v/>
      </c>
    </row>
    <row r="81" ht="15" customHeight="1">
      <c r="A81" t="inlineStr">
        <is>
          <t>A 58206-2023</t>
        </is>
      </c>
      <c r="B81" s="1" t="n">
        <v>45250</v>
      </c>
      <c r="C81" s="1" t="n">
        <v>46169</v>
      </c>
      <c r="D81" t="inlineStr">
        <is>
          <t>ÖREBRO LÄN</t>
        </is>
      </c>
      <c r="E81" t="inlineStr">
        <is>
          <t>LINDESBERG</t>
        </is>
      </c>
      <c r="F81" t="inlineStr">
        <is>
          <t>Sveaskog</t>
        </is>
      </c>
      <c r="G81" t="n">
        <v>1.4</v>
      </c>
      <c r="H81" t="n">
        <v>1</v>
      </c>
      <c r="I81" t="n">
        <v>0</v>
      </c>
      <c r="J81" t="n">
        <v>0</v>
      </c>
      <c r="K81" t="n">
        <v>0</v>
      </c>
      <c r="L81" t="n">
        <v>0</v>
      </c>
      <c r="M81" t="n">
        <v>0</v>
      </c>
      <c r="N81" t="n">
        <v>0</v>
      </c>
      <c r="O81" t="n">
        <v>0</v>
      </c>
      <c r="P81" t="n">
        <v>0</v>
      </c>
      <c r="Q81" t="n">
        <v>1</v>
      </c>
      <c r="R81" s="2" t="inlineStr">
        <is>
          <t>Fläcknycklar</t>
        </is>
      </c>
      <c r="S81">
        <f>HYPERLINK("https://klasma.github.io/Logging_1885/artfynd/A 58206-2023 artfynd.xlsx", "A 58206-2023")</f>
        <v/>
      </c>
      <c r="T81">
        <f>HYPERLINK("https://klasma.github.io/Logging_1885/kartor/A 58206-2023 karta.png", "A 58206-2023")</f>
        <v/>
      </c>
      <c r="V81">
        <f>HYPERLINK("https://klasma.github.io/Logging_1885/klagomål/A 58206-2023 FSC-klagomål.docx", "A 58206-2023")</f>
        <v/>
      </c>
      <c r="W81">
        <f>HYPERLINK("https://klasma.github.io/Logging_1885/klagomålsmail/A 58206-2023 FSC-klagomål mail.docx", "A 58206-2023")</f>
        <v/>
      </c>
      <c r="X81">
        <f>HYPERLINK("https://klasma.github.io/Logging_1885/tillsyn/A 58206-2023 tillsynsbegäran.docx", "A 58206-2023")</f>
        <v/>
      </c>
      <c r="Y81">
        <f>HYPERLINK("https://klasma.github.io/Logging_1885/tillsynsmail/A 58206-2023 tillsynsbegäran mail.docx", "A 58206-2023")</f>
        <v/>
      </c>
    </row>
    <row r="82" ht="15" customHeight="1">
      <c r="A82" t="inlineStr">
        <is>
          <t>A 8175-2026</t>
        </is>
      </c>
      <c r="B82" s="1" t="n">
        <v>46064</v>
      </c>
      <c r="C82" s="1" t="n">
        <v>46169</v>
      </c>
      <c r="D82" t="inlineStr">
        <is>
          <t>ÖREBRO LÄN</t>
        </is>
      </c>
      <c r="E82" t="inlineStr">
        <is>
          <t>LINDESBERG</t>
        </is>
      </c>
      <c r="G82" t="n">
        <v>2.4</v>
      </c>
      <c r="H82" t="n">
        <v>0</v>
      </c>
      <c r="I82" t="n">
        <v>1</v>
      </c>
      <c r="J82" t="n">
        <v>0</v>
      </c>
      <c r="K82" t="n">
        <v>0</v>
      </c>
      <c r="L82" t="n">
        <v>0</v>
      </c>
      <c r="M82" t="n">
        <v>0</v>
      </c>
      <c r="N82" t="n">
        <v>0</v>
      </c>
      <c r="O82" t="n">
        <v>0</v>
      </c>
      <c r="P82" t="n">
        <v>0</v>
      </c>
      <c r="Q82" t="n">
        <v>1</v>
      </c>
      <c r="R82" s="2" t="inlineStr">
        <is>
          <t>Svart trolldruva</t>
        </is>
      </c>
      <c r="S82">
        <f>HYPERLINK("https://klasma.github.io/Logging_1885/artfynd/A 8175-2026 artfynd.xlsx", "A 8175-2026")</f>
        <v/>
      </c>
      <c r="T82">
        <f>HYPERLINK("https://klasma.github.io/Logging_1885/kartor/A 8175-2026 karta.png", "A 8175-2026")</f>
        <v/>
      </c>
      <c r="V82">
        <f>HYPERLINK("https://klasma.github.io/Logging_1885/klagomål/A 8175-2026 FSC-klagomål.docx", "A 8175-2026")</f>
        <v/>
      </c>
      <c r="W82">
        <f>HYPERLINK("https://klasma.github.io/Logging_1885/klagomålsmail/A 8175-2026 FSC-klagomål mail.docx", "A 8175-2026")</f>
        <v/>
      </c>
      <c r="X82">
        <f>HYPERLINK("https://klasma.github.io/Logging_1885/tillsyn/A 8175-2026 tillsynsbegäran.docx", "A 8175-2026")</f>
        <v/>
      </c>
      <c r="Y82">
        <f>HYPERLINK("https://klasma.github.io/Logging_1885/tillsynsmail/A 8175-2026 tillsynsbegäran mail.docx", "A 8175-2026")</f>
        <v/>
      </c>
    </row>
    <row r="83" ht="15" customHeight="1">
      <c r="A83" t="inlineStr">
        <is>
          <t>A 28787-2023</t>
        </is>
      </c>
      <c r="B83" s="1" t="n">
        <v>45104.3483912037</v>
      </c>
      <c r="C83" s="1" t="n">
        <v>46169</v>
      </c>
      <c r="D83" t="inlineStr">
        <is>
          <t>ÖREBRO LÄN</t>
        </is>
      </c>
      <c r="E83" t="inlineStr">
        <is>
          <t>LINDESBERG</t>
        </is>
      </c>
      <c r="F83" t="inlineStr">
        <is>
          <t>Sveaskog</t>
        </is>
      </c>
      <c r="G83" t="n">
        <v>0.5</v>
      </c>
      <c r="H83" t="n">
        <v>1</v>
      </c>
      <c r="I83" t="n">
        <v>0</v>
      </c>
      <c r="J83" t="n">
        <v>0</v>
      </c>
      <c r="K83" t="n">
        <v>0</v>
      </c>
      <c r="L83" t="n">
        <v>0</v>
      </c>
      <c r="M83" t="n">
        <v>0</v>
      </c>
      <c r="N83" t="n">
        <v>0</v>
      </c>
      <c r="O83" t="n">
        <v>0</v>
      </c>
      <c r="P83" t="n">
        <v>0</v>
      </c>
      <c r="Q83" t="n">
        <v>1</v>
      </c>
      <c r="R83" s="2" t="inlineStr">
        <is>
          <t>Fläcknycklar</t>
        </is>
      </c>
      <c r="S83">
        <f>HYPERLINK("https://klasma.github.io/Logging_1885/artfynd/A 28787-2023 artfynd.xlsx", "A 28787-2023")</f>
        <v/>
      </c>
      <c r="T83">
        <f>HYPERLINK("https://klasma.github.io/Logging_1885/kartor/A 28787-2023 karta.png", "A 28787-2023")</f>
        <v/>
      </c>
      <c r="V83">
        <f>HYPERLINK("https://klasma.github.io/Logging_1885/klagomål/A 28787-2023 FSC-klagomål.docx", "A 28787-2023")</f>
        <v/>
      </c>
      <c r="W83">
        <f>HYPERLINK("https://klasma.github.io/Logging_1885/klagomålsmail/A 28787-2023 FSC-klagomål mail.docx", "A 28787-2023")</f>
        <v/>
      </c>
      <c r="X83">
        <f>HYPERLINK("https://klasma.github.io/Logging_1885/tillsyn/A 28787-2023 tillsynsbegäran.docx", "A 28787-2023")</f>
        <v/>
      </c>
      <c r="Y83">
        <f>HYPERLINK("https://klasma.github.io/Logging_1885/tillsynsmail/A 28787-2023 tillsynsbegäran mail.docx", "A 28787-2023")</f>
        <v/>
      </c>
    </row>
    <row r="84" ht="15" customHeight="1">
      <c r="A84" t="inlineStr">
        <is>
          <t>A 16692-2026</t>
        </is>
      </c>
      <c r="B84" s="1" t="n">
        <v>46112.82201388889</v>
      </c>
      <c r="C84" s="1" t="n">
        <v>46169</v>
      </c>
      <c r="D84" t="inlineStr">
        <is>
          <t>ÖREBRO LÄN</t>
        </is>
      </c>
      <c r="E84" t="inlineStr">
        <is>
          <t>LINDESBERG</t>
        </is>
      </c>
      <c r="G84" t="n">
        <v>4.9</v>
      </c>
      <c r="H84" t="n">
        <v>1</v>
      </c>
      <c r="I84" t="n">
        <v>0</v>
      </c>
      <c r="J84" t="n">
        <v>1</v>
      </c>
      <c r="K84" t="n">
        <v>0</v>
      </c>
      <c r="L84" t="n">
        <v>0</v>
      </c>
      <c r="M84" t="n">
        <v>0</v>
      </c>
      <c r="N84" t="n">
        <v>0</v>
      </c>
      <c r="O84" t="n">
        <v>1</v>
      </c>
      <c r="P84" t="n">
        <v>0</v>
      </c>
      <c r="Q84" t="n">
        <v>1</v>
      </c>
      <c r="R84" s="2" t="inlineStr">
        <is>
          <t>Spillkråka</t>
        </is>
      </c>
      <c r="S84">
        <f>HYPERLINK("https://klasma.github.io/Logging_1885/artfynd/A 16692-2026 artfynd.xlsx", "A 16692-2026")</f>
        <v/>
      </c>
      <c r="T84">
        <f>HYPERLINK("https://klasma.github.io/Logging_1885/kartor/A 16692-2026 karta.png", "A 16692-2026")</f>
        <v/>
      </c>
      <c r="V84">
        <f>HYPERLINK("https://klasma.github.io/Logging_1885/klagomål/A 16692-2026 FSC-klagomål.docx", "A 16692-2026")</f>
        <v/>
      </c>
      <c r="W84">
        <f>HYPERLINK("https://klasma.github.io/Logging_1885/klagomålsmail/A 16692-2026 FSC-klagomål mail.docx", "A 16692-2026")</f>
        <v/>
      </c>
      <c r="X84">
        <f>HYPERLINK("https://klasma.github.io/Logging_1885/tillsyn/A 16692-2026 tillsynsbegäran.docx", "A 16692-2026")</f>
        <v/>
      </c>
      <c r="Y84">
        <f>HYPERLINK("https://klasma.github.io/Logging_1885/tillsynsmail/A 16692-2026 tillsynsbegäran mail.docx", "A 16692-2026")</f>
        <v/>
      </c>
      <c r="Z84">
        <f>HYPERLINK("https://klasma.github.io/Logging_1885/fåglar/A 16692-2026 prioriterade fågelarter.docx", "A 16692-2026")</f>
        <v/>
      </c>
    </row>
    <row r="85" ht="15" customHeight="1">
      <c r="A85" t="inlineStr">
        <is>
          <t>A 16693-2026</t>
        </is>
      </c>
      <c r="B85" s="1" t="n">
        <v>46112.83422453704</v>
      </c>
      <c r="C85" s="1" t="n">
        <v>46169</v>
      </c>
      <c r="D85" t="inlineStr">
        <is>
          <t>ÖREBRO LÄN</t>
        </is>
      </c>
      <c r="E85" t="inlineStr">
        <is>
          <t>LINDESBERG</t>
        </is>
      </c>
      <c r="G85" t="n">
        <v>2.1</v>
      </c>
      <c r="H85" t="n">
        <v>1</v>
      </c>
      <c r="I85" t="n">
        <v>0</v>
      </c>
      <c r="J85" t="n">
        <v>0</v>
      </c>
      <c r="K85" t="n">
        <v>0</v>
      </c>
      <c r="L85" t="n">
        <v>0</v>
      </c>
      <c r="M85" t="n">
        <v>0</v>
      </c>
      <c r="N85" t="n">
        <v>0</v>
      </c>
      <c r="O85" t="n">
        <v>0</v>
      </c>
      <c r="P85" t="n">
        <v>0</v>
      </c>
      <c r="Q85" t="n">
        <v>1</v>
      </c>
      <c r="R85" s="2" t="inlineStr">
        <is>
          <t>Tjäder</t>
        </is>
      </c>
      <c r="S85">
        <f>HYPERLINK("https://klasma.github.io/Logging_1885/artfynd/A 16693-2026 artfynd.xlsx", "A 16693-2026")</f>
        <v/>
      </c>
      <c r="T85">
        <f>HYPERLINK("https://klasma.github.io/Logging_1885/kartor/A 16693-2026 karta.png", "A 16693-2026")</f>
        <v/>
      </c>
      <c r="V85">
        <f>HYPERLINK("https://klasma.github.io/Logging_1885/klagomål/A 16693-2026 FSC-klagomål.docx", "A 16693-2026")</f>
        <v/>
      </c>
      <c r="W85">
        <f>HYPERLINK("https://klasma.github.io/Logging_1885/klagomålsmail/A 16693-2026 FSC-klagomål mail.docx", "A 16693-2026")</f>
        <v/>
      </c>
      <c r="X85">
        <f>HYPERLINK("https://klasma.github.io/Logging_1885/tillsyn/A 16693-2026 tillsynsbegäran.docx", "A 16693-2026")</f>
        <v/>
      </c>
      <c r="Y85">
        <f>HYPERLINK("https://klasma.github.io/Logging_1885/tillsynsmail/A 16693-2026 tillsynsbegäran mail.docx", "A 16693-2026")</f>
        <v/>
      </c>
      <c r="Z85">
        <f>HYPERLINK("https://klasma.github.io/Logging_1885/fåglar/A 16693-2026 prioriterade fågelarter.docx", "A 16693-2026")</f>
        <v/>
      </c>
    </row>
    <row r="86" ht="15" customHeight="1">
      <c r="A86" t="inlineStr">
        <is>
          <t>A 18180-2026</t>
        </is>
      </c>
      <c r="B86" s="1" t="n">
        <v>46125.67597222222</v>
      </c>
      <c r="C86" s="1" t="n">
        <v>46169</v>
      </c>
      <c r="D86" t="inlineStr">
        <is>
          <t>ÖREBRO LÄN</t>
        </is>
      </c>
      <c r="E86" t="inlineStr">
        <is>
          <t>LINDESBERG</t>
        </is>
      </c>
      <c r="F86" t="inlineStr">
        <is>
          <t>Sveaskog</t>
        </is>
      </c>
      <c r="G86" t="n">
        <v>2.1</v>
      </c>
      <c r="H86" t="n">
        <v>0</v>
      </c>
      <c r="I86" t="n">
        <v>1</v>
      </c>
      <c r="J86" t="n">
        <v>0</v>
      </c>
      <c r="K86" t="n">
        <v>0</v>
      </c>
      <c r="L86" t="n">
        <v>0</v>
      </c>
      <c r="M86" t="n">
        <v>0</v>
      </c>
      <c r="N86" t="n">
        <v>0</v>
      </c>
      <c r="O86" t="n">
        <v>0</v>
      </c>
      <c r="P86" t="n">
        <v>0</v>
      </c>
      <c r="Q86" t="n">
        <v>1</v>
      </c>
      <c r="R86" s="2" t="inlineStr">
        <is>
          <t>Dropptaggsvamp</t>
        </is>
      </c>
      <c r="S86">
        <f>HYPERLINK("https://klasma.github.io/Logging_1885/artfynd/A 18180-2026 artfynd.xlsx", "A 18180-2026")</f>
        <v/>
      </c>
      <c r="T86">
        <f>HYPERLINK("https://klasma.github.io/Logging_1885/kartor/A 18180-2026 karta.png", "A 18180-2026")</f>
        <v/>
      </c>
      <c r="V86">
        <f>HYPERLINK("https://klasma.github.io/Logging_1885/klagomål/A 18180-2026 FSC-klagomål.docx", "A 18180-2026")</f>
        <v/>
      </c>
      <c r="W86">
        <f>HYPERLINK("https://klasma.github.io/Logging_1885/klagomålsmail/A 18180-2026 FSC-klagomål mail.docx", "A 18180-2026")</f>
        <v/>
      </c>
      <c r="X86">
        <f>HYPERLINK("https://klasma.github.io/Logging_1885/tillsyn/A 18180-2026 tillsynsbegäran.docx", "A 18180-2026")</f>
        <v/>
      </c>
      <c r="Y86">
        <f>HYPERLINK("https://klasma.github.io/Logging_1885/tillsynsmail/A 18180-2026 tillsynsbegäran mail.docx", "A 18180-2026")</f>
        <v/>
      </c>
    </row>
    <row r="87" ht="15" customHeight="1">
      <c r="A87" t="inlineStr">
        <is>
          <t>A 21467-2026</t>
        </is>
      </c>
      <c r="B87" s="1" t="n">
        <v>46148.46989583333</v>
      </c>
      <c r="C87" s="1" t="n">
        <v>46169</v>
      </c>
      <c r="D87" t="inlineStr">
        <is>
          <t>ÖREBRO LÄN</t>
        </is>
      </c>
      <c r="E87" t="inlineStr">
        <is>
          <t>LINDESBERG</t>
        </is>
      </c>
      <c r="G87" t="n">
        <v>1.5</v>
      </c>
      <c r="H87" t="n">
        <v>1</v>
      </c>
      <c r="I87" t="n">
        <v>0</v>
      </c>
      <c r="J87" t="n">
        <v>1</v>
      </c>
      <c r="K87" t="n">
        <v>0</v>
      </c>
      <c r="L87" t="n">
        <v>0</v>
      </c>
      <c r="M87" t="n">
        <v>0</v>
      </c>
      <c r="N87" t="n">
        <v>0</v>
      </c>
      <c r="O87" t="n">
        <v>1</v>
      </c>
      <c r="P87" t="n">
        <v>0</v>
      </c>
      <c r="Q87" t="n">
        <v>1</v>
      </c>
      <c r="R87" s="2" t="inlineStr">
        <is>
          <t>Spillkråka</t>
        </is>
      </c>
      <c r="S87">
        <f>HYPERLINK("https://klasma.github.io/Logging_1885/artfynd/A 21467-2026 artfynd.xlsx", "A 21467-2026")</f>
        <v/>
      </c>
      <c r="T87">
        <f>HYPERLINK("https://klasma.github.io/Logging_1885/kartor/A 21467-2026 karta.png", "A 21467-2026")</f>
        <v/>
      </c>
      <c r="U87">
        <f>HYPERLINK("https://klasma.github.io/Logging_1885/knärot/A 21467-2026 karta knärot.png", "A 21467-2026")</f>
        <v/>
      </c>
      <c r="V87">
        <f>HYPERLINK("https://klasma.github.io/Logging_1885/klagomål/A 21467-2026 FSC-klagomål.docx", "A 21467-2026")</f>
        <v/>
      </c>
      <c r="W87">
        <f>HYPERLINK("https://klasma.github.io/Logging_1885/klagomålsmail/A 21467-2026 FSC-klagomål mail.docx", "A 21467-2026")</f>
        <v/>
      </c>
      <c r="X87">
        <f>HYPERLINK("https://klasma.github.io/Logging_1885/tillsyn/A 21467-2026 tillsynsbegäran.docx", "A 21467-2026")</f>
        <v/>
      </c>
      <c r="Y87">
        <f>HYPERLINK("https://klasma.github.io/Logging_1885/tillsynsmail/A 21467-2026 tillsynsbegäran mail.docx", "A 21467-2026")</f>
        <v/>
      </c>
      <c r="Z87">
        <f>HYPERLINK("https://klasma.github.io/Logging_1885/fåglar/A 21467-2026 prioriterade fågelarter.docx", "A 21467-2026")</f>
        <v/>
      </c>
    </row>
    <row r="88" ht="15" customHeight="1">
      <c r="A88" t="inlineStr">
        <is>
          <t>A 18178-2026</t>
        </is>
      </c>
      <c r="B88" s="1" t="n">
        <v>46125.67452546296</v>
      </c>
      <c r="C88" s="1" t="n">
        <v>46169</v>
      </c>
      <c r="D88" t="inlineStr">
        <is>
          <t>ÖREBRO LÄN</t>
        </is>
      </c>
      <c r="E88" t="inlineStr">
        <is>
          <t>LINDESBERG</t>
        </is>
      </c>
      <c r="F88" t="inlineStr">
        <is>
          <t>Sveaskog</t>
        </is>
      </c>
      <c r="G88" t="n">
        <v>4.4</v>
      </c>
      <c r="H88" t="n">
        <v>0</v>
      </c>
      <c r="I88" t="n">
        <v>0</v>
      </c>
      <c r="J88" t="n">
        <v>1</v>
      </c>
      <c r="K88" t="n">
        <v>0</v>
      </c>
      <c r="L88" t="n">
        <v>0</v>
      </c>
      <c r="M88" t="n">
        <v>0</v>
      </c>
      <c r="N88" t="n">
        <v>0</v>
      </c>
      <c r="O88" t="n">
        <v>1</v>
      </c>
      <c r="P88" t="n">
        <v>0</v>
      </c>
      <c r="Q88" t="n">
        <v>1</v>
      </c>
      <c r="R88" s="2" t="inlineStr">
        <is>
          <t>Svartvit taggsvamp</t>
        </is>
      </c>
      <c r="S88">
        <f>HYPERLINK("https://klasma.github.io/Logging_1885/artfynd/A 18178-2026 artfynd.xlsx", "A 18178-2026")</f>
        <v/>
      </c>
      <c r="T88">
        <f>HYPERLINK("https://klasma.github.io/Logging_1885/kartor/A 18178-2026 karta.png", "A 18178-2026")</f>
        <v/>
      </c>
      <c r="V88">
        <f>HYPERLINK("https://klasma.github.io/Logging_1885/klagomål/A 18178-2026 FSC-klagomål.docx", "A 18178-2026")</f>
        <v/>
      </c>
      <c r="W88">
        <f>HYPERLINK("https://klasma.github.io/Logging_1885/klagomålsmail/A 18178-2026 FSC-klagomål mail.docx", "A 18178-2026")</f>
        <v/>
      </c>
      <c r="X88">
        <f>HYPERLINK("https://klasma.github.io/Logging_1885/tillsyn/A 18178-2026 tillsynsbegäran.docx", "A 18178-2026")</f>
        <v/>
      </c>
      <c r="Y88">
        <f>HYPERLINK("https://klasma.github.io/Logging_1885/tillsynsmail/A 18178-2026 tillsynsbegäran mail.docx", "A 18178-2026")</f>
        <v/>
      </c>
    </row>
    <row r="89" ht="15" customHeight="1">
      <c r="A89" t="inlineStr">
        <is>
          <t>A 27900-2024</t>
        </is>
      </c>
      <c r="B89" s="1" t="n">
        <v>45475.92849537037</v>
      </c>
      <c r="C89" s="1" t="n">
        <v>46169</v>
      </c>
      <c r="D89" t="inlineStr">
        <is>
          <t>ÖREBRO LÄN</t>
        </is>
      </c>
      <c r="E89" t="inlineStr">
        <is>
          <t>LINDESBERG</t>
        </is>
      </c>
      <c r="F89" t="inlineStr">
        <is>
          <t>Sveaskog</t>
        </is>
      </c>
      <c r="G89" t="n">
        <v>4.1</v>
      </c>
      <c r="H89" t="n">
        <v>1</v>
      </c>
      <c r="I89" t="n">
        <v>0</v>
      </c>
      <c r="J89" t="n">
        <v>0</v>
      </c>
      <c r="K89" t="n">
        <v>0</v>
      </c>
      <c r="L89" t="n">
        <v>0</v>
      </c>
      <c r="M89" t="n">
        <v>0</v>
      </c>
      <c r="N89" t="n">
        <v>0</v>
      </c>
      <c r="O89" t="n">
        <v>0</v>
      </c>
      <c r="P89" t="n">
        <v>0</v>
      </c>
      <c r="Q89" t="n">
        <v>1</v>
      </c>
      <c r="R89" s="2" t="inlineStr">
        <is>
          <t>Fläcknycklar</t>
        </is>
      </c>
      <c r="S89">
        <f>HYPERLINK("https://klasma.github.io/Logging_1885/artfynd/A 27900-2024 artfynd.xlsx", "A 27900-2024")</f>
        <v/>
      </c>
      <c r="T89">
        <f>HYPERLINK("https://klasma.github.io/Logging_1885/kartor/A 27900-2024 karta.png", "A 27900-2024")</f>
        <v/>
      </c>
      <c r="V89">
        <f>HYPERLINK("https://klasma.github.io/Logging_1885/klagomål/A 27900-2024 FSC-klagomål.docx", "A 27900-2024")</f>
        <v/>
      </c>
      <c r="W89">
        <f>HYPERLINK("https://klasma.github.io/Logging_1885/klagomålsmail/A 27900-2024 FSC-klagomål mail.docx", "A 27900-2024")</f>
        <v/>
      </c>
      <c r="X89">
        <f>HYPERLINK("https://klasma.github.io/Logging_1885/tillsyn/A 27900-2024 tillsynsbegäran.docx", "A 27900-2024")</f>
        <v/>
      </c>
      <c r="Y89">
        <f>HYPERLINK("https://klasma.github.io/Logging_1885/tillsynsmail/A 27900-2024 tillsynsbegäran mail.docx", "A 27900-2024")</f>
        <v/>
      </c>
    </row>
    <row r="90" ht="15" customHeight="1">
      <c r="A90" t="inlineStr">
        <is>
          <t>A 53598-2024</t>
        </is>
      </c>
      <c r="B90" s="1" t="n">
        <v>45614.68287037037</v>
      </c>
      <c r="C90" s="1" t="n">
        <v>46169</v>
      </c>
      <c r="D90" t="inlineStr">
        <is>
          <t>ÖREBRO LÄN</t>
        </is>
      </c>
      <c r="E90" t="inlineStr">
        <is>
          <t>LINDESBERG</t>
        </is>
      </c>
      <c r="G90" t="n">
        <v>3.1</v>
      </c>
      <c r="H90" t="n">
        <v>1</v>
      </c>
      <c r="I90" t="n">
        <v>0</v>
      </c>
      <c r="J90" t="n">
        <v>0</v>
      </c>
      <c r="K90" t="n">
        <v>0</v>
      </c>
      <c r="L90" t="n">
        <v>1</v>
      </c>
      <c r="M90" t="n">
        <v>0</v>
      </c>
      <c r="N90" t="n">
        <v>0</v>
      </c>
      <c r="O90" t="n">
        <v>1</v>
      </c>
      <c r="P90" t="n">
        <v>1</v>
      </c>
      <c r="Q90" t="n">
        <v>1</v>
      </c>
      <c r="R90" s="2" t="inlineStr">
        <is>
          <t>Asknätfjäril</t>
        </is>
      </c>
      <c r="S90">
        <f>HYPERLINK("https://klasma.github.io/Logging_1885/artfynd/A 53598-2024 artfynd.xlsx", "A 53598-2024")</f>
        <v/>
      </c>
      <c r="T90">
        <f>HYPERLINK("https://klasma.github.io/Logging_1885/kartor/A 53598-2024 karta.png", "A 53598-2024")</f>
        <v/>
      </c>
      <c r="V90">
        <f>HYPERLINK("https://klasma.github.io/Logging_1885/klagomål/A 53598-2024 FSC-klagomål.docx", "A 53598-2024")</f>
        <v/>
      </c>
      <c r="W90">
        <f>HYPERLINK("https://klasma.github.io/Logging_1885/klagomålsmail/A 53598-2024 FSC-klagomål mail.docx", "A 53598-2024")</f>
        <v/>
      </c>
      <c r="X90">
        <f>HYPERLINK("https://klasma.github.io/Logging_1885/tillsyn/A 53598-2024 tillsynsbegäran.docx", "A 53598-2024")</f>
        <v/>
      </c>
      <c r="Y90">
        <f>HYPERLINK("https://klasma.github.io/Logging_1885/tillsynsmail/A 53598-2024 tillsynsbegäran mail.docx", "A 53598-2024")</f>
        <v/>
      </c>
    </row>
    <row r="91" ht="15" customHeight="1">
      <c r="A91" t="inlineStr">
        <is>
          <t>A 21440-2025</t>
        </is>
      </c>
      <c r="B91" s="1" t="n">
        <v>45782.5300462963</v>
      </c>
      <c r="C91" s="1" t="n">
        <v>46169</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46169</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46169</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46169</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46169</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46169</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48986-2021</t>
        </is>
      </c>
      <c r="B97" s="1" t="n">
        <v>44453</v>
      </c>
      <c r="C97" s="1" t="n">
        <v>46169</v>
      </c>
      <c r="D97" t="inlineStr">
        <is>
          <t>ÖREBRO LÄN</t>
        </is>
      </c>
      <c r="E97" t="inlineStr">
        <is>
          <t>LINDESBERG</t>
        </is>
      </c>
      <c r="G97" t="n">
        <v>1.5</v>
      </c>
      <c r="H97" t="n">
        <v>0</v>
      </c>
      <c r="I97" t="n">
        <v>0</v>
      </c>
      <c r="J97" t="n">
        <v>0</v>
      </c>
      <c r="K97" t="n">
        <v>0</v>
      </c>
      <c r="L97" t="n">
        <v>0</v>
      </c>
      <c r="M97" t="n">
        <v>0</v>
      </c>
      <c r="N97" t="n">
        <v>0</v>
      </c>
      <c r="O97" t="n">
        <v>0</v>
      </c>
      <c r="P97" t="n">
        <v>0</v>
      </c>
      <c r="Q97" t="n">
        <v>0</v>
      </c>
      <c r="R97" s="2" t="inlineStr"/>
    </row>
    <row r="98" ht="15" customHeight="1">
      <c r="A98" t="inlineStr">
        <is>
          <t>A 47336-2021</t>
        </is>
      </c>
      <c r="B98" s="1" t="n">
        <v>44447.51184027778</v>
      </c>
      <c r="C98" s="1" t="n">
        <v>46169</v>
      </c>
      <c r="D98" t="inlineStr">
        <is>
          <t>ÖREBRO LÄN</t>
        </is>
      </c>
      <c r="E98" t="inlineStr">
        <is>
          <t>LINDESBERG</t>
        </is>
      </c>
      <c r="F98" t="inlineStr">
        <is>
          <t>Kommuner</t>
        </is>
      </c>
      <c r="G98" t="n">
        <v>3.6</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46169</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46169</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46169</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46169</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46169</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46169</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51468-2021</t>
        </is>
      </c>
      <c r="B105" s="1" t="n">
        <v>44462</v>
      </c>
      <c r="C105" s="1" t="n">
        <v>46169</v>
      </c>
      <c r="D105" t="inlineStr">
        <is>
          <t>ÖREBRO LÄN</t>
        </is>
      </c>
      <c r="E105" t="inlineStr">
        <is>
          <t>LINDESBERG</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46169</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46169</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46169</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46169</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46169</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46169</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46169</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46169</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46169</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46169</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46169</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46169</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46169</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46169</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46169</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46169</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46169</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46169</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46169</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46169</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46169</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46169</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46169</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46169</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46169</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46169</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46169</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46169</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46169</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46169</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46169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46169</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46169</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46169</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46169</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46169</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46169</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46169</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46169</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46169</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46169</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46169</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46169</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46169</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46169</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46169</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46169</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46169</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46169</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46169</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46169</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46169</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46169</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46169</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60900-2021</t>
        </is>
      </c>
      <c r="B160" s="1" t="n">
        <v>44497</v>
      </c>
      <c r="C160" s="1" t="n">
        <v>46169</v>
      </c>
      <c r="D160" t="inlineStr">
        <is>
          <t>ÖREBRO LÄN</t>
        </is>
      </c>
      <c r="E160" t="inlineStr">
        <is>
          <t>LINDESBERG</t>
        </is>
      </c>
      <c r="G160" t="n">
        <v>7.3</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46169</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46169</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46169</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46169</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46169</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46169</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46169</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46169</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46169</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46169</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46169</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46169</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46169</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46169</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46169</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46169</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46169</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46169</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16130-2022</t>
        </is>
      </c>
      <c r="B179" s="1" t="n">
        <v>44665</v>
      </c>
      <c r="C179" s="1" t="n">
        <v>46169</v>
      </c>
      <c r="D179" t="inlineStr">
        <is>
          <t>ÖREBRO LÄN</t>
        </is>
      </c>
      <c r="E179" t="inlineStr">
        <is>
          <t>LINDESBERG</t>
        </is>
      </c>
      <c r="G179" t="n">
        <v>3.5</v>
      </c>
      <c r="H179" t="n">
        <v>0</v>
      </c>
      <c r="I179" t="n">
        <v>0</v>
      </c>
      <c r="J179" t="n">
        <v>0</v>
      </c>
      <c r="K179" t="n">
        <v>0</v>
      </c>
      <c r="L179" t="n">
        <v>0</v>
      </c>
      <c r="M179" t="n">
        <v>0</v>
      </c>
      <c r="N179" t="n">
        <v>0</v>
      </c>
      <c r="O179" t="n">
        <v>0</v>
      </c>
      <c r="P179" t="n">
        <v>0</v>
      </c>
      <c r="Q179" t="n">
        <v>0</v>
      </c>
      <c r="R179" s="2" t="inlineStr"/>
    </row>
    <row r="180" ht="15" customHeight="1">
      <c r="A180" t="inlineStr">
        <is>
          <t>A 48365-2021</t>
        </is>
      </c>
      <c r="B180" s="1" t="n">
        <v>44451.78710648148</v>
      </c>
      <c r="C180" s="1" t="n">
        <v>46169</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46169</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46169</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46169</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46169</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46169</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46169</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46169</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46169</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46169</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46169</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46169</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46169</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46169</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46169</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7598-2022</t>
        </is>
      </c>
      <c r="B195" s="1" t="n">
        <v>44607.64115740741</v>
      </c>
      <c r="C195" s="1" t="n">
        <v>46169</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46169</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46169</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46169</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46169</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46169</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46169</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46169</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46169</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46169</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46169</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46169</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46169</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46169</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2406-2024</t>
        </is>
      </c>
      <c r="B209" s="1" t="n">
        <v>45310</v>
      </c>
      <c r="C209" s="1" t="n">
        <v>46169</v>
      </c>
      <c r="D209" t="inlineStr">
        <is>
          <t>ÖREBRO LÄN</t>
        </is>
      </c>
      <c r="E209" t="inlineStr">
        <is>
          <t>LINDESBERG</t>
        </is>
      </c>
      <c r="G209" t="n">
        <v>16.1</v>
      </c>
      <c r="H209" t="n">
        <v>0</v>
      </c>
      <c r="I209" t="n">
        <v>0</v>
      </c>
      <c r="J209" t="n">
        <v>0</v>
      </c>
      <c r="K209" t="n">
        <v>0</v>
      </c>
      <c r="L209" t="n">
        <v>0</v>
      </c>
      <c r="M209" t="n">
        <v>0</v>
      </c>
      <c r="N209" t="n">
        <v>0</v>
      </c>
      <c r="O209" t="n">
        <v>0</v>
      </c>
      <c r="P209" t="n">
        <v>0</v>
      </c>
      <c r="Q209" t="n">
        <v>0</v>
      </c>
      <c r="R209" s="2" t="inlineStr"/>
    </row>
    <row r="210" ht="15" customHeight="1">
      <c r="A210" t="inlineStr">
        <is>
          <t>A 13417-2025</t>
        </is>
      </c>
      <c r="B210" s="1" t="n">
        <v>45736.30940972222</v>
      </c>
      <c r="C210" s="1" t="n">
        <v>46169</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35230-2024</t>
        </is>
      </c>
      <c r="B211" s="1" t="n">
        <v>45530</v>
      </c>
      <c r="C211" s="1" t="n">
        <v>46169</v>
      </c>
      <c r="D211" t="inlineStr">
        <is>
          <t>ÖREBRO LÄN</t>
        </is>
      </c>
      <c r="E211" t="inlineStr">
        <is>
          <t>LINDESBERG</t>
        </is>
      </c>
      <c r="G211" t="n">
        <v>1.7</v>
      </c>
      <c r="H211" t="n">
        <v>0</v>
      </c>
      <c r="I211" t="n">
        <v>0</v>
      </c>
      <c r="J211" t="n">
        <v>0</v>
      </c>
      <c r="K211" t="n">
        <v>0</v>
      </c>
      <c r="L211" t="n">
        <v>0</v>
      </c>
      <c r="M211" t="n">
        <v>0</v>
      </c>
      <c r="N211" t="n">
        <v>0</v>
      </c>
      <c r="O211" t="n">
        <v>0</v>
      </c>
      <c r="P211" t="n">
        <v>0</v>
      </c>
      <c r="Q211" t="n">
        <v>0</v>
      </c>
      <c r="R211" s="2" t="inlineStr"/>
    </row>
    <row r="212" ht="15" customHeight="1">
      <c r="A212" t="inlineStr">
        <is>
          <t>A 33282-2024</t>
        </is>
      </c>
      <c r="B212" s="1" t="n">
        <v>45518.71482638889</v>
      </c>
      <c r="C212" s="1" t="n">
        <v>46169</v>
      </c>
      <c r="D212" t="inlineStr">
        <is>
          <t>ÖREBRO LÄN</t>
        </is>
      </c>
      <c r="E212" t="inlineStr">
        <is>
          <t>LINDESBERG</t>
        </is>
      </c>
      <c r="G212" t="n">
        <v>7.5</v>
      </c>
      <c r="H212" t="n">
        <v>0</v>
      </c>
      <c r="I212" t="n">
        <v>0</v>
      </c>
      <c r="J212" t="n">
        <v>0</v>
      </c>
      <c r="K212" t="n">
        <v>0</v>
      </c>
      <c r="L212" t="n">
        <v>0</v>
      </c>
      <c r="M212" t="n">
        <v>0</v>
      </c>
      <c r="N212" t="n">
        <v>0</v>
      </c>
      <c r="O212" t="n">
        <v>0</v>
      </c>
      <c r="P212" t="n">
        <v>0</v>
      </c>
      <c r="Q212" t="n">
        <v>0</v>
      </c>
      <c r="R212" s="2" t="inlineStr"/>
    </row>
    <row r="213" ht="15" customHeight="1">
      <c r="A213" t="inlineStr">
        <is>
          <t>A 65194-2023</t>
        </is>
      </c>
      <c r="B213" s="1" t="n">
        <v>45289</v>
      </c>
      <c r="C213" s="1" t="n">
        <v>46169</v>
      </c>
      <c r="D213" t="inlineStr">
        <is>
          <t>ÖREBRO LÄN</t>
        </is>
      </c>
      <c r="E213" t="inlineStr">
        <is>
          <t>LINDESBERG</t>
        </is>
      </c>
      <c r="G213" t="n">
        <v>1</v>
      </c>
      <c r="H213" t="n">
        <v>0</v>
      </c>
      <c r="I213" t="n">
        <v>0</v>
      </c>
      <c r="J213" t="n">
        <v>0</v>
      </c>
      <c r="K213" t="n">
        <v>0</v>
      </c>
      <c r="L213" t="n">
        <v>0</v>
      </c>
      <c r="M213" t="n">
        <v>0</v>
      </c>
      <c r="N213" t="n">
        <v>0</v>
      </c>
      <c r="O213" t="n">
        <v>0</v>
      </c>
      <c r="P213" t="n">
        <v>0</v>
      </c>
      <c r="Q213" t="n">
        <v>0</v>
      </c>
      <c r="R213" s="2" t="inlineStr"/>
    </row>
    <row r="214" ht="15" customHeight="1">
      <c r="A214" t="inlineStr">
        <is>
          <t>A 69208-2021</t>
        </is>
      </c>
      <c r="B214" s="1" t="n">
        <v>44531.3575</v>
      </c>
      <c r="C214" s="1" t="n">
        <v>46169</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46603-2021</t>
        </is>
      </c>
      <c r="B215" s="1" t="n">
        <v>44445</v>
      </c>
      <c r="C215" s="1" t="n">
        <v>46169</v>
      </c>
      <c r="D215" t="inlineStr">
        <is>
          <t>ÖREBRO LÄN</t>
        </is>
      </c>
      <c r="E215" t="inlineStr">
        <is>
          <t>LINDESBERG</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20954-2024</t>
        </is>
      </c>
      <c r="B216" s="1" t="n">
        <v>45439.56605324074</v>
      </c>
      <c r="C216" s="1" t="n">
        <v>46169</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35739-2024</t>
        </is>
      </c>
      <c r="B217" s="1" t="n">
        <v>45532</v>
      </c>
      <c r="C217" s="1" t="n">
        <v>46169</v>
      </c>
      <c r="D217" t="inlineStr">
        <is>
          <t>ÖREBRO LÄN</t>
        </is>
      </c>
      <c r="E217" t="inlineStr">
        <is>
          <t>LINDESBERG</t>
        </is>
      </c>
      <c r="G217" t="n">
        <v>0.6</v>
      </c>
      <c r="H217" t="n">
        <v>0</v>
      </c>
      <c r="I217" t="n">
        <v>0</v>
      </c>
      <c r="J217" t="n">
        <v>0</v>
      </c>
      <c r="K217" t="n">
        <v>0</v>
      </c>
      <c r="L217" t="n">
        <v>0</v>
      </c>
      <c r="M217" t="n">
        <v>0</v>
      </c>
      <c r="N217" t="n">
        <v>0</v>
      </c>
      <c r="O217" t="n">
        <v>0</v>
      </c>
      <c r="P217" t="n">
        <v>0</v>
      </c>
      <c r="Q217" t="n">
        <v>0</v>
      </c>
      <c r="R217" s="2" t="inlineStr"/>
    </row>
    <row r="218" ht="15" customHeight="1">
      <c r="A218" t="inlineStr">
        <is>
          <t>A 29857-2023</t>
        </is>
      </c>
      <c r="B218" s="1" t="n">
        <v>45107</v>
      </c>
      <c r="C218" s="1" t="n">
        <v>46169</v>
      </c>
      <c r="D218" t="inlineStr">
        <is>
          <t>ÖREBRO LÄN</t>
        </is>
      </c>
      <c r="E218" t="inlineStr">
        <is>
          <t>LINDESBERG</t>
        </is>
      </c>
      <c r="G218" t="n">
        <v>0.6</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46169</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30767-2023</t>
        </is>
      </c>
      <c r="B220" s="1" t="n">
        <v>45112.67952546296</v>
      </c>
      <c r="C220" s="1" t="n">
        <v>46169</v>
      </c>
      <c r="D220" t="inlineStr">
        <is>
          <t>ÖREBRO LÄN</t>
        </is>
      </c>
      <c r="E220" t="inlineStr">
        <is>
          <t>LINDESBERG</t>
        </is>
      </c>
      <c r="G220" t="n">
        <v>3.9</v>
      </c>
      <c r="H220" t="n">
        <v>0</v>
      </c>
      <c r="I220" t="n">
        <v>0</v>
      </c>
      <c r="J220" t="n">
        <v>0</v>
      </c>
      <c r="K220" t="n">
        <v>0</v>
      </c>
      <c r="L220" t="n">
        <v>0</v>
      </c>
      <c r="M220" t="n">
        <v>0</v>
      </c>
      <c r="N220" t="n">
        <v>0</v>
      </c>
      <c r="O220" t="n">
        <v>0</v>
      </c>
      <c r="P220" t="n">
        <v>0</v>
      </c>
      <c r="Q220" t="n">
        <v>0</v>
      </c>
      <c r="R220" s="2" t="inlineStr"/>
    </row>
    <row r="221" ht="15" customHeight="1">
      <c r="A221" t="inlineStr">
        <is>
          <t>A 8213-2023</t>
        </is>
      </c>
      <c r="B221" s="1" t="n">
        <v>44974.55693287037</v>
      </c>
      <c r="C221" s="1" t="n">
        <v>46169</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16618-2023</t>
        </is>
      </c>
      <c r="B222" s="1" t="n">
        <v>45030</v>
      </c>
      <c r="C222" s="1" t="n">
        <v>46169</v>
      </c>
      <c r="D222" t="inlineStr">
        <is>
          <t>ÖREBRO LÄN</t>
        </is>
      </c>
      <c r="E222" t="inlineStr">
        <is>
          <t>LINDESBERG</t>
        </is>
      </c>
      <c r="F222" t="inlineStr">
        <is>
          <t>Kommuner</t>
        </is>
      </c>
      <c r="G222" t="n">
        <v>4.6</v>
      </c>
      <c r="H222" t="n">
        <v>0</v>
      </c>
      <c r="I222" t="n">
        <v>0</v>
      </c>
      <c r="J222" t="n">
        <v>0</v>
      </c>
      <c r="K222" t="n">
        <v>0</v>
      </c>
      <c r="L222" t="n">
        <v>0</v>
      </c>
      <c r="M222" t="n">
        <v>0</v>
      </c>
      <c r="N222" t="n">
        <v>0</v>
      </c>
      <c r="O222" t="n">
        <v>0</v>
      </c>
      <c r="P222" t="n">
        <v>0</v>
      </c>
      <c r="Q222" t="n">
        <v>0</v>
      </c>
      <c r="R222" s="2" t="inlineStr"/>
    </row>
    <row r="223" ht="15" customHeight="1">
      <c r="A223" t="inlineStr">
        <is>
          <t>A 17895-2022</t>
        </is>
      </c>
      <c r="B223" s="1" t="n">
        <v>44683</v>
      </c>
      <c r="C223" s="1" t="n">
        <v>46169</v>
      </c>
      <c r="D223" t="inlineStr">
        <is>
          <t>ÖREBRO LÄN</t>
        </is>
      </c>
      <c r="E223" t="inlineStr">
        <is>
          <t>LINDESBERG</t>
        </is>
      </c>
      <c r="G223" t="n">
        <v>1.3</v>
      </c>
      <c r="H223" t="n">
        <v>0</v>
      </c>
      <c r="I223" t="n">
        <v>0</v>
      </c>
      <c r="J223" t="n">
        <v>0</v>
      </c>
      <c r="K223" t="n">
        <v>0</v>
      </c>
      <c r="L223" t="n">
        <v>0</v>
      </c>
      <c r="M223" t="n">
        <v>0</v>
      </c>
      <c r="N223" t="n">
        <v>0</v>
      </c>
      <c r="O223" t="n">
        <v>0</v>
      </c>
      <c r="P223" t="n">
        <v>0</v>
      </c>
      <c r="Q223" t="n">
        <v>0</v>
      </c>
      <c r="R223" s="2" t="inlineStr"/>
    </row>
    <row r="224" ht="15" customHeight="1">
      <c r="A224" t="inlineStr">
        <is>
          <t>A 15752-2024</t>
        </is>
      </c>
      <c r="B224" s="1" t="n">
        <v>45404.55681712963</v>
      </c>
      <c r="C224" s="1" t="n">
        <v>46169</v>
      </c>
      <c r="D224" t="inlineStr">
        <is>
          <t>ÖREBRO LÄN</t>
        </is>
      </c>
      <c r="E224" t="inlineStr">
        <is>
          <t>LINDESBERG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51539-2024</t>
        </is>
      </c>
      <c r="B225" s="1" t="n">
        <v>45604.58837962963</v>
      </c>
      <c r="C225" s="1" t="n">
        <v>46169</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53046-2024</t>
        </is>
      </c>
      <c r="B226" s="1" t="n">
        <v>45611.44960648148</v>
      </c>
      <c r="C226" s="1" t="n">
        <v>46169</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12692-2024</t>
        </is>
      </c>
      <c r="B227" s="1" t="n">
        <v>45384.43418981481</v>
      </c>
      <c r="C227" s="1" t="n">
        <v>46169</v>
      </c>
      <c r="D227" t="inlineStr">
        <is>
          <t>ÖREBRO LÄN</t>
        </is>
      </c>
      <c r="E227" t="inlineStr">
        <is>
          <t>LINDESBERG</t>
        </is>
      </c>
      <c r="G227" t="n">
        <v>5.2</v>
      </c>
      <c r="H227" t="n">
        <v>0</v>
      </c>
      <c r="I227" t="n">
        <v>0</v>
      </c>
      <c r="J227" t="n">
        <v>0</v>
      </c>
      <c r="K227" t="n">
        <v>0</v>
      </c>
      <c r="L227" t="n">
        <v>0</v>
      </c>
      <c r="M227" t="n">
        <v>0</v>
      </c>
      <c r="N227" t="n">
        <v>0</v>
      </c>
      <c r="O227" t="n">
        <v>0</v>
      </c>
      <c r="P227" t="n">
        <v>0</v>
      </c>
      <c r="Q227" t="n">
        <v>0</v>
      </c>
      <c r="R227" s="2" t="inlineStr"/>
    </row>
    <row r="228" ht="15" customHeight="1">
      <c r="A228" t="inlineStr">
        <is>
          <t>A 61594-2024</t>
        </is>
      </c>
      <c r="B228" s="1" t="n">
        <v>45646.63482638889</v>
      </c>
      <c r="C228" s="1" t="n">
        <v>46169</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17115-2025</t>
        </is>
      </c>
      <c r="B229" s="1" t="n">
        <v>45755.68247685185</v>
      </c>
      <c r="C229" s="1" t="n">
        <v>46169</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34676-2023</t>
        </is>
      </c>
      <c r="B230" s="1" t="n">
        <v>45140</v>
      </c>
      <c r="C230" s="1" t="n">
        <v>46169</v>
      </c>
      <c r="D230" t="inlineStr">
        <is>
          <t>ÖREBRO LÄN</t>
        </is>
      </c>
      <c r="E230" t="inlineStr">
        <is>
          <t>LINDESBERG</t>
        </is>
      </c>
      <c r="G230" t="n">
        <v>2.4</v>
      </c>
      <c r="H230" t="n">
        <v>0</v>
      </c>
      <c r="I230" t="n">
        <v>0</v>
      </c>
      <c r="J230" t="n">
        <v>0</v>
      </c>
      <c r="K230" t="n">
        <v>0</v>
      </c>
      <c r="L230" t="n">
        <v>0</v>
      </c>
      <c r="M230" t="n">
        <v>0</v>
      </c>
      <c r="N230" t="n">
        <v>0</v>
      </c>
      <c r="O230" t="n">
        <v>0</v>
      </c>
      <c r="P230" t="n">
        <v>0</v>
      </c>
      <c r="Q230" t="n">
        <v>0</v>
      </c>
      <c r="R230" s="2" t="inlineStr"/>
    </row>
    <row r="231" ht="15" customHeight="1">
      <c r="A231" t="inlineStr">
        <is>
          <t>A 16447-2025</t>
        </is>
      </c>
      <c r="B231" s="1" t="n">
        <v>45751.50498842593</v>
      </c>
      <c r="C231" s="1" t="n">
        <v>46169</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46169</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6962-2023</t>
        </is>
      </c>
      <c r="B233" s="1" t="n">
        <v>44967.60165509259</v>
      </c>
      <c r="C233" s="1" t="n">
        <v>46169</v>
      </c>
      <c r="D233" t="inlineStr">
        <is>
          <t>ÖREBRO LÄN</t>
        </is>
      </c>
      <c r="E233" t="inlineStr">
        <is>
          <t>LINDESBERG</t>
        </is>
      </c>
      <c r="G233" t="n">
        <v>11.4</v>
      </c>
      <c r="H233" t="n">
        <v>0</v>
      </c>
      <c r="I233" t="n">
        <v>0</v>
      </c>
      <c r="J233" t="n">
        <v>0</v>
      </c>
      <c r="K233" t="n">
        <v>0</v>
      </c>
      <c r="L233" t="n">
        <v>0</v>
      </c>
      <c r="M233" t="n">
        <v>0</v>
      </c>
      <c r="N233" t="n">
        <v>0</v>
      </c>
      <c r="O233" t="n">
        <v>0</v>
      </c>
      <c r="P233" t="n">
        <v>0</v>
      </c>
      <c r="Q233" t="n">
        <v>0</v>
      </c>
      <c r="R233" s="2" t="inlineStr"/>
    </row>
    <row r="234" ht="15" customHeight="1">
      <c r="A234" t="inlineStr">
        <is>
          <t>A 36015-2021</t>
        </is>
      </c>
      <c r="B234" s="1" t="n">
        <v>44389</v>
      </c>
      <c r="C234" s="1" t="n">
        <v>46169</v>
      </c>
      <c r="D234" t="inlineStr">
        <is>
          <t>ÖREBRO LÄN</t>
        </is>
      </c>
      <c r="E234" t="inlineStr">
        <is>
          <t>LINDESBERG</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43532-2024</t>
        </is>
      </c>
      <c r="B235" s="1" t="n">
        <v>45569.3533912037</v>
      </c>
      <c r="C235" s="1" t="n">
        <v>46169</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19960-2023</t>
        </is>
      </c>
      <c r="B236" s="1" t="n">
        <v>45054</v>
      </c>
      <c r="C236" s="1" t="n">
        <v>46169</v>
      </c>
      <c r="D236" t="inlineStr">
        <is>
          <t>ÖREBRO LÄN</t>
        </is>
      </c>
      <c r="E236" t="inlineStr">
        <is>
          <t>LINDESBERG</t>
        </is>
      </c>
      <c r="G236" t="n">
        <v>6.2</v>
      </c>
      <c r="H236" t="n">
        <v>0</v>
      </c>
      <c r="I236" t="n">
        <v>0</v>
      </c>
      <c r="J236" t="n">
        <v>0</v>
      </c>
      <c r="K236" t="n">
        <v>0</v>
      </c>
      <c r="L236" t="n">
        <v>0</v>
      </c>
      <c r="M236" t="n">
        <v>0</v>
      </c>
      <c r="N236" t="n">
        <v>0</v>
      </c>
      <c r="O236" t="n">
        <v>0</v>
      </c>
      <c r="P236" t="n">
        <v>0</v>
      </c>
      <c r="Q236" t="n">
        <v>0</v>
      </c>
      <c r="R236" s="2" t="inlineStr"/>
    </row>
    <row r="237" ht="15" customHeight="1">
      <c r="A237" t="inlineStr">
        <is>
          <t>A 38509-2025</t>
        </is>
      </c>
      <c r="B237" s="1" t="n">
        <v>45884.38858796296</v>
      </c>
      <c r="C237" s="1" t="n">
        <v>46169</v>
      </c>
      <c r="D237" t="inlineStr">
        <is>
          <t>ÖREBRO LÄN</t>
        </is>
      </c>
      <c r="E237" t="inlineStr">
        <is>
          <t>LINDESBERG</t>
        </is>
      </c>
      <c r="G237" t="n">
        <v>14.9</v>
      </c>
      <c r="H237" t="n">
        <v>0</v>
      </c>
      <c r="I237" t="n">
        <v>0</v>
      </c>
      <c r="J237" t="n">
        <v>0</v>
      </c>
      <c r="K237" t="n">
        <v>0</v>
      </c>
      <c r="L237" t="n">
        <v>0</v>
      </c>
      <c r="M237" t="n">
        <v>0</v>
      </c>
      <c r="N237" t="n">
        <v>0</v>
      </c>
      <c r="O237" t="n">
        <v>0</v>
      </c>
      <c r="P237" t="n">
        <v>0</v>
      </c>
      <c r="Q237" t="n">
        <v>0</v>
      </c>
      <c r="R237" s="2" t="inlineStr"/>
    </row>
    <row r="238" ht="15" customHeight="1">
      <c r="A238" t="inlineStr">
        <is>
          <t>A 59282-2023</t>
        </is>
      </c>
      <c r="B238" s="1" t="n">
        <v>45253</v>
      </c>
      <c r="C238" s="1" t="n">
        <v>46169</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46039-2024</t>
        </is>
      </c>
      <c r="B239" s="1" t="n">
        <v>45580.73525462963</v>
      </c>
      <c r="C239" s="1" t="n">
        <v>46169</v>
      </c>
      <c r="D239" t="inlineStr">
        <is>
          <t>ÖREBRO LÄN</t>
        </is>
      </c>
      <c r="E239" t="inlineStr">
        <is>
          <t>LINDESBERG</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46647-2024</t>
        </is>
      </c>
      <c r="B240" s="1" t="n">
        <v>45583</v>
      </c>
      <c r="C240" s="1" t="n">
        <v>46169</v>
      </c>
      <c r="D240" t="inlineStr">
        <is>
          <t>ÖREBRO LÄN</t>
        </is>
      </c>
      <c r="E240" t="inlineStr">
        <is>
          <t>LINDESBERG</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47601-2023</t>
        </is>
      </c>
      <c r="B241" s="1" t="n">
        <v>45203.45681712963</v>
      </c>
      <c r="C241" s="1" t="n">
        <v>46169</v>
      </c>
      <c r="D241" t="inlineStr">
        <is>
          <t>ÖREBRO LÄN</t>
        </is>
      </c>
      <c r="E241" t="inlineStr">
        <is>
          <t>LINDESBERG</t>
        </is>
      </c>
      <c r="G241" t="n">
        <v>37.6</v>
      </c>
      <c r="H241" t="n">
        <v>0</v>
      </c>
      <c r="I241" t="n">
        <v>0</v>
      </c>
      <c r="J241" t="n">
        <v>0</v>
      </c>
      <c r="K241" t="n">
        <v>0</v>
      </c>
      <c r="L241" t="n">
        <v>0</v>
      </c>
      <c r="M241" t="n">
        <v>0</v>
      </c>
      <c r="N241" t="n">
        <v>0</v>
      </c>
      <c r="O241" t="n">
        <v>0</v>
      </c>
      <c r="P241" t="n">
        <v>0</v>
      </c>
      <c r="Q241" t="n">
        <v>0</v>
      </c>
      <c r="R241" s="2" t="inlineStr"/>
    </row>
    <row r="242" ht="15" customHeight="1">
      <c r="A242" t="inlineStr">
        <is>
          <t>A 51186-2025</t>
        </is>
      </c>
      <c r="B242" s="1" t="n">
        <v>45947.62353009259</v>
      </c>
      <c r="C242" s="1" t="n">
        <v>46169</v>
      </c>
      <c r="D242" t="inlineStr">
        <is>
          <t>ÖREBRO LÄN</t>
        </is>
      </c>
      <c r="E242" t="inlineStr">
        <is>
          <t>LINDESBERG</t>
        </is>
      </c>
      <c r="G242" t="n">
        <v>1</v>
      </c>
      <c r="H242" t="n">
        <v>0</v>
      </c>
      <c r="I242" t="n">
        <v>0</v>
      </c>
      <c r="J242" t="n">
        <v>0</v>
      </c>
      <c r="K242" t="n">
        <v>0</v>
      </c>
      <c r="L242" t="n">
        <v>0</v>
      </c>
      <c r="M242" t="n">
        <v>0</v>
      </c>
      <c r="N242" t="n">
        <v>0</v>
      </c>
      <c r="O242" t="n">
        <v>0</v>
      </c>
      <c r="P242" t="n">
        <v>0</v>
      </c>
      <c r="Q242" t="n">
        <v>0</v>
      </c>
      <c r="R242" s="2" t="inlineStr"/>
    </row>
    <row r="243" ht="15" customHeight="1">
      <c r="A243" t="inlineStr">
        <is>
          <t>A 22078-2025</t>
        </is>
      </c>
      <c r="B243" s="1" t="n">
        <v>45785.4253125</v>
      </c>
      <c r="C243" s="1" t="n">
        <v>46169</v>
      </c>
      <c r="D243" t="inlineStr">
        <is>
          <t>ÖREBRO LÄN</t>
        </is>
      </c>
      <c r="E243" t="inlineStr">
        <is>
          <t>LINDESBERG</t>
        </is>
      </c>
      <c r="G243" t="n">
        <v>2.4</v>
      </c>
      <c r="H243" t="n">
        <v>0</v>
      </c>
      <c r="I243" t="n">
        <v>0</v>
      </c>
      <c r="J243" t="n">
        <v>0</v>
      </c>
      <c r="K243" t="n">
        <v>0</v>
      </c>
      <c r="L243" t="n">
        <v>0</v>
      </c>
      <c r="M243" t="n">
        <v>0</v>
      </c>
      <c r="N243" t="n">
        <v>0</v>
      </c>
      <c r="O243" t="n">
        <v>0</v>
      </c>
      <c r="P243" t="n">
        <v>0</v>
      </c>
      <c r="Q243" t="n">
        <v>0</v>
      </c>
      <c r="R243" s="2" t="inlineStr"/>
    </row>
    <row r="244" ht="15" customHeight="1">
      <c r="A244" t="inlineStr">
        <is>
          <t>A 43247-2023</t>
        </is>
      </c>
      <c r="B244" s="1" t="n">
        <v>45183.48666666666</v>
      </c>
      <c r="C244" s="1" t="n">
        <v>46169</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53355-2023</t>
        </is>
      </c>
      <c r="B245" s="1" t="n">
        <v>45229.66430555555</v>
      </c>
      <c r="C245" s="1" t="n">
        <v>46169</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62308-2023</t>
        </is>
      </c>
      <c r="B246" s="1" t="n">
        <v>45267.69052083333</v>
      </c>
      <c r="C246" s="1" t="n">
        <v>46169</v>
      </c>
      <c r="D246" t="inlineStr">
        <is>
          <t>ÖREBRO LÄN</t>
        </is>
      </c>
      <c r="E246" t="inlineStr">
        <is>
          <t>LINDESBERG</t>
        </is>
      </c>
      <c r="F246" t="inlineStr">
        <is>
          <t>Naturvårdsverket</t>
        </is>
      </c>
      <c r="G246" t="n">
        <v>3.1</v>
      </c>
      <c r="H246" t="n">
        <v>0</v>
      </c>
      <c r="I246" t="n">
        <v>0</v>
      </c>
      <c r="J246" t="n">
        <v>0</v>
      </c>
      <c r="K246" t="n">
        <v>0</v>
      </c>
      <c r="L246" t="n">
        <v>0</v>
      </c>
      <c r="M246" t="n">
        <v>0</v>
      </c>
      <c r="N246" t="n">
        <v>0</v>
      </c>
      <c r="O246" t="n">
        <v>0</v>
      </c>
      <c r="P246" t="n">
        <v>0</v>
      </c>
      <c r="Q246" t="n">
        <v>0</v>
      </c>
      <c r="R246" s="2" t="inlineStr"/>
    </row>
    <row r="247" ht="15" customHeight="1">
      <c r="A247" t="inlineStr">
        <is>
          <t>A 37507-2023</t>
        </is>
      </c>
      <c r="B247" s="1" t="n">
        <v>45158.41768518519</v>
      </c>
      <c r="C247" s="1" t="n">
        <v>46169</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36680-2024</t>
        </is>
      </c>
      <c r="B248" s="1" t="n">
        <v>45537.65305555556</v>
      </c>
      <c r="C248" s="1" t="n">
        <v>46169</v>
      </c>
      <c r="D248" t="inlineStr">
        <is>
          <t>ÖREBRO LÄN</t>
        </is>
      </c>
      <c r="E248" t="inlineStr">
        <is>
          <t>LINDESBERG</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22543-2025</t>
        </is>
      </c>
      <c r="B249" s="1" t="n">
        <v>45788.42467592593</v>
      </c>
      <c r="C249" s="1" t="n">
        <v>46169</v>
      </c>
      <c r="D249" t="inlineStr">
        <is>
          <t>ÖREBRO LÄN</t>
        </is>
      </c>
      <c r="E249" t="inlineStr">
        <is>
          <t>LINDESBERG</t>
        </is>
      </c>
      <c r="G249" t="n">
        <v>6.7</v>
      </c>
      <c r="H249" t="n">
        <v>0</v>
      </c>
      <c r="I249" t="n">
        <v>0</v>
      </c>
      <c r="J249" t="n">
        <v>0</v>
      </c>
      <c r="K249" t="n">
        <v>0</v>
      </c>
      <c r="L249" t="n">
        <v>0</v>
      </c>
      <c r="M249" t="n">
        <v>0</v>
      </c>
      <c r="N249" t="n">
        <v>0</v>
      </c>
      <c r="O249" t="n">
        <v>0</v>
      </c>
      <c r="P249" t="n">
        <v>0</v>
      </c>
      <c r="Q249" t="n">
        <v>0</v>
      </c>
      <c r="R249" s="2" t="inlineStr"/>
    </row>
    <row r="250" ht="15" customHeight="1">
      <c r="A250" t="inlineStr">
        <is>
          <t>A 51172-2025</t>
        </is>
      </c>
      <c r="B250" s="1" t="n">
        <v>45947.60508101852</v>
      </c>
      <c r="C250" s="1" t="n">
        <v>46169</v>
      </c>
      <c r="D250" t="inlineStr">
        <is>
          <t>ÖREBRO LÄN</t>
        </is>
      </c>
      <c r="E250" t="inlineStr">
        <is>
          <t>LINDESBERG</t>
        </is>
      </c>
      <c r="F250" t="inlineStr">
        <is>
          <t>Kyrkan</t>
        </is>
      </c>
      <c r="G250" t="n">
        <v>0.9</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46169</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50933-2025</t>
        </is>
      </c>
      <c r="B252" s="1" t="n">
        <v>45946.68859953704</v>
      </c>
      <c r="C252" s="1" t="n">
        <v>46169</v>
      </c>
      <c r="D252" t="inlineStr">
        <is>
          <t>ÖREBRO LÄN</t>
        </is>
      </c>
      <c r="E252" t="inlineStr">
        <is>
          <t>LINDESBERG</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28776-2023</t>
        </is>
      </c>
      <c r="B253" s="1" t="n">
        <v>45104.34107638889</v>
      </c>
      <c r="C253" s="1" t="n">
        <v>46169</v>
      </c>
      <c r="D253" t="inlineStr">
        <is>
          <t>ÖREBRO LÄN</t>
        </is>
      </c>
      <c r="E253" t="inlineStr">
        <is>
          <t>LINDESBERG</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53189-2023</t>
        </is>
      </c>
      <c r="B254" s="1" t="n">
        <v>45194</v>
      </c>
      <c r="C254" s="1" t="n">
        <v>46169</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50765-2025</t>
        </is>
      </c>
      <c r="B255" s="1" t="n">
        <v>45946.44216435185</v>
      </c>
      <c r="C255" s="1" t="n">
        <v>46169</v>
      </c>
      <c r="D255" t="inlineStr">
        <is>
          <t>ÖREBRO LÄN</t>
        </is>
      </c>
      <c r="E255" t="inlineStr">
        <is>
          <t>LINDESBERG</t>
        </is>
      </c>
      <c r="F255" t="inlineStr">
        <is>
          <t>Sveaskog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51030-2025</t>
        </is>
      </c>
      <c r="B256" s="1" t="n">
        <v>45947.40105324074</v>
      </c>
      <c r="C256" s="1" t="n">
        <v>46169</v>
      </c>
      <c r="D256" t="inlineStr">
        <is>
          <t>ÖREBRO LÄN</t>
        </is>
      </c>
      <c r="E256" t="inlineStr">
        <is>
          <t>LINDESBERG</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46169</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46169</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45068-2024</t>
        </is>
      </c>
      <c r="B259" s="1" t="n">
        <v>45575.56256944445</v>
      </c>
      <c r="C259" s="1" t="n">
        <v>46169</v>
      </c>
      <c r="D259" t="inlineStr">
        <is>
          <t>ÖREBRO LÄN</t>
        </is>
      </c>
      <c r="E259" t="inlineStr">
        <is>
          <t>LINDESBERG</t>
        </is>
      </c>
      <c r="F259" t="inlineStr">
        <is>
          <t>Sveaskog</t>
        </is>
      </c>
      <c r="G259" t="n">
        <v>16.5</v>
      </c>
      <c r="H259" t="n">
        <v>0</v>
      </c>
      <c r="I259" t="n">
        <v>0</v>
      </c>
      <c r="J259" t="n">
        <v>0</v>
      </c>
      <c r="K259" t="n">
        <v>0</v>
      </c>
      <c r="L259" t="n">
        <v>0</v>
      </c>
      <c r="M259" t="n">
        <v>0</v>
      </c>
      <c r="N259" t="n">
        <v>0</v>
      </c>
      <c r="O259" t="n">
        <v>0</v>
      </c>
      <c r="P259" t="n">
        <v>0</v>
      </c>
      <c r="Q259" t="n">
        <v>0</v>
      </c>
      <c r="R259" s="2" t="inlineStr"/>
    </row>
    <row r="260" ht="15" customHeight="1">
      <c r="A260" t="inlineStr">
        <is>
          <t>A 29938-2024</t>
        </is>
      </c>
      <c r="B260" s="1" t="n">
        <v>45488.41480324074</v>
      </c>
      <c r="C260" s="1" t="n">
        <v>46169</v>
      </c>
      <c r="D260" t="inlineStr">
        <is>
          <t>ÖREBRO LÄN</t>
        </is>
      </c>
      <c r="E260" t="inlineStr">
        <is>
          <t>LINDESBERG</t>
        </is>
      </c>
      <c r="G260" t="n">
        <v>4</v>
      </c>
      <c r="H260" t="n">
        <v>0</v>
      </c>
      <c r="I260" t="n">
        <v>0</v>
      </c>
      <c r="J260" t="n">
        <v>0</v>
      </c>
      <c r="K260" t="n">
        <v>0</v>
      </c>
      <c r="L260" t="n">
        <v>0</v>
      </c>
      <c r="M260" t="n">
        <v>0</v>
      </c>
      <c r="N260" t="n">
        <v>0</v>
      </c>
      <c r="O260" t="n">
        <v>0</v>
      </c>
      <c r="P260" t="n">
        <v>0</v>
      </c>
      <c r="Q260" t="n">
        <v>0</v>
      </c>
      <c r="R260" s="2" t="inlineStr"/>
    </row>
    <row r="261" ht="15" customHeight="1">
      <c r="A261" t="inlineStr">
        <is>
          <t>A 50936-2025</t>
        </is>
      </c>
      <c r="B261" s="1" t="n">
        <v>45946.69616898148</v>
      </c>
      <c r="C261" s="1" t="n">
        <v>46169</v>
      </c>
      <c r="D261" t="inlineStr">
        <is>
          <t>ÖREBRO LÄN</t>
        </is>
      </c>
      <c r="E261" t="inlineStr">
        <is>
          <t>LINDESBERG</t>
        </is>
      </c>
      <c r="G261" t="n">
        <v>2.9</v>
      </c>
      <c r="H261" t="n">
        <v>0</v>
      </c>
      <c r="I261" t="n">
        <v>0</v>
      </c>
      <c r="J261" t="n">
        <v>0</v>
      </c>
      <c r="K261" t="n">
        <v>0</v>
      </c>
      <c r="L261" t="n">
        <v>0</v>
      </c>
      <c r="M261" t="n">
        <v>0</v>
      </c>
      <c r="N261" t="n">
        <v>0</v>
      </c>
      <c r="O261" t="n">
        <v>0</v>
      </c>
      <c r="P261" t="n">
        <v>0</v>
      </c>
      <c r="Q261" t="n">
        <v>0</v>
      </c>
      <c r="R261" s="2" t="inlineStr"/>
    </row>
    <row r="262" ht="15" customHeight="1">
      <c r="A262" t="inlineStr">
        <is>
          <t>A 22438-2025</t>
        </is>
      </c>
      <c r="B262" s="1" t="n">
        <v>45786</v>
      </c>
      <c r="C262" s="1" t="n">
        <v>46169</v>
      </c>
      <c r="D262" t="inlineStr">
        <is>
          <t>ÖREBRO LÄN</t>
        </is>
      </c>
      <c r="E262" t="inlineStr">
        <is>
          <t>LINDESBERG</t>
        </is>
      </c>
      <c r="F262" t="inlineStr">
        <is>
          <t>Sveaskog</t>
        </is>
      </c>
      <c r="G262" t="n">
        <v>6.1</v>
      </c>
      <c r="H262" t="n">
        <v>0</v>
      </c>
      <c r="I262" t="n">
        <v>0</v>
      </c>
      <c r="J262" t="n">
        <v>0</v>
      </c>
      <c r="K262" t="n">
        <v>0</v>
      </c>
      <c r="L262" t="n">
        <v>0</v>
      </c>
      <c r="M262" t="n">
        <v>0</v>
      </c>
      <c r="N262" t="n">
        <v>0</v>
      </c>
      <c r="O262" t="n">
        <v>0</v>
      </c>
      <c r="P262" t="n">
        <v>0</v>
      </c>
      <c r="Q262" t="n">
        <v>0</v>
      </c>
      <c r="R262" s="2" t="inlineStr"/>
    </row>
    <row r="263" ht="15" customHeight="1">
      <c r="A263" t="inlineStr">
        <is>
          <t>A 47535-2022</t>
        </is>
      </c>
      <c r="B263" s="1" t="n">
        <v>44853.79818287037</v>
      </c>
      <c r="C263" s="1" t="n">
        <v>46169</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43433-2024</t>
        </is>
      </c>
      <c r="B264" s="1" t="n">
        <v>45568.64523148148</v>
      </c>
      <c r="C264" s="1" t="n">
        <v>46169</v>
      </c>
      <c r="D264" t="inlineStr">
        <is>
          <t>ÖREBRO LÄN</t>
        </is>
      </c>
      <c r="E264" t="inlineStr">
        <is>
          <t>LINDESBERG</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59641-2024</t>
        </is>
      </c>
      <c r="B265" s="1" t="n">
        <v>45639.30934027778</v>
      </c>
      <c r="C265" s="1" t="n">
        <v>46169</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23245-2025</t>
        </is>
      </c>
      <c r="B266" s="1" t="n">
        <v>45791.50862268519</v>
      </c>
      <c r="C266" s="1" t="n">
        <v>46169</v>
      </c>
      <c r="D266" t="inlineStr">
        <is>
          <t>ÖREBRO LÄN</t>
        </is>
      </c>
      <c r="E266" t="inlineStr">
        <is>
          <t>LINDESBERG</t>
        </is>
      </c>
      <c r="G266" t="n">
        <v>6.8</v>
      </c>
      <c r="H266" t="n">
        <v>0</v>
      </c>
      <c r="I266" t="n">
        <v>0</v>
      </c>
      <c r="J266" t="n">
        <v>0</v>
      </c>
      <c r="K266" t="n">
        <v>0</v>
      </c>
      <c r="L266" t="n">
        <v>0</v>
      </c>
      <c r="M266" t="n">
        <v>0</v>
      </c>
      <c r="N266" t="n">
        <v>0</v>
      </c>
      <c r="O266" t="n">
        <v>0</v>
      </c>
      <c r="P266" t="n">
        <v>0</v>
      </c>
      <c r="Q266" t="n">
        <v>0</v>
      </c>
      <c r="R266" s="2" t="inlineStr"/>
    </row>
    <row r="267" ht="15" customHeight="1">
      <c r="A267" t="inlineStr">
        <is>
          <t>A 42707-2023</t>
        </is>
      </c>
      <c r="B267" s="1" t="n">
        <v>45181</v>
      </c>
      <c r="C267" s="1" t="n">
        <v>46169</v>
      </c>
      <c r="D267" t="inlineStr">
        <is>
          <t>ÖREBRO LÄN</t>
        </is>
      </c>
      <c r="E267" t="inlineStr">
        <is>
          <t>LINDESBERG</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17779-2024</t>
        </is>
      </c>
      <c r="B268" s="1" t="n">
        <v>45418.66800925926</v>
      </c>
      <c r="C268" s="1" t="n">
        <v>46169</v>
      </c>
      <c r="D268" t="inlineStr">
        <is>
          <t>ÖREBRO LÄN</t>
        </is>
      </c>
      <c r="E268" t="inlineStr">
        <is>
          <t>LINDESBERG</t>
        </is>
      </c>
      <c r="G268" t="n">
        <v>3.7</v>
      </c>
      <c r="H268" t="n">
        <v>0</v>
      </c>
      <c r="I268" t="n">
        <v>0</v>
      </c>
      <c r="J268" t="n">
        <v>0</v>
      </c>
      <c r="K268" t="n">
        <v>0</v>
      </c>
      <c r="L268" t="n">
        <v>0</v>
      </c>
      <c r="M268" t="n">
        <v>0</v>
      </c>
      <c r="N268" t="n">
        <v>0</v>
      </c>
      <c r="O268" t="n">
        <v>0</v>
      </c>
      <c r="P268" t="n">
        <v>0</v>
      </c>
      <c r="Q268" t="n">
        <v>0</v>
      </c>
      <c r="R268" s="2" t="inlineStr"/>
    </row>
    <row r="269" ht="15" customHeight="1">
      <c r="A269" t="inlineStr">
        <is>
          <t>A 23102-2023</t>
        </is>
      </c>
      <c r="B269" s="1" t="n">
        <v>45075.44152777778</v>
      </c>
      <c r="C269" s="1" t="n">
        <v>46169</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2414-2024</t>
        </is>
      </c>
      <c r="B270" s="1" t="n">
        <v>45310.87931712963</v>
      </c>
      <c r="C270" s="1" t="n">
        <v>46169</v>
      </c>
      <c r="D270" t="inlineStr">
        <is>
          <t>ÖREBRO LÄN</t>
        </is>
      </c>
      <c r="E270" t="inlineStr">
        <is>
          <t>LINDESBERG</t>
        </is>
      </c>
      <c r="G270" t="n">
        <v>7.2</v>
      </c>
      <c r="H270" t="n">
        <v>0</v>
      </c>
      <c r="I270" t="n">
        <v>0</v>
      </c>
      <c r="J270" t="n">
        <v>0</v>
      </c>
      <c r="K270" t="n">
        <v>0</v>
      </c>
      <c r="L270" t="n">
        <v>0</v>
      </c>
      <c r="M270" t="n">
        <v>0</v>
      </c>
      <c r="N270" t="n">
        <v>0</v>
      </c>
      <c r="O270" t="n">
        <v>0</v>
      </c>
      <c r="P270" t="n">
        <v>0</v>
      </c>
      <c r="Q270" t="n">
        <v>0</v>
      </c>
      <c r="R270" s="2" t="inlineStr"/>
    </row>
    <row r="271" ht="15" customHeight="1">
      <c r="A271" t="inlineStr">
        <is>
          <t>A 54793-2024</t>
        </is>
      </c>
      <c r="B271" s="1" t="n">
        <v>45618</v>
      </c>
      <c r="C271" s="1" t="n">
        <v>46169</v>
      </c>
      <c r="D271" t="inlineStr">
        <is>
          <t>ÖREBRO LÄN</t>
        </is>
      </c>
      <c r="E271" t="inlineStr">
        <is>
          <t>LINDESBERG</t>
        </is>
      </c>
      <c r="G271" t="n">
        <v>3</v>
      </c>
      <c r="H271" t="n">
        <v>0</v>
      </c>
      <c r="I271" t="n">
        <v>0</v>
      </c>
      <c r="J271" t="n">
        <v>0</v>
      </c>
      <c r="K271" t="n">
        <v>0</v>
      </c>
      <c r="L271" t="n">
        <v>0</v>
      </c>
      <c r="M271" t="n">
        <v>0</v>
      </c>
      <c r="N271" t="n">
        <v>0</v>
      </c>
      <c r="O271" t="n">
        <v>0</v>
      </c>
      <c r="P271" t="n">
        <v>0</v>
      </c>
      <c r="Q271" t="n">
        <v>0</v>
      </c>
      <c r="R271" s="2" t="inlineStr"/>
    </row>
    <row r="272" ht="15" customHeight="1">
      <c r="A272" t="inlineStr">
        <is>
          <t>A 1490-2024</t>
        </is>
      </c>
      <c r="B272" s="1" t="n">
        <v>45305</v>
      </c>
      <c r="C272" s="1" t="n">
        <v>46169</v>
      </c>
      <c r="D272" t="inlineStr">
        <is>
          <t>ÖREBRO LÄN</t>
        </is>
      </c>
      <c r="E272" t="inlineStr">
        <is>
          <t>LINDESBERG</t>
        </is>
      </c>
      <c r="G272" t="n">
        <v>17.6</v>
      </c>
      <c r="H272" t="n">
        <v>0</v>
      </c>
      <c r="I272" t="n">
        <v>0</v>
      </c>
      <c r="J272" t="n">
        <v>0</v>
      </c>
      <c r="K272" t="n">
        <v>0</v>
      </c>
      <c r="L272" t="n">
        <v>0</v>
      </c>
      <c r="M272" t="n">
        <v>0</v>
      </c>
      <c r="N272" t="n">
        <v>0</v>
      </c>
      <c r="O272" t="n">
        <v>0</v>
      </c>
      <c r="P272" t="n">
        <v>0</v>
      </c>
      <c r="Q272" t="n">
        <v>0</v>
      </c>
      <c r="R272" s="2" t="inlineStr"/>
    </row>
    <row r="273" ht="15" customHeight="1">
      <c r="A273" t="inlineStr">
        <is>
          <t>A 1400-2025</t>
        </is>
      </c>
      <c r="B273" s="1" t="n">
        <v>45667</v>
      </c>
      <c r="C273" s="1" t="n">
        <v>46169</v>
      </c>
      <c r="D273" t="inlineStr">
        <is>
          <t>ÖREBRO LÄN</t>
        </is>
      </c>
      <c r="E273" t="inlineStr">
        <is>
          <t>LINDESBERG</t>
        </is>
      </c>
      <c r="F273" t="inlineStr">
        <is>
          <t>Allmännings- och besparingsskogar</t>
        </is>
      </c>
      <c r="G273" t="n">
        <v>11.3</v>
      </c>
      <c r="H273" t="n">
        <v>0</v>
      </c>
      <c r="I273" t="n">
        <v>0</v>
      </c>
      <c r="J273" t="n">
        <v>0</v>
      </c>
      <c r="K273" t="n">
        <v>0</v>
      </c>
      <c r="L273" t="n">
        <v>0</v>
      </c>
      <c r="M273" t="n">
        <v>0</v>
      </c>
      <c r="N273" t="n">
        <v>0</v>
      </c>
      <c r="O273" t="n">
        <v>0</v>
      </c>
      <c r="P273" t="n">
        <v>0</v>
      </c>
      <c r="Q273" t="n">
        <v>0</v>
      </c>
      <c r="R273" s="2" t="inlineStr"/>
    </row>
    <row r="274" ht="15" customHeight="1">
      <c r="A274" t="inlineStr">
        <is>
          <t>A 27434-2023</t>
        </is>
      </c>
      <c r="B274" s="1" t="n">
        <v>45097.38688657407</v>
      </c>
      <c r="C274" s="1" t="n">
        <v>46169</v>
      </c>
      <c r="D274" t="inlineStr">
        <is>
          <t>ÖREBRO LÄN</t>
        </is>
      </c>
      <c r="E274" t="inlineStr">
        <is>
          <t>LINDESBERG</t>
        </is>
      </c>
      <c r="G274" t="n">
        <v>10.7</v>
      </c>
      <c r="H274" t="n">
        <v>0</v>
      </c>
      <c r="I274" t="n">
        <v>0</v>
      </c>
      <c r="J274" t="n">
        <v>0</v>
      </c>
      <c r="K274" t="n">
        <v>0</v>
      </c>
      <c r="L274" t="n">
        <v>0</v>
      </c>
      <c r="M274" t="n">
        <v>0</v>
      </c>
      <c r="N274" t="n">
        <v>0</v>
      </c>
      <c r="O274" t="n">
        <v>0</v>
      </c>
      <c r="P274" t="n">
        <v>0</v>
      </c>
      <c r="Q274" t="n">
        <v>0</v>
      </c>
      <c r="R274" s="2" t="inlineStr"/>
    </row>
    <row r="275" ht="15" customHeight="1">
      <c r="A275" t="inlineStr">
        <is>
          <t>A 21202-2024</t>
        </is>
      </c>
      <c r="B275" s="1" t="n">
        <v>45440.5433912037</v>
      </c>
      <c r="C275" s="1" t="n">
        <v>46169</v>
      </c>
      <c r="D275" t="inlineStr">
        <is>
          <t>ÖREBRO LÄN</t>
        </is>
      </c>
      <c r="E275" t="inlineStr">
        <is>
          <t>LINDESBERG</t>
        </is>
      </c>
      <c r="G275" t="n">
        <v>4</v>
      </c>
      <c r="H275" t="n">
        <v>0</v>
      </c>
      <c r="I275" t="n">
        <v>0</v>
      </c>
      <c r="J275" t="n">
        <v>0</v>
      </c>
      <c r="K275" t="n">
        <v>0</v>
      </c>
      <c r="L275" t="n">
        <v>0</v>
      </c>
      <c r="M275" t="n">
        <v>0</v>
      </c>
      <c r="N275" t="n">
        <v>0</v>
      </c>
      <c r="O275" t="n">
        <v>0</v>
      </c>
      <c r="P275" t="n">
        <v>0</v>
      </c>
      <c r="Q275" t="n">
        <v>0</v>
      </c>
      <c r="R275" s="2" t="inlineStr"/>
    </row>
    <row r="276" ht="15" customHeight="1">
      <c r="A276" t="inlineStr">
        <is>
          <t>A 38861-2025</t>
        </is>
      </c>
      <c r="B276" s="1" t="n">
        <v>45887.56101851852</v>
      </c>
      <c r="C276" s="1" t="n">
        <v>46169</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7201-2024</t>
        </is>
      </c>
      <c r="B277" s="1" t="n">
        <v>45344.6027662037</v>
      </c>
      <c r="C277" s="1" t="n">
        <v>46169</v>
      </c>
      <c r="D277" t="inlineStr">
        <is>
          <t>ÖREBRO LÄN</t>
        </is>
      </c>
      <c r="E277" t="inlineStr">
        <is>
          <t>LINDESBERG</t>
        </is>
      </c>
      <c r="G277" t="n">
        <v>4.7</v>
      </c>
      <c r="H277" t="n">
        <v>0</v>
      </c>
      <c r="I277" t="n">
        <v>0</v>
      </c>
      <c r="J277" t="n">
        <v>0</v>
      </c>
      <c r="K277" t="n">
        <v>0</v>
      </c>
      <c r="L277" t="n">
        <v>0</v>
      </c>
      <c r="M277" t="n">
        <v>0</v>
      </c>
      <c r="N277" t="n">
        <v>0</v>
      </c>
      <c r="O277" t="n">
        <v>0</v>
      </c>
      <c r="P277" t="n">
        <v>0</v>
      </c>
      <c r="Q277" t="n">
        <v>0</v>
      </c>
      <c r="R277" s="2" t="inlineStr"/>
    </row>
    <row r="278" ht="15" customHeight="1">
      <c r="A278" t="inlineStr">
        <is>
          <t>A 5080-2024</t>
        </is>
      </c>
      <c r="B278" s="1" t="n">
        <v>45330</v>
      </c>
      <c r="C278" s="1" t="n">
        <v>46169</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4440-2024</t>
        </is>
      </c>
      <c r="B279" s="1" t="n">
        <v>45327</v>
      </c>
      <c r="C279" s="1" t="n">
        <v>46169</v>
      </c>
      <c r="D279" t="inlineStr">
        <is>
          <t>ÖREBRO LÄN</t>
        </is>
      </c>
      <c r="E279" t="inlineStr">
        <is>
          <t>LINDESBERG</t>
        </is>
      </c>
      <c r="F279" t="inlineStr">
        <is>
          <t>BillerudKorsnäs AB</t>
        </is>
      </c>
      <c r="G279" t="n">
        <v>2</v>
      </c>
      <c r="H279" t="n">
        <v>0</v>
      </c>
      <c r="I279" t="n">
        <v>0</v>
      </c>
      <c r="J279" t="n">
        <v>0</v>
      </c>
      <c r="K279" t="n">
        <v>0</v>
      </c>
      <c r="L279" t="n">
        <v>0</v>
      </c>
      <c r="M279" t="n">
        <v>0</v>
      </c>
      <c r="N279" t="n">
        <v>0</v>
      </c>
      <c r="O279" t="n">
        <v>0</v>
      </c>
      <c r="P279" t="n">
        <v>0</v>
      </c>
      <c r="Q279" t="n">
        <v>0</v>
      </c>
      <c r="R279" s="2" t="inlineStr"/>
    </row>
    <row r="280" ht="15" customHeight="1">
      <c r="A280" t="inlineStr">
        <is>
          <t>A 39429-2025</t>
        </is>
      </c>
      <c r="B280" s="1" t="n">
        <v>45889.67577546297</v>
      </c>
      <c r="C280" s="1" t="n">
        <v>46169</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15899-2025</t>
        </is>
      </c>
      <c r="B281" s="1" t="n">
        <v>45749.42258101852</v>
      </c>
      <c r="C281" s="1" t="n">
        <v>46169</v>
      </c>
      <c r="D281" t="inlineStr">
        <is>
          <t>ÖREBRO LÄN</t>
        </is>
      </c>
      <c r="E281" t="inlineStr">
        <is>
          <t>LINDESBERG</t>
        </is>
      </c>
      <c r="G281" t="n">
        <v>6.6</v>
      </c>
      <c r="H281" t="n">
        <v>0</v>
      </c>
      <c r="I281" t="n">
        <v>0</v>
      </c>
      <c r="J281" t="n">
        <v>0</v>
      </c>
      <c r="K281" t="n">
        <v>0</v>
      </c>
      <c r="L281" t="n">
        <v>0</v>
      </c>
      <c r="M281" t="n">
        <v>0</v>
      </c>
      <c r="N281" t="n">
        <v>0</v>
      </c>
      <c r="O281" t="n">
        <v>0</v>
      </c>
      <c r="P281" t="n">
        <v>0</v>
      </c>
      <c r="Q281" t="n">
        <v>0</v>
      </c>
      <c r="R281" s="2" t="inlineStr"/>
    </row>
    <row r="282" ht="15" customHeight="1">
      <c r="A282" t="inlineStr">
        <is>
          <t>A 23835-2025</t>
        </is>
      </c>
      <c r="B282" s="1" t="n">
        <v>45793.61047453704</v>
      </c>
      <c r="C282" s="1" t="n">
        <v>46169</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52102-2025</t>
        </is>
      </c>
      <c r="B283" s="1" t="n">
        <v>45952.68358796297</v>
      </c>
      <c r="C283" s="1" t="n">
        <v>46169</v>
      </c>
      <c r="D283" t="inlineStr">
        <is>
          <t>ÖREBRO LÄN</t>
        </is>
      </c>
      <c r="E283" t="inlineStr">
        <is>
          <t>LINDESBERG</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52117-2025</t>
        </is>
      </c>
      <c r="B284" s="1" t="n">
        <v>45952.70765046297</v>
      </c>
      <c r="C284" s="1" t="n">
        <v>46169</v>
      </c>
      <c r="D284" t="inlineStr">
        <is>
          <t>ÖREBRO LÄN</t>
        </is>
      </c>
      <c r="E284" t="inlineStr">
        <is>
          <t>LINDESBERG</t>
        </is>
      </c>
      <c r="G284" t="n">
        <v>4.6</v>
      </c>
      <c r="H284" t="n">
        <v>0</v>
      </c>
      <c r="I284" t="n">
        <v>0</v>
      </c>
      <c r="J284" t="n">
        <v>0</v>
      </c>
      <c r="K284" t="n">
        <v>0</v>
      </c>
      <c r="L284" t="n">
        <v>0</v>
      </c>
      <c r="M284" t="n">
        <v>0</v>
      </c>
      <c r="N284" t="n">
        <v>0</v>
      </c>
      <c r="O284" t="n">
        <v>0</v>
      </c>
      <c r="P284" t="n">
        <v>0</v>
      </c>
      <c r="Q284" t="n">
        <v>0</v>
      </c>
      <c r="R284" s="2" t="inlineStr"/>
    </row>
    <row r="285" ht="15" customHeight="1">
      <c r="A285" t="inlineStr">
        <is>
          <t>A 52284-2024</t>
        </is>
      </c>
      <c r="B285" s="1" t="n">
        <v>45608</v>
      </c>
      <c r="C285" s="1" t="n">
        <v>46169</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15895-2025</t>
        </is>
      </c>
      <c r="B286" s="1" t="n">
        <v>45749</v>
      </c>
      <c r="C286" s="1" t="n">
        <v>46169</v>
      </c>
      <c r="D286" t="inlineStr">
        <is>
          <t>ÖREBRO LÄN</t>
        </is>
      </c>
      <c r="E286" t="inlineStr">
        <is>
          <t>LINDESBERG</t>
        </is>
      </c>
      <c r="G286" t="n">
        <v>1</v>
      </c>
      <c r="H286" t="n">
        <v>0</v>
      </c>
      <c r="I286" t="n">
        <v>0</v>
      </c>
      <c r="J286" t="n">
        <v>0</v>
      </c>
      <c r="K286" t="n">
        <v>0</v>
      </c>
      <c r="L286" t="n">
        <v>0</v>
      </c>
      <c r="M286" t="n">
        <v>0</v>
      </c>
      <c r="N286" t="n">
        <v>0</v>
      </c>
      <c r="O286" t="n">
        <v>0</v>
      </c>
      <c r="P286" t="n">
        <v>0</v>
      </c>
      <c r="Q286" t="n">
        <v>0</v>
      </c>
      <c r="R286" s="2" t="inlineStr"/>
    </row>
    <row r="287" ht="15" customHeight="1">
      <c r="A287" t="inlineStr">
        <is>
          <t>A 52098-2025</t>
        </is>
      </c>
      <c r="B287" s="1" t="n">
        <v>45952.68001157408</v>
      </c>
      <c r="C287" s="1" t="n">
        <v>46169</v>
      </c>
      <c r="D287" t="inlineStr">
        <is>
          <t>ÖREBRO LÄN</t>
        </is>
      </c>
      <c r="E287" t="inlineStr">
        <is>
          <t>LINDESBERG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52103-2025</t>
        </is>
      </c>
      <c r="B288" s="1" t="n">
        <v>45952.68439814815</v>
      </c>
      <c r="C288" s="1" t="n">
        <v>46169</v>
      </c>
      <c r="D288" t="inlineStr">
        <is>
          <t>ÖREBRO LÄN</t>
        </is>
      </c>
      <c r="E288" t="inlineStr">
        <is>
          <t>LINDESBERG</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23844-2025</t>
        </is>
      </c>
      <c r="B289" s="1" t="n">
        <v>45793.62422453704</v>
      </c>
      <c r="C289" s="1" t="n">
        <v>46169</v>
      </c>
      <c r="D289" t="inlineStr">
        <is>
          <t>ÖREBRO LÄN</t>
        </is>
      </c>
      <c r="E289" t="inlineStr">
        <is>
          <t>LINDESBERG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24186-2024</t>
        </is>
      </c>
      <c r="B290" s="1" t="n">
        <v>45456.90869212963</v>
      </c>
      <c r="C290" s="1" t="n">
        <v>46169</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39421-2025</t>
        </is>
      </c>
      <c r="B291" s="1" t="n">
        <v>45889.66935185185</v>
      </c>
      <c r="C291" s="1" t="n">
        <v>46169</v>
      </c>
      <c r="D291" t="inlineStr">
        <is>
          <t>ÖREBRO LÄN</t>
        </is>
      </c>
      <c r="E291" t="inlineStr">
        <is>
          <t>LINDESBERG</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23933-2025</t>
        </is>
      </c>
      <c r="B292" s="1" t="n">
        <v>45795.71300925926</v>
      </c>
      <c r="C292" s="1" t="n">
        <v>46169</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56561-2023</t>
        </is>
      </c>
      <c r="B293" s="1" t="n">
        <v>45243</v>
      </c>
      <c r="C293" s="1" t="n">
        <v>46169</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39424-2025</t>
        </is>
      </c>
      <c r="B294" s="1" t="n">
        <v>45889.67290509259</v>
      </c>
      <c r="C294" s="1" t="n">
        <v>46169</v>
      </c>
      <c r="D294" t="inlineStr">
        <is>
          <t>ÖREBRO LÄN</t>
        </is>
      </c>
      <c r="E294" t="inlineStr">
        <is>
          <t>LINDESBERG</t>
        </is>
      </c>
      <c r="F294" t="inlineStr">
        <is>
          <t>Sveaskog</t>
        </is>
      </c>
      <c r="G294" t="n">
        <v>1.4</v>
      </c>
      <c r="H294" t="n">
        <v>0</v>
      </c>
      <c r="I294" t="n">
        <v>0</v>
      </c>
      <c r="J294" t="n">
        <v>0</v>
      </c>
      <c r="K294" t="n">
        <v>0</v>
      </c>
      <c r="L294" t="n">
        <v>0</v>
      </c>
      <c r="M294" t="n">
        <v>0</v>
      </c>
      <c r="N294" t="n">
        <v>0</v>
      </c>
      <c r="O294" t="n">
        <v>0</v>
      </c>
      <c r="P294" t="n">
        <v>0</v>
      </c>
      <c r="Q294" t="n">
        <v>0</v>
      </c>
      <c r="R294" s="2" t="inlineStr"/>
    </row>
    <row r="295" ht="15" customHeight="1">
      <c r="A295" t="inlineStr">
        <is>
          <t>A 52930-2024</t>
        </is>
      </c>
      <c r="B295" s="1" t="n">
        <v>45610.7466087963</v>
      </c>
      <c r="C295" s="1" t="n">
        <v>46169</v>
      </c>
      <c r="D295" t="inlineStr">
        <is>
          <t>ÖREBRO LÄN</t>
        </is>
      </c>
      <c r="E295" t="inlineStr">
        <is>
          <t>LINDESBERG</t>
        </is>
      </c>
      <c r="G295" t="n">
        <v>2.8</v>
      </c>
      <c r="H295" t="n">
        <v>0</v>
      </c>
      <c r="I295" t="n">
        <v>0</v>
      </c>
      <c r="J295" t="n">
        <v>0</v>
      </c>
      <c r="K295" t="n">
        <v>0</v>
      </c>
      <c r="L295" t="n">
        <v>0</v>
      </c>
      <c r="M295" t="n">
        <v>0</v>
      </c>
      <c r="N295" t="n">
        <v>0</v>
      </c>
      <c r="O295" t="n">
        <v>0</v>
      </c>
      <c r="P295" t="n">
        <v>0</v>
      </c>
      <c r="Q295" t="n">
        <v>0</v>
      </c>
      <c r="R295" s="2" t="inlineStr"/>
    </row>
    <row r="296" ht="15" customHeight="1">
      <c r="A296" t="inlineStr">
        <is>
          <t>A 56579-2023</t>
        </is>
      </c>
      <c r="B296" s="1" t="n">
        <v>45243.62420138889</v>
      </c>
      <c r="C296" s="1" t="n">
        <v>46169</v>
      </c>
      <c r="D296" t="inlineStr">
        <is>
          <t>ÖREBRO LÄN</t>
        </is>
      </c>
      <c r="E296" t="inlineStr">
        <is>
          <t>LINDESBERG</t>
        </is>
      </c>
      <c r="F296" t="inlineStr">
        <is>
          <t>Naturvårdsverket</t>
        </is>
      </c>
      <c r="G296" t="n">
        <v>1.6</v>
      </c>
      <c r="H296" t="n">
        <v>0</v>
      </c>
      <c r="I296" t="n">
        <v>0</v>
      </c>
      <c r="J296" t="n">
        <v>0</v>
      </c>
      <c r="K296" t="n">
        <v>0</v>
      </c>
      <c r="L296" t="n">
        <v>0</v>
      </c>
      <c r="M296" t="n">
        <v>0</v>
      </c>
      <c r="N296" t="n">
        <v>0</v>
      </c>
      <c r="O296" t="n">
        <v>0</v>
      </c>
      <c r="P296" t="n">
        <v>0</v>
      </c>
      <c r="Q296" t="n">
        <v>0</v>
      </c>
      <c r="R296" s="2" t="inlineStr"/>
    </row>
    <row r="297" ht="15" customHeight="1">
      <c r="A297" t="inlineStr">
        <is>
          <t>A 56582-2023</t>
        </is>
      </c>
      <c r="B297" s="1" t="n">
        <v>45243</v>
      </c>
      <c r="C297" s="1" t="n">
        <v>46169</v>
      </c>
      <c r="D297" t="inlineStr">
        <is>
          <t>ÖREBRO LÄN</t>
        </is>
      </c>
      <c r="E297" t="inlineStr">
        <is>
          <t>LINDESBERG</t>
        </is>
      </c>
      <c r="F297" t="inlineStr">
        <is>
          <t>Naturvårdsverket</t>
        </is>
      </c>
      <c r="G297" t="n">
        <v>2.3</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46169</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23932-2025</t>
        </is>
      </c>
      <c r="B299" s="1" t="n">
        <v>45795.70912037037</v>
      </c>
      <c r="C299" s="1" t="n">
        <v>46169</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37738-2024</t>
        </is>
      </c>
      <c r="B300" s="1" t="n">
        <v>45541.66916666667</v>
      </c>
      <c r="C300" s="1" t="n">
        <v>46169</v>
      </c>
      <c r="D300" t="inlineStr">
        <is>
          <t>ÖREBRO LÄN</t>
        </is>
      </c>
      <c r="E300" t="inlineStr">
        <is>
          <t>LINDESBERG</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37125-2023</t>
        </is>
      </c>
      <c r="B301" s="1" t="n">
        <v>45155.5653125</v>
      </c>
      <c r="C301" s="1" t="n">
        <v>46169</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57944-2023</t>
        </is>
      </c>
      <c r="B302" s="1" t="n">
        <v>45244</v>
      </c>
      <c r="C302" s="1" t="n">
        <v>46169</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24017-2025</t>
        </is>
      </c>
      <c r="B303" s="1" t="n">
        <v>45796.44885416667</v>
      </c>
      <c r="C303" s="1" t="n">
        <v>46169</v>
      </c>
      <c r="D303" t="inlineStr">
        <is>
          <t>ÖREBRO LÄN</t>
        </is>
      </c>
      <c r="E303" t="inlineStr">
        <is>
          <t>LINDESBERG</t>
        </is>
      </c>
      <c r="F303" t="inlineStr">
        <is>
          <t>Sveaskog</t>
        </is>
      </c>
      <c r="G303" t="n">
        <v>3.1</v>
      </c>
      <c r="H303" t="n">
        <v>0</v>
      </c>
      <c r="I303" t="n">
        <v>0</v>
      </c>
      <c r="J303" t="n">
        <v>0</v>
      </c>
      <c r="K303" t="n">
        <v>0</v>
      </c>
      <c r="L303" t="n">
        <v>0</v>
      </c>
      <c r="M303" t="n">
        <v>0</v>
      </c>
      <c r="N303" t="n">
        <v>0</v>
      </c>
      <c r="O303" t="n">
        <v>0</v>
      </c>
      <c r="P303" t="n">
        <v>0</v>
      </c>
      <c r="Q303" t="n">
        <v>0</v>
      </c>
      <c r="R303" s="2" t="inlineStr"/>
    </row>
    <row r="304" ht="15" customHeight="1">
      <c r="A304" t="inlineStr">
        <is>
          <t>A 23897-2025</t>
        </is>
      </c>
      <c r="B304" s="1" t="n">
        <v>45794.33498842592</v>
      </c>
      <c r="C304" s="1" t="n">
        <v>46169</v>
      </c>
      <c r="D304" t="inlineStr">
        <is>
          <t>ÖREBRO LÄN</t>
        </is>
      </c>
      <c r="E304" t="inlineStr">
        <is>
          <t>LINDESBERG</t>
        </is>
      </c>
      <c r="G304" t="n">
        <v>5.6</v>
      </c>
      <c r="H304" t="n">
        <v>0</v>
      </c>
      <c r="I304" t="n">
        <v>0</v>
      </c>
      <c r="J304" t="n">
        <v>0</v>
      </c>
      <c r="K304" t="n">
        <v>0</v>
      </c>
      <c r="L304" t="n">
        <v>0</v>
      </c>
      <c r="M304" t="n">
        <v>0</v>
      </c>
      <c r="N304" t="n">
        <v>0</v>
      </c>
      <c r="O304" t="n">
        <v>0</v>
      </c>
      <c r="P304" t="n">
        <v>0</v>
      </c>
      <c r="Q304" t="n">
        <v>0</v>
      </c>
      <c r="R304" s="2" t="inlineStr"/>
    </row>
    <row r="305" ht="15" customHeight="1">
      <c r="A305" t="inlineStr">
        <is>
          <t>A 15933-2025</t>
        </is>
      </c>
      <c r="B305" s="1" t="n">
        <v>45749.47251157407</v>
      </c>
      <c r="C305" s="1" t="n">
        <v>46169</v>
      </c>
      <c r="D305" t="inlineStr">
        <is>
          <t>ÖREBRO LÄN</t>
        </is>
      </c>
      <c r="E305" t="inlineStr">
        <is>
          <t>LINDESBERG</t>
        </is>
      </c>
      <c r="G305" t="n">
        <v>6.1</v>
      </c>
      <c r="H305" t="n">
        <v>0</v>
      </c>
      <c r="I305" t="n">
        <v>0</v>
      </c>
      <c r="J305" t="n">
        <v>0</v>
      </c>
      <c r="K305" t="n">
        <v>0</v>
      </c>
      <c r="L305" t="n">
        <v>0</v>
      </c>
      <c r="M305" t="n">
        <v>0</v>
      </c>
      <c r="N305" t="n">
        <v>0</v>
      </c>
      <c r="O305" t="n">
        <v>0</v>
      </c>
      <c r="P305" t="n">
        <v>0</v>
      </c>
      <c r="Q305" t="n">
        <v>0</v>
      </c>
      <c r="R305" s="2" t="inlineStr"/>
    </row>
    <row r="306" ht="15" customHeight="1">
      <c r="A306" t="inlineStr">
        <is>
          <t>A 24107-2025</t>
        </is>
      </c>
      <c r="B306" s="1" t="n">
        <v>45796</v>
      </c>
      <c r="C306" s="1" t="n">
        <v>46169</v>
      </c>
      <c r="D306" t="inlineStr">
        <is>
          <t>ÖREBRO LÄN</t>
        </is>
      </c>
      <c r="E306" t="inlineStr">
        <is>
          <t>LINDESBERG</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23898-2025</t>
        </is>
      </c>
      <c r="B307" s="1" t="n">
        <v>45794.3419212963</v>
      </c>
      <c r="C307" s="1" t="n">
        <v>46169</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24011-2025</t>
        </is>
      </c>
      <c r="B308" s="1" t="n">
        <v>45796</v>
      </c>
      <c r="C308" s="1" t="n">
        <v>46169</v>
      </c>
      <c r="D308" t="inlineStr">
        <is>
          <t>ÖREBRO LÄN</t>
        </is>
      </c>
      <c r="E308" t="inlineStr">
        <is>
          <t>LINDESBERG</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24020-2025</t>
        </is>
      </c>
      <c r="B309" s="1" t="n">
        <v>45796.45054398148</v>
      </c>
      <c r="C309" s="1" t="n">
        <v>46169</v>
      </c>
      <c r="D309" t="inlineStr">
        <is>
          <t>ÖREBRO LÄN</t>
        </is>
      </c>
      <c r="E309" t="inlineStr">
        <is>
          <t>LINDESBERG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62968-2023</t>
        </is>
      </c>
      <c r="B310" s="1" t="n">
        <v>45272.57385416667</v>
      </c>
      <c r="C310" s="1" t="n">
        <v>46169</v>
      </c>
      <c r="D310" t="inlineStr">
        <is>
          <t>ÖREBRO LÄN</t>
        </is>
      </c>
      <c r="E310" t="inlineStr">
        <is>
          <t>LINDESBERG</t>
        </is>
      </c>
      <c r="G310" t="n">
        <v>0.6</v>
      </c>
      <c r="H310" t="n">
        <v>0</v>
      </c>
      <c r="I310" t="n">
        <v>0</v>
      </c>
      <c r="J310" t="n">
        <v>0</v>
      </c>
      <c r="K310" t="n">
        <v>0</v>
      </c>
      <c r="L310" t="n">
        <v>0</v>
      </c>
      <c r="M310" t="n">
        <v>0</v>
      </c>
      <c r="N310" t="n">
        <v>0</v>
      </c>
      <c r="O310" t="n">
        <v>0</v>
      </c>
      <c r="P310" t="n">
        <v>0</v>
      </c>
      <c r="Q310" t="n">
        <v>0</v>
      </c>
      <c r="R310" s="2" t="inlineStr"/>
    </row>
    <row r="311" ht="15" customHeight="1">
      <c r="A311" t="inlineStr">
        <is>
          <t>A 23934-2025</t>
        </is>
      </c>
      <c r="B311" s="1" t="n">
        <v>45795.71547453704</v>
      </c>
      <c r="C311" s="1" t="n">
        <v>46169</v>
      </c>
      <c r="D311" t="inlineStr">
        <is>
          <t>ÖREBRO LÄN</t>
        </is>
      </c>
      <c r="E311" t="inlineStr">
        <is>
          <t>LINDESBERG</t>
        </is>
      </c>
      <c r="G311" t="n">
        <v>1.9</v>
      </c>
      <c r="H311" t="n">
        <v>0</v>
      </c>
      <c r="I311" t="n">
        <v>0</v>
      </c>
      <c r="J311" t="n">
        <v>0</v>
      </c>
      <c r="K311" t="n">
        <v>0</v>
      </c>
      <c r="L311" t="n">
        <v>0</v>
      </c>
      <c r="M311" t="n">
        <v>0</v>
      </c>
      <c r="N311" t="n">
        <v>0</v>
      </c>
      <c r="O311" t="n">
        <v>0</v>
      </c>
      <c r="P311" t="n">
        <v>0</v>
      </c>
      <c r="Q311" t="n">
        <v>0</v>
      </c>
      <c r="R311" s="2" t="inlineStr"/>
    </row>
    <row r="312" ht="15" customHeight="1">
      <c r="A312" t="inlineStr">
        <is>
          <t>A 24043-2024</t>
        </is>
      </c>
      <c r="B312" s="1" t="n">
        <v>45456.48927083334</v>
      </c>
      <c r="C312" s="1" t="n">
        <v>46169</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40347-2025</t>
        </is>
      </c>
      <c r="B313" s="1" t="n">
        <v>45895.4790625</v>
      </c>
      <c r="C313" s="1" t="n">
        <v>46169</v>
      </c>
      <c r="D313" t="inlineStr">
        <is>
          <t>ÖREBRO LÄN</t>
        </is>
      </c>
      <c r="E313" t="inlineStr">
        <is>
          <t>LINDESBERG</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40346-2025</t>
        </is>
      </c>
      <c r="B314" s="1" t="n">
        <v>45895.47704861111</v>
      </c>
      <c r="C314" s="1" t="n">
        <v>46169</v>
      </c>
      <c r="D314" t="inlineStr">
        <is>
          <t>ÖREBRO LÄN</t>
        </is>
      </c>
      <c r="E314" t="inlineStr">
        <is>
          <t>LINDESBERG</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40351-2025</t>
        </is>
      </c>
      <c r="B315" s="1" t="n">
        <v>45895.48394675926</v>
      </c>
      <c r="C315" s="1" t="n">
        <v>46169</v>
      </c>
      <c r="D315" t="inlineStr">
        <is>
          <t>ÖREBRO LÄN</t>
        </is>
      </c>
      <c r="E315" t="inlineStr">
        <is>
          <t>LINDESBERG</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40366-2025</t>
        </is>
      </c>
      <c r="B316" s="1" t="n">
        <v>45895.49994212963</v>
      </c>
      <c r="C316" s="1" t="n">
        <v>46169</v>
      </c>
      <c r="D316" t="inlineStr">
        <is>
          <t>ÖREBRO LÄN</t>
        </is>
      </c>
      <c r="E316" t="inlineStr">
        <is>
          <t>LINDESBERG</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52101-2025</t>
        </is>
      </c>
      <c r="B317" s="1" t="n">
        <v>45952.68271990741</v>
      </c>
      <c r="C317" s="1" t="n">
        <v>46169</v>
      </c>
      <c r="D317" t="inlineStr">
        <is>
          <t>ÖREBRO LÄN</t>
        </is>
      </c>
      <c r="E317" t="inlineStr">
        <is>
          <t>LINDESBERG</t>
        </is>
      </c>
      <c r="F317" t="inlineStr">
        <is>
          <t>Sveaskog</t>
        </is>
      </c>
      <c r="G317" t="n">
        <v>10.9</v>
      </c>
      <c r="H317" t="n">
        <v>0</v>
      </c>
      <c r="I317" t="n">
        <v>0</v>
      </c>
      <c r="J317" t="n">
        <v>0</v>
      </c>
      <c r="K317" t="n">
        <v>0</v>
      </c>
      <c r="L317" t="n">
        <v>0</v>
      </c>
      <c r="M317" t="n">
        <v>0</v>
      </c>
      <c r="N317" t="n">
        <v>0</v>
      </c>
      <c r="O317" t="n">
        <v>0</v>
      </c>
      <c r="P317" t="n">
        <v>0</v>
      </c>
      <c r="Q317" t="n">
        <v>0</v>
      </c>
      <c r="R317" s="2" t="inlineStr"/>
    </row>
    <row r="318" ht="15" customHeight="1">
      <c r="A318" t="inlineStr">
        <is>
          <t>A 12250-2025</t>
        </is>
      </c>
      <c r="B318" s="1" t="n">
        <v>45729.60775462963</v>
      </c>
      <c r="C318" s="1" t="n">
        <v>46169</v>
      </c>
      <c r="D318" t="inlineStr">
        <is>
          <t>ÖREBRO LÄN</t>
        </is>
      </c>
      <c r="E318" t="inlineStr">
        <is>
          <t>LINDESBERG</t>
        </is>
      </c>
      <c r="G318" t="n">
        <v>3.4</v>
      </c>
      <c r="H318" t="n">
        <v>0</v>
      </c>
      <c r="I318" t="n">
        <v>0</v>
      </c>
      <c r="J318" t="n">
        <v>0</v>
      </c>
      <c r="K318" t="n">
        <v>0</v>
      </c>
      <c r="L318" t="n">
        <v>0</v>
      </c>
      <c r="M318" t="n">
        <v>0</v>
      </c>
      <c r="N318" t="n">
        <v>0</v>
      </c>
      <c r="O318" t="n">
        <v>0</v>
      </c>
      <c r="P318" t="n">
        <v>0</v>
      </c>
      <c r="Q318" t="n">
        <v>0</v>
      </c>
      <c r="R318" s="2" t="inlineStr"/>
    </row>
    <row r="319" ht="15" customHeight="1">
      <c r="A319" t="inlineStr">
        <is>
          <t>A 52104-2025</t>
        </is>
      </c>
      <c r="B319" s="1" t="n">
        <v>45952.68524305556</v>
      </c>
      <c r="C319" s="1" t="n">
        <v>46169</v>
      </c>
      <c r="D319" t="inlineStr">
        <is>
          <t>ÖREBRO LÄN</t>
        </is>
      </c>
      <c r="E319" t="inlineStr">
        <is>
          <t>LINDESBERG</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15936-2025</t>
        </is>
      </c>
      <c r="B320" s="1" t="n">
        <v>45749.4737962963</v>
      </c>
      <c r="C320" s="1" t="n">
        <v>46169</v>
      </c>
      <c r="D320" t="inlineStr">
        <is>
          <t>ÖREBRO LÄN</t>
        </is>
      </c>
      <c r="E320" t="inlineStr">
        <is>
          <t>LINDESBERG</t>
        </is>
      </c>
      <c r="G320" t="n">
        <v>22.3</v>
      </c>
      <c r="H320" t="n">
        <v>0</v>
      </c>
      <c r="I320" t="n">
        <v>0</v>
      </c>
      <c r="J320" t="n">
        <v>0</v>
      </c>
      <c r="K320" t="n">
        <v>0</v>
      </c>
      <c r="L320" t="n">
        <v>0</v>
      </c>
      <c r="M320" t="n">
        <v>0</v>
      </c>
      <c r="N320" t="n">
        <v>0</v>
      </c>
      <c r="O320" t="n">
        <v>0</v>
      </c>
      <c r="P320" t="n">
        <v>0</v>
      </c>
      <c r="Q320" t="n">
        <v>0</v>
      </c>
      <c r="R320" s="2" t="inlineStr"/>
    </row>
    <row r="321" ht="15" customHeight="1">
      <c r="A321" t="inlineStr">
        <is>
          <t>A 40357-2025</t>
        </is>
      </c>
      <c r="B321" s="1" t="n">
        <v>45895.48927083334</v>
      </c>
      <c r="C321" s="1" t="n">
        <v>46169</v>
      </c>
      <c r="D321" t="inlineStr">
        <is>
          <t>ÖREBRO LÄN</t>
        </is>
      </c>
      <c r="E321" t="inlineStr">
        <is>
          <t>LINDESBERG</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48231-2024</t>
        </is>
      </c>
      <c r="B322" s="1" t="n">
        <v>45590.37590277778</v>
      </c>
      <c r="C322" s="1" t="n">
        <v>46169</v>
      </c>
      <c r="D322" t="inlineStr">
        <is>
          <t>ÖREBRO LÄN</t>
        </is>
      </c>
      <c r="E322" t="inlineStr">
        <is>
          <t>LINDESBERG</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10564-2023</t>
        </is>
      </c>
      <c r="B323" s="1" t="n">
        <v>44988</v>
      </c>
      <c r="C323" s="1" t="n">
        <v>46169</v>
      </c>
      <c r="D323" t="inlineStr">
        <is>
          <t>ÖREBRO LÄN</t>
        </is>
      </c>
      <c r="E323" t="inlineStr">
        <is>
          <t>LINDESBERG</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30830-2024</t>
        </is>
      </c>
      <c r="B324" s="1" t="n">
        <v>45497</v>
      </c>
      <c r="C324" s="1" t="n">
        <v>46169</v>
      </c>
      <c r="D324" t="inlineStr">
        <is>
          <t>ÖREBRO LÄN</t>
        </is>
      </c>
      <c r="E324" t="inlineStr">
        <is>
          <t>LINDESBERG</t>
        </is>
      </c>
      <c r="G324" t="n">
        <v>2.8</v>
      </c>
      <c r="H324" t="n">
        <v>0</v>
      </c>
      <c r="I324" t="n">
        <v>0</v>
      </c>
      <c r="J324" t="n">
        <v>0</v>
      </c>
      <c r="K324" t="n">
        <v>0</v>
      </c>
      <c r="L324" t="n">
        <v>0</v>
      </c>
      <c r="M324" t="n">
        <v>0</v>
      </c>
      <c r="N324" t="n">
        <v>0</v>
      </c>
      <c r="O324" t="n">
        <v>0</v>
      </c>
      <c r="P324" t="n">
        <v>0</v>
      </c>
      <c r="Q324" t="n">
        <v>0</v>
      </c>
      <c r="R324" s="2" t="inlineStr"/>
    </row>
    <row r="325" ht="15" customHeight="1">
      <c r="A325" t="inlineStr">
        <is>
          <t>A 25643-2025</t>
        </is>
      </c>
      <c r="B325" s="1" t="n">
        <v>45803</v>
      </c>
      <c r="C325" s="1" t="n">
        <v>46169</v>
      </c>
      <c r="D325" t="inlineStr">
        <is>
          <t>ÖREBRO LÄN</t>
        </is>
      </c>
      <c r="E325" t="inlineStr">
        <is>
          <t>LINDESBERG</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36291-2022</t>
        </is>
      </c>
      <c r="B326" s="1" t="n">
        <v>44803.64361111111</v>
      </c>
      <c r="C326" s="1" t="n">
        <v>46169</v>
      </c>
      <c r="D326" t="inlineStr">
        <is>
          <t>ÖREBRO LÄN</t>
        </is>
      </c>
      <c r="E326" t="inlineStr">
        <is>
          <t>LINDESBERG</t>
        </is>
      </c>
      <c r="G326" t="n">
        <v>3.8</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46169</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41027-2025</t>
        </is>
      </c>
      <c r="B328" s="1" t="n">
        <v>45898.37138888889</v>
      </c>
      <c r="C328" s="1" t="n">
        <v>46169</v>
      </c>
      <c r="D328" t="inlineStr">
        <is>
          <t>ÖREBRO LÄN</t>
        </is>
      </c>
      <c r="E328" t="inlineStr">
        <is>
          <t>LINDESBERG</t>
        </is>
      </c>
      <c r="G328" t="n">
        <v>4.7</v>
      </c>
      <c r="H328" t="n">
        <v>0</v>
      </c>
      <c r="I328" t="n">
        <v>0</v>
      </c>
      <c r="J328" t="n">
        <v>0</v>
      </c>
      <c r="K328" t="n">
        <v>0</v>
      </c>
      <c r="L328" t="n">
        <v>0</v>
      </c>
      <c r="M328" t="n">
        <v>0</v>
      </c>
      <c r="N328" t="n">
        <v>0</v>
      </c>
      <c r="O328" t="n">
        <v>0</v>
      </c>
      <c r="P328" t="n">
        <v>0</v>
      </c>
      <c r="Q328" t="n">
        <v>0</v>
      </c>
      <c r="R328" s="2" t="inlineStr"/>
    </row>
    <row r="329" ht="15" customHeight="1">
      <c r="A329" t="inlineStr">
        <is>
          <t>A 52298-2025</t>
        </is>
      </c>
      <c r="B329" s="1" t="n">
        <v>45953.61387731481</v>
      </c>
      <c r="C329" s="1" t="n">
        <v>46169</v>
      </c>
      <c r="D329" t="inlineStr">
        <is>
          <t>ÖREBRO LÄN</t>
        </is>
      </c>
      <c r="E329" t="inlineStr">
        <is>
          <t>LINDESBERG</t>
        </is>
      </c>
      <c r="G329" t="n">
        <v>18.2</v>
      </c>
      <c r="H329" t="n">
        <v>0</v>
      </c>
      <c r="I329" t="n">
        <v>0</v>
      </c>
      <c r="J329" t="n">
        <v>0</v>
      </c>
      <c r="K329" t="n">
        <v>0</v>
      </c>
      <c r="L329" t="n">
        <v>0</v>
      </c>
      <c r="M329" t="n">
        <v>0</v>
      </c>
      <c r="N329" t="n">
        <v>0</v>
      </c>
      <c r="O329" t="n">
        <v>0</v>
      </c>
      <c r="P329" t="n">
        <v>0</v>
      </c>
      <c r="Q329" t="n">
        <v>0</v>
      </c>
      <c r="R329" s="2" t="inlineStr"/>
    </row>
    <row r="330" ht="15" customHeight="1">
      <c r="A330" t="inlineStr">
        <is>
          <t>A 25842-2025</t>
        </is>
      </c>
      <c r="B330" s="1" t="n">
        <v>45804.45474537037</v>
      </c>
      <c r="C330" s="1" t="n">
        <v>46169</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26016-2025</t>
        </is>
      </c>
      <c r="B331" s="1" t="n">
        <v>45804.67795138889</v>
      </c>
      <c r="C331" s="1" t="n">
        <v>46169</v>
      </c>
      <c r="D331" t="inlineStr">
        <is>
          <t>ÖREBRO LÄN</t>
        </is>
      </c>
      <c r="E331" t="inlineStr">
        <is>
          <t>LINDESBERG</t>
        </is>
      </c>
      <c r="G331" t="n">
        <v>10</v>
      </c>
      <c r="H331" t="n">
        <v>0</v>
      </c>
      <c r="I331" t="n">
        <v>0</v>
      </c>
      <c r="J331" t="n">
        <v>0</v>
      </c>
      <c r="K331" t="n">
        <v>0</v>
      </c>
      <c r="L331" t="n">
        <v>0</v>
      </c>
      <c r="M331" t="n">
        <v>0</v>
      </c>
      <c r="N331" t="n">
        <v>0</v>
      </c>
      <c r="O331" t="n">
        <v>0</v>
      </c>
      <c r="P331" t="n">
        <v>0</v>
      </c>
      <c r="Q331" t="n">
        <v>0</v>
      </c>
      <c r="R331" s="2" t="inlineStr"/>
    </row>
    <row r="332" ht="15" customHeight="1">
      <c r="A332" t="inlineStr">
        <is>
          <t>A 10836-2024</t>
        </is>
      </c>
      <c r="B332" s="1" t="n">
        <v>45369</v>
      </c>
      <c r="C332" s="1" t="n">
        <v>46169</v>
      </c>
      <c r="D332" t="inlineStr">
        <is>
          <t>ÖREBRO LÄN</t>
        </is>
      </c>
      <c r="E332" t="inlineStr">
        <is>
          <t>LINDESBERG</t>
        </is>
      </c>
      <c r="G332" t="n">
        <v>2.8</v>
      </c>
      <c r="H332" t="n">
        <v>0</v>
      </c>
      <c r="I332" t="n">
        <v>0</v>
      </c>
      <c r="J332" t="n">
        <v>0</v>
      </c>
      <c r="K332" t="n">
        <v>0</v>
      </c>
      <c r="L332" t="n">
        <v>0</v>
      </c>
      <c r="M332" t="n">
        <v>0</v>
      </c>
      <c r="N332" t="n">
        <v>0</v>
      </c>
      <c r="O332" t="n">
        <v>0</v>
      </c>
      <c r="P332" t="n">
        <v>0</v>
      </c>
      <c r="Q332" t="n">
        <v>0</v>
      </c>
      <c r="R332" s="2" t="inlineStr"/>
    </row>
    <row r="333" ht="15" customHeight="1">
      <c r="A333" t="inlineStr">
        <is>
          <t>A 41889-2025</t>
        </is>
      </c>
      <c r="B333" s="1" t="n">
        <v>45903.37475694445</v>
      </c>
      <c r="C333" s="1" t="n">
        <v>46169</v>
      </c>
      <c r="D333" t="inlineStr">
        <is>
          <t>ÖREBRO LÄN</t>
        </is>
      </c>
      <c r="E333" t="inlineStr">
        <is>
          <t>LINDESBERG</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25843-2025</t>
        </is>
      </c>
      <c r="B334" s="1" t="n">
        <v>45804.45584490741</v>
      </c>
      <c r="C334" s="1" t="n">
        <v>46169</v>
      </c>
      <c r="D334" t="inlineStr">
        <is>
          <t>ÖREBRO LÄN</t>
        </is>
      </c>
      <c r="E334" t="inlineStr">
        <is>
          <t>LINDESBERG</t>
        </is>
      </c>
      <c r="G334" t="n">
        <v>4.6</v>
      </c>
      <c r="H334" t="n">
        <v>0</v>
      </c>
      <c r="I334" t="n">
        <v>0</v>
      </c>
      <c r="J334" t="n">
        <v>0</v>
      </c>
      <c r="K334" t="n">
        <v>0</v>
      </c>
      <c r="L334" t="n">
        <v>0</v>
      </c>
      <c r="M334" t="n">
        <v>0</v>
      </c>
      <c r="N334" t="n">
        <v>0</v>
      </c>
      <c r="O334" t="n">
        <v>0</v>
      </c>
      <c r="P334" t="n">
        <v>0</v>
      </c>
      <c r="Q334" t="n">
        <v>0</v>
      </c>
      <c r="R334" s="2" t="inlineStr"/>
    </row>
    <row r="335" ht="15" customHeight="1">
      <c r="A335" t="inlineStr">
        <is>
          <t>A 24944-2024</t>
        </is>
      </c>
      <c r="B335" s="1" t="n">
        <v>45461.62924768519</v>
      </c>
      <c r="C335" s="1" t="n">
        <v>46169</v>
      </c>
      <c r="D335" t="inlineStr">
        <is>
          <t>ÖREBRO LÄN</t>
        </is>
      </c>
      <c r="E335" t="inlineStr">
        <is>
          <t>LINDESBERG</t>
        </is>
      </c>
      <c r="F335" t="inlineStr">
        <is>
          <t>Kyrkan</t>
        </is>
      </c>
      <c r="G335" t="n">
        <v>13.7</v>
      </c>
      <c r="H335" t="n">
        <v>0</v>
      </c>
      <c r="I335" t="n">
        <v>0</v>
      </c>
      <c r="J335" t="n">
        <v>0</v>
      </c>
      <c r="K335" t="n">
        <v>0</v>
      </c>
      <c r="L335" t="n">
        <v>0</v>
      </c>
      <c r="M335" t="n">
        <v>0</v>
      </c>
      <c r="N335" t="n">
        <v>0</v>
      </c>
      <c r="O335" t="n">
        <v>0</v>
      </c>
      <c r="P335" t="n">
        <v>0</v>
      </c>
      <c r="Q335" t="n">
        <v>0</v>
      </c>
      <c r="R335" s="2" t="inlineStr"/>
    </row>
    <row r="336" ht="15" customHeight="1">
      <c r="A336" t="inlineStr">
        <is>
          <t>A 33716-2021</t>
        </is>
      </c>
      <c r="B336" s="1" t="n">
        <v>44378.46857638889</v>
      </c>
      <c r="C336" s="1" t="n">
        <v>46169</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23536-2023</t>
        </is>
      </c>
      <c r="B337" s="1" t="n">
        <v>45077</v>
      </c>
      <c r="C337" s="1" t="n">
        <v>46169</v>
      </c>
      <c r="D337" t="inlineStr">
        <is>
          <t>ÖREBRO LÄN</t>
        </is>
      </c>
      <c r="E337" t="inlineStr">
        <is>
          <t>LINDESBERG</t>
        </is>
      </c>
      <c r="F337" t="inlineStr">
        <is>
          <t>Kyrkan</t>
        </is>
      </c>
      <c r="G337" t="n">
        <v>0.5</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46169</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46169</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15213-2025</t>
        </is>
      </c>
      <c r="B340" s="1" t="n">
        <v>45744.57851851852</v>
      </c>
      <c r="C340" s="1" t="n">
        <v>46169</v>
      </c>
      <c r="D340" t="inlineStr">
        <is>
          <t>ÖREBRO LÄN</t>
        </is>
      </c>
      <c r="E340" t="inlineStr">
        <is>
          <t>LINDESBERG</t>
        </is>
      </c>
      <c r="F340" t="inlineStr">
        <is>
          <t>Sveaskog</t>
        </is>
      </c>
      <c r="G340" t="n">
        <v>4</v>
      </c>
      <c r="H340" t="n">
        <v>0</v>
      </c>
      <c r="I340" t="n">
        <v>0</v>
      </c>
      <c r="J340" t="n">
        <v>0</v>
      </c>
      <c r="K340" t="n">
        <v>0</v>
      </c>
      <c r="L340" t="n">
        <v>0</v>
      </c>
      <c r="M340" t="n">
        <v>0</v>
      </c>
      <c r="N340" t="n">
        <v>0</v>
      </c>
      <c r="O340" t="n">
        <v>0</v>
      </c>
      <c r="P340" t="n">
        <v>0</v>
      </c>
      <c r="Q340" t="n">
        <v>0</v>
      </c>
      <c r="R340" s="2" t="inlineStr"/>
    </row>
    <row r="341" ht="15" customHeight="1">
      <c r="A341" t="inlineStr">
        <is>
          <t>A 19914-2024</t>
        </is>
      </c>
      <c r="B341" s="1" t="n">
        <v>45433.58099537037</v>
      </c>
      <c r="C341" s="1" t="n">
        <v>46169</v>
      </c>
      <c r="D341" t="inlineStr">
        <is>
          <t>ÖREBRO LÄN</t>
        </is>
      </c>
      <c r="E341" t="inlineStr">
        <is>
          <t>LINDESBERG</t>
        </is>
      </c>
      <c r="G341" t="n">
        <v>1.1</v>
      </c>
      <c r="H341" t="n">
        <v>0</v>
      </c>
      <c r="I341" t="n">
        <v>0</v>
      </c>
      <c r="J341" t="n">
        <v>0</v>
      </c>
      <c r="K341" t="n">
        <v>0</v>
      </c>
      <c r="L341" t="n">
        <v>0</v>
      </c>
      <c r="M341" t="n">
        <v>0</v>
      </c>
      <c r="N341" t="n">
        <v>0</v>
      </c>
      <c r="O341" t="n">
        <v>0</v>
      </c>
      <c r="P341" t="n">
        <v>0</v>
      </c>
      <c r="Q341" t="n">
        <v>0</v>
      </c>
      <c r="R341" s="2" t="inlineStr"/>
    </row>
    <row r="342" ht="15" customHeight="1">
      <c r="A342" t="inlineStr">
        <is>
          <t>A 52730-2025</t>
        </is>
      </c>
      <c r="B342" s="1" t="n">
        <v>45957.36386574074</v>
      </c>
      <c r="C342" s="1" t="n">
        <v>46169</v>
      </c>
      <c r="D342" t="inlineStr">
        <is>
          <t>ÖREBRO LÄN</t>
        </is>
      </c>
      <c r="E342" t="inlineStr">
        <is>
          <t>LINDESBERG</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4999-2025</t>
        </is>
      </c>
      <c r="B343" s="1" t="n">
        <v>45691.36253472222</v>
      </c>
      <c r="C343" s="1" t="n">
        <v>46169</v>
      </c>
      <c r="D343" t="inlineStr">
        <is>
          <t>ÖREBRO LÄN</t>
        </is>
      </c>
      <c r="E343" t="inlineStr">
        <is>
          <t>LINDESBERG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15941-2025</t>
        </is>
      </c>
      <c r="B344" s="1" t="n">
        <v>45749</v>
      </c>
      <c r="C344" s="1" t="n">
        <v>46169</v>
      </c>
      <c r="D344" t="inlineStr">
        <is>
          <t>ÖREBRO LÄN</t>
        </is>
      </c>
      <c r="E344" t="inlineStr">
        <is>
          <t>LINDESBERG</t>
        </is>
      </c>
      <c r="G344" t="n">
        <v>2.4</v>
      </c>
      <c r="H344" t="n">
        <v>0</v>
      </c>
      <c r="I344" t="n">
        <v>0</v>
      </c>
      <c r="J344" t="n">
        <v>0</v>
      </c>
      <c r="K344" t="n">
        <v>0</v>
      </c>
      <c r="L344" t="n">
        <v>0</v>
      </c>
      <c r="M344" t="n">
        <v>0</v>
      </c>
      <c r="N344" t="n">
        <v>0</v>
      </c>
      <c r="O344" t="n">
        <v>0</v>
      </c>
      <c r="P344" t="n">
        <v>0</v>
      </c>
      <c r="Q344" t="n">
        <v>0</v>
      </c>
      <c r="R344" s="2" t="inlineStr"/>
    </row>
    <row r="345" ht="15" customHeight="1">
      <c r="A345" t="inlineStr">
        <is>
          <t>A 55631-2022</t>
        </is>
      </c>
      <c r="B345" s="1" t="n">
        <v>44888.4577662037</v>
      </c>
      <c r="C345" s="1" t="n">
        <v>46169</v>
      </c>
      <c r="D345" t="inlineStr">
        <is>
          <t>ÖREBRO LÄN</t>
        </is>
      </c>
      <c r="E345" t="inlineStr">
        <is>
          <t>LINDESBERG</t>
        </is>
      </c>
      <c r="G345" t="n">
        <v>4.4</v>
      </c>
      <c r="H345" t="n">
        <v>0</v>
      </c>
      <c r="I345" t="n">
        <v>0</v>
      </c>
      <c r="J345" t="n">
        <v>0</v>
      </c>
      <c r="K345" t="n">
        <v>0</v>
      </c>
      <c r="L345" t="n">
        <v>0</v>
      </c>
      <c r="M345" t="n">
        <v>0</v>
      </c>
      <c r="N345" t="n">
        <v>0</v>
      </c>
      <c r="O345" t="n">
        <v>0</v>
      </c>
      <c r="P345" t="n">
        <v>0</v>
      </c>
      <c r="Q345" t="n">
        <v>0</v>
      </c>
      <c r="R345" s="2" t="inlineStr"/>
    </row>
    <row r="346" ht="15" customHeight="1">
      <c r="A346" t="inlineStr">
        <is>
          <t>A 265-2023</t>
        </is>
      </c>
      <c r="B346" s="1" t="n">
        <v>44928</v>
      </c>
      <c r="C346" s="1" t="n">
        <v>46169</v>
      </c>
      <c r="D346" t="inlineStr">
        <is>
          <t>ÖREBRO LÄN</t>
        </is>
      </c>
      <c r="E346" t="inlineStr">
        <is>
          <t>LINDESBERG</t>
        </is>
      </c>
      <c r="G346" t="n">
        <v>2.4</v>
      </c>
      <c r="H346" t="n">
        <v>0</v>
      </c>
      <c r="I346" t="n">
        <v>0</v>
      </c>
      <c r="J346" t="n">
        <v>0</v>
      </c>
      <c r="K346" t="n">
        <v>0</v>
      </c>
      <c r="L346" t="n">
        <v>0</v>
      </c>
      <c r="M346" t="n">
        <v>0</v>
      </c>
      <c r="N346" t="n">
        <v>0</v>
      </c>
      <c r="O346" t="n">
        <v>0</v>
      </c>
      <c r="P346" t="n">
        <v>0</v>
      </c>
      <c r="Q346" t="n">
        <v>0</v>
      </c>
      <c r="R346" s="2" t="inlineStr"/>
    </row>
    <row r="347" ht="15" customHeight="1">
      <c r="A347" t="inlineStr">
        <is>
          <t>A 60115-2022</t>
        </is>
      </c>
      <c r="B347" s="1" t="n">
        <v>44902</v>
      </c>
      <c r="C347" s="1" t="n">
        <v>46169</v>
      </c>
      <c r="D347" t="inlineStr">
        <is>
          <t>ÖREBRO LÄN</t>
        </is>
      </c>
      <c r="E347" t="inlineStr">
        <is>
          <t>LINDESBERG</t>
        </is>
      </c>
      <c r="G347" t="n">
        <v>0.5</v>
      </c>
      <c r="H347" t="n">
        <v>0</v>
      </c>
      <c r="I347" t="n">
        <v>0</v>
      </c>
      <c r="J347" t="n">
        <v>0</v>
      </c>
      <c r="K347" t="n">
        <v>0</v>
      </c>
      <c r="L347" t="n">
        <v>0</v>
      </c>
      <c r="M347" t="n">
        <v>0</v>
      </c>
      <c r="N347" t="n">
        <v>0</v>
      </c>
      <c r="O347" t="n">
        <v>0</v>
      </c>
      <c r="P347" t="n">
        <v>0</v>
      </c>
      <c r="Q347" t="n">
        <v>0</v>
      </c>
      <c r="R347" s="2" t="inlineStr"/>
    </row>
    <row r="348" ht="15" customHeight="1">
      <c r="A348" t="inlineStr">
        <is>
          <t>A 52401-2025</t>
        </is>
      </c>
      <c r="B348" s="1" t="n">
        <v>45954.35075231481</v>
      </c>
      <c r="C348" s="1" t="n">
        <v>46169</v>
      </c>
      <c r="D348" t="inlineStr">
        <is>
          <t>ÖREBRO LÄN</t>
        </is>
      </c>
      <c r="E348" t="inlineStr">
        <is>
          <t>LINDESBERG</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52402-2025</t>
        </is>
      </c>
      <c r="B349" s="1" t="n">
        <v>45954.35387731482</v>
      </c>
      <c r="C349" s="1" t="n">
        <v>46169</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29975-2023</t>
        </is>
      </c>
      <c r="B350" s="1" t="n">
        <v>45108.7553587963</v>
      </c>
      <c r="C350" s="1" t="n">
        <v>46169</v>
      </c>
      <c r="D350" t="inlineStr">
        <is>
          <t>ÖREBRO LÄN</t>
        </is>
      </c>
      <c r="E350" t="inlineStr">
        <is>
          <t>LINDESBERG</t>
        </is>
      </c>
      <c r="G350" t="n">
        <v>6.4</v>
      </c>
      <c r="H350" t="n">
        <v>0</v>
      </c>
      <c r="I350" t="n">
        <v>0</v>
      </c>
      <c r="J350" t="n">
        <v>0</v>
      </c>
      <c r="K350" t="n">
        <v>0</v>
      </c>
      <c r="L350" t="n">
        <v>0</v>
      </c>
      <c r="M350" t="n">
        <v>0</v>
      </c>
      <c r="N350" t="n">
        <v>0</v>
      </c>
      <c r="O350" t="n">
        <v>0</v>
      </c>
      <c r="P350" t="n">
        <v>0</v>
      </c>
      <c r="Q350" t="n">
        <v>0</v>
      </c>
      <c r="R350" s="2" t="inlineStr"/>
    </row>
    <row r="351" ht="15" customHeight="1">
      <c r="A351" t="inlineStr">
        <is>
          <t>A 53288-2025</t>
        </is>
      </c>
      <c r="B351" s="1" t="n">
        <v>45958.79287037037</v>
      </c>
      <c r="C351" s="1" t="n">
        <v>46169</v>
      </c>
      <c r="D351" t="inlineStr">
        <is>
          <t>ÖREBRO LÄN</t>
        </is>
      </c>
      <c r="E351" t="inlineStr">
        <is>
          <t>LINDESBERG</t>
        </is>
      </c>
      <c r="G351" t="n">
        <v>2.3</v>
      </c>
      <c r="H351" t="n">
        <v>0</v>
      </c>
      <c r="I351" t="n">
        <v>0</v>
      </c>
      <c r="J351" t="n">
        <v>0</v>
      </c>
      <c r="K351" t="n">
        <v>0</v>
      </c>
      <c r="L351" t="n">
        <v>0</v>
      </c>
      <c r="M351" t="n">
        <v>0</v>
      </c>
      <c r="N351" t="n">
        <v>0</v>
      </c>
      <c r="O351" t="n">
        <v>0</v>
      </c>
      <c r="P351" t="n">
        <v>0</v>
      </c>
      <c r="Q351" t="n">
        <v>0</v>
      </c>
      <c r="R351" s="2" t="inlineStr"/>
    </row>
    <row r="352" ht="15" customHeight="1">
      <c r="A352" t="inlineStr">
        <is>
          <t>A 42630-2025</t>
        </is>
      </c>
      <c r="B352" s="1" t="n">
        <v>45905.89143518519</v>
      </c>
      <c r="C352" s="1" t="n">
        <v>46169</v>
      </c>
      <c r="D352" t="inlineStr">
        <is>
          <t>ÖREBRO LÄN</t>
        </is>
      </c>
      <c r="E352" t="inlineStr">
        <is>
          <t>LINDESBERG</t>
        </is>
      </c>
      <c r="F352" t="inlineStr">
        <is>
          <t>Sveaskog</t>
        </is>
      </c>
      <c r="G352" t="n">
        <v>9.9</v>
      </c>
      <c r="H352" t="n">
        <v>0</v>
      </c>
      <c r="I352" t="n">
        <v>0</v>
      </c>
      <c r="J352" t="n">
        <v>0</v>
      </c>
      <c r="K352" t="n">
        <v>0</v>
      </c>
      <c r="L352" t="n">
        <v>0</v>
      </c>
      <c r="M352" t="n">
        <v>0</v>
      </c>
      <c r="N352" t="n">
        <v>0</v>
      </c>
      <c r="O352" t="n">
        <v>0</v>
      </c>
      <c r="P352" t="n">
        <v>0</v>
      </c>
      <c r="Q352" t="n">
        <v>0</v>
      </c>
      <c r="R352" s="2" t="inlineStr"/>
    </row>
    <row r="353" ht="15" customHeight="1">
      <c r="A353" t="inlineStr">
        <is>
          <t>A 53187-2025</t>
        </is>
      </c>
      <c r="B353" s="1" t="n">
        <v>45958.55577546296</v>
      </c>
      <c r="C353" s="1" t="n">
        <v>46169</v>
      </c>
      <c r="D353" t="inlineStr">
        <is>
          <t>ÖREBRO LÄN</t>
        </is>
      </c>
      <c r="E353" t="inlineStr">
        <is>
          <t>LINDESBERG</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42631-2025</t>
        </is>
      </c>
      <c r="B354" s="1" t="n">
        <v>45905.89236111111</v>
      </c>
      <c r="C354" s="1" t="n">
        <v>46169</v>
      </c>
      <c r="D354" t="inlineStr">
        <is>
          <t>ÖREBRO LÄN</t>
        </is>
      </c>
      <c r="E354" t="inlineStr">
        <is>
          <t>LINDESBERG</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27296-2025</t>
        </is>
      </c>
      <c r="B355" s="1" t="n">
        <v>45812.56952546296</v>
      </c>
      <c r="C355" s="1" t="n">
        <v>46169</v>
      </c>
      <c r="D355" t="inlineStr">
        <is>
          <t>ÖREBRO LÄN</t>
        </is>
      </c>
      <c r="E355" t="inlineStr">
        <is>
          <t>LINDESBERG</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15212-2025</t>
        </is>
      </c>
      <c r="B356" s="1" t="n">
        <v>45744.57673611111</v>
      </c>
      <c r="C356" s="1" t="n">
        <v>46169</v>
      </c>
      <c r="D356" t="inlineStr">
        <is>
          <t>ÖREBRO LÄN</t>
        </is>
      </c>
      <c r="E356" t="inlineStr">
        <is>
          <t>LINDESBERG</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53721-2025</t>
        </is>
      </c>
      <c r="B357" s="1" t="n">
        <v>45960</v>
      </c>
      <c r="C357" s="1" t="n">
        <v>46169</v>
      </c>
      <c r="D357" t="inlineStr">
        <is>
          <t>ÖREBRO LÄN</t>
        </is>
      </c>
      <c r="E357" t="inlineStr">
        <is>
          <t>LINDESBERG</t>
        </is>
      </c>
      <c r="G357" t="n">
        <v>3.3</v>
      </c>
      <c r="H357" t="n">
        <v>0</v>
      </c>
      <c r="I357" t="n">
        <v>0</v>
      </c>
      <c r="J357" t="n">
        <v>0</v>
      </c>
      <c r="K357" t="n">
        <v>0</v>
      </c>
      <c r="L357" t="n">
        <v>0</v>
      </c>
      <c r="M357" t="n">
        <v>0</v>
      </c>
      <c r="N357" t="n">
        <v>0</v>
      </c>
      <c r="O357" t="n">
        <v>0</v>
      </c>
      <c r="P357" t="n">
        <v>0</v>
      </c>
      <c r="Q357" t="n">
        <v>0</v>
      </c>
      <c r="R357" s="2" t="inlineStr"/>
    </row>
    <row r="358" ht="15" customHeight="1">
      <c r="A358" t="inlineStr">
        <is>
          <t>A 53723-2025</t>
        </is>
      </c>
      <c r="B358" s="1" t="n">
        <v>45960.62986111111</v>
      </c>
      <c r="C358" s="1" t="n">
        <v>46169</v>
      </c>
      <c r="D358" t="inlineStr">
        <is>
          <t>ÖREBRO LÄN</t>
        </is>
      </c>
      <c r="E358" t="inlineStr">
        <is>
          <t>LINDESBERG</t>
        </is>
      </c>
      <c r="G358" t="n">
        <v>1.4</v>
      </c>
      <c r="H358" t="n">
        <v>0</v>
      </c>
      <c r="I358" t="n">
        <v>0</v>
      </c>
      <c r="J358" t="n">
        <v>0</v>
      </c>
      <c r="K358" t="n">
        <v>0</v>
      </c>
      <c r="L358" t="n">
        <v>0</v>
      </c>
      <c r="M358" t="n">
        <v>0</v>
      </c>
      <c r="N358" t="n">
        <v>0</v>
      </c>
      <c r="O358" t="n">
        <v>0</v>
      </c>
      <c r="P358" t="n">
        <v>0</v>
      </c>
      <c r="Q358" t="n">
        <v>0</v>
      </c>
      <c r="R358" s="2" t="inlineStr"/>
    </row>
    <row r="359" ht="15" customHeight="1">
      <c r="A359" t="inlineStr">
        <is>
          <t>A 40905-2023</t>
        </is>
      </c>
      <c r="B359" s="1" t="n">
        <v>45173.39315972223</v>
      </c>
      <c r="C359" s="1" t="n">
        <v>46169</v>
      </c>
      <c r="D359" t="inlineStr">
        <is>
          <t>ÖREBRO LÄN</t>
        </is>
      </c>
      <c r="E359" t="inlineStr">
        <is>
          <t>LINDESBERG</t>
        </is>
      </c>
      <c r="G359" t="n">
        <v>0.5</v>
      </c>
      <c r="H359" t="n">
        <v>0</v>
      </c>
      <c r="I359" t="n">
        <v>0</v>
      </c>
      <c r="J359" t="n">
        <v>0</v>
      </c>
      <c r="K359" t="n">
        <v>0</v>
      </c>
      <c r="L359" t="n">
        <v>0</v>
      </c>
      <c r="M359" t="n">
        <v>0</v>
      </c>
      <c r="N359" t="n">
        <v>0</v>
      </c>
      <c r="O359" t="n">
        <v>0</v>
      </c>
      <c r="P359" t="n">
        <v>0</v>
      </c>
      <c r="Q359" t="n">
        <v>0</v>
      </c>
      <c r="R359" s="2" t="inlineStr"/>
    </row>
    <row r="360" ht="15" customHeight="1">
      <c r="A360" t="inlineStr">
        <is>
          <t>A 42632-2025</t>
        </is>
      </c>
      <c r="B360" s="1" t="n">
        <v>45905.89329861111</v>
      </c>
      <c r="C360" s="1" t="n">
        <v>46169</v>
      </c>
      <c r="D360" t="inlineStr">
        <is>
          <t>ÖREBRO LÄN</t>
        </is>
      </c>
      <c r="E360" t="inlineStr">
        <is>
          <t>LINDESBERG</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37843-2025</t>
        </is>
      </c>
      <c r="B361" s="1" t="n">
        <v>45881.43759259259</v>
      </c>
      <c r="C361" s="1" t="n">
        <v>46169</v>
      </c>
      <c r="D361" t="inlineStr">
        <is>
          <t>ÖREBRO LÄN</t>
        </is>
      </c>
      <c r="E361" t="inlineStr">
        <is>
          <t>LINDESBERG</t>
        </is>
      </c>
      <c r="G361" t="n">
        <v>5.2</v>
      </c>
      <c r="H361" t="n">
        <v>0</v>
      </c>
      <c r="I361" t="n">
        <v>0</v>
      </c>
      <c r="J361" t="n">
        <v>0</v>
      </c>
      <c r="K361" t="n">
        <v>0</v>
      </c>
      <c r="L361" t="n">
        <v>0</v>
      </c>
      <c r="M361" t="n">
        <v>0</v>
      </c>
      <c r="N361" t="n">
        <v>0</v>
      </c>
      <c r="O361" t="n">
        <v>0</v>
      </c>
      <c r="P361" t="n">
        <v>0</v>
      </c>
      <c r="Q361" t="n">
        <v>0</v>
      </c>
      <c r="R361" s="2" t="inlineStr"/>
    </row>
    <row r="362" ht="15" customHeight="1">
      <c r="A362" t="inlineStr">
        <is>
          <t>A 27300-2025</t>
        </is>
      </c>
      <c r="B362" s="1" t="n">
        <v>45812.57143518519</v>
      </c>
      <c r="C362" s="1" t="n">
        <v>46169</v>
      </c>
      <c r="D362" t="inlineStr">
        <is>
          <t>ÖREBRO LÄN</t>
        </is>
      </c>
      <c r="E362" t="inlineStr">
        <is>
          <t>LINDESBERG</t>
        </is>
      </c>
      <c r="F362" t="inlineStr">
        <is>
          <t>Sveaskog</t>
        </is>
      </c>
      <c r="G362" t="n">
        <v>19.7</v>
      </c>
      <c r="H362" t="n">
        <v>0</v>
      </c>
      <c r="I362" t="n">
        <v>0</v>
      </c>
      <c r="J362" t="n">
        <v>0</v>
      </c>
      <c r="K362" t="n">
        <v>0</v>
      </c>
      <c r="L362" t="n">
        <v>0</v>
      </c>
      <c r="M362" t="n">
        <v>0</v>
      </c>
      <c r="N362" t="n">
        <v>0</v>
      </c>
      <c r="O362" t="n">
        <v>0</v>
      </c>
      <c r="P362" t="n">
        <v>0</v>
      </c>
      <c r="Q362" t="n">
        <v>0</v>
      </c>
      <c r="R362" s="2" t="inlineStr"/>
    </row>
    <row r="363" ht="15" customHeight="1">
      <c r="A363" t="inlineStr">
        <is>
          <t>A 27309-2025</t>
        </is>
      </c>
      <c r="B363" s="1" t="n">
        <v>45812.57452546297</v>
      </c>
      <c r="C363" s="1" t="n">
        <v>46169</v>
      </c>
      <c r="D363" t="inlineStr">
        <is>
          <t>ÖREBRO LÄN</t>
        </is>
      </c>
      <c r="E363" t="inlineStr">
        <is>
          <t>LINDESBERG</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27311-2025</t>
        </is>
      </c>
      <c r="B364" s="1" t="n">
        <v>45812.57604166667</v>
      </c>
      <c r="C364" s="1" t="n">
        <v>46169</v>
      </c>
      <c r="D364" t="inlineStr">
        <is>
          <t>ÖREBRO LÄN</t>
        </is>
      </c>
      <c r="E364" t="inlineStr">
        <is>
          <t>LINDESBERG</t>
        </is>
      </c>
      <c r="F364" t="inlineStr">
        <is>
          <t>Sveaskog</t>
        </is>
      </c>
      <c r="G364" t="n">
        <v>4.8</v>
      </c>
      <c r="H364" t="n">
        <v>0</v>
      </c>
      <c r="I364" t="n">
        <v>0</v>
      </c>
      <c r="J364" t="n">
        <v>0</v>
      </c>
      <c r="K364" t="n">
        <v>0</v>
      </c>
      <c r="L364" t="n">
        <v>0</v>
      </c>
      <c r="M364" t="n">
        <v>0</v>
      </c>
      <c r="N364" t="n">
        <v>0</v>
      </c>
      <c r="O364" t="n">
        <v>0</v>
      </c>
      <c r="P364" t="n">
        <v>0</v>
      </c>
      <c r="Q364" t="n">
        <v>0</v>
      </c>
      <c r="R364" s="2" t="inlineStr"/>
    </row>
    <row r="365" ht="15" customHeight="1">
      <c r="A365" t="inlineStr">
        <is>
          <t>A 54249-2025</t>
        </is>
      </c>
      <c r="B365" s="1" t="n">
        <v>45964.64599537037</v>
      </c>
      <c r="C365" s="1" t="n">
        <v>46169</v>
      </c>
      <c r="D365" t="inlineStr">
        <is>
          <t>ÖREBRO LÄN</t>
        </is>
      </c>
      <c r="E365" t="inlineStr">
        <is>
          <t>LINDESBERG</t>
        </is>
      </c>
      <c r="F365" t="inlineStr">
        <is>
          <t>Sveaskog</t>
        </is>
      </c>
      <c r="G365" t="n">
        <v>5.2</v>
      </c>
      <c r="H365" t="n">
        <v>0</v>
      </c>
      <c r="I365" t="n">
        <v>0</v>
      </c>
      <c r="J365" t="n">
        <v>0</v>
      </c>
      <c r="K365" t="n">
        <v>0</v>
      </c>
      <c r="L365" t="n">
        <v>0</v>
      </c>
      <c r="M365" t="n">
        <v>0</v>
      </c>
      <c r="N365" t="n">
        <v>0</v>
      </c>
      <c r="O365" t="n">
        <v>0</v>
      </c>
      <c r="P365" t="n">
        <v>0</v>
      </c>
      <c r="Q365" t="n">
        <v>0</v>
      </c>
      <c r="R365" s="2" t="inlineStr"/>
    </row>
    <row r="366" ht="15" customHeight="1">
      <c r="A366" t="inlineStr">
        <is>
          <t>A 54070-2025</t>
        </is>
      </c>
      <c r="B366" s="1" t="n">
        <v>45964.34680555556</v>
      </c>
      <c r="C366" s="1" t="n">
        <v>46169</v>
      </c>
      <c r="D366" t="inlineStr">
        <is>
          <t>ÖREBRO LÄN</t>
        </is>
      </c>
      <c r="E366" t="inlineStr">
        <is>
          <t>LINDESBERG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28040-2025</t>
        </is>
      </c>
      <c r="B367" s="1" t="n">
        <v>45817.6455324074</v>
      </c>
      <c r="C367" s="1" t="n">
        <v>46169</v>
      </c>
      <c r="D367" t="inlineStr">
        <is>
          <t>ÖREBRO LÄN</t>
        </is>
      </c>
      <c r="E367" t="inlineStr">
        <is>
          <t>LINDESBERG</t>
        </is>
      </c>
      <c r="G367" t="n">
        <v>1.4</v>
      </c>
      <c r="H367" t="n">
        <v>0</v>
      </c>
      <c r="I367" t="n">
        <v>0</v>
      </c>
      <c r="J367" t="n">
        <v>0</v>
      </c>
      <c r="K367" t="n">
        <v>0</v>
      </c>
      <c r="L367" t="n">
        <v>0</v>
      </c>
      <c r="M367" t="n">
        <v>0</v>
      </c>
      <c r="N367" t="n">
        <v>0</v>
      </c>
      <c r="O367" t="n">
        <v>0</v>
      </c>
      <c r="P367" t="n">
        <v>0</v>
      </c>
      <c r="Q367" t="n">
        <v>0</v>
      </c>
      <c r="R367" s="2" t="inlineStr"/>
    </row>
    <row r="368" ht="15" customHeight="1">
      <c r="A368" t="inlineStr">
        <is>
          <t>A 40085-2023</t>
        </is>
      </c>
      <c r="B368" s="1" t="n">
        <v>45168.92155092592</v>
      </c>
      <c r="C368" s="1" t="n">
        <v>46169</v>
      </c>
      <c r="D368" t="inlineStr">
        <is>
          <t>ÖREBRO LÄN</t>
        </is>
      </c>
      <c r="E368" t="inlineStr">
        <is>
          <t>LINDESBERG</t>
        </is>
      </c>
      <c r="G368" t="n">
        <v>6.1</v>
      </c>
      <c r="H368" t="n">
        <v>0</v>
      </c>
      <c r="I368" t="n">
        <v>0</v>
      </c>
      <c r="J368" t="n">
        <v>0</v>
      </c>
      <c r="K368" t="n">
        <v>0</v>
      </c>
      <c r="L368" t="n">
        <v>0</v>
      </c>
      <c r="M368" t="n">
        <v>0</v>
      </c>
      <c r="N368" t="n">
        <v>0</v>
      </c>
      <c r="O368" t="n">
        <v>0</v>
      </c>
      <c r="P368" t="n">
        <v>0</v>
      </c>
      <c r="Q368" t="n">
        <v>0</v>
      </c>
      <c r="R368" s="2" t="inlineStr"/>
    </row>
    <row r="369" ht="15" customHeight="1">
      <c r="A369" t="inlineStr">
        <is>
          <t>A 40117-2023</t>
        </is>
      </c>
      <c r="B369" s="1" t="n">
        <v>45168.94197916667</v>
      </c>
      <c r="C369" s="1" t="n">
        <v>46169</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21390-2024</t>
        </is>
      </c>
      <c r="B370" s="1" t="n">
        <v>45441.30899305556</v>
      </c>
      <c r="C370" s="1" t="n">
        <v>46169</v>
      </c>
      <c r="D370" t="inlineStr">
        <is>
          <t>ÖREBRO LÄN</t>
        </is>
      </c>
      <c r="E370" t="inlineStr">
        <is>
          <t>LINDESBERG</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21392-2024</t>
        </is>
      </c>
      <c r="B371" s="1" t="n">
        <v>45441.30998842593</v>
      </c>
      <c r="C371" s="1" t="n">
        <v>46169</v>
      </c>
      <c r="D371" t="inlineStr">
        <is>
          <t>ÖREBRO LÄN</t>
        </is>
      </c>
      <c r="E371" t="inlineStr">
        <is>
          <t>LINDESBERG</t>
        </is>
      </c>
      <c r="F371" t="inlineStr">
        <is>
          <t>Sveaskog</t>
        </is>
      </c>
      <c r="G371" t="n">
        <v>0.4</v>
      </c>
      <c r="H371" t="n">
        <v>0</v>
      </c>
      <c r="I371" t="n">
        <v>0</v>
      </c>
      <c r="J371" t="n">
        <v>0</v>
      </c>
      <c r="K371" t="n">
        <v>0</v>
      </c>
      <c r="L371" t="n">
        <v>0</v>
      </c>
      <c r="M371" t="n">
        <v>0</v>
      </c>
      <c r="N371" t="n">
        <v>0</v>
      </c>
      <c r="O371" t="n">
        <v>0</v>
      </c>
      <c r="P371" t="n">
        <v>0</v>
      </c>
      <c r="Q371" t="n">
        <v>0</v>
      </c>
      <c r="R371" s="2" t="inlineStr"/>
    </row>
    <row r="372" ht="15" customHeight="1">
      <c r="A372" t="inlineStr">
        <is>
          <t>A 43847-2025</t>
        </is>
      </c>
      <c r="B372" s="1" t="n">
        <v>45912.63751157407</v>
      </c>
      <c r="C372" s="1" t="n">
        <v>46169</v>
      </c>
      <c r="D372" t="inlineStr">
        <is>
          <t>ÖREBRO LÄN</t>
        </is>
      </c>
      <c r="E372" t="inlineStr">
        <is>
          <t>LINDESBERG</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54072-2025</t>
        </is>
      </c>
      <c r="B373" s="1" t="n">
        <v>45964.3550925926</v>
      </c>
      <c r="C373" s="1" t="n">
        <v>46169</v>
      </c>
      <c r="D373" t="inlineStr">
        <is>
          <t>ÖREBRO LÄN</t>
        </is>
      </c>
      <c r="E373" t="inlineStr">
        <is>
          <t>LINDESBERG</t>
        </is>
      </c>
      <c r="G373" t="n">
        <v>1.3</v>
      </c>
      <c r="H373" t="n">
        <v>0</v>
      </c>
      <c r="I373" t="n">
        <v>0</v>
      </c>
      <c r="J373" t="n">
        <v>0</v>
      </c>
      <c r="K373" t="n">
        <v>0</v>
      </c>
      <c r="L373" t="n">
        <v>0</v>
      </c>
      <c r="M373" t="n">
        <v>0</v>
      </c>
      <c r="N373" t="n">
        <v>0</v>
      </c>
      <c r="O373" t="n">
        <v>0</v>
      </c>
      <c r="P373" t="n">
        <v>0</v>
      </c>
      <c r="Q373" t="n">
        <v>0</v>
      </c>
      <c r="R373" s="2" t="inlineStr"/>
    </row>
    <row r="374" ht="15" customHeight="1">
      <c r="A374" t="inlineStr">
        <is>
          <t>A 9966-2023</t>
        </is>
      </c>
      <c r="B374" s="1" t="n">
        <v>44979</v>
      </c>
      <c r="C374" s="1" t="n">
        <v>46169</v>
      </c>
      <c r="D374" t="inlineStr">
        <is>
          <t>ÖREBRO LÄN</t>
        </is>
      </c>
      <c r="E374" t="inlineStr">
        <is>
          <t>LINDESBERG</t>
        </is>
      </c>
      <c r="G374" t="n">
        <v>4.1</v>
      </c>
      <c r="H374" t="n">
        <v>0</v>
      </c>
      <c r="I374" t="n">
        <v>0</v>
      </c>
      <c r="J374" t="n">
        <v>0</v>
      </c>
      <c r="K374" t="n">
        <v>0</v>
      </c>
      <c r="L374" t="n">
        <v>0</v>
      </c>
      <c r="M374" t="n">
        <v>0</v>
      </c>
      <c r="N374" t="n">
        <v>0</v>
      </c>
      <c r="O374" t="n">
        <v>0</v>
      </c>
      <c r="P374" t="n">
        <v>0</v>
      </c>
      <c r="Q374" t="n">
        <v>0</v>
      </c>
      <c r="R374" s="2" t="inlineStr"/>
    </row>
    <row r="375" ht="15" customHeight="1">
      <c r="A375" t="inlineStr">
        <is>
          <t>A 54250-2025</t>
        </is>
      </c>
      <c r="B375" s="1" t="n">
        <v>45964.64709490741</v>
      </c>
      <c r="C375" s="1" t="n">
        <v>46169</v>
      </c>
      <c r="D375" t="inlineStr">
        <is>
          <t>ÖREBRO LÄN</t>
        </is>
      </c>
      <c r="E375" t="inlineStr">
        <is>
          <t>LINDESBERG</t>
        </is>
      </c>
      <c r="F375" t="inlineStr">
        <is>
          <t>Sveaskog</t>
        </is>
      </c>
      <c r="G375" t="n">
        <v>4.5</v>
      </c>
      <c r="H375" t="n">
        <v>0</v>
      </c>
      <c r="I375" t="n">
        <v>0</v>
      </c>
      <c r="J375" t="n">
        <v>0</v>
      </c>
      <c r="K375" t="n">
        <v>0</v>
      </c>
      <c r="L375" t="n">
        <v>0</v>
      </c>
      <c r="M375" t="n">
        <v>0</v>
      </c>
      <c r="N375" t="n">
        <v>0</v>
      </c>
      <c r="O375" t="n">
        <v>0</v>
      </c>
      <c r="P375" t="n">
        <v>0</v>
      </c>
      <c r="Q375" t="n">
        <v>0</v>
      </c>
      <c r="R375" s="2" t="inlineStr"/>
    </row>
    <row r="376" ht="15" customHeight="1">
      <c r="A376" t="inlineStr">
        <is>
          <t>A 54251-2025</t>
        </is>
      </c>
      <c r="B376" s="1" t="n">
        <v>45964.64778935185</v>
      </c>
      <c r="C376" s="1" t="n">
        <v>46169</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46169</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44041-2025</t>
        </is>
      </c>
      <c r="B378" s="1" t="n">
        <v>45915.49238425926</v>
      </c>
      <c r="C378" s="1" t="n">
        <v>46169</v>
      </c>
      <c r="D378" t="inlineStr">
        <is>
          <t>ÖREBRO LÄN</t>
        </is>
      </c>
      <c r="E378" t="inlineStr">
        <is>
          <t>LINDESBERG</t>
        </is>
      </c>
      <c r="G378" t="n">
        <v>0.6</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46169</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54240-2025</t>
        </is>
      </c>
      <c r="B380" s="1" t="n">
        <v>45964.62796296296</v>
      </c>
      <c r="C380" s="1" t="n">
        <v>46169</v>
      </c>
      <c r="D380" t="inlineStr">
        <is>
          <t>ÖREBRO LÄN</t>
        </is>
      </c>
      <c r="E380" t="inlineStr">
        <is>
          <t>LINDESBERG</t>
        </is>
      </c>
      <c r="G380" t="n">
        <v>3.9</v>
      </c>
      <c r="H380" t="n">
        <v>0</v>
      </c>
      <c r="I380" t="n">
        <v>0</v>
      </c>
      <c r="J380" t="n">
        <v>0</v>
      </c>
      <c r="K380" t="n">
        <v>0</v>
      </c>
      <c r="L380" t="n">
        <v>0</v>
      </c>
      <c r="M380" t="n">
        <v>0</v>
      </c>
      <c r="N380" t="n">
        <v>0</v>
      </c>
      <c r="O380" t="n">
        <v>0</v>
      </c>
      <c r="P380" t="n">
        <v>0</v>
      </c>
      <c r="Q380" t="n">
        <v>0</v>
      </c>
      <c r="R380" s="2" t="inlineStr"/>
    </row>
    <row r="381" ht="15" customHeight="1">
      <c r="A381" t="inlineStr">
        <is>
          <t>A 43836-2025</t>
        </is>
      </c>
      <c r="B381" s="1" t="n">
        <v>45912.63359953704</v>
      </c>
      <c r="C381" s="1" t="n">
        <v>46169</v>
      </c>
      <c r="D381" t="inlineStr">
        <is>
          <t>ÖREBRO LÄN</t>
        </is>
      </c>
      <c r="E381" t="inlineStr">
        <is>
          <t>LINDESBERG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44067-2025</t>
        </is>
      </c>
      <c r="B382" s="1" t="n">
        <v>45915.54439814815</v>
      </c>
      <c r="C382" s="1" t="n">
        <v>46169</v>
      </c>
      <c r="D382" t="inlineStr">
        <is>
          <t>ÖREBRO LÄN</t>
        </is>
      </c>
      <c r="E382" t="inlineStr">
        <is>
          <t>LINDESBERG</t>
        </is>
      </c>
      <c r="G382" t="n">
        <v>2.8</v>
      </c>
      <c r="H382" t="n">
        <v>0</v>
      </c>
      <c r="I382" t="n">
        <v>0</v>
      </c>
      <c r="J382" t="n">
        <v>0</v>
      </c>
      <c r="K382" t="n">
        <v>0</v>
      </c>
      <c r="L382" t="n">
        <v>0</v>
      </c>
      <c r="M382" t="n">
        <v>0</v>
      </c>
      <c r="N382" t="n">
        <v>0</v>
      </c>
      <c r="O382" t="n">
        <v>0</v>
      </c>
      <c r="P382" t="n">
        <v>0</v>
      </c>
      <c r="Q382" t="n">
        <v>0</v>
      </c>
      <c r="R382" s="2" t="inlineStr"/>
    </row>
    <row r="383" ht="15" customHeight="1">
      <c r="A383" t="inlineStr">
        <is>
          <t>A 44545-2025</t>
        </is>
      </c>
      <c r="B383" s="1" t="n">
        <v>45917.31780092593</v>
      </c>
      <c r="C383" s="1" t="n">
        <v>46169</v>
      </c>
      <c r="D383" t="inlineStr">
        <is>
          <t>ÖREBRO LÄN</t>
        </is>
      </c>
      <c r="E383" t="inlineStr">
        <is>
          <t>LINDESBERG</t>
        </is>
      </c>
      <c r="F383" t="inlineStr">
        <is>
          <t>Kommuner</t>
        </is>
      </c>
      <c r="G383" t="n">
        <v>2.3</v>
      </c>
      <c r="H383" t="n">
        <v>0</v>
      </c>
      <c r="I383" t="n">
        <v>0</v>
      </c>
      <c r="J383" t="n">
        <v>0</v>
      </c>
      <c r="K383" t="n">
        <v>0</v>
      </c>
      <c r="L383" t="n">
        <v>0</v>
      </c>
      <c r="M383" t="n">
        <v>0</v>
      </c>
      <c r="N383" t="n">
        <v>0</v>
      </c>
      <c r="O383" t="n">
        <v>0</v>
      </c>
      <c r="P383" t="n">
        <v>0</v>
      </c>
      <c r="Q383" t="n">
        <v>0</v>
      </c>
      <c r="R383" s="2" t="inlineStr"/>
    </row>
    <row r="384" ht="15" customHeight="1">
      <c r="A384" t="inlineStr">
        <is>
          <t>A 28877-2025</t>
        </is>
      </c>
      <c r="B384" s="1" t="n">
        <v>45820.61684027778</v>
      </c>
      <c r="C384" s="1" t="n">
        <v>46169</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28991-2025</t>
        </is>
      </c>
      <c r="B385" s="1" t="n">
        <v>45821.37199074074</v>
      </c>
      <c r="C385" s="1" t="n">
        <v>46169</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29049-2025</t>
        </is>
      </c>
      <c r="B386" s="1" t="n">
        <v>45821.46135416667</v>
      </c>
      <c r="C386" s="1" t="n">
        <v>46169</v>
      </c>
      <c r="D386" t="inlineStr">
        <is>
          <t>ÖREBRO LÄN</t>
        </is>
      </c>
      <c r="E386" t="inlineStr">
        <is>
          <t>LINDESBERG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29051-2025</t>
        </is>
      </c>
      <c r="B387" s="1" t="n">
        <v>45821.46486111111</v>
      </c>
      <c r="C387" s="1" t="n">
        <v>46169</v>
      </c>
      <c r="D387" t="inlineStr">
        <is>
          <t>ÖREBRO LÄN</t>
        </is>
      </c>
      <c r="E387" t="inlineStr">
        <is>
          <t>LINDESBERG</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29037-2025</t>
        </is>
      </c>
      <c r="B388" s="1" t="n">
        <v>45821.44521990741</v>
      </c>
      <c r="C388" s="1" t="n">
        <v>46169</v>
      </c>
      <c r="D388" t="inlineStr">
        <is>
          <t>ÖREBRO LÄN</t>
        </is>
      </c>
      <c r="E388" t="inlineStr">
        <is>
          <t>LINDESBERG</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60941-2024</t>
        </is>
      </c>
      <c r="B389" s="1" t="n">
        <v>45645.3712037037</v>
      </c>
      <c r="C389" s="1" t="n">
        <v>46169</v>
      </c>
      <c r="D389" t="inlineStr">
        <is>
          <t>ÖREBRO LÄN</t>
        </is>
      </c>
      <c r="E389" t="inlineStr">
        <is>
          <t>LINDESBERG</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56507-2021</t>
        </is>
      </c>
      <c r="B390" s="1" t="n">
        <v>44480.58034722223</v>
      </c>
      <c r="C390" s="1" t="n">
        <v>46169</v>
      </c>
      <c r="D390" t="inlineStr">
        <is>
          <t>ÖREBRO LÄN</t>
        </is>
      </c>
      <c r="E390" t="inlineStr">
        <is>
          <t>LINDESBERG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30341-2025</t>
        </is>
      </c>
      <c r="B391" s="1" t="n">
        <v>45827.51862268519</v>
      </c>
      <c r="C391" s="1" t="n">
        <v>46169</v>
      </c>
      <c r="D391" t="inlineStr">
        <is>
          <t>ÖREBRO LÄN</t>
        </is>
      </c>
      <c r="E391" t="inlineStr">
        <is>
          <t>LINDESBERG</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30000-2025</t>
        </is>
      </c>
      <c r="B392" s="1" t="n">
        <v>45826.52024305556</v>
      </c>
      <c r="C392" s="1" t="n">
        <v>46169</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30381-2025</t>
        </is>
      </c>
      <c r="B393" s="1" t="n">
        <v>45827.56939814815</v>
      </c>
      <c r="C393" s="1" t="n">
        <v>46169</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30340-2025</t>
        </is>
      </c>
      <c r="B394" s="1" t="n">
        <v>45827.51753472222</v>
      </c>
      <c r="C394" s="1" t="n">
        <v>46169</v>
      </c>
      <c r="D394" t="inlineStr">
        <is>
          <t>ÖREBRO LÄN</t>
        </is>
      </c>
      <c r="E394" t="inlineStr">
        <is>
          <t>LINDESBERG</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30342-2025</t>
        </is>
      </c>
      <c r="B395" s="1" t="n">
        <v>45827.51956018519</v>
      </c>
      <c r="C395" s="1" t="n">
        <v>46169</v>
      </c>
      <c r="D395" t="inlineStr">
        <is>
          <t>ÖREBRO LÄN</t>
        </is>
      </c>
      <c r="E395" t="inlineStr">
        <is>
          <t>LINDESBERG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47069-2023</t>
        </is>
      </c>
      <c r="B396" s="1" t="n">
        <v>45201</v>
      </c>
      <c r="C396" s="1" t="n">
        <v>46169</v>
      </c>
      <c r="D396" t="inlineStr">
        <is>
          <t>ÖREBRO LÄN</t>
        </is>
      </c>
      <c r="E396" t="inlineStr">
        <is>
          <t>LINDESBERG</t>
        </is>
      </c>
      <c r="F396" t="inlineStr">
        <is>
          <t>Sveaskog</t>
        </is>
      </c>
      <c r="G396" t="n">
        <v>9.4</v>
      </c>
      <c r="H396" t="n">
        <v>0</v>
      </c>
      <c r="I396" t="n">
        <v>0</v>
      </c>
      <c r="J396" t="n">
        <v>0</v>
      </c>
      <c r="K396" t="n">
        <v>0</v>
      </c>
      <c r="L396" t="n">
        <v>0</v>
      </c>
      <c r="M396" t="n">
        <v>0</v>
      </c>
      <c r="N396" t="n">
        <v>0</v>
      </c>
      <c r="O396" t="n">
        <v>0</v>
      </c>
      <c r="P396" t="n">
        <v>0</v>
      </c>
      <c r="Q396" t="n">
        <v>0</v>
      </c>
      <c r="R396" s="2" t="inlineStr"/>
    </row>
    <row r="397" ht="15" customHeight="1">
      <c r="A397" t="inlineStr">
        <is>
          <t>A 47074-2023</t>
        </is>
      </c>
      <c r="B397" s="1" t="n">
        <v>45201.60283564815</v>
      </c>
      <c r="C397" s="1" t="n">
        <v>46169</v>
      </c>
      <c r="D397" t="inlineStr">
        <is>
          <t>ÖREBRO LÄN</t>
        </is>
      </c>
      <c r="E397" t="inlineStr">
        <is>
          <t>LINDESBERG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4997-2024</t>
        </is>
      </c>
      <c r="B398" s="1" t="n">
        <v>45329</v>
      </c>
      <c r="C398" s="1" t="n">
        <v>46169</v>
      </c>
      <c r="D398" t="inlineStr">
        <is>
          <t>ÖREBRO LÄN</t>
        </is>
      </c>
      <c r="E398" t="inlineStr">
        <is>
          <t>LINDESBERG</t>
        </is>
      </c>
      <c r="F398" t="inlineStr">
        <is>
          <t>BillerudKorsnäs AB</t>
        </is>
      </c>
      <c r="G398" t="n">
        <v>3</v>
      </c>
      <c r="H398" t="n">
        <v>0</v>
      </c>
      <c r="I398" t="n">
        <v>0</v>
      </c>
      <c r="J398" t="n">
        <v>0</v>
      </c>
      <c r="K398" t="n">
        <v>0</v>
      </c>
      <c r="L398" t="n">
        <v>0</v>
      </c>
      <c r="M398" t="n">
        <v>0</v>
      </c>
      <c r="N398" t="n">
        <v>0</v>
      </c>
      <c r="O398" t="n">
        <v>0</v>
      </c>
      <c r="P398" t="n">
        <v>0</v>
      </c>
      <c r="Q398" t="n">
        <v>0</v>
      </c>
      <c r="R398" s="2" t="inlineStr"/>
    </row>
    <row r="399" ht="15" customHeight="1">
      <c r="A399" t="inlineStr">
        <is>
          <t>A 33284-2024</t>
        </is>
      </c>
      <c r="B399" s="1" t="n">
        <v>45518.71721064814</v>
      </c>
      <c r="C399" s="1" t="n">
        <v>46169</v>
      </c>
      <c r="D399" t="inlineStr">
        <is>
          <t>ÖREBRO LÄN</t>
        </is>
      </c>
      <c r="E399" t="inlineStr">
        <is>
          <t>LINDESBERG</t>
        </is>
      </c>
      <c r="G399" t="n">
        <v>1.7</v>
      </c>
      <c r="H399" t="n">
        <v>0</v>
      </c>
      <c r="I399" t="n">
        <v>0</v>
      </c>
      <c r="J399" t="n">
        <v>0</v>
      </c>
      <c r="K399" t="n">
        <v>0</v>
      </c>
      <c r="L399" t="n">
        <v>0</v>
      </c>
      <c r="M399" t="n">
        <v>0</v>
      </c>
      <c r="N399" t="n">
        <v>0</v>
      </c>
      <c r="O399" t="n">
        <v>0</v>
      </c>
      <c r="P399" t="n">
        <v>0</v>
      </c>
      <c r="Q399" t="n">
        <v>0</v>
      </c>
      <c r="R399" s="2" t="inlineStr"/>
    </row>
    <row r="400" ht="15" customHeight="1">
      <c r="A400" t="inlineStr">
        <is>
          <t>A 30339-2025</t>
        </is>
      </c>
      <c r="B400" s="1" t="n">
        <v>45827.51628472222</v>
      </c>
      <c r="C400" s="1" t="n">
        <v>46169</v>
      </c>
      <c r="D400" t="inlineStr">
        <is>
          <t>ÖREBRO LÄN</t>
        </is>
      </c>
      <c r="E400" t="inlineStr">
        <is>
          <t>LINDESBERG</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38696-2024</t>
        </is>
      </c>
      <c r="B401" s="1" t="n">
        <v>45547.36590277778</v>
      </c>
      <c r="C401" s="1" t="n">
        <v>46169</v>
      </c>
      <c r="D401" t="inlineStr">
        <is>
          <t>ÖREBRO LÄN</t>
        </is>
      </c>
      <c r="E401" t="inlineStr">
        <is>
          <t>LINDESBERG</t>
        </is>
      </c>
      <c r="G401" t="n">
        <v>2</v>
      </c>
      <c r="H401" t="n">
        <v>0</v>
      </c>
      <c r="I401" t="n">
        <v>0</v>
      </c>
      <c r="J401" t="n">
        <v>0</v>
      </c>
      <c r="K401" t="n">
        <v>0</v>
      </c>
      <c r="L401" t="n">
        <v>0</v>
      </c>
      <c r="M401" t="n">
        <v>0</v>
      </c>
      <c r="N401" t="n">
        <v>0</v>
      </c>
      <c r="O401" t="n">
        <v>0</v>
      </c>
      <c r="P401" t="n">
        <v>0</v>
      </c>
      <c r="Q401" t="n">
        <v>0</v>
      </c>
      <c r="R401" s="2" t="inlineStr"/>
    </row>
    <row r="402" ht="15" customHeight="1">
      <c r="A402" t="inlineStr">
        <is>
          <t>A 34029-2024</t>
        </is>
      </c>
      <c r="B402" s="1" t="n">
        <v>45523</v>
      </c>
      <c r="C402" s="1" t="n">
        <v>46169</v>
      </c>
      <c r="D402" t="inlineStr">
        <is>
          <t>ÖREBRO LÄN</t>
        </is>
      </c>
      <c r="E402" t="inlineStr">
        <is>
          <t>LINDESBERG</t>
        </is>
      </c>
      <c r="G402" t="n">
        <v>1.9</v>
      </c>
      <c r="H402" t="n">
        <v>0</v>
      </c>
      <c r="I402" t="n">
        <v>0</v>
      </c>
      <c r="J402" t="n">
        <v>0</v>
      </c>
      <c r="K402" t="n">
        <v>0</v>
      </c>
      <c r="L402" t="n">
        <v>0</v>
      </c>
      <c r="M402" t="n">
        <v>0</v>
      </c>
      <c r="N402" t="n">
        <v>0</v>
      </c>
      <c r="O402" t="n">
        <v>0</v>
      </c>
      <c r="P402" t="n">
        <v>0</v>
      </c>
      <c r="Q402" t="n">
        <v>0</v>
      </c>
      <c r="R402" s="2" t="inlineStr"/>
    </row>
    <row r="403" ht="15" customHeight="1">
      <c r="A403" t="inlineStr">
        <is>
          <t>A 19219-2023</t>
        </is>
      </c>
      <c r="B403" s="1" t="n">
        <v>45048</v>
      </c>
      <c r="C403" s="1" t="n">
        <v>46169</v>
      </c>
      <c r="D403" t="inlineStr">
        <is>
          <t>ÖREBRO LÄN</t>
        </is>
      </c>
      <c r="E403" t="inlineStr">
        <is>
          <t>LINDESBERG</t>
        </is>
      </c>
      <c r="G403" t="n">
        <v>1</v>
      </c>
      <c r="H403" t="n">
        <v>0</v>
      </c>
      <c r="I403" t="n">
        <v>0</v>
      </c>
      <c r="J403" t="n">
        <v>0</v>
      </c>
      <c r="K403" t="n">
        <v>0</v>
      </c>
      <c r="L403" t="n">
        <v>0</v>
      </c>
      <c r="M403" t="n">
        <v>0</v>
      </c>
      <c r="N403" t="n">
        <v>0</v>
      </c>
      <c r="O403" t="n">
        <v>0</v>
      </c>
      <c r="P403" t="n">
        <v>0</v>
      </c>
      <c r="Q403" t="n">
        <v>0</v>
      </c>
      <c r="R403" s="2" t="inlineStr"/>
    </row>
    <row r="404" ht="15" customHeight="1">
      <c r="A404" t="inlineStr">
        <is>
          <t>A 1742-2022</t>
        </is>
      </c>
      <c r="B404" s="1" t="n">
        <v>44574.50425925926</v>
      </c>
      <c r="C404" s="1" t="n">
        <v>46169</v>
      </c>
      <c r="D404" t="inlineStr">
        <is>
          <t>ÖREBRO LÄN</t>
        </is>
      </c>
      <c r="E404" t="inlineStr">
        <is>
          <t>LINDESBERG</t>
        </is>
      </c>
      <c r="G404" t="n">
        <v>0.9</v>
      </c>
      <c r="H404" t="n">
        <v>0</v>
      </c>
      <c r="I404" t="n">
        <v>0</v>
      </c>
      <c r="J404" t="n">
        <v>0</v>
      </c>
      <c r="K404" t="n">
        <v>0</v>
      </c>
      <c r="L404" t="n">
        <v>0</v>
      </c>
      <c r="M404" t="n">
        <v>0</v>
      </c>
      <c r="N404" t="n">
        <v>0</v>
      </c>
      <c r="O404" t="n">
        <v>0</v>
      </c>
      <c r="P404" t="n">
        <v>0</v>
      </c>
      <c r="Q404" t="n">
        <v>0</v>
      </c>
      <c r="R404" s="2" t="inlineStr"/>
    </row>
    <row r="405" ht="15" customHeight="1">
      <c r="A405" t="inlineStr">
        <is>
          <t>A 55065-2025</t>
        </is>
      </c>
      <c r="B405" s="1" t="n">
        <v>45967.7096875</v>
      </c>
      <c r="C405" s="1" t="n">
        <v>46169</v>
      </c>
      <c r="D405" t="inlineStr">
        <is>
          <t>ÖREBRO LÄN</t>
        </is>
      </c>
      <c r="E405" t="inlineStr">
        <is>
          <t>LINDESBERG</t>
        </is>
      </c>
      <c r="G405" t="n">
        <v>3.5</v>
      </c>
      <c r="H405" t="n">
        <v>0</v>
      </c>
      <c r="I405" t="n">
        <v>0</v>
      </c>
      <c r="J405" t="n">
        <v>0</v>
      </c>
      <c r="K405" t="n">
        <v>0</v>
      </c>
      <c r="L405" t="n">
        <v>0</v>
      </c>
      <c r="M405" t="n">
        <v>0</v>
      </c>
      <c r="N405" t="n">
        <v>0</v>
      </c>
      <c r="O405" t="n">
        <v>0</v>
      </c>
      <c r="P405" t="n">
        <v>0</v>
      </c>
      <c r="Q405" t="n">
        <v>0</v>
      </c>
      <c r="R405" s="2" t="inlineStr"/>
    </row>
    <row r="406" ht="15" customHeight="1">
      <c r="A406" t="inlineStr">
        <is>
          <t>A 46404-2025</t>
        </is>
      </c>
      <c r="B406" s="1" t="n">
        <v>45925.56173611111</v>
      </c>
      <c r="C406" s="1" t="n">
        <v>46169</v>
      </c>
      <c r="D406" t="inlineStr">
        <is>
          <t>ÖREBRO LÄN</t>
        </is>
      </c>
      <c r="E406" t="inlineStr">
        <is>
          <t>LINDESBERG</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52928-2024</t>
        </is>
      </c>
      <c r="B407" s="1" t="n">
        <v>45610</v>
      </c>
      <c r="C407" s="1" t="n">
        <v>46169</v>
      </c>
      <c r="D407" t="inlineStr">
        <is>
          <t>ÖREBRO LÄN</t>
        </is>
      </c>
      <c r="E407" t="inlineStr">
        <is>
          <t>LINDESBERG</t>
        </is>
      </c>
      <c r="G407" t="n">
        <v>8.6</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46169</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73500-2021</t>
        </is>
      </c>
      <c r="B409" s="1" t="n">
        <v>44551</v>
      </c>
      <c r="C409" s="1" t="n">
        <v>46169</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31220-2025</t>
        </is>
      </c>
      <c r="B410" s="1" t="n">
        <v>45832.76100694444</v>
      </c>
      <c r="C410" s="1" t="n">
        <v>46169</v>
      </c>
      <c r="D410" t="inlineStr">
        <is>
          <t>ÖREBRO LÄN</t>
        </is>
      </c>
      <c r="E410" t="inlineStr">
        <is>
          <t>LINDESBERG</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31221-2025</t>
        </is>
      </c>
      <c r="B411" s="1" t="n">
        <v>45832.76491898148</v>
      </c>
      <c r="C411" s="1" t="n">
        <v>46169</v>
      </c>
      <c r="D411" t="inlineStr">
        <is>
          <t>ÖREBRO LÄN</t>
        </is>
      </c>
      <c r="E411" t="inlineStr">
        <is>
          <t>LINDESBERG</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31000-2025</t>
        </is>
      </c>
      <c r="B412" s="1" t="n">
        <v>45832.49325231482</v>
      </c>
      <c r="C412" s="1" t="n">
        <v>46169</v>
      </c>
      <c r="D412" t="inlineStr">
        <is>
          <t>ÖREBRO LÄN</t>
        </is>
      </c>
      <c r="E412" t="inlineStr">
        <is>
          <t>LINDESBERG</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31018-2025</t>
        </is>
      </c>
      <c r="B413" s="1" t="n">
        <v>45832.51255787037</v>
      </c>
      <c r="C413" s="1" t="n">
        <v>46169</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31049-2025</t>
        </is>
      </c>
      <c r="B414" s="1" t="n">
        <v>45832.55810185185</v>
      </c>
      <c r="C414" s="1" t="n">
        <v>46169</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16864-2022</t>
        </is>
      </c>
      <c r="B415" s="1" t="n">
        <v>44675</v>
      </c>
      <c r="C415" s="1" t="n">
        <v>46169</v>
      </c>
      <c r="D415" t="inlineStr">
        <is>
          <t>ÖREBRO LÄN</t>
        </is>
      </c>
      <c r="E415" t="inlineStr">
        <is>
          <t>LINDESBERG</t>
        </is>
      </c>
      <c r="F415" t="inlineStr">
        <is>
          <t>Kyrkan</t>
        </is>
      </c>
      <c r="G415" t="n">
        <v>1.7</v>
      </c>
      <c r="H415" t="n">
        <v>0</v>
      </c>
      <c r="I415" t="n">
        <v>0</v>
      </c>
      <c r="J415" t="n">
        <v>0</v>
      </c>
      <c r="K415" t="n">
        <v>0</v>
      </c>
      <c r="L415" t="n">
        <v>0</v>
      </c>
      <c r="M415" t="n">
        <v>0</v>
      </c>
      <c r="N415" t="n">
        <v>0</v>
      </c>
      <c r="O415" t="n">
        <v>0</v>
      </c>
      <c r="P415" t="n">
        <v>0</v>
      </c>
      <c r="Q415" t="n">
        <v>0</v>
      </c>
      <c r="R415" s="2" t="inlineStr"/>
    </row>
    <row r="416" ht="15" customHeight="1">
      <c r="A416" t="inlineStr">
        <is>
          <t>A 31213-2025</t>
        </is>
      </c>
      <c r="B416" s="1" t="n">
        <v>45832.72778935185</v>
      </c>
      <c r="C416" s="1" t="n">
        <v>46169</v>
      </c>
      <c r="D416" t="inlineStr">
        <is>
          <t>ÖREBRO LÄN</t>
        </is>
      </c>
      <c r="E416" t="inlineStr">
        <is>
          <t>LINDESBERG</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31085-2025</t>
        </is>
      </c>
      <c r="B417" s="1" t="n">
        <v>45832.5902662037</v>
      </c>
      <c r="C417" s="1" t="n">
        <v>46169</v>
      </c>
      <c r="D417" t="inlineStr">
        <is>
          <t>ÖREBRO LÄN</t>
        </is>
      </c>
      <c r="E417" t="inlineStr">
        <is>
          <t>LINDESBERG</t>
        </is>
      </c>
      <c r="F417" t="inlineStr">
        <is>
          <t>Sveaskog</t>
        </is>
      </c>
      <c r="G417" t="n">
        <v>0.3</v>
      </c>
      <c r="H417" t="n">
        <v>0</v>
      </c>
      <c r="I417" t="n">
        <v>0</v>
      </c>
      <c r="J417" t="n">
        <v>0</v>
      </c>
      <c r="K417" t="n">
        <v>0</v>
      </c>
      <c r="L417" t="n">
        <v>0</v>
      </c>
      <c r="M417" t="n">
        <v>0</v>
      </c>
      <c r="N417" t="n">
        <v>0</v>
      </c>
      <c r="O417" t="n">
        <v>0</v>
      </c>
      <c r="P417" t="n">
        <v>0</v>
      </c>
      <c r="Q417" t="n">
        <v>0</v>
      </c>
      <c r="R417" s="2" t="inlineStr"/>
    </row>
    <row r="418" ht="15" customHeight="1">
      <c r="A418" t="inlineStr">
        <is>
          <t>A 31215-2025</t>
        </is>
      </c>
      <c r="B418" s="1" t="n">
        <v>45832.74418981482</v>
      </c>
      <c r="C418" s="1" t="n">
        <v>46169</v>
      </c>
      <c r="D418" t="inlineStr">
        <is>
          <t>ÖREBRO LÄN</t>
        </is>
      </c>
      <c r="E418" t="inlineStr">
        <is>
          <t>LINDESBERG</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55255-2025</t>
        </is>
      </c>
      <c r="B419" s="1" t="n">
        <v>45968.63695601852</v>
      </c>
      <c r="C419" s="1" t="n">
        <v>46169</v>
      </c>
      <c r="D419" t="inlineStr">
        <is>
          <t>ÖREBRO LÄN</t>
        </is>
      </c>
      <c r="E419" t="inlineStr">
        <is>
          <t>LINDESBERG</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31003-2025</t>
        </is>
      </c>
      <c r="B420" s="1" t="n">
        <v>45832.49579861111</v>
      </c>
      <c r="C420" s="1" t="n">
        <v>46169</v>
      </c>
      <c r="D420" t="inlineStr">
        <is>
          <t>ÖREBRO LÄN</t>
        </is>
      </c>
      <c r="E420" t="inlineStr">
        <is>
          <t>LINDESBERG</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31014-2025</t>
        </is>
      </c>
      <c r="B421" s="1" t="n">
        <v>45832.51028935185</v>
      </c>
      <c r="C421" s="1" t="n">
        <v>46169</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32284-2025</t>
        </is>
      </c>
      <c r="B422" s="1" t="n">
        <v>45835.68443287037</v>
      </c>
      <c r="C422" s="1" t="n">
        <v>46169</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46757-2025</t>
        </is>
      </c>
      <c r="B423" s="1" t="n">
        <v>45926.62039351852</v>
      </c>
      <c r="C423" s="1" t="n">
        <v>46169</v>
      </c>
      <c r="D423" t="inlineStr">
        <is>
          <t>ÖREBRO LÄN</t>
        </is>
      </c>
      <c r="E423" t="inlineStr">
        <is>
          <t>LINDESBERG</t>
        </is>
      </c>
      <c r="G423" t="n">
        <v>7.9</v>
      </c>
      <c r="H423" t="n">
        <v>0</v>
      </c>
      <c r="I423" t="n">
        <v>0</v>
      </c>
      <c r="J423" t="n">
        <v>0</v>
      </c>
      <c r="K423" t="n">
        <v>0</v>
      </c>
      <c r="L423" t="n">
        <v>0</v>
      </c>
      <c r="M423" t="n">
        <v>0</v>
      </c>
      <c r="N423" t="n">
        <v>0</v>
      </c>
      <c r="O423" t="n">
        <v>0</v>
      </c>
      <c r="P423" t="n">
        <v>0</v>
      </c>
      <c r="Q423" t="n">
        <v>0</v>
      </c>
      <c r="R423" s="2" t="inlineStr"/>
    </row>
    <row r="424" ht="15" customHeight="1">
      <c r="A424" t="inlineStr">
        <is>
          <t>A 47678-2025</t>
        </is>
      </c>
      <c r="B424" s="1" t="n">
        <v>45931.57967592592</v>
      </c>
      <c r="C424" s="1" t="n">
        <v>46169</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11953-2024</t>
        </is>
      </c>
      <c r="B425" s="1" t="n">
        <v>45376.70292824074</v>
      </c>
      <c r="C425" s="1" t="n">
        <v>46169</v>
      </c>
      <c r="D425" t="inlineStr">
        <is>
          <t>ÖREBRO LÄN</t>
        </is>
      </c>
      <c r="E425" t="inlineStr">
        <is>
          <t>LINDESBERG</t>
        </is>
      </c>
      <c r="G425" t="n">
        <v>5.7</v>
      </c>
      <c r="H425" t="n">
        <v>0</v>
      </c>
      <c r="I425" t="n">
        <v>0</v>
      </c>
      <c r="J425" t="n">
        <v>0</v>
      </c>
      <c r="K425" t="n">
        <v>0</v>
      </c>
      <c r="L425" t="n">
        <v>0</v>
      </c>
      <c r="M425" t="n">
        <v>0</v>
      </c>
      <c r="N425" t="n">
        <v>0</v>
      </c>
      <c r="O425" t="n">
        <v>0</v>
      </c>
      <c r="P425" t="n">
        <v>0</v>
      </c>
      <c r="Q425" t="n">
        <v>0</v>
      </c>
      <c r="R425" s="2" t="inlineStr"/>
    </row>
    <row r="426" ht="15" customHeight="1">
      <c r="A426" t="inlineStr">
        <is>
          <t>A 50170-2022</t>
        </is>
      </c>
      <c r="B426" s="1" t="n">
        <v>44865.600625</v>
      </c>
      <c r="C426" s="1" t="n">
        <v>46169</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47676-2025</t>
        </is>
      </c>
      <c r="B427" s="1" t="n">
        <v>45931.57756944445</v>
      </c>
      <c r="C427" s="1" t="n">
        <v>46169</v>
      </c>
      <c r="D427" t="inlineStr">
        <is>
          <t>ÖREBRO LÄN</t>
        </is>
      </c>
      <c r="E427" t="inlineStr">
        <is>
          <t>LINDESBERG</t>
        </is>
      </c>
      <c r="G427" t="n">
        <v>0.8</v>
      </c>
      <c r="H427" t="n">
        <v>0</v>
      </c>
      <c r="I427" t="n">
        <v>0</v>
      </c>
      <c r="J427" t="n">
        <v>0</v>
      </c>
      <c r="K427" t="n">
        <v>0</v>
      </c>
      <c r="L427" t="n">
        <v>0</v>
      </c>
      <c r="M427" t="n">
        <v>0</v>
      </c>
      <c r="N427" t="n">
        <v>0</v>
      </c>
      <c r="O427" t="n">
        <v>0</v>
      </c>
      <c r="P427" t="n">
        <v>0</v>
      </c>
      <c r="Q427" t="n">
        <v>0</v>
      </c>
      <c r="R427" s="2" t="inlineStr"/>
    </row>
    <row r="428" ht="15" customHeight="1">
      <c r="A428" t="inlineStr">
        <is>
          <t>A 55477-2025</t>
        </is>
      </c>
      <c r="B428" s="1" t="n">
        <v>45971.56197916667</v>
      </c>
      <c r="C428" s="1" t="n">
        <v>46169</v>
      </c>
      <c r="D428" t="inlineStr">
        <is>
          <t>ÖREBRO LÄN</t>
        </is>
      </c>
      <c r="E428" t="inlineStr">
        <is>
          <t>LINDESBERG</t>
        </is>
      </c>
      <c r="G428" t="n">
        <v>1.2</v>
      </c>
      <c r="H428" t="n">
        <v>0</v>
      </c>
      <c r="I428" t="n">
        <v>0</v>
      </c>
      <c r="J428" t="n">
        <v>0</v>
      </c>
      <c r="K428" t="n">
        <v>0</v>
      </c>
      <c r="L428" t="n">
        <v>0</v>
      </c>
      <c r="M428" t="n">
        <v>0</v>
      </c>
      <c r="N428" t="n">
        <v>0</v>
      </c>
      <c r="O428" t="n">
        <v>0</v>
      </c>
      <c r="P428" t="n">
        <v>0</v>
      </c>
      <c r="Q428" t="n">
        <v>0</v>
      </c>
      <c r="R428" s="2" t="inlineStr"/>
    </row>
    <row r="429" ht="15" customHeight="1">
      <c r="A429" t="inlineStr">
        <is>
          <t>A 55490-2025</t>
        </is>
      </c>
      <c r="B429" s="1" t="n">
        <v>45971.57659722222</v>
      </c>
      <c r="C429" s="1" t="n">
        <v>46169</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28469-2023</t>
        </is>
      </c>
      <c r="B430" s="1" t="n">
        <v>45103</v>
      </c>
      <c r="C430" s="1" t="n">
        <v>46169</v>
      </c>
      <c r="D430" t="inlineStr">
        <is>
          <t>ÖREBRO LÄN</t>
        </is>
      </c>
      <c r="E430" t="inlineStr">
        <is>
          <t>LINDESBERG</t>
        </is>
      </c>
      <c r="G430" t="n">
        <v>0.3</v>
      </c>
      <c r="H430" t="n">
        <v>0</v>
      </c>
      <c r="I430" t="n">
        <v>0</v>
      </c>
      <c r="J430" t="n">
        <v>0</v>
      </c>
      <c r="K430" t="n">
        <v>0</v>
      </c>
      <c r="L430" t="n">
        <v>0</v>
      </c>
      <c r="M430" t="n">
        <v>0</v>
      </c>
      <c r="N430" t="n">
        <v>0</v>
      </c>
      <c r="O430" t="n">
        <v>0</v>
      </c>
      <c r="P430" t="n">
        <v>0</v>
      </c>
      <c r="Q430" t="n">
        <v>0</v>
      </c>
      <c r="R430" s="2" t="inlineStr"/>
    </row>
    <row r="431" ht="15" customHeight="1">
      <c r="A431" t="inlineStr">
        <is>
          <t>A 72706-2021</t>
        </is>
      </c>
      <c r="B431" s="1" t="n">
        <v>44546.67222222222</v>
      </c>
      <c r="C431" s="1" t="n">
        <v>46169</v>
      </c>
      <c r="D431" t="inlineStr">
        <is>
          <t>ÖREBRO LÄN</t>
        </is>
      </c>
      <c r="E431" t="inlineStr">
        <is>
          <t>LINDESBERG</t>
        </is>
      </c>
      <c r="G431" t="n">
        <v>1.7</v>
      </c>
      <c r="H431" t="n">
        <v>0</v>
      </c>
      <c r="I431" t="n">
        <v>0</v>
      </c>
      <c r="J431" t="n">
        <v>0</v>
      </c>
      <c r="K431" t="n">
        <v>0</v>
      </c>
      <c r="L431" t="n">
        <v>0</v>
      </c>
      <c r="M431" t="n">
        <v>0</v>
      </c>
      <c r="N431" t="n">
        <v>0</v>
      </c>
      <c r="O431" t="n">
        <v>0</v>
      </c>
      <c r="P431" t="n">
        <v>0</v>
      </c>
      <c r="Q431" t="n">
        <v>0</v>
      </c>
      <c r="R431" s="2" t="inlineStr"/>
    </row>
    <row r="432" ht="15" customHeight="1">
      <c r="A432" t="inlineStr">
        <is>
          <t>A 45481-2023</t>
        </is>
      </c>
      <c r="B432" s="1" t="n">
        <v>45194</v>
      </c>
      <c r="C432" s="1" t="n">
        <v>46169</v>
      </c>
      <c r="D432" t="inlineStr">
        <is>
          <t>ÖREBRO LÄN</t>
        </is>
      </c>
      <c r="E432" t="inlineStr">
        <is>
          <t>LINDESBERG</t>
        </is>
      </c>
      <c r="G432" t="n">
        <v>2.1</v>
      </c>
      <c r="H432" t="n">
        <v>0</v>
      </c>
      <c r="I432" t="n">
        <v>0</v>
      </c>
      <c r="J432" t="n">
        <v>0</v>
      </c>
      <c r="K432" t="n">
        <v>0</v>
      </c>
      <c r="L432" t="n">
        <v>0</v>
      </c>
      <c r="M432" t="n">
        <v>0</v>
      </c>
      <c r="N432" t="n">
        <v>0</v>
      </c>
      <c r="O432" t="n">
        <v>0</v>
      </c>
      <c r="P432" t="n">
        <v>0</v>
      </c>
      <c r="Q432" t="n">
        <v>0</v>
      </c>
      <c r="R432" s="2" t="inlineStr"/>
    </row>
    <row r="433" ht="15" customHeight="1">
      <c r="A433" t="inlineStr">
        <is>
          <t>A 59766-2022</t>
        </is>
      </c>
      <c r="B433" s="1" t="n">
        <v>44908.49152777778</v>
      </c>
      <c r="C433" s="1" t="n">
        <v>46169</v>
      </c>
      <c r="D433" t="inlineStr">
        <is>
          <t>ÖREBRO LÄN</t>
        </is>
      </c>
      <c r="E433" t="inlineStr">
        <is>
          <t>LINDESBERG</t>
        </is>
      </c>
      <c r="G433" t="n">
        <v>1.1</v>
      </c>
      <c r="H433" t="n">
        <v>0</v>
      </c>
      <c r="I433" t="n">
        <v>0</v>
      </c>
      <c r="J433" t="n">
        <v>0</v>
      </c>
      <c r="K433" t="n">
        <v>0</v>
      </c>
      <c r="L433" t="n">
        <v>0</v>
      </c>
      <c r="M433" t="n">
        <v>0</v>
      </c>
      <c r="N433" t="n">
        <v>0</v>
      </c>
      <c r="O433" t="n">
        <v>0</v>
      </c>
      <c r="P433" t="n">
        <v>0</v>
      </c>
      <c r="Q433" t="n">
        <v>0</v>
      </c>
      <c r="R433" s="2" t="inlineStr"/>
    </row>
    <row r="434" ht="15" customHeight="1">
      <c r="A434" t="inlineStr">
        <is>
          <t>A 27013-2024</t>
        </is>
      </c>
      <c r="B434" s="1" t="n">
        <v>45471.40384259259</v>
      </c>
      <c r="C434" s="1" t="n">
        <v>46169</v>
      </c>
      <c r="D434" t="inlineStr">
        <is>
          <t>ÖREBRO LÄN</t>
        </is>
      </c>
      <c r="E434" t="inlineStr">
        <is>
          <t>LINDESBERG</t>
        </is>
      </c>
      <c r="G434" t="n">
        <v>5.2</v>
      </c>
      <c r="H434" t="n">
        <v>0</v>
      </c>
      <c r="I434" t="n">
        <v>0</v>
      </c>
      <c r="J434" t="n">
        <v>0</v>
      </c>
      <c r="K434" t="n">
        <v>0</v>
      </c>
      <c r="L434" t="n">
        <v>0</v>
      </c>
      <c r="M434" t="n">
        <v>0</v>
      </c>
      <c r="N434" t="n">
        <v>0</v>
      </c>
      <c r="O434" t="n">
        <v>0</v>
      </c>
      <c r="P434" t="n">
        <v>0</v>
      </c>
      <c r="Q434" t="n">
        <v>0</v>
      </c>
      <c r="R434" s="2" t="inlineStr"/>
    </row>
    <row r="435" ht="15" customHeight="1">
      <c r="A435" t="inlineStr">
        <is>
          <t>A 32504-2025</t>
        </is>
      </c>
      <c r="B435" s="1" t="n">
        <v>45838.46456018519</v>
      </c>
      <c r="C435" s="1" t="n">
        <v>46169</v>
      </c>
      <c r="D435" t="inlineStr">
        <is>
          <t>ÖREBRO LÄN</t>
        </is>
      </c>
      <c r="E435" t="inlineStr">
        <is>
          <t>LINDESBERG</t>
        </is>
      </c>
      <c r="F435" t="inlineStr">
        <is>
          <t>Sveaskog</t>
        </is>
      </c>
      <c r="G435" t="n">
        <v>16.9</v>
      </c>
      <c r="H435" t="n">
        <v>0</v>
      </c>
      <c r="I435" t="n">
        <v>0</v>
      </c>
      <c r="J435" t="n">
        <v>0</v>
      </c>
      <c r="K435" t="n">
        <v>0</v>
      </c>
      <c r="L435" t="n">
        <v>0</v>
      </c>
      <c r="M435" t="n">
        <v>0</v>
      </c>
      <c r="N435" t="n">
        <v>0</v>
      </c>
      <c r="O435" t="n">
        <v>0</v>
      </c>
      <c r="P435" t="n">
        <v>0</v>
      </c>
      <c r="Q435" t="n">
        <v>0</v>
      </c>
      <c r="R435" s="2" t="inlineStr"/>
    </row>
    <row r="436" ht="15" customHeight="1">
      <c r="A436" t="inlineStr">
        <is>
          <t>A 32502-2025</t>
        </is>
      </c>
      <c r="B436" s="1" t="n">
        <v>45838.46408564815</v>
      </c>
      <c r="C436" s="1" t="n">
        <v>46169</v>
      </c>
      <c r="D436" t="inlineStr">
        <is>
          <t>ÖREBRO LÄN</t>
        </is>
      </c>
      <c r="E436" t="inlineStr">
        <is>
          <t>LINDESBERG</t>
        </is>
      </c>
      <c r="F436" t="inlineStr">
        <is>
          <t>Sveaskog</t>
        </is>
      </c>
      <c r="G436" t="n">
        <v>17.7</v>
      </c>
      <c r="H436" t="n">
        <v>0</v>
      </c>
      <c r="I436" t="n">
        <v>0</v>
      </c>
      <c r="J436" t="n">
        <v>0</v>
      </c>
      <c r="K436" t="n">
        <v>0</v>
      </c>
      <c r="L436" t="n">
        <v>0</v>
      </c>
      <c r="M436" t="n">
        <v>0</v>
      </c>
      <c r="N436" t="n">
        <v>0</v>
      </c>
      <c r="O436" t="n">
        <v>0</v>
      </c>
      <c r="P436" t="n">
        <v>0</v>
      </c>
      <c r="Q436" t="n">
        <v>0</v>
      </c>
      <c r="R436" s="2" t="inlineStr"/>
    </row>
    <row r="437" ht="15" customHeight="1">
      <c r="A437" t="inlineStr">
        <is>
          <t>A 32727-2024</t>
        </is>
      </c>
      <c r="B437" s="1" t="n">
        <v>45516.4221412037</v>
      </c>
      <c r="C437" s="1" t="n">
        <v>46169</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7990-2025</t>
        </is>
      </c>
      <c r="B438" s="1" t="n">
        <v>45707</v>
      </c>
      <c r="C438" s="1" t="n">
        <v>46169</v>
      </c>
      <c r="D438" t="inlineStr">
        <is>
          <t>ÖREBRO LÄN</t>
        </is>
      </c>
      <c r="E438" t="inlineStr">
        <is>
          <t>LINDESBERG</t>
        </is>
      </c>
      <c r="G438" t="n">
        <v>4.4</v>
      </c>
      <c r="H438" t="n">
        <v>0</v>
      </c>
      <c r="I438" t="n">
        <v>0</v>
      </c>
      <c r="J438" t="n">
        <v>0</v>
      </c>
      <c r="K438" t="n">
        <v>0</v>
      </c>
      <c r="L438" t="n">
        <v>0</v>
      </c>
      <c r="M438" t="n">
        <v>0</v>
      </c>
      <c r="N438" t="n">
        <v>0</v>
      </c>
      <c r="O438" t="n">
        <v>0</v>
      </c>
      <c r="P438" t="n">
        <v>0</v>
      </c>
      <c r="Q438" t="n">
        <v>0</v>
      </c>
      <c r="R438" s="2" t="inlineStr"/>
    </row>
    <row r="439" ht="15" customHeight="1">
      <c r="A439" t="inlineStr">
        <is>
          <t>A 48061-2025</t>
        </is>
      </c>
      <c r="B439" s="1" t="n">
        <v>45932.68006944445</v>
      </c>
      <c r="C439" s="1" t="n">
        <v>46169</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27134-2024</t>
        </is>
      </c>
      <c r="B440" s="1" t="n">
        <v>45471.52878472222</v>
      </c>
      <c r="C440" s="1" t="n">
        <v>46169</v>
      </c>
      <c r="D440" t="inlineStr">
        <is>
          <t>ÖREBRO LÄN</t>
        </is>
      </c>
      <c r="E440" t="inlineStr">
        <is>
          <t>LINDESBERG</t>
        </is>
      </c>
      <c r="G440" t="n">
        <v>0.7</v>
      </c>
      <c r="H440" t="n">
        <v>0</v>
      </c>
      <c r="I440" t="n">
        <v>0</v>
      </c>
      <c r="J440" t="n">
        <v>0</v>
      </c>
      <c r="K440" t="n">
        <v>0</v>
      </c>
      <c r="L440" t="n">
        <v>0</v>
      </c>
      <c r="M440" t="n">
        <v>0</v>
      </c>
      <c r="N440" t="n">
        <v>0</v>
      </c>
      <c r="O440" t="n">
        <v>0</v>
      </c>
      <c r="P440" t="n">
        <v>0</v>
      </c>
      <c r="Q440" t="n">
        <v>0</v>
      </c>
      <c r="R440" s="2" t="inlineStr"/>
    </row>
    <row r="441" ht="15" customHeight="1">
      <c r="A441" t="inlineStr">
        <is>
          <t>A 33046-2025</t>
        </is>
      </c>
      <c r="B441" s="1" t="n">
        <v>45840</v>
      </c>
      <c r="C441" s="1" t="n">
        <v>46169</v>
      </c>
      <c r="D441" t="inlineStr">
        <is>
          <t>ÖREBRO LÄN</t>
        </is>
      </c>
      <c r="E441" t="inlineStr">
        <is>
          <t>LINDESBERG</t>
        </is>
      </c>
      <c r="G441" t="n">
        <v>6.1</v>
      </c>
      <c r="H441" t="n">
        <v>0</v>
      </c>
      <c r="I441" t="n">
        <v>0</v>
      </c>
      <c r="J441" t="n">
        <v>0</v>
      </c>
      <c r="K441" t="n">
        <v>0</v>
      </c>
      <c r="L441" t="n">
        <v>0</v>
      </c>
      <c r="M441" t="n">
        <v>0</v>
      </c>
      <c r="N441" t="n">
        <v>0</v>
      </c>
      <c r="O441" t="n">
        <v>0</v>
      </c>
      <c r="P441" t="n">
        <v>0</v>
      </c>
      <c r="Q441" t="n">
        <v>0</v>
      </c>
      <c r="R441" s="2" t="inlineStr"/>
    </row>
    <row r="442" ht="15" customHeight="1">
      <c r="A442" t="inlineStr">
        <is>
          <t>A 48750-2025</t>
        </is>
      </c>
      <c r="B442" s="1" t="n">
        <v>45936.68452546297</v>
      </c>
      <c r="C442" s="1" t="n">
        <v>46169</v>
      </c>
      <c r="D442" t="inlineStr">
        <is>
          <t>ÖREBRO LÄN</t>
        </is>
      </c>
      <c r="E442" t="inlineStr">
        <is>
          <t>LINDESBERG</t>
        </is>
      </c>
      <c r="G442" t="n">
        <v>2.1</v>
      </c>
      <c r="H442" t="n">
        <v>0</v>
      </c>
      <c r="I442" t="n">
        <v>0</v>
      </c>
      <c r="J442" t="n">
        <v>0</v>
      </c>
      <c r="K442" t="n">
        <v>0</v>
      </c>
      <c r="L442" t="n">
        <v>0</v>
      </c>
      <c r="M442" t="n">
        <v>0</v>
      </c>
      <c r="N442" t="n">
        <v>0</v>
      </c>
      <c r="O442" t="n">
        <v>0</v>
      </c>
      <c r="P442" t="n">
        <v>0</v>
      </c>
      <c r="Q442" t="n">
        <v>0</v>
      </c>
      <c r="R442" s="2" t="inlineStr"/>
    </row>
    <row r="443" ht="15" customHeight="1">
      <c r="A443" t="inlineStr">
        <is>
          <t>A 36121-2023</t>
        </is>
      </c>
      <c r="B443" s="1" t="n">
        <v>45148</v>
      </c>
      <c r="C443" s="1" t="n">
        <v>46169</v>
      </c>
      <c r="D443" t="inlineStr">
        <is>
          <t>ÖREBRO LÄN</t>
        </is>
      </c>
      <c r="E443" t="inlineStr">
        <is>
          <t>LINDESBERG</t>
        </is>
      </c>
      <c r="G443" t="n">
        <v>7.1</v>
      </c>
      <c r="H443" t="n">
        <v>0</v>
      </c>
      <c r="I443" t="n">
        <v>0</v>
      </c>
      <c r="J443" t="n">
        <v>0</v>
      </c>
      <c r="K443" t="n">
        <v>0</v>
      </c>
      <c r="L443" t="n">
        <v>0</v>
      </c>
      <c r="M443" t="n">
        <v>0</v>
      </c>
      <c r="N443" t="n">
        <v>0</v>
      </c>
      <c r="O443" t="n">
        <v>0</v>
      </c>
      <c r="P443" t="n">
        <v>0</v>
      </c>
      <c r="Q443" t="n">
        <v>0</v>
      </c>
      <c r="R443" s="2" t="inlineStr"/>
    </row>
    <row r="444" ht="15" customHeight="1">
      <c r="A444" t="inlineStr">
        <is>
          <t>A 48620-2025</t>
        </is>
      </c>
      <c r="B444" s="1" t="n">
        <v>45936.49210648148</v>
      </c>
      <c r="C444" s="1" t="n">
        <v>46169</v>
      </c>
      <c r="D444" t="inlineStr">
        <is>
          <t>ÖREBRO LÄN</t>
        </is>
      </c>
      <c r="E444" t="inlineStr">
        <is>
          <t>LINDESBERG</t>
        </is>
      </c>
      <c r="F444" t="inlineStr">
        <is>
          <t>Sveaskog</t>
        </is>
      </c>
      <c r="G444" t="n">
        <v>5.2</v>
      </c>
      <c r="H444" t="n">
        <v>0</v>
      </c>
      <c r="I444" t="n">
        <v>0</v>
      </c>
      <c r="J444" t="n">
        <v>0</v>
      </c>
      <c r="K444" t="n">
        <v>0</v>
      </c>
      <c r="L444" t="n">
        <v>0</v>
      </c>
      <c r="M444" t="n">
        <v>0</v>
      </c>
      <c r="N444" t="n">
        <v>0</v>
      </c>
      <c r="O444" t="n">
        <v>0</v>
      </c>
      <c r="P444" t="n">
        <v>0</v>
      </c>
      <c r="Q444" t="n">
        <v>0</v>
      </c>
      <c r="R444" s="2" t="inlineStr"/>
    </row>
    <row r="445" ht="15" customHeight="1">
      <c r="A445" t="inlineStr">
        <is>
          <t>A 36280-2023</t>
        </is>
      </c>
      <c r="B445" s="1" t="n">
        <v>45152.34586805556</v>
      </c>
      <c r="C445" s="1" t="n">
        <v>46169</v>
      </c>
      <c r="D445" t="inlineStr">
        <is>
          <t>ÖREBRO LÄN</t>
        </is>
      </c>
      <c r="E445" t="inlineStr">
        <is>
          <t>LINDESBERG</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48497-2025</t>
        </is>
      </c>
      <c r="B446" s="1" t="n">
        <v>45936.37523148148</v>
      </c>
      <c r="C446" s="1" t="n">
        <v>46169</v>
      </c>
      <c r="D446" t="inlineStr">
        <is>
          <t>ÖREBRO LÄN</t>
        </is>
      </c>
      <c r="E446" t="inlineStr">
        <is>
          <t>LINDESBERG</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48489-2025</t>
        </is>
      </c>
      <c r="B447" s="1" t="n">
        <v>45936.36637731481</v>
      </c>
      <c r="C447" s="1" t="n">
        <v>46169</v>
      </c>
      <c r="D447" t="inlineStr">
        <is>
          <t>ÖREBRO LÄN</t>
        </is>
      </c>
      <c r="E447" t="inlineStr">
        <is>
          <t>LINDESBERG</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44449-2023</t>
        </is>
      </c>
      <c r="B448" s="1" t="n">
        <v>45189.38135416667</v>
      </c>
      <c r="C448" s="1" t="n">
        <v>46169</v>
      </c>
      <c r="D448" t="inlineStr">
        <is>
          <t>ÖREBRO LÄN</t>
        </is>
      </c>
      <c r="E448" t="inlineStr">
        <is>
          <t>LINDESBERG</t>
        </is>
      </c>
      <c r="G448" t="n">
        <v>13.7</v>
      </c>
      <c r="H448" t="n">
        <v>0</v>
      </c>
      <c r="I448" t="n">
        <v>0</v>
      </c>
      <c r="J448" t="n">
        <v>0</v>
      </c>
      <c r="K448" t="n">
        <v>0</v>
      </c>
      <c r="L448" t="n">
        <v>0</v>
      </c>
      <c r="M448" t="n">
        <v>0</v>
      </c>
      <c r="N448" t="n">
        <v>0</v>
      </c>
      <c r="O448" t="n">
        <v>0</v>
      </c>
      <c r="P448" t="n">
        <v>0</v>
      </c>
      <c r="Q448" t="n">
        <v>0</v>
      </c>
      <c r="R448" s="2" t="inlineStr"/>
    </row>
    <row r="449" ht="15" customHeight="1">
      <c r="A449" t="inlineStr">
        <is>
          <t>A 48618-2025</t>
        </is>
      </c>
      <c r="B449" s="1" t="n">
        <v>45936.49026620371</v>
      </c>
      <c r="C449" s="1" t="n">
        <v>46169</v>
      </c>
      <c r="D449" t="inlineStr">
        <is>
          <t>ÖREBRO LÄN</t>
        </is>
      </c>
      <c r="E449" t="inlineStr">
        <is>
          <t>LINDESBERG</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48495-2025</t>
        </is>
      </c>
      <c r="B450" s="1" t="n">
        <v>45936.37237268518</v>
      </c>
      <c r="C450" s="1" t="n">
        <v>46169</v>
      </c>
      <c r="D450" t="inlineStr">
        <is>
          <t>ÖREBRO LÄN</t>
        </is>
      </c>
      <c r="E450" t="inlineStr">
        <is>
          <t>LINDESBERG</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34004-2025</t>
        </is>
      </c>
      <c r="B451" s="1" t="n">
        <v>45844.5775</v>
      </c>
      <c r="C451" s="1" t="n">
        <v>46169</v>
      </c>
      <c r="D451" t="inlineStr">
        <is>
          <t>ÖREBRO LÄN</t>
        </is>
      </c>
      <c r="E451" t="inlineStr">
        <is>
          <t>LINDESBERG</t>
        </is>
      </c>
      <c r="F451" t="inlineStr">
        <is>
          <t>Sveaskog</t>
        </is>
      </c>
      <c r="G451" t="n">
        <v>3.4</v>
      </c>
      <c r="H451" t="n">
        <v>0</v>
      </c>
      <c r="I451" t="n">
        <v>0</v>
      </c>
      <c r="J451" t="n">
        <v>0</v>
      </c>
      <c r="K451" t="n">
        <v>0</v>
      </c>
      <c r="L451" t="n">
        <v>0</v>
      </c>
      <c r="M451" t="n">
        <v>0</v>
      </c>
      <c r="N451" t="n">
        <v>0</v>
      </c>
      <c r="O451" t="n">
        <v>0</v>
      </c>
      <c r="P451" t="n">
        <v>0</v>
      </c>
      <c r="Q451" t="n">
        <v>0</v>
      </c>
      <c r="R451" s="2" t="inlineStr"/>
    </row>
    <row r="452" ht="15" customHeight="1">
      <c r="A452" t="inlineStr">
        <is>
          <t>A 34104-2025</t>
        </is>
      </c>
      <c r="B452" s="1" t="n">
        <v>45845.49216435185</v>
      </c>
      <c r="C452" s="1" t="n">
        <v>46169</v>
      </c>
      <c r="D452" t="inlineStr">
        <is>
          <t>ÖREBRO LÄN</t>
        </is>
      </c>
      <c r="E452" t="inlineStr">
        <is>
          <t>LINDESBERG</t>
        </is>
      </c>
      <c r="G452" t="n">
        <v>1</v>
      </c>
      <c r="H452" t="n">
        <v>0</v>
      </c>
      <c r="I452" t="n">
        <v>0</v>
      </c>
      <c r="J452" t="n">
        <v>0</v>
      </c>
      <c r="K452" t="n">
        <v>0</v>
      </c>
      <c r="L452" t="n">
        <v>0</v>
      </c>
      <c r="M452" t="n">
        <v>0</v>
      </c>
      <c r="N452" t="n">
        <v>0</v>
      </c>
      <c r="O452" t="n">
        <v>0</v>
      </c>
      <c r="P452" t="n">
        <v>0</v>
      </c>
      <c r="Q452" t="n">
        <v>0</v>
      </c>
      <c r="R452" s="2" t="inlineStr"/>
    </row>
    <row r="453" ht="15" customHeight="1">
      <c r="A453" t="inlineStr">
        <is>
          <t>A 48867-2025</t>
        </is>
      </c>
      <c r="B453" s="1" t="n">
        <v>45937.4484837963</v>
      </c>
      <c r="C453" s="1" t="n">
        <v>46169</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48953-2025</t>
        </is>
      </c>
      <c r="B454" s="1" t="n">
        <v>45937.54697916667</v>
      </c>
      <c r="C454" s="1" t="n">
        <v>46169</v>
      </c>
      <c r="D454" t="inlineStr">
        <is>
          <t>ÖREBRO LÄN</t>
        </is>
      </c>
      <c r="E454" t="inlineStr">
        <is>
          <t>LINDESBERG</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2103-2022</t>
        </is>
      </c>
      <c r="B455" s="1" t="n">
        <v>44577.81121527778</v>
      </c>
      <c r="C455" s="1" t="n">
        <v>46169</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48971-2025</t>
        </is>
      </c>
      <c r="B456" s="1" t="n">
        <v>45937.56420138889</v>
      </c>
      <c r="C456" s="1" t="n">
        <v>46169</v>
      </c>
      <c r="D456" t="inlineStr">
        <is>
          <t>ÖREBRO LÄN</t>
        </is>
      </c>
      <c r="E456" t="inlineStr">
        <is>
          <t>LINDESBERG</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48975-2025</t>
        </is>
      </c>
      <c r="B457" s="1" t="n">
        <v>45937.56798611111</v>
      </c>
      <c r="C457" s="1" t="n">
        <v>46169</v>
      </c>
      <c r="D457" t="inlineStr">
        <is>
          <t>ÖREBRO LÄN</t>
        </is>
      </c>
      <c r="E457" t="inlineStr">
        <is>
          <t>LINDESBERG</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33574-2024</t>
        </is>
      </c>
      <c r="B458" s="1" t="n">
        <v>45520.32887731482</v>
      </c>
      <c r="C458" s="1" t="n">
        <v>46169</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13968-2025</t>
        </is>
      </c>
      <c r="B459" s="1" t="n">
        <v>45738.42981481482</v>
      </c>
      <c r="C459" s="1" t="n">
        <v>46169</v>
      </c>
      <c r="D459" t="inlineStr">
        <is>
          <t>ÖREBRO LÄN</t>
        </is>
      </c>
      <c r="E459" t="inlineStr">
        <is>
          <t>LINDESBERG</t>
        </is>
      </c>
      <c r="G459" t="n">
        <v>1.5</v>
      </c>
      <c r="H459" t="n">
        <v>0</v>
      </c>
      <c r="I459" t="n">
        <v>0</v>
      </c>
      <c r="J459" t="n">
        <v>0</v>
      </c>
      <c r="K459" t="n">
        <v>0</v>
      </c>
      <c r="L459" t="n">
        <v>0</v>
      </c>
      <c r="M459" t="n">
        <v>0</v>
      </c>
      <c r="N459" t="n">
        <v>0</v>
      </c>
      <c r="O459" t="n">
        <v>0</v>
      </c>
      <c r="P459" t="n">
        <v>0</v>
      </c>
      <c r="Q459" t="n">
        <v>0</v>
      </c>
      <c r="R459" s="2" t="inlineStr"/>
    </row>
    <row r="460" ht="15" customHeight="1">
      <c r="A460" t="inlineStr">
        <is>
          <t>A 49100-2025</t>
        </is>
      </c>
      <c r="B460" s="1" t="n">
        <v>45937.71556712963</v>
      </c>
      <c r="C460" s="1" t="n">
        <v>46169</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49133-2025</t>
        </is>
      </c>
      <c r="B461" s="1" t="n">
        <v>45937.92319444445</v>
      </c>
      <c r="C461" s="1" t="n">
        <v>46169</v>
      </c>
      <c r="D461" t="inlineStr">
        <is>
          <t>ÖREBRO LÄN</t>
        </is>
      </c>
      <c r="E461" t="inlineStr">
        <is>
          <t>LINDESBERG</t>
        </is>
      </c>
      <c r="G461" t="n">
        <v>5</v>
      </c>
      <c r="H461" t="n">
        <v>0</v>
      </c>
      <c r="I461" t="n">
        <v>0</v>
      </c>
      <c r="J461" t="n">
        <v>0</v>
      </c>
      <c r="K461" t="n">
        <v>0</v>
      </c>
      <c r="L461" t="n">
        <v>0</v>
      </c>
      <c r="M461" t="n">
        <v>0</v>
      </c>
      <c r="N461" t="n">
        <v>0</v>
      </c>
      <c r="O461" t="n">
        <v>0</v>
      </c>
      <c r="P461" t="n">
        <v>0</v>
      </c>
      <c r="Q461" t="n">
        <v>0</v>
      </c>
      <c r="R461" s="2" t="inlineStr"/>
    </row>
    <row r="462" ht="15" customHeight="1">
      <c r="A462" t="inlineStr">
        <is>
          <t>A 33424-2024</t>
        </is>
      </c>
      <c r="B462" s="1" t="n">
        <v>45519.51627314815</v>
      </c>
      <c r="C462" s="1" t="n">
        <v>46169</v>
      </c>
      <c r="D462" t="inlineStr">
        <is>
          <t>ÖREBRO LÄN</t>
        </is>
      </c>
      <c r="E462" t="inlineStr">
        <is>
          <t>LINDESBERG</t>
        </is>
      </c>
      <c r="F462" t="inlineStr">
        <is>
          <t>Sveaskog</t>
        </is>
      </c>
      <c r="G462" t="n">
        <v>0.1</v>
      </c>
      <c r="H462" t="n">
        <v>0</v>
      </c>
      <c r="I462" t="n">
        <v>0</v>
      </c>
      <c r="J462" t="n">
        <v>0</v>
      </c>
      <c r="K462" t="n">
        <v>0</v>
      </c>
      <c r="L462" t="n">
        <v>0</v>
      </c>
      <c r="M462" t="n">
        <v>0</v>
      </c>
      <c r="N462" t="n">
        <v>0</v>
      </c>
      <c r="O462" t="n">
        <v>0</v>
      </c>
      <c r="P462" t="n">
        <v>0</v>
      </c>
      <c r="Q462" t="n">
        <v>0</v>
      </c>
      <c r="R462" s="2" t="inlineStr"/>
    </row>
    <row r="463" ht="15" customHeight="1">
      <c r="A463" t="inlineStr">
        <is>
          <t>A 57911-2022</t>
        </is>
      </c>
      <c r="B463" s="1" t="n">
        <v>44900.36149305556</v>
      </c>
      <c r="C463" s="1" t="n">
        <v>46169</v>
      </c>
      <c r="D463" t="inlineStr">
        <is>
          <t>ÖREBRO LÄN</t>
        </is>
      </c>
      <c r="E463" t="inlineStr">
        <is>
          <t>LINDESBERG</t>
        </is>
      </c>
      <c r="G463" t="n">
        <v>4.9</v>
      </c>
      <c r="H463" t="n">
        <v>0</v>
      </c>
      <c r="I463" t="n">
        <v>0</v>
      </c>
      <c r="J463" t="n">
        <v>0</v>
      </c>
      <c r="K463" t="n">
        <v>0</v>
      </c>
      <c r="L463" t="n">
        <v>0</v>
      </c>
      <c r="M463" t="n">
        <v>0</v>
      </c>
      <c r="N463" t="n">
        <v>0</v>
      </c>
      <c r="O463" t="n">
        <v>0</v>
      </c>
      <c r="P463" t="n">
        <v>0</v>
      </c>
      <c r="Q463" t="n">
        <v>0</v>
      </c>
      <c r="R463" s="2" t="inlineStr"/>
    </row>
    <row r="464" ht="15" customHeight="1">
      <c r="A464" t="inlineStr">
        <is>
          <t>A 34002-2025</t>
        </is>
      </c>
      <c r="B464" s="1" t="n">
        <v>45844.57328703703</v>
      </c>
      <c r="C464" s="1" t="n">
        <v>46169</v>
      </c>
      <c r="D464" t="inlineStr">
        <is>
          <t>ÖREBRO LÄN</t>
        </is>
      </c>
      <c r="E464" t="inlineStr">
        <is>
          <t>LINDESBERG</t>
        </is>
      </c>
      <c r="F464" t="inlineStr">
        <is>
          <t>Sveaskog</t>
        </is>
      </c>
      <c r="G464" t="n">
        <v>4.6</v>
      </c>
      <c r="H464" t="n">
        <v>0</v>
      </c>
      <c r="I464" t="n">
        <v>0</v>
      </c>
      <c r="J464" t="n">
        <v>0</v>
      </c>
      <c r="K464" t="n">
        <v>0</v>
      </c>
      <c r="L464" t="n">
        <v>0</v>
      </c>
      <c r="M464" t="n">
        <v>0</v>
      </c>
      <c r="N464" t="n">
        <v>0</v>
      </c>
      <c r="O464" t="n">
        <v>0</v>
      </c>
      <c r="P464" t="n">
        <v>0</v>
      </c>
      <c r="Q464" t="n">
        <v>0</v>
      </c>
      <c r="R464" s="2" t="inlineStr"/>
    </row>
    <row r="465" ht="15" customHeight="1">
      <c r="A465" t="inlineStr">
        <is>
          <t>A 34003-2025</t>
        </is>
      </c>
      <c r="B465" s="1" t="n">
        <v>45844.57527777777</v>
      </c>
      <c r="C465" s="1" t="n">
        <v>46169</v>
      </c>
      <c r="D465" t="inlineStr">
        <is>
          <t>ÖREBRO LÄN</t>
        </is>
      </c>
      <c r="E465" t="inlineStr">
        <is>
          <t>LINDESBERG</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34097-2025</t>
        </is>
      </c>
      <c r="B466" s="1" t="n">
        <v>45845.4855787037</v>
      </c>
      <c r="C466" s="1" t="n">
        <v>46169</v>
      </c>
      <c r="D466" t="inlineStr">
        <is>
          <t>ÖREBRO LÄN</t>
        </is>
      </c>
      <c r="E466" t="inlineStr">
        <is>
          <t>LINDESBERG</t>
        </is>
      </c>
      <c r="G466" t="n">
        <v>1.2</v>
      </c>
      <c r="H466" t="n">
        <v>0</v>
      </c>
      <c r="I466" t="n">
        <v>0</v>
      </c>
      <c r="J466" t="n">
        <v>0</v>
      </c>
      <c r="K466" t="n">
        <v>0</v>
      </c>
      <c r="L466" t="n">
        <v>0</v>
      </c>
      <c r="M466" t="n">
        <v>0</v>
      </c>
      <c r="N466" t="n">
        <v>0</v>
      </c>
      <c r="O466" t="n">
        <v>0</v>
      </c>
      <c r="P466" t="n">
        <v>0</v>
      </c>
      <c r="Q466" t="n">
        <v>0</v>
      </c>
      <c r="R466" s="2" t="inlineStr"/>
    </row>
    <row r="467" ht="15" customHeight="1">
      <c r="A467" t="inlineStr">
        <is>
          <t>A 27702-2025</t>
        </is>
      </c>
      <c r="B467" s="1" t="n">
        <v>45813</v>
      </c>
      <c r="C467" s="1" t="n">
        <v>46169</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28032-2023</t>
        </is>
      </c>
      <c r="B468" s="1" t="n">
        <v>45099</v>
      </c>
      <c r="C468" s="1" t="n">
        <v>46169</v>
      </c>
      <c r="D468" t="inlineStr">
        <is>
          <t>ÖREBRO LÄN</t>
        </is>
      </c>
      <c r="E468" t="inlineStr">
        <is>
          <t>LINDESBERG</t>
        </is>
      </c>
      <c r="F468" t="inlineStr">
        <is>
          <t>Kyrkan</t>
        </is>
      </c>
      <c r="G468" t="n">
        <v>0.7</v>
      </c>
      <c r="H468" t="n">
        <v>0</v>
      </c>
      <c r="I468" t="n">
        <v>0</v>
      </c>
      <c r="J468" t="n">
        <v>0</v>
      </c>
      <c r="K468" t="n">
        <v>0</v>
      </c>
      <c r="L468" t="n">
        <v>0</v>
      </c>
      <c r="M468" t="n">
        <v>0</v>
      </c>
      <c r="N468" t="n">
        <v>0</v>
      </c>
      <c r="O468" t="n">
        <v>0</v>
      </c>
      <c r="P468" t="n">
        <v>0</v>
      </c>
      <c r="Q468" t="n">
        <v>0</v>
      </c>
      <c r="R468" s="2" t="inlineStr"/>
    </row>
    <row r="469" ht="15" customHeight="1">
      <c r="A469" t="inlineStr">
        <is>
          <t>A 62608-2021</t>
        </is>
      </c>
      <c r="B469" s="1" t="n">
        <v>44503</v>
      </c>
      <c r="C469" s="1" t="n">
        <v>46169</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48993-2025</t>
        </is>
      </c>
      <c r="B470" s="1" t="n">
        <v>45937.58590277778</v>
      </c>
      <c r="C470" s="1" t="n">
        <v>46169</v>
      </c>
      <c r="D470" t="inlineStr">
        <is>
          <t>ÖREBRO LÄN</t>
        </is>
      </c>
      <c r="E470" t="inlineStr">
        <is>
          <t>LINDESBERG</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34267-2025</t>
        </is>
      </c>
      <c r="B471" s="1" t="n">
        <v>45845.76005787037</v>
      </c>
      <c r="C471" s="1" t="n">
        <v>46169</v>
      </c>
      <c r="D471" t="inlineStr">
        <is>
          <t>ÖREBRO LÄN</t>
        </is>
      </c>
      <c r="E471" t="inlineStr">
        <is>
          <t>LINDESBERG</t>
        </is>
      </c>
      <c r="G471" t="n">
        <v>4.6</v>
      </c>
      <c r="H471" t="n">
        <v>0</v>
      </c>
      <c r="I471" t="n">
        <v>0</v>
      </c>
      <c r="J471" t="n">
        <v>0</v>
      </c>
      <c r="K471" t="n">
        <v>0</v>
      </c>
      <c r="L471" t="n">
        <v>0</v>
      </c>
      <c r="M471" t="n">
        <v>0</v>
      </c>
      <c r="N471" t="n">
        <v>0</v>
      </c>
      <c r="O471" t="n">
        <v>0</v>
      </c>
      <c r="P471" t="n">
        <v>0</v>
      </c>
      <c r="Q471" t="n">
        <v>0</v>
      </c>
      <c r="R471" s="2" t="inlineStr"/>
    </row>
    <row r="472" ht="15" customHeight="1">
      <c r="A472" t="inlineStr">
        <is>
          <t>A 34264-2025</t>
        </is>
      </c>
      <c r="B472" s="1" t="n">
        <v>45845.75200231482</v>
      </c>
      <c r="C472" s="1" t="n">
        <v>46169</v>
      </c>
      <c r="D472" t="inlineStr">
        <is>
          <t>ÖREBRO LÄN</t>
        </is>
      </c>
      <c r="E472" t="inlineStr">
        <is>
          <t>LINDESBERG</t>
        </is>
      </c>
      <c r="G472" t="n">
        <v>3.9</v>
      </c>
      <c r="H472" t="n">
        <v>0</v>
      </c>
      <c r="I472" t="n">
        <v>0</v>
      </c>
      <c r="J472" t="n">
        <v>0</v>
      </c>
      <c r="K472" t="n">
        <v>0</v>
      </c>
      <c r="L472" t="n">
        <v>0</v>
      </c>
      <c r="M472" t="n">
        <v>0</v>
      </c>
      <c r="N472" t="n">
        <v>0</v>
      </c>
      <c r="O472" t="n">
        <v>0</v>
      </c>
      <c r="P472" t="n">
        <v>0</v>
      </c>
      <c r="Q472" t="n">
        <v>0</v>
      </c>
      <c r="R472" s="2" t="inlineStr"/>
    </row>
    <row r="473" ht="15" customHeight="1">
      <c r="A473" t="inlineStr">
        <is>
          <t>A 73860-2021</t>
        </is>
      </c>
      <c r="B473" s="1" t="n">
        <v>44553.35407407407</v>
      </c>
      <c r="C473" s="1" t="n">
        <v>46169</v>
      </c>
      <c r="D473" t="inlineStr">
        <is>
          <t>ÖREBRO LÄN</t>
        </is>
      </c>
      <c r="E473" t="inlineStr">
        <is>
          <t>LINDESBERG</t>
        </is>
      </c>
      <c r="G473" t="n">
        <v>12.7</v>
      </c>
      <c r="H473" t="n">
        <v>0</v>
      </c>
      <c r="I473" t="n">
        <v>0</v>
      </c>
      <c r="J473" t="n">
        <v>0</v>
      </c>
      <c r="K473" t="n">
        <v>0</v>
      </c>
      <c r="L473" t="n">
        <v>0</v>
      </c>
      <c r="M473" t="n">
        <v>0</v>
      </c>
      <c r="N473" t="n">
        <v>0</v>
      </c>
      <c r="O473" t="n">
        <v>0</v>
      </c>
      <c r="P473" t="n">
        <v>0</v>
      </c>
      <c r="Q473" t="n">
        <v>0</v>
      </c>
      <c r="R473" s="2" t="inlineStr"/>
    </row>
    <row r="474" ht="15" customHeight="1">
      <c r="A474" t="inlineStr">
        <is>
          <t>A 49183-2025</t>
        </is>
      </c>
      <c r="B474" s="1" t="n">
        <v>45938.39741898148</v>
      </c>
      <c r="C474" s="1" t="n">
        <v>46169</v>
      </c>
      <c r="D474" t="inlineStr">
        <is>
          <t>ÖREBRO LÄN</t>
        </is>
      </c>
      <c r="E474" t="inlineStr">
        <is>
          <t>LINDESBERG</t>
        </is>
      </c>
      <c r="G474" t="n">
        <v>4.4</v>
      </c>
      <c r="H474" t="n">
        <v>0</v>
      </c>
      <c r="I474" t="n">
        <v>0</v>
      </c>
      <c r="J474" t="n">
        <v>0</v>
      </c>
      <c r="K474" t="n">
        <v>0</v>
      </c>
      <c r="L474" t="n">
        <v>0</v>
      </c>
      <c r="M474" t="n">
        <v>0</v>
      </c>
      <c r="N474" t="n">
        <v>0</v>
      </c>
      <c r="O474" t="n">
        <v>0</v>
      </c>
      <c r="P474" t="n">
        <v>0</v>
      </c>
      <c r="Q474" t="n">
        <v>0</v>
      </c>
      <c r="R474" s="2" t="inlineStr"/>
    </row>
    <row r="475" ht="15" customHeight="1">
      <c r="A475" t="inlineStr">
        <is>
          <t>A 49094-2024</t>
        </is>
      </c>
      <c r="B475" s="1" t="n">
        <v>45594.63747685185</v>
      </c>
      <c r="C475" s="1" t="n">
        <v>46169</v>
      </c>
      <c r="D475" t="inlineStr">
        <is>
          <t>ÖREBRO LÄN</t>
        </is>
      </c>
      <c r="E475" t="inlineStr">
        <is>
          <t>LINDESBERG</t>
        </is>
      </c>
      <c r="G475" t="n">
        <v>3.8</v>
      </c>
      <c r="H475" t="n">
        <v>0</v>
      </c>
      <c r="I475" t="n">
        <v>0</v>
      </c>
      <c r="J475" t="n">
        <v>0</v>
      </c>
      <c r="K475" t="n">
        <v>0</v>
      </c>
      <c r="L475" t="n">
        <v>0</v>
      </c>
      <c r="M475" t="n">
        <v>0</v>
      </c>
      <c r="N475" t="n">
        <v>0</v>
      </c>
      <c r="O475" t="n">
        <v>0</v>
      </c>
      <c r="P475" t="n">
        <v>0</v>
      </c>
      <c r="Q475" t="n">
        <v>0</v>
      </c>
      <c r="R475" s="2" t="inlineStr"/>
    </row>
    <row r="476" ht="15" customHeight="1">
      <c r="A476" t="inlineStr">
        <is>
          <t>A 3803-2023</t>
        </is>
      </c>
      <c r="B476" s="1" t="n">
        <v>44951.5830324074</v>
      </c>
      <c r="C476" s="1" t="n">
        <v>46169</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49707-2025</t>
        </is>
      </c>
      <c r="B477" s="1" t="n">
        <v>45939.67951388889</v>
      </c>
      <c r="C477" s="1" t="n">
        <v>46169</v>
      </c>
      <c r="D477" t="inlineStr">
        <is>
          <t>ÖREBRO LÄN</t>
        </is>
      </c>
      <c r="E477" t="inlineStr">
        <is>
          <t>LINDESBERG</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11581-2024</t>
        </is>
      </c>
      <c r="B478" s="1" t="n">
        <v>45373.34383101852</v>
      </c>
      <c r="C478" s="1" t="n">
        <v>46169</v>
      </c>
      <c r="D478" t="inlineStr">
        <is>
          <t>ÖREBRO LÄN</t>
        </is>
      </c>
      <c r="E478" t="inlineStr">
        <is>
          <t>LINDESBERG</t>
        </is>
      </c>
      <c r="F478" t="inlineStr">
        <is>
          <t>BillerudKorsnäs AB</t>
        </is>
      </c>
      <c r="G478" t="n">
        <v>3.9</v>
      </c>
      <c r="H478" t="n">
        <v>0</v>
      </c>
      <c r="I478" t="n">
        <v>0</v>
      </c>
      <c r="J478" t="n">
        <v>0</v>
      </c>
      <c r="K478" t="n">
        <v>0</v>
      </c>
      <c r="L478" t="n">
        <v>0</v>
      </c>
      <c r="M478" t="n">
        <v>0</v>
      </c>
      <c r="N478" t="n">
        <v>0</v>
      </c>
      <c r="O478" t="n">
        <v>0</v>
      </c>
      <c r="P478" t="n">
        <v>0</v>
      </c>
      <c r="Q478" t="n">
        <v>0</v>
      </c>
      <c r="R478" s="2" t="inlineStr"/>
    </row>
    <row r="479" ht="15" customHeight="1">
      <c r="A479" t="inlineStr">
        <is>
          <t>A 49946-2025</t>
        </is>
      </c>
      <c r="B479" s="1" t="n">
        <v>45940.69862268519</v>
      </c>
      <c r="C479" s="1" t="n">
        <v>46169</v>
      </c>
      <c r="D479" t="inlineStr">
        <is>
          <t>ÖREBRO LÄN</t>
        </is>
      </c>
      <c r="E479" t="inlineStr">
        <is>
          <t>LINDESBERG</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33507-2023</t>
        </is>
      </c>
      <c r="B480" s="1" t="n">
        <v>45131</v>
      </c>
      <c r="C480" s="1" t="n">
        <v>46169</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24030-2023</t>
        </is>
      </c>
      <c r="B481" s="1" t="n">
        <v>45078.82620370371</v>
      </c>
      <c r="C481" s="1" t="n">
        <v>46169</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21986-2023</t>
        </is>
      </c>
      <c r="B482" s="1" t="n">
        <v>45068</v>
      </c>
      <c r="C482" s="1" t="n">
        <v>46169</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49943-2025</t>
        </is>
      </c>
      <c r="B483" s="1" t="n">
        <v>45940.69521990741</v>
      </c>
      <c r="C483" s="1" t="n">
        <v>46169</v>
      </c>
      <c r="D483" t="inlineStr">
        <is>
          <t>ÖREBRO LÄN</t>
        </is>
      </c>
      <c r="E483" t="inlineStr">
        <is>
          <t>LINDESBERG</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24916-2022</t>
        </is>
      </c>
      <c r="B484" s="1" t="n">
        <v>44728</v>
      </c>
      <c r="C484" s="1" t="n">
        <v>46169</v>
      </c>
      <c r="D484" t="inlineStr">
        <is>
          <t>ÖREBRO LÄN</t>
        </is>
      </c>
      <c r="E484" t="inlineStr">
        <is>
          <t>LINDESBERG</t>
        </is>
      </c>
      <c r="G484" t="n">
        <v>8.1</v>
      </c>
      <c r="H484" t="n">
        <v>0</v>
      </c>
      <c r="I484" t="n">
        <v>0</v>
      </c>
      <c r="J484" t="n">
        <v>0</v>
      </c>
      <c r="K484" t="n">
        <v>0</v>
      </c>
      <c r="L484" t="n">
        <v>0</v>
      </c>
      <c r="M484" t="n">
        <v>0</v>
      </c>
      <c r="N484" t="n">
        <v>0</v>
      </c>
      <c r="O484" t="n">
        <v>0</v>
      </c>
      <c r="P484" t="n">
        <v>0</v>
      </c>
      <c r="Q484" t="n">
        <v>0</v>
      </c>
      <c r="R484" s="2" t="inlineStr"/>
    </row>
    <row r="485" ht="15" customHeight="1">
      <c r="A485" t="inlineStr">
        <is>
          <t>A 5677-2025</t>
        </is>
      </c>
      <c r="B485" s="1" t="n">
        <v>45694</v>
      </c>
      <c r="C485" s="1" t="n">
        <v>46169</v>
      </c>
      <c r="D485" t="inlineStr">
        <is>
          <t>ÖREBRO LÄN</t>
        </is>
      </c>
      <c r="E485" t="inlineStr">
        <is>
          <t>LINDESBERG</t>
        </is>
      </c>
      <c r="G485" t="n">
        <v>1.6</v>
      </c>
      <c r="H485" t="n">
        <v>0</v>
      </c>
      <c r="I485" t="n">
        <v>0</v>
      </c>
      <c r="J485" t="n">
        <v>0</v>
      </c>
      <c r="K485" t="n">
        <v>0</v>
      </c>
      <c r="L485" t="n">
        <v>0</v>
      </c>
      <c r="M485" t="n">
        <v>0</v>
      </c>
      <c r="N485" t="n">
        <v>0</v>
      </c>
      <c r="O485" t="n">
        <v>0</v>
      </c>
      <c r="P485" t="n">
        <v>0</v>
      </c>
      <c r="Q485" t="n">
        <v>0</v>
      </c>
      <c r="R485" s="2" t="inlineStr"/>
    </row>
    <row r="486" ht="15" customHeight="1">
      <c r="A486" t="inlineStr">
        <is>
          <t>A 49944-2025</t>
        </is>
      </c>
      <c r="B486" s="1" t="n">
        <v>45940.69643518519</v>
      </c>
      <c r="C486" s="1" t="n">
        <v>46169</v>
      </c>
      <c r="D486" t="inlineStr">
        <is>
          <t>ÖREBRO LÄN</t>
        </is>
      </c>
      <c r="E486" t="inlineStr">
        <is>
          <t>LINDESBERG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49947-2025</t>
        </is>
      </c>
      <c r="B487" s="1" t="n">
        <v>45940.70018518518</v>
      </c>
      <c r="C487" s="1" t="n">
        <v>46169</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44010-2023</t>
        </is>
      </c>
      <c r="B488" s="1" t="n">
        <v>45188</v>
      </c>
      <c r="C488" s="1" t="n">
        <v>46169</v>
      </c>
      <c r="D488" t="inlineStr">
        <is>
          <t>ÖREBRO LÄN</t>
        </is>
      </c>
      <c r="E488" t="inlineStr">
        <is>
          <t>LINDESBERG</t>
        </is>
      </c>
      <c r="G488" t="n">
        <v>2.3</v>
      </c>
      <c r="H488" t="n">
        <v>0</v>
      </c>
      <c r="I488" t="n">
        <v>0</v>
      </c>
      <c r="J488" t="n">
        <v>0</v>
      </c>
      <c r="K488" t="n">
        <v>0</v>
      </c>
      <c r="L488" t="n">
        <v>0</v>
      </c>
      <c r="M488" t="n">
        <v>0</v>
      </c>
      <c r="N488" t="n">
        <v>0</v>
      </c>
      <c r="O488" t="n">
        <v>0</v>
      </c>
      <c r="P488" t="n">
        <v>0</v>
      </c>
      <c r="Q488" t="n">
        <v>0</v>
      </c>
      <c r="R488" s="2" t="inlineStr"/>
    </row>
    <row r="489" ht="15" customHeight="1">
      <c r="A489" t="inlineStr">
        <is>
          <t>A 50072-2025</t>
        </is>
      </c>
      <c r="B489" s="1" t="n">
        <v>45943.45966435185</v>
      </c>
      <c r="C489" s="1" t="n">
        <v>46169</v>
      </c>
      <c r="D489" t="inlineStr">
        <is>
          <t>ÖREBRO LÄN</t>
        </is>
      </c>
      <c r="E489" t="inlineStr">
        <is>
          <t>LINDESBERG</t>
        </is>
      </c>
      <c r="G489" t="n">
        <v>1.5</v>
      </c>
      <c r="H489" t="n">
        <v>0</v>
      </c>
      <c r="I489" t="n">
        <v>0</v>
      </c>
      <c r="J489" t="n">
        <v>0</v>
      </c>
      <c r="K489" t="n">
        <v>0</v>
      </c>
      <c r="L489" t="n">
        <v>0</v>
      </c>
      <c r="M489" t="n">
        <v>0</v>
      </c>
      <c r="N489" t="n">
        <v>0</v>
      </c>
      <c r="O489" t="n">
        <v>0</v>
      </c>
      <c r="P489" t="n">
        <v>0</v>
      </c>
      <c r="Q489" t="n">
        <v>0</v>
      </c>
      <c r="R489" s="2" t="inlineStr"/>
    </row>
    <row r="490" ht="15" customHeight="1">
      <c r="A490" t="inlineStr">
        <is>
          <t>A 50086-2025</t>
        </is>
      </c>
      <c r="B490" s="1" t="n">
        <v>45943.47649305555</v>
      </c>
      <c r="C490" s="1" t="n">
        <v>46169</v>
      </c>
      <c r="D490" t="inlineStr">
        <is>
          <t>ÖREBRO LÄN</t>
        </is>
      </c>
      <c r="E490" t="inlineStr">
        <is>
          <t>LINDESBERG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1681-2025</t>
        </is>
      </c>
      <c r="B491" s="1" t="n">
        <v>45670.69458333333</v>
      </c>
      <c r="C491" s="1" t="n">
        <v>46169</v>
      </c>
      <c r="D491" t="inlineStr">
        <is>
          <t>ÖREBRO LÄN</t>
        </is>
      </c>
      <c r="E491" t="inlineStr">
        <is>
          <t>LINDESBERG</t>
        </is>
      </c>
      <c r="G491" t="n">
        <v>1.9</v>
      </c>
      <c r="H491" t="n">
        <v>0</v>
      </c>
      <c r="I491" t="n">
        <v>0</v>
      </c>
      <c r="J491" t="n">
        <v>0</v>
      </c>
      <c r="K491" t="n">
        <v>0</v>
      </c>
      <c r="L491" t="n">
        <v>0</v>
      </c>
      <c r="M491" t="n">
        <v>0</v>
      </c>
      <c r="N491" t="n">
        <v>0</v>
      </c>
      <c r="O491" t="n">
        <v>0</v>
      </c>
      <c r="P491" t="n">
        <v>0</v>
      </c>
      <c r="Q491" t="n">
        <v>0</v>
      </c>
      <c r="R491" s="2" t="inlineStr"/>
    </row>
    <row r="492" ht="15" customHeight="1">
      <c r="A492" t="inlineStr">
        <is>
          <t>A 36670-2024</t>
        </is>
      </c>
      <c r="B492" s="1" t="n">
        <v>45537.64621527777</v>
      </c>
      <c r="C492" s="1" t="n">
        <v>46169</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50073-2025</t>
        </is>
      </c>
      <c r="B493" s="1" t="n">
        <v>45943.4603125</v>
      </c>
      <c r="C493" s="1" t="n">
        <v>46169</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35366-2025</t>
        </is>
      </c>
      <c r="B494" s="1" t="n">
        <v>45854</v>
      </c>
      <c r="C494" s="1" t="n">
        <v>46169</v>
      </c>
      <c r="D494" t="inlineStr">
        <is>
          <t>ÖREBRO LÄN</t>
        </is>
      </c>
      <c r="E494" t="inlineStr">
        <is>
          <t>LINDESBERG</t>
        </is>
      </c>
      <c r="G494" t="n">
        <v>5.5</v>
      </c>
      <c r="H494" t="n">
        <v>0</v>
      </c>
      <c r="I494" t="n">
        <v>0</v>
      </c>
      <c r="J494" t="n">
        <v>0</v>
      </c>
      <c r="K494" t="n">
        <v>0</v>
      </c>
      <c r="L494" t="n">
        <v>0</v>
      </c>
      <c r="M494" t="n">
        <v>0</v>
      </c>
      <c r="N494" t="n">
        <v>0</v>
      </c>
      <c r="O494" t="n">
        <v>0</v>
      </c>
      <c r="P494" t="n">
        <v>0</v>
      </c>
      <c r="Q494" t="n">
        <v>0</v>
      </c>
      <c r="R494" s="2" t="inlineStr"/>
    </row>
    <row r="495" ht="15" customHeight="1">
      <c r="A495" t="inlineStr">
        <is>
          <t>A 50986-2023</t>
        </is>
      </c>
      <c r="B495" s="1" t="n">
        <v>45218</v>
      </c>
      <c r="C495" s="1" t="n">
        <v>46169</v>
      </c>
      <c r="D495" t="inlineStr">
        <is>
          <t>ÖREBRO LÄN</t>
        </is>
      </c>
      <c r="E495" t="inlineStr">
        <is>
          <t>LINDESBERG</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61969-2023</t>
        </is>
      </c>
      <c r="B496" s="1" t="n">
        <v>45266.58394675926</v>
      </c>
      <c r="C496" s="1" t="n">
        <v>46169</v>
      </c>
      <c r="D496" t="inlineStr">
        <is>
          <t>ÖREBRO LÄN</t>
        </is>
      </c>
      <c r="E496" t="inlineStr">
        <is>
          <t>LINDESBERG</t>
        </is>
      </c>
      <c r="G496" t="n">
        <v>10.5</v>
      </c>
      <c r="H496" t="n">
        <v>0</v>
      </c>
      <c r="I496" t="n">
        <v>0</v>
      </c>
      <c r="J496" t="n">
        <v>0</v>
      </c>
      <c r="K496" t="n">
        <v>0</v>
      </c>
      <c r="L496" t="n">
        <v>0</v>
      </c>
      <c r="M496" t="n">
        <v>0</v>
      </c>
      <c r="N496" t="n">
        <v>0</v>
      </c>
      <c r="O496" t="n">
        <v>0</v>
      </c>
      <c r="P496" t="n">
        <v>0</v>
      </c>
      <c r="Q496" t="n">
        <v>0</v>
      </c>
      <c r="R496" s="2" t="inlineStr"/>
    </row>
    <row r="497" ht="15" customHeight="1">
      <c r="A497" t="inlineStr">
        <is>
          <t>A 40450-2023</t>
        </is>
      </c>
      <c r="B497" s="1" t="n">
        <v>45170</v>
      </c>
      <c r="C497" s="1" t="n">
        <v>46169</v>
      </c>
      <c r="D497" t="inlineStr">
        <is>
          <t>ÖREBRO LÄN</t>
        </is>
      </c>
      <c r="E497" t="inlineStr">
        <is>
          <t>LINDESBERG</t>
        </is>
      </c>
      <c r="F497" t="inlineStr">
        <is>
          <t>Kyrkan</t>
        </is>
      </c>
      <c r="G497" t="n">
        <v>4.3</v>
      </c>
      <c r="H497" t="n">
        <v>0</v>
      </c>
      <c r="I497" t="n">
        <v>0</v>
      </c>
      <c r="J497" t="n">
        <v>0</v>
      </c>
      <c r="K497" t="n">
        <v>0</v>
      </c>
      <c r="L497" t="n">
        <v>0</v>
      </c>
      <c r="M497" t="n">
        <v>0</v>
      </c>
      <c r="N497" t="n">
        <v>0</v>
      </c>
      <c r="O497" t="n">
        <v>0</v>
      </c>
      <c r="P497" t="n">
        <v>0</v>
      </c>
      <c r="Q497" t="n">
        <v>0</v>
      </c>
      <c r="R497" s="2" t="inlineStr"/>
    </row>
    <row r="498" ht="15" customHeight="1">
      <c r="A498" t="inlineStr">
        <is>
          <t>A 35292-2025</t>
        </is>
      </c>
      <c r="B498" s="1" t="n">
        <v>45854</v>
      </c>
      <c r="C498" s="1" t="n">
        <v>46169</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53062-2023</t>
        </is>
      </c>
      <c r="B499" s="1" t="n">
        <v>45227.31859953704</v>
      </c>
      <c r="C499" s="1" t="n">
        <v>46169</v>
      </c>
      <c r="D499" t="inlineStr">
        <is>
          <t>ÖREBRO LÄN</t>
        </is>
      </c>
      <c r="E499" t="inlineStr">
        <is>
          <t>LINDESBERG</t>
        </is>
      </c>
      <c r="G499" t="n">
        <v>3.1</v>
      </c>
      <c r="H499" t="n">
        <v>0</v>
      </c>
      <c r="I499" t="n">
        <v>0</v>
      </c>
      <c r="J499" t="n">
        <v>0</v>
      </c>
      <c r="K499" t="n">
        <v>0</v>
      </c>
      <c r="L499" t="n">
        <v>0</v>
      </c>
      <c r="M499" t="n">
        <v>0</v>
      </c>
      <c r="N499" t="n">
        <v>0</v>
      </c>
      <c r="O499" t="n">
        <v>0</v>
      </c>
      <c r="P499" t="n">
        <v>0</v>
      </c>
      <c r="Q499" t="n">
        <v>0</v>
      </c>
      <c r="R499" s="2" t="inlineStr"/>
    </row>
    <row r="500" ht="15" customHeight="1">
      <c r="A500" t="inlineStr">
        <is>
          <t>A 12739-2024</t>
        </is>
      </c>
      <c r="B500" s="1" t="n">
        <v>45384</v>
      </c>
      <c r="C500" s="1" t="n">
        <v>46169</v>
      </c>
      <c r="D500" t="inlineStr">
        <is>
          <t>ÖREBRO LÄN</t>
        </is>
      </c>
      <c r="E500" t="inlineStr">
        <is>
          <t>LINDESBERG</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35710-2025</t>
        </is>
      </c>
      <c r="B501" s="1" t="n">
        <v>45860.3857175926</v>
      </c>
      <c r="C501" s="1" t="n">
        <v>46169</v>
      </c>
      <c r="D501" t="inlineStr">
        <is>
          <t>ÖREBRO LÄN</t>
        </is>
      </c>
      <c r="E501" t="inlineStr">
        <is>
          <t>LINDESBERG</t>
        </is>
      </c>
      <c r="G501" t="n">
        <v>3.2</v>
      </c>
      <c r="H501" t="n">
        <v>0</v>
      </c>
      <c r="I501" t="n">
        <v>0</v>
      </c>
      <c r="J501" t="n">
        <v>0</v>
      </c>
      <c r="K501" t="n">
        <v>0</v>
      </c>
      <c r="L501" t="n">
        <v>0</v>
      </c>
      <c r="M501" t="n">
        <v>0</v>
      </c>
      <c r="N501" t="n">
        <v>0</v>
      </c>
      <c r="O501" t="n">
        <v>0</v>
      </c>
      <c r="P501" t="n">
        <v>0</v>
      </c>
      <c r="Q501" t="n">
        <v>0</v>
      </c>
      <c r="R501" s="2" t="inlineStr"/>
    </row>
    <row r="502" ht="15" customHeight="1">
      <c r="A502" t="inlineStr">
        <is>
          <t>A 35702-2025</t>
        </is>
      </c>
      <c r="B502" s="1" t="n">
        <v>45860.36222222223</v>
      </c>
      <c r="C502" s="1" t="n">
        <v>46169</v>
      </c>
      <c r="D502" t="inlineStr">
        <is>
          <t>ÖREBRO LÄN</t>
        </is>
      </c>
      <c r="E502" t="inlineStr">
        <is>
          <t>LINDESBERG</t>
        </is>
      </c>
      <c r="G502" t="n">
        <v>5.3</v>
      </c>
      <c r="H502" t="n">
        <v>0</v>
      </c>
      <c r="I502" t="n">
        <v>0</v>
      </c>
      <c r="J502" t="n">
        <v>0</v>
      </c>
      <c r="K502" t="n">
        <v>0</v>
      </c>
      <c r="L502" t="n">
        <v>0</v>
      </c>
      <c r="M502" t="n">
        <v>0</v>
      </c>
      <c r="N502" t="n">
        <v>0</v>
      </c>
      <c r="O502" t="n">
        <v>0</v>
      </c>
      <c r="P502" t="n">
        <v>0</v>
      </c>
      <c r="Q502" t="n">
        <v>0</v>
      </c>
      <c r="R502" s="2" t="inlineStr"/>
    </row>
    <row r="503" ht="15" customHeight="1">
      <c r="A503" t="inlineStr">
        <is>
          <t>A 45056-2024</t>
        </is>
      </c>
      <c r="B503" s="1" t="n">
        <v>45575.55273148148</v>
      </c>
      <c r="C503" s="1" t="n">
        <v>46169</v>
      </c>
      <c r="D503" t="inlineStr">
        <is>
          <t>ÖREBRO LÄN</t>
        </is>
      </c>
      <c r="E503" t="inlineStr">
        <is>
          <t>LINDESBERG</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45058-2024</t>
        </is>
      </c>
      <c r="B504" s="1" t="n">
        <v>45575.5547337963</v>
      </c>
      <c r="C504" s="1" t="n">
        <v>46169</v>
      </c>
      <c r="D504" t="inlineStr">
        <is>
          <t>ÖREBRO LÄN</t>
        </is>
      </c>
      <c r="E504" t="inlineStr">
        <is>
          <t>LINDESBERG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45063-2024</t>
        </is>
      </c>
      <c r="B505" s="1" t="n">
        <v>45575.55684027778</v>
      </c>
      <c r="C505" s="1" t="n">
        <v>46169</v>
      </c>
      <c r="D505" t="inlineStr">
        <is>
          <t>ÖREBRO LÄN</t>
        </is>
      </c>
      <c r="E505" t="inlineStr">
        <is>
          <t>LINDESBERG</t>
        </is>
      </c>
      <c r="F505" t="inlineStr">
        <is>
          <t>Sveaskog</t>
        </is>
      </c>
      <c r="G505" t="n">
        <v>3.3</v>
      </c>
      <c r="H505" t="n">
        <v>0</v>
      </c>
      <c r="I505" t="n">
        <v>0</v>
      </c>
      <c r="J505" t="n">
        <v>0</v>
      </c>
      <c r="K505" t="n">
        <v>0</v>
      </c>
      <c r="L505" t="n">
        <v>0</v>
      </c>
      <c r="M505" t="n">
        <v>0</v>
      </c>
      <c r="N505" t="n">
        <v>0</v>
      </c>
      <c r="O505" t="n">
        <v>0</v>
      </c>
      <c r="P505" t="n">
        <v>0</v>
      </c>
      <c r="Q505" t="n">
        <v>0</v>
      </c>
      <c r="R505" s="2" t="inlineStr"/>
    </row>
    <row r="506" ht="15" customHeight="1">
      <c r="A506" t="inlineStr">
        <is>
          <t>A 56306-2025</t>
        </is>
      </c>
      <c r="B506" s="1" t="n">
        <v>45974.61217592593</v>
      </c>
      <c r="C506" s="1" t="n">
        <v>46169</v>
      </c>
      <c r="D506" t="inlineStr">
        <is>
          <t>ÖREBRO LÄN</t>
        </is>
      </c>
      <c r="E506" t="inlineStr">
        <is>
          <t>LINDESBERG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56308-2025</t>
        </is>
      </c>
      <c r="B507" s="1" t="n">
        <v>45974.61344907407</v>
      </c>
      <c r="C507" s="1" t="n">
        <v>46169</v>
      </c>
      <c r="D507" t="inlineStr">
        <is>
          <t>ÖREBRO LÄN</t>
        </is>
      </c>
      <c r="E507" t="inlineStr">
        <is>
          <t>LINDESBERG</t>
        </is>
      </c>
      <c r="F507" t="inlineStr">
        <is>
          <t>Sveaskog</t>
        </is>
      </c>
      <c r="G507" t="n">
        <v>2.6</v>
      </c>
      <c r="H507" t="n">
        <v>0</v>
      </c>
      <c r="I507" t="n">
        <v>0</v>
      </c>
      <c r="J507" t="n">
        <v>0</v>
      </c>
      <c r="K507" t="n">
        <v>0</v>
      </c>
      <c r="L507" t="n">
        <v>0</v>
      </c>
      <c r="M507" t="n">
        <v>0</v>
      </c>
      <c r="N507" t="n">
        <v>0</v>
      </c>
      <c r="O507" t="n">
        <v>0</v>
      </c>
      <c r="P507" t="n">
        <v>0</v>
      </c>
      <c r="Q507" t="n">
        <v>0</v>
      </c>
      <c r="R507" s="2" t="inlineStr"/>
    </row>
    <row r="508" ht="15" customHeight="1">
      <c r="A508" t="inlineStr">
        <is>
          <t>A 47304-2024</t>
        </is>
      </c>
      <c r="B508" s="1" t="n">
        <v>45587</v>
      </c>
      <c r="C508" s="1" t="n">
        <v>46169</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9198-2025</t>
        </is>
      </c>
      <c r="B509" s="1" t="n">
        <v>45714</v>
      </c>
      <c r="C509" s="1" t="n">
        <v>46169</v>
      </c>
      <c r="D509" t="inlineStr">
        <is>
          <t>ÖREBRO LÄN</t>
        </is>
      </c>
      <c r="E509" t="inlineStr">
        <is>
          <t>LINDESBERG</t>
        </is>
      </c>
      <c r="G509" t="n">
        <v>3.3</v>
      </c>
      <c r="H509" t="n">
        <v>0</v>
      </c>
      <c r="I509" t="n">
        <v>0</v>
      </c>
      <c r="J509" t="n">
        <v>0</v>
      </c>
      <c r="K509" t="n">
        <v>0</v>
      </c>
      <c r="L509" t="n">
        <v>0</v>
      </c>
      <c r="M509" t="n">
        <v>0</v>
      </c>
      <c r="N509" t="n">
        <v>0</v>
      </c>
      <c r="O509" t="n">
        <v>0</v>
      </c>
      <c r="P509" t="n">
        <v>0</v>
      </c>
      <c r="Q509" t="n">
        <v>0</v>
      </c>
      <c r="R509" s="2" t="inlineStr"/>
    </row>
    <row r="510" ht="15" customHeight="1">
      <c r="A510" t="inlineStr">
        <is>
          <t>A 60492-2024</t>
        </is>
      </c>
      <c r="B510" s="1" t="n">
        <v>45642</v>
      </c>
      <c r="C510" s="1" t="n">
        <v>46169</v>
      </c>
      <c r="D510" t="inlineStr">
        <is>
          <t>ÖREBRO LÄN</t>
        </is>
      </c>
      <c r="E510" t="inlineStr">
        <is>
          <t>LINDESBERG</t>
        </is>
      </c>
      <c r="G510" t="n">
        <v>2.6</v>
      </c>
      <c r="H510" t="n">
        <v>0</v>
      </c>
      <c r="I510" t="n">
        <v>0</v>
      </c>
      <c r="J510" t="n">
        <v>0</v>
      </c>
      <c r="K510" t="n">
        <v>0</v>
      </c>
      <c r="L510" t="n">
        <v>0</v>
      </c>
      <c r="M510" t="n">
        <v>0</v>
      </c>
      <c r="N510" t="n">
        <v>0</v>
      </c>
      <c r="O510" t="n">
        <v>0</v>
      </c>
      <c r="P510" t="n">
        <v>0</v>
      </c>
      <c r="Q510" t="n">
        <v>0</v>
      </c>
      <c r="R510" s="2" t="inlineStr"/>
    </row>
    <row r="511" ht="15" customHeight="1">
      <c r="A511" t="inlineStr">
        <is>
          <t>A 56232-2025</t>
        </is>
      </c>
      <c r="B511" s="1" t="n">
        <v>45974.53239583333</v>
      </c>
      <c r="C511" s="1" t="n">
        <v>46169</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26093-2023</t>
        </is>
      </c>
      <c r="B512" s="1" t="n">
        <v>45091.39362268519</v>
      </c>
      <c r="C512" s="1" t="n">
        <v>46169</v>
      </c>
      <c r="D512" t="inlineStr">
        <is>
          <t>ÖREBRO LÄN</t>
        </is>
      </c>
      <c r="E512" t="inlineStr">
        <is>
          <t>LINDESBERG</t>
        </is>
      </c>
      <c r="G512" t="n">
        <v>0.4</v>
      </c>
      <c r="H512" t="n">
        <v>0</v>
      </c>
      <c r="I512" t="n">
        <v>0</v>
      </c>
      <c r="J512" t="n">
        <v>0</v>
      </c>
      <c r="K512" t="n">
        <v>0</v>
      </c>
      <c r="L512" t="n">
        <v>0</v>
      </c>
      <c r="M512" t="n">
        <v>0</v>
      </c>
      <c r="N512" t="n">
        <v>0</v>
      </c>
      <c r="O512" t="n">
        <v>0</v>
      </c>
      <c r="P512" t="n">
        <v>0</v>
      </c>
      <c r="Q512" t="n">
        <v>0</v>
      </c>
      <c r="R512" s="2" t="inlineStr"/>
    </row>
    <row r="513" ht="15" customHeight="1">
      <c r="A513" t="inlineStr">
        <is>
          <t>A 47066-2023</t>
        </is>
      </c>
      <c r="B513" s="1" t="n">
        <v>45201</v>
      </c>
      <c r="C513" s="1" t="n">
        <v>46169</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54859-2024</t>
        </is>
      </c>
      <c r="B514" s="1" t="n">
        <v>45618.58962962963</v>
      </c>
      <c r="C514" s="1" t="n">
        <v>46169</v>
      </c>
      <c r="D514" t="inlineStr">
        <is>
          <t>ÖREBRO LÄN</t>
        </is>
      </c>
      <c r="E514" t="inlineStr">
        <is>
          <t>LINDESBERG</t>
        </is>
      </c>
      <c r="F514" t="inlineStr">
        <is>
          <t>Sveaskog</t>
        </is>
      </c>
      <c r="G514" t="n">
        <v>5.3</v>
      </c>
      <c r="H514" t="n">
        <v>0</v>
      </c>
      <c r="I514" t="n">
        <v>0</v>
      </c>
      <c r="J514" t="n">
        <v>0</v>
      </c>
      <c r="K514" t="n">
        <v>0</v>
      </c>
      <c r="L514" t="n">
        <v>0</v>
      </c>
      <c r="M514" t="n">
        <v>0</v>
      </c>
      <c r="N514" t="n">
        <v>0</v>
      </c>
      <c r="O514" t="n">
        <v>0</v>
      </c>
      <c r="P514" t="n">
        <v>0</v>
      </c>
      <c r="Q514" t="n">
        <v>0</v>
      </c>
      <c r="R514" s="2" t="inlineStr"/>
    </row>
    <row r="515" ht="15" customHeight="1">
      <c r="A515" t="inlineStr">
        <is>
          <t>A 36773-2024</t>
        </is>
      </c>
      <c r="B515" s="1" t="n">
        <v>45538</v>
      </c>
      <c r="C515" s="1" t="n">
        <v>46169</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36253-2024</t>
        </is>
      </c>
      <c r="B516" s="1" t="n">
        <v>45534.54032407407</v>
      </c>
      <c r="C516" s="1" t="n">
        <v>46169</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59804-2023</t>
        </is>
      </c>
      <c r="B517" s="1" t="n">
        <v>45257.48188657407</v>
      </c>
      <c r="C517" s="1" t="n">
        <v>46169</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40758-2021</t>
        </is>
      </c>
      <c r="B518" s="1" t="n">
        <v>44420</v>
      </c>
      <c r="C518" s="1" t="n">
        <v>46169</v>
      </c>
      <c r="D518" t="inlineStr">
        <is>
          <t>ÖREBRO LÄN</t>
        </is>
      </c>
      <c r="E518" t="inlineStr">
        <is>
          <t>LINDESBERG</t>
        </is>
      </c>
      <c r="G518" t="n">
        <v>5</v>
      </c>
      <c r="H518" t="n">
        <v>0</v>
      </c>
      <c r="I518" t="n">
        <v>0</v>
      </c>
      <c r="J518" t="n">
        <v>0</v>
      </c>
      <c r="K518" t="n">
        <v>0</v>
      </c>
      <c r="L518" t="n">
        <v>0</v>
      </c>
      <c r="M518" t="n">
        <v>0</v>
      </c>
      <c r="N518" t="n">
        <v>0</v>
      </c>
      <c r="O518" t="n">
        <v>0</v>
      </c>
      <c r="P518" t="n">
        <v>0</v>
      </c>
      <c r="Q518" t="n">
        <v>0</v>
      </c>
      <c r="R518" s="2" t="inlineStr"/>
    </row>
    <row r="519" ht="15" customHeight="1">
      <c r="A519" t="inlineStr">
        <is>
          <t>A 61691-2023</t>
        </is>
      </c>
      <c r="B519" s="1" t="n">
        <v>45265.64142361111</v>
      </c>
      <c r="C519" s="1" t="n">
        <v>46169</v>
      </c>
      <c r="D519" t="inlineStr">
        <is>
          <t>ÖREBRO LÄN</t>
        </is>
      </c>
      <c r="E519" t="inlineStr">
        <is>
          <t>LINDESBERG</t>
        </is>
      </c>
      <c r="G519" t="n">
        <v>2.6</v>
      </c>
      <c r="H519" t="n">
        <v>0</v>
      </c>
      <c r="I519" t="n">
        <v>0</v>
      </c>
      <c r="J519" t="n">
        <v>0</v>
      </c>
      <c r="K519" t="n">
        <v>0</v>
      </c>
      <c r="L519" t="n">
        <v>0</v>
      </c>
      <c r="M519" t="n">
        <v>0</v>
      </c>
      <c r="N519" t="n">
        <v>0</v>
      </c>
      <c r="O519" t="n">
        <v>0</v>
      </c>
      <c r="P519" t="n">
        <v>0</v>
      </c>
      <c r="Q519" t="n">
        <v>0</v>
      </c>
      <c r="R519" s="2" t="inlineStr"/>
    </row>
    <row r="520" ht="15" customHeight="1">
      <c r="A520" t="inlineStr">
        <is>
          <t>A 4298-2025</t>
        </is>
      </c>
      <c r="B520" s="1" t="n">
        <v>45685</v>
      </c>
      <c r="C520" s="1" t="n">
        <v>46169</v>
      </c>
      <c r="D520" t="inlineStr">
        <is>
          <t>ÖREBRO LÄN</t>
        </is>
      </c>
      <c r="E520" t="inlineStr">
        <is>
          <t>LINDESBERG</t>
        </is>
      </c>
      <c r="G520" t="n">
        <v>13.5</v>
      </c>
      <c r="H520" t="n">
        <v>0</v>
      </c>
      <c r="I520" t="n">
        <v>0</v>
      </c>
      <c r="J520" t="n">
        <v>0</v>
      </c>
      <c r="K520" t="n">
        <v>0</v>
      </c>
      <c r="L520" t="n">
        <v>0</v>
      </c>
      <c r="M520" t="n">
        <v>0</v>
      </c>
      <c r="N520" t="n">
        <v>0</v>
      </c>
      <c r="O520" t="n">
        <v>0</v>
      </c>
      <c r="P520" t="n">
        <v>0</v>
      </c>
      <c r="Q520" t="n">
        <v>0</v>
      </c>
      <c r="R520" s="2" t="inlineStr"/>
    </row>
    <row r="521" ht="15" customHeight="1">
      <c r="A521" t="inlineStr">
        <is>
          <t>A 53597-2024</t>
        </is>
      </c>
      <c r="B521" s="1" t="n">
        <v>45614.68083333333</v>
      </c>
      <c r="C521" s="1" t="n">
        <v>46169</v>
      </c>
      <c r="D521" t="inlineStr">
        <is>
          <t>ÖREBRO LÄN</t>
        </is>
      </c>
      <c r="E521" t="inlineStr">
        <is>
          <t>LINDESBERG</t>
        </is>
      </c>
      <c r="G521" t="n">
        <v>1.1</v>
      </c>
      <c r="H521" t="n">
        <v>0</v>
      </c>
      <c r="I521" t="n">
        <v>0</v>
      </c>
      <c r="J521" t="n">
        <v>0</v>
      </c>
      <c r="K521" t="n">
        <v>0</v>
      </c>
      <c r="L521" t="n">
        <v>0</v>
      </c>
      <c r="M521" t="n">
        <v>0</v>
      </c>
      <c r="N521" t="n">
        <v>0</v>
      </c>
      <c r="O521" t="n">
        <v>0</v>
      </c>
      <c r="P521" t="n">
        <v>0</v>
      </c>
      <c r="Q521" t="n">
        <v>0</v>
      </c>
      <c r="R521" s="2" t="inlineStr"/>
    </row>
    <row r="522" ht="15" customHeight="1">
      <c r="A522" t="inlineStr">
        <is>
          <t>A 30514-2025</t>
        </is>
      </c>
      <c r="B522" s="1" t="n">
        <v>45831</v>
      </c>
      <c r="C522" s="1" t="n">
        <v>46169</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45173-2024</t>
        </is>
      </c>
      <c r="B523" s="1" t="n">
        <v>45575.65721064815</v>
      </c>
      <c r="C523" s="1" t="n">
        <v>46169</v>
      </c>
      <c r="D523" t="inlineStr">
        <is>
          <t>ÖREBRO LÄN</t>
        </is>
      </c>
      <c r="E523" t="inlineStr">
        <is>
          <t>LINDESBERG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43081-2021</t>
        </is>
      </c>
      <c r="B524" s="1" t="n">
        <v>44431</v>
      </c>
      <c r="C524" s="1" t="n">
        <v>46169</v>
      </c>
      <c r="D524" t="inlineStr">
        <is>
          <t>ÖREBRO LÄN</t>
        </is>
      </c>
      <c r="E524" t="inlineStr">
        <is>
          <t>LINDESBERG</t>
        </is>
      </c>
      <c r="G524" t="n">
        <v>0.5</v>
      </c>
      <c r="H524" t="n">
        <v>0</v>
      </c>
      <c r="I524" t="n">
        <v>0</v>
      </c>
      <c r="J524" t="n">
        <v>0</v>
      </c>
      <c r="K524" t="n">
        <v>0</v>
      </c>
      <c r="L524" t="n">
        <v>0</v>
      </c>
      <c r="M524" t="n">
        <v>0</v>
      </c>
      <c r="N524" t="n">
        <v>0</v>
      </c>
      <c r="O524" t="n">
        <v>0</v>
      </c>
      <c r="P524" t="n">
        <v>0</v>
      </c>
      <c r="Q524" t="n">
        <v>0</v>
      </c>
      <c r="R524" s="2" t="inlineStr"/>
    </row>
    <row r="525" ht="15" customHeight="1">
      <c r="A525" t="inlineStr">
        <is>
          <t>A 30512-2025</t>
        </is>
      </c>
      <c r="B525" s="1" t="n">
        <v>45831</v>
      </c>
      <c r="C525" s="1" t="n">
        <v>46169</v>
      </c>
      <c r="D525" t="inlineStr">
        <is>
          <t>ÖREBRO LÄN</t>
        </is>
      </c>
      <c r="E525" t="inlineStr">
        <is>
          <t>LINDESBERG</t>
        </is>
      </c>
      <c r="G525" t="n">
        <v>4.5</v>
      </c>
      <c r="H525" t="n">
        <v>0</v>
      </c>
      <c r="I525" t="n">
        <v>0</v>
      </c>
      <c r="J525" t="n">
        <v>0</v>
      </c>
      <c r="K525" t="n">
        <v>0</v>
      </c>
      <c r="L525" t="n">
        <v>0</v>
      </c>
      <c r="M525" t="n">
        <v>0</v>
      </c>
      <c r="N525" t="n">
        <v>0</v>
      </c>
      <c r="O525" t="n">
        <v>0</v>
      </c>
      <c r="P525" t="n">
        <v>0</v>
      </c>
      <c r="Q525" t="n">
        <v>0</v>
      </c>
      <c r="R525" s="2" t="inlineStr"/>
    </row>
    <row r="526" ht="15" customHeight="1">
      <c r="A526" t="inlineStr">
        <is>
          <t>A 56226-2025</t>
        </is>
      </c>
      <c r="B526" s="1" t="n">
        <v>45974.51283564815</v>
      </c>
      <c r="C526" s="1" t="n">
        <v>46169</v>
      </c>
      <c r="D526" t="inlineStr">
        <is>
          <t>ÖREBRO LÄN</t>
        </is>
      </c>
      <c r="E526" t="inlineStr">
        <is>
          <t>LINDESBERG</t>
        </is>
      </c>
      <c r="G526" t="n">
        <v>1.8</v>
      </c>
      <c r="H526" t="n">
        <v>0</v>
      </c>
      <c r="I526" t="n">
        <v>0</v>
      </c>
      <c r="J526" t="n">
        <v>0</v>
      </c>
      <c r="K526" t="n">
        <v>0</v>
      </c>
      <c r="L526" t="n">
        <v>0</v>
      </c>
      <c r="M526" t="n">
        <v>0</v>
      </c>
      <c r="N526" t="n">
        <v>0</v>
      </c>
      <c r="O526" t="n">
        <v>0</v>
      </c>
      <c r="P526" t="n">
        <v>0</v>
      </c>
      <c r="Q526" t="n">
        <v>0</v>
      </c>
      <c r="R526" s="2" t="inlineStr"/>
    </row>
    <row r="527" ht="15" customHeight="1">
      <c r="A527" t="inlineStr">
        <is>
          <t>A 32002-2023</t>
        </is>
      </c>
      <c r="B527" s="1" t="n">
        <v>45119.46452546296</v>
      </c>
      <c r="C527" s="1" t="n">
        <v>46169</v>
      </c>
      <c r="D527" t="inlineStr">
        <is>
          <t>ÖREBRO LÄN</t>
        </is>
      </c>
      <c r="E527" t="inlineStr">
        <is>
          <t>LINDESBERG</t>
        </is>
      </c>
      <c r="F527" t="inlineStr">
        <is>
          <t>Kyrkan</t>
        </is>
      </c>
      <c r="G527" t="n">
        <v>0.6</v>
      </c>
      <c r="H527" t="n">
        <v>0</v>
      </c>
      <c r="I527" t="n">
        <v>0</v>
      </c>
      <c r="J527" t="n">
        <v>0</v>
      </c>
      <c r="K527" t="n">
        <v>0</v>
      </c>
      <c r="L527" t="n">
        <v>0</v>
      </c>
      <c r="M527" t="n">
        <v>0</v>
      </c>
      <c r="N527" t="n">
        <v>0</v>
      </c>
      <c r="O527" t="n">
        <v>0</v>
      </c>
      <c r="P527" t="n">
        <v>0</v>
      </c>
      <c r="Q527" t="n">
        <v>0</v>
      </c>
      <c r="R527" s="2" t="inlineStr"/>
    </row>
    <row r="528" ht="15" customHeight="1">
      <c r="A528" t="inlineStr">
        <is>
          <t>A 36572-2025</t>
        </is>
      </c>
      <c r="B528" s="1" t="n">
        <v>45870</v>
      </c>
      <c r="C528" s="1" t="n">
        <v>46169</v>
      </c>
      <c r="D528" t="inlineStr">
        <is>
          <t>ÖREBRO LÄN</t>
        </is>
      </c>
      <c r="E528" t="inlineStr">
        <is>
          <t>LINDESBERG</t>
        </is>
      </c>
      <c r="G528" t="n">
        <v>11.9</v>
      </c>
      <c r="H528" t="n">
        <v>0</v>
      </c>
      <c r="I528" t="n">
        <v>0</v>
      </c>
      <c r="J528" t="n">
        <v>0</v>
      </c>
      <c r="K528" t="n">
        <v>0</v>
      </c>
      <c r="L528" t="n">
        <v>0</v>
      </c>
      <c r="M528" t="n">
        <v>0</v>
      </c>
      <c r="N528" t="n">
        <v>0</v>
      </c>
      <c r="O528" t="n">
        <v>0</v>
      </c>
      <c r="P528" t="n">
        <v>0</v>
      </c>
      <c r="Q528" t="n">
        <v>0</v>
      </c>
      <c r="R528" s="2" t="inlineStr"/>
    </row>
    <row r="529" ht="15" customHeight="1">
      <c r="A529" t="inlineStr">
        <is>
          <t>A 36574-2025</t>
        </is>
      </c>
      <c r="B529" s="1" t="n">
        <v>45870</v>
      </c>
      <c r="C529" s="1" t="n">
        <v>46169</v>
      </c>
      <c r="D529" t="inlineStr">
        <is>
          <t>ÖREBRO LÄN</t>
        </is>
      </c>
      <c r="E529" t="inlineStr">
        <is>
          <t>LINDESBERG</t>
        </is>
      </c>
      <c r="G529" t="n">
        <v>4</v>
      </c>
      <c r="H529" t="n">
        <v>0</v>
      </c>
      <c r="I529" t="n">
        <v>0</v>
      </c>
      <c r="J529" t="n">
        <v>0</v>
      </c>
      <c r="K529" t="n">
        <v>0</v>
      </c>
      <c r="L529" t="n">
        <v>0</v>
      </c>
      <c r="M529" t="n">
        <v>0</v>
      </c>
      <c r="N529" t="n">
        <v>0</v>
      </c>
      <c r="O529" t="n">
        <v>0</v>
      </c>
      <c r="P529" t="n">
        <v>0</v>
      </c>
      <c r="Q529" t="n">
        <v>0</v>
      </c>
      <c r="R529" s="2" t="inlineStr"/>
    </row>
    <row r="530" ht="15" customHeight="1">
      <c r="A530" t="inlineStr">
        <is>
          <t>A 7661-2024</t>
        </is>
      </c>
      <c r="B530" s="1" t="n">
        <v>45348</v>
      </c>
      <c r="C530" s="1" t="n">
        <v>46169</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36577-2025</t>
        </is>
      </c>
      <c r="B531" s="1" t="n">
        <v>45870</v>
      </c>
      <c r="C531" s="1" t="n">
        <v>46169</v>
      </c>
      <c r="D531" t="inlineStr">
        <is>
          <t>ÖREBRO LÄN</t>
        </is>
      </c>
      <c r="E531" t="inlineStr">
        <is>
          <t>LINDESBERG</t>
        </is>
      </c>
      <c r="G531" t="n">
        <v>3.7</v>
      </c>
      <c r="H531" t="n">
        <v>0</v>
      </c>
      <c r="I531" t="n">
        <v>0</v>
      </c>
      <c r="J531" t="n">
        <v>0</v>
      </c>
      <c r="K531" t="n">
        <v>0</v>
      </c>
      <c r="L531" t="n">
        <v>0</v>
      </c>
      <c r="M531" t="n">
        <v>0</v>
      </c>
      <c r="N531" t="n">
        <v>0</v>
      </c>
      <c r="O531" t="n">
        <v>0</v>
      </c>
      <c r="P531" t="n">
        <v>0</v>
      </c>
      <c r="Q531" t="n">
        <v>0</v>
      </c>
      <c r="R531" s="2" t="inlineStr"/>
    </row>
    <row r="532" ht="15" customHeight="1">
      <c r="A532" t="inlineStr">
        <is>
          <t>A 12278-2025</t>
        </is>
      </c>
      <c r="B532" s="1" t="n">
        <v>45729.65171296296</v>
      </c>
      <c r="C532" s="1" t="n">
        <v>46169</v>
      </c>
      <c r="D532" t="inlineStr">
        <is>
          <t>ÖREBRO LÄN</t>
        </is>
      </c>
      <c r="E532" t="inlineStr">
        <is>
          <t>LINDESBERG</t>
        </is>
      </c>
      <c r="G532" t="n">
        <v>3.2</v>
      </c>
      <c r="H532" t="n">
        <v>0</v>
      </c>
      <c r="I532" t="n">
        <v>0</v>
      </c>
      <c r="J532" t="n">
        <v>0</v>
      </c>
      <c r="K532" t="n">
        <v>0</v>
      </c>
      <c r="L532" t="n">
        <v>0</v>
      </c>
      <c r="M532" t="n">
        <v>0</v>
      </c>
      <c r="N532" t="n">
        <v>0</v>
      </c>
      <c r="O532" t="n">
        <v>0</v>
      </c>
      <c r="P532" t="n">
        <v>0</v>
      </c>
      <c r="Q532" t="n">
        <v>0</v>
      </c>
      <c r="R532" s="2" t="inlineStr"/>
    </row>
    <row r="533" ht="15" customHeight="1">
      <c r="A533" t="inlineStr">
        <is>
          <t>A 34237-2023</t>
        </is>
      </c>
      <c r="B533" s="1" t="n">
        <v>45138</v>
      </c>
      <c r="C533" s="1" t="n">
        <v>46169</v>
      </c>
      <c r="D533" t="inlineStr">
        <is>
          <t>ÖREBRO LÄN</t>
        </is>
      </c>
      <c r="E533" t="inlineStr">
        <is>
          <t>LINDESBERG</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36579-2025</t>
        </is>
      </c>
      <c r="B534" s="1" t="n">
        <v>45870</v>
      </c>
      <c r="C534" s="1" t="n">
        <v>46169</v>
      </c>
      <c r="D534" t="inlineStr">
        <is>
          <t>ÖREBRO LÄN</t>
        </is>
      </c>
      <c r="E534" t="inlineStr">
        <is>
          <t>LINDESBERG</t>
        </is>
      </c>
      <c r="G534" t="n">
        <v>6</v>
      </c>
      <c r="H534" t="n">
        <v>0</v>
      </c>
      <c r="I534" t="n">
        <v>0</v>
      </c>
      <c r="J534" t="n">
        <v>0</v>
      </c>
      <c r="K534" t="n">
        <v>0</v>
      </c>
      <c r="L534" t="n">
        <v>0</v>
      </c>
      <c r="M534" t="n">
        <v>0</v>
      </c>
      <c r="N534" t="n">
        <v>0</v>
      </c>
      <c r="O534" t="n">
        <v>0</v>
      </c>
      <c r="P534" t="n">
        <v>0</v>
      </c>
      <c r="Q534" t="n">
        <v>0</v>
      </c>
      <c r="R534" s="2" t="inlineStr"/>
    </row>
    <row r="535" ht="15" customHeight="1">
      <c r="A535" t="inlineStr">
        <is>
          <t>A 29942-2024</t>
        </is>
      </c>
      <c r="B535" s="1" t="n">
        <v>45488.42258101852</v>
      </c>
      <c r="C535" s="1" t="n">
        <v>46169</v>
      </c>
      <c r="D535" t="inlineStr">
        <is>
          <t>ÖREBRO LÄN</t>
        </is>
      </c>
      <c r="E535" t="inlineStr">
        <is>
          <t>LINDESBERG</t>
        </is>
      </c>
      <c r="G535" t="n">
        <v>2.4</v>
      </c>
      <c r="H535" t="n">
        <v>0</v>
      </c>
      <c r="I535" t="n">
        <v>0</v>
      </c>
      <c r="J535" t="n">
        <v>0</v>
      </c>
      <c r="K535" t="n">
        <v>0</v>
      </c>
      <c r="L535" t="n">
        <v>0</v>
      </c>
      <c r="M535" t="n">
        <v>0</v>
      </c>
      <c r="N535" t="n">
        <v>0</v>
      </c>
      <c r="O535" t="n">
        <v>0</v>
      </c>
      <c r="P535" t="n">
        <v>0</v>
      </c>
      <c r="Q535" t="n">
        <v>0</v>
      </c>
      <c r="R535" s="2" t="inlineStr"/>
    </row>
    <row r="536" ht="15" customHeight="1">
      <c r="A536" t="inlineStr">
        <is>
          <t>A 3294-2024</t>
        </is>
      </c>
      <c r="B536" s="1" t="n">
        <v>45316</v>
      </c>
      <c r="C536" s="1" t="n">
        <v>46169</v>
      </c>
      <c r="D536" t="inlineStr">
        <is>
          <t>ÖREBRO LÄN</t>
        </is>
      </c>
      <c r="E536" t="inlineStr">
        <is>
          <t>LINDESBERG</t>
        </is>
      </c>
      <c r="G536" t="n">
        <v>3</v>
      </c>
      <c r="H536" t="n">
        <v>0</v>
      </c>
      <c r="I536" t="n">
        <v>0</v>
      </c>
      <c r="J536" t="n">
        <v>0</v>
      </c>
      <c r="K536" t="n">
        <v>0</v>
      </c>
      <c r="L536" t="n">
        <v>0</v>
      </c>
      <c r="M536" t="n">
        <v>0</v>
      </c>
      <c r="N536" t="n">
        <v>0</v>
      </c>
      <c r="O536" t="n">
        <v>0</v>
      </c>
      <c r="P536" t="n">
        <v>0</v>
      </c>
      <c r="Q536" t="n">
        <v>0</v>
      </c>
      <c r="R536" s="2" t="inlineStr"/>
    </row>
    <row r="537" ht="15" customHeight="1">
      <c r="A537" t="inlineStr">
        <is>
          <t>A 14185-2024</t>
        </is>
      </c>
      <c r="B537" s="1" t="n">
        <v>45393.3562962963</v>
      </c>
      <c r="C537" s="1" t="n">
        <v>46169</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14190-2024</t>
        </is>
      </c>
      <c r="B538" s="1" t="n">
        <v>45393.36060185185</v>
      </c>
      <c r="C538" s="1" t="n">
        <v>46169</v>
      </c>
      <c r="D538" t="inlineStr">
        <is>
          <t>ÖREBRO LÄN</t>
        </is>
      </c>
      <c r="E538" t="inlineStr">
        <is>
          <t>LINDESBERG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46169</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56982-2025</t>
        </is>
      </c>
      <c r="B540" s="1" t="n">
        <v>45978.71075231482</v>
      </c>
      <c r="C540" s="1" t="n">
        <v>46169</v>
      </c>
      <c r="D540" t="inlineStr">
        <is>
          <t>ÖREBRO LÄN</t>
        </is>
      </c>
      <c r="E540" t="inlineStr">
        <is>
          <t>LINDESBERG</t>
        </is>
      </c>
      <c r="G540" t="n">
        <v>4.3</v>
      </c>
      <c r="H540" t="n">
        <v>0</v>
      </c>
      <c r="I540" t="n">
        <v>0</v>
      </c>
      <c r="J540" t="n">
        <v>0</v>
      </c>
      <c r="K540" t="n">
        <v>0</v>
      </c>
      <c r="L540" t="n">
        <v>0</v>
      </c>
      <c r="M540" t="n">
        <v>0</v>
      </c>
      <c r="N540" t="n">
        <v>0</v>
      </c>
      <c r="O540" t="n">
        <v>0</v>
      </c>
      <c r="P540" t="n">
        <v>0</v>
      </c>
      <c r="Q540" t="n">
        <v>0</v>
      </c>
      <c r="R540" s="2" t="inlineStr"/>
    </row>
    <row r="541" ht="15" customHeight="1">
      <c r="A541" t="inlineStr">
        <is>
          <t>A 37497-2025</t>
        </is>
      </c>
      <c r="B541" s="1" t="n">
        <v>45877.64431712963</v>
      </c>
      <c r="C541" s="1" t="n">
        <v>46169</v>
      </c>
      <c r="D541" t="inlineStr">
        <is>
          <t>ÖREBRO LÄN</t>
        </is>
      </c>
      <c r="E541" t="inlineStr">
        <is>
          <t>LINDESBERG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37490-2025</t>
        </is>
      </c>
      <c r="B542" s="1" t="n">
        <v>45877.63989583333</v>
      </c>
      <c r="C542" s="1" t="n">
        <v>46169</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37491-2025</t>
        </is>
      </c>
      <c r="B543" s="1" t="n">
        <v>45877.64144675926</v>
      </c>
      <c r="C543" s="1" t="n">
        <v>46169</v>
      </c>
      <c r="D543" t="inlineStr">
        <is>
          <t>ÖREBRO LÄN</t>
        </is>
      </c>
      <c r="E543" t="inlineStr">
        <is>
          <t>LINDESBERG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37499-2025</t>
        </is>
      </c>
      <c r="B544" s="1" t="n">
        <v>45877.64605324074</v>
      </c>
      <c r="C544" s="1" t="n">
        <v>46169</v>
      </c>
      <c r="D544" t="inlineStr">
        <is>
          <t>ÖREBRO LÄN</t>
        </is>
      </c>
      <c r="E544" t="inlineStr">
        <is>
          <t>LINDESBERG</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37503-2025</t>
        </is>
      </c>
      <c r="B545" s="1" t="n">
        <v>45877.65075231482</v>
      </c>
      <c r="C545" s="1" t="n">
        <v>46169</v>
      </c>
      <c r="D545" t="inlineStr">
        <is>
          <t>ÖREBRO LÄN</t>
        </is>
      </c>
      <c r="E545" t="inlineStr">
        <is>
          <t>LINDESBERG</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37501-2025</t>
        </is>
      </c>
      <c r="B546" s="1" t="n">
        <v>45877.64847222222</v>
      </c>
      <c r="C546" s="1" t="n">
        <v>46169</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37500-2025</t>
        </is>
      </c>
      <c r="B547" s="1" t="n">
        <v>45877.64776620371</v>
      </c>
      <c r="C547" s="1" t="n">
        <v>46169</v>
      </c>
      <c r="D547" t="inlineStr">
        <is>
          <t>ÖREBRO LÄN</t>
        </is>
      </c>
      <c r="E547" t="inlineStr">
        <is>
          <t>LINDESBERG</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37301-2025</t>
        </is>
      </c>
      <c r="B548" s="1" t="n">
        <v>45876.59166666667</v>
      </c>
      <c r="C548" s="1" t="n">
        <v>46169</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57299-2025</t>
        </is>
      </c>
      <c r="B549" s="1" t="n">
        <v>45979.81347222222</v>
      </c>
      <c r="C549" s="1" t="n">
        <v>46169</v>
      </c>
      <c r="D549" t="inlineStr">
        <is>
          <t>ÖREBRO LÄN</t>
        </is>
      </c>
      <c r="E549" t="inlineStr">
        <is>
          <t>LINDESBERG</t>
        </is>
      </c>
      <c r="F549" t="inlineStr">
        <is>
          <t>Sveaskog</t>
        </is>
      </c>
      <c r="G549" t="n">
        <v>4.5</v>
      </c>
      <c r="H549" t="n">
        <v>0</v>
      </c>
      <c r="I549" t="n">
        <v>0</v>
      </c>
      <c r="J549" t="n">
        <v>0</v>
      </c>
      <c r="K549" t="n">
        <v>0</v>
      </c>
      <c r="L549" t="n">
        <v>0</v>
      </c>
      <c r="M549" t="n">
        <v>0</v>
      </c>
      <c r="N549" t="n">
        <v>0</v>
      </c>
      <c r="O549" t="n">
        <v>0</v>
      </c>
      <c r="P549" t="n">
        <v>0</v>
      </c>
      <c r="Q549" t="n">
        <v>0</v>
      </c>
      <c r="R549" s="2" t="inlineStr"/>
    </row>
    <row r="550" ht="15" customHeight="1">
      <c r="A550" t="inlineStr">
        <is>
          <t>A 57317-2025</t>
        </is>
      </c>
      <c r="B550" s="1" t="n">
        <v>45980.01226851852</v>
      </c>
      <c r="C550" s="1" t="n">
        <v>46169</v>
      </c>
      <c r="D550" t="inlineStr">
        <is>
          <t>ÖREBRO LÄN</t>
        </is>
      </c>
      <c r="E550" t="inlineStr">
        <is>
          <t>LINDESBERG</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37492-2025</t>
        </is>
      </c>
      <c r="B551" s="1" t="n">
        <v>45877.64230324074</v>
      </c>
      <c r="C551" s="1" t="n">
        <v>46169</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51656-2023</t>
        </is>
      </c>
      <c r="B552" s="1" t="n">
        <v>45222</v>
      </c>
      <c r="C552" s="1" t="n">
        <v>46169</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57300-2025</t>
        </is>
      </c>
      <c r="B553" s="1" t="n">
        <v>45979.81403935186</v>
      </c>
      <c r="C553" s="1" t="n">
        <v>46169</v>
      </c>
      <c r="D553" t="inlineStr">
        <is>
          <t>ÖREBRO LÄN</t>
        </is>
      </c>
      <c r="E553" t="inlineStr">
        <is>
          <t>LINDESBERG</t>
        </is>
      </c>
      <c r="F553" t="inlineStr">
        <is>
          <t>Sveaskog</t>
        </is>
      </c>
      <c r="G553" t="n">
        <v>4.9</v>
      </c>
      <c r="H553" t="n">
        <v>0</v>
      </c>
      <c r="I553" t="n">
        <v>0</v>
      </c>
      <c r="J553" t="n">
        <v>0</v>
      </c>
      <c r="K553" t="n">
        <v>0</v>
      </c>
      <c r="L553" t="n">
        <v>0</v>
      </c>
      <c r="M553" t="n">
        <v>0</v>
      </c>
      <c r="N553" t="n">
        <v>0</v>
      </c>
      <c r="O553" t="n">
        <v>0</v>
      </c>
      <c r="P553" t="n">
        <v>0</v>
      </c>
      <c r="Q553" t="n">
        <v>0</v>
      </c>
      <c r="R553" s="2" t="inlineStr"/>
    </row>
    <row r="554" ht="15" customHeight="1">
      <c r="A554" t="inlineStr">
        <is>
          <t>A 3732-2023</t>
        </is>
      </c>
      <c r="B554" s="1" t="n">
        <v>44949</v>
      </c>
      <c r="C554" s="1" t="n">
        <v>46169</v>
      </c>
      <c r="D554" t="inlineStr">
        <is>
          <t>ÖREBRO LÄN</t>
        </is>
      </c>
      <c r="E554" t="inlineStr">
        <is>
          <t>LINDESBERG</t>
        </is>
      </c>
      <c r="G554" t="n">
        <v>3.3</v>
      </c>
      <c r="H554" t="n">
        <v>0</v>
      </c>
      <c r="I554" t="n">
        <v>0</v>
      </c>
      <c r="J554" t="n">
        <v>0</v>
      </c>
      <c r="K554" t="n">
        <v>0</v>
      </c>
      <c r="L554" t="n">
        <v>0</v>
      </c>
      <c r="M554" t="n">
        <v>0</v>
      </c>
      <c r="N554" t="n">
        <v>0</v>
      </c>
      <c r="O554" t="n">
        <v>0</v>
      </c>
      <c r="P554" t="n">
        <v>0</v>
      </c>
      <c r="Q554" t="n">
        <v>0</v>
      </c>
      <c r="R554" s="2" t="inlineStr"/>
    </row>
    <row r="555" ht="15" customHeight="1">
      <c r="A555" t="inlineStr">
        <is>
          <t>A 37837-2025</t>
        </is>
      </c>
      <c r="B555" s="1" t="n">
        <v>45881.42791666667</v>
      </c>
      <c r="C555" s="1" t="n">
        <v>46169</v>
      </c>
      <c r="D555" t="inlineStr">
        <is>
          <t>ÖREBRO LÄN</t>
        </is>
      </c>
      <c r="E555" t="inlineStr">
        <is>
          <t>LINDESBERG</t>
        </is>
      </c>
      <c r="G555" t="n">
        <v>1.3</v>
      </c>
      <c r="H555" t="n">
        <v>0</v>
      </c>
      <c r="I555" t="n">
        <v>0</v>
      </c>
      <c r="J555" t="n">
        <v>0</v>
      </c>
      <c r="K555" t="n">
        <v>0</v>
      </c>
      <c r="L555" t="n">
        <v>0</v>
      </c>
      <c r="M555" t="n">
        <v>0</v>
      </c>
      <c r="N555" t="n">
        <v>0</v>
      </c>
      <c r="O555" t="n">
        <v>0</v>
      </c>
      <c r="P555" t="n">
        <v>0</v>
      </c>
      <c r="Q555" t="n">
        <v>0</v>
      </c>
      <c r="R555" s="2" t="inlineStr"/>
    </row>
    <row r="556" ht="15" customHeight="1">
      <c r="A556" t="inlineStr">
        <is>
          <t>A 37602-2025</t>
        </is>
      </c>
      <c r="B556" s="1" t="n">
        <v>45880</v>
      </c>
      <c r="C556" s="1" t="n">
        <v>46169</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37625-2025</t>
        </is>
      </c>
      <c r="B557" s="1" t="n">
        <v>45880.46056712963</v>
      </c>
      <c r="C557" s="1" t="n">
        <v>46169</v>
      </c>
      <c r="D557" t="inlineStr">
        <is>
          <t>ÖREBRO LÄN</t>
        </is>
      </c>
      <c r="E557" t="inlineStr">
        <is>
          <t>LINDESBERG</t>
        </is>
      </c>
      <c r="G557" t="n">
        <v>12.5</v>
      </c>
      <c r="H557" t="n">
        <v>0</v>
      </c>
      <c r="I557" t="n">
        <v>0</v>
      </c>
      <c r="J557" t="n">
        <v>0</v>
      </c>
      <c r="K557" t="n">
        <v>0</v>
      </c>
      <c r="L557" t="n">
        <v>0</v>
      </c>
      <c r="M557" t="n">
        <v>0</v>
      </c>
      <c r="N557" t="n">
        <v>0</v>
      </c>
      <c r="O557" t="n">
        <v>0</v>
      </c>
      <c r="P557" t="n">
        <v>0</v>
      </c>
      <c r="Q557" t="n">
        <v>0</v>
      </c>
      <c r="R557" s="2" t="inlineStr"/>
    </row>
    <row r="558" ht="15" customHeight="1">
      <c r="A558" t="inlineStr">
        <is>
          <t>A 57069-2022</t>
        </is>
      </c>
      <c r="B558" s="1" t="n">
        <v>44895</v>
      </c>
      <c r="C558" s="1" t="n">
        <v>46169</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57359-2025</t>
        </is>
      </c>
      <c r="B559" s="1" t="n">
        <v>45980.36866898148</v>
      </c>
      <c r="C559" s="1" t="n">
        <v>46169</v>
      </c>
      <c r="D559" t="inlineStr">
        <is>
          <t>ÖREBRO LÄN</t>
        </is>
      </c>
      <c r="E559" t="inlineStr">
        <is>
          <t>LINDESBERG</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57361-2025</t>
        </is>
      </c>
      <c r="B560" s="1" t="n">
        <v>45980.36988425926</v>
      </c>
      <c r="C560" s="1" t="n">
        <v>46169</v>
      </c>
      <c r="D560" t="inlineStr">
        <is>
          <t>ÖREBRO LÄN</t>
        </is>
      </c>
      <c r="E560" t="inlineStr">
        <is>
          <t>LINDESBERG</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37552-2025</t>
        </is>
      </c>
      <c r="B561" s="1" t="n">
        <v>45880.28673611111</v>
      </c>
      <c r="C561" s="1" t="n">
        <v>46169</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37935-2025</t>
        </is>
      </c>
      <c r="B562" s="1" t="n">
        <v>45881.59550925926</v>
      </c>
      <c r="C562" s="1" t="n">
        <v>46169</v>
      </c>
      <c r="D562" t="inlineStr">
        <is>
          <t>ÖREBRO LÄN</t>
        </is>
      </c>
      <c r="E562" t="inlineStr">
        <is>
          <t>LINDESBERG</t>
        </is>
      </c>
      <c r="G562" t="n">
        <v>5.1</v>
      </c>
      <c r="H562" t="n">
        <v>0</v>
      </c>
      <c r="I562" t="n">
        <v>0</v>
      </c>
      <c r="J562" t="n">
        <v>0</v>
      </c>
      <c r="K562" t="n">
        <v>0</v>
      </c>
      <c r="L562" t="n">
        <v>0</v>
      </c>
      <c r="M562" t="n">
        <v>0</v>
      </c>
      <c r="N562" t="n">
        <v>0</v>
      </c>
      <c r="O562" t="n">
        <v>0</v>
      </c>
      <c r="P562" t="n">
        <v>0</v>
      </c>
      <c r="Q562" t="n">
        <v>0</v>
      </c>
      <c r="R562" s="2" t="inlineStr"/>
    </row>
    <row r="563" ht="15" customHeight="1">
      <c r="A563" t="inlineStr">
        <is>
          <t>A 4067-2024</t>
        </is>
      </c>
      <c r="B563" s="1" t="n">
        <v>45323</v>
      </c>
      <c r="C563" s="1" t="n">
        <v>46169</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37553-2025</t>
        </is>
      </c>
      <c r="B564" s="1" t="n">
        <v>45880.3172337963</v>
      </c>
      <c r="C564" s="1" t="n">
        <v>46169</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29500-2023</t>
        </is>
      </c>
      <c r="B565" s="1" t="n">
        <v>45106</v>
      </c>
      <c r="C565" s="1" t="n">
        <v>46169</v>
      </c>
      <c r="D565" t="inlineStr">
        <is>
          <t>ÖREBRO LÄN</t>
        </is>
      </c>
      <c r="E565" t="inlineStr">
        <is>
          <t>LINDESBERG</t>
        </is>
      </c>
      <c r="G565" t="n">
        <v>1.6</v>
      </c>
      <c r="H565" t="n">
        <v>0</v>
      </c>
      <c r="I565" t="n">
        <v>0</v>
      </c>
      <c r="J565" t="n">
        <v>0</v>
      </c>
      <c r="K565" t="n">
        <v>0</v>
      </c>
      <c r="L565" t="n">
        <v>0</v>
      </c>
      <c r="M565" t="n">
        <v>0</v>
      </c>
      <c r="N565" t="n">
        <v>0</v>
      </c>
      <c r="O565" t="n">
        <v>0</v>
      </c>
      <c r="P565" t="n">
        <v>0</v>
      </c>
      <c r="Q565" t="n">
        <v>0</v>
      </c>
      <c r="R565" s="2" t="inlineStr"/>
    </row>
    <row r="566" ht="15" customHeight="1">
      <c r="A566" t="inlineStr">
        <is>
          <t>A 10823-2023</t>
        </is>
      </c>
      <c r="B566" s="1" t="n">
        <v>44990</v>
      </c>
      <c r="C566" s="1" t="n">
        <v>46169</v>
      </c>
      <c r="D566" t="inlineStr">
        <is>
          <t>ÖREBRO LÄN</t>
        </is>
      </c>
      <c r="E566" t="inlineStr">
        <is>
          <t>LINDESBERG</t>
        </is>
      </c>
      <c r="G566" t="n">
        <v>1.8</v>
      </c>
      <c r="H566" t="n">
        <v>0</v>
      </c>
      <c r="I566" t="n">
        <v>0</v>
      </c>
      <c r="J566" t="n">
        <v>0</v>
      </c>
      <c r="K566" t="n">
        <v>0</v>
      </c>
      <c r="L566" t="n">
        <v>0</v>
      </c>
      <c r="M566" t="n">
        <v>0</v>
      </c>
      <c r="N566" t="n">
        <v>0</v>
      </c>
      <c r="O566" t="n">
        <v>0</v>
      </c>
      <c r="P566" t="n">
        <v>0</v>
      </c>
      <c r="Q566" t="n">
        <v>0</v>
      </c>
      <c r="R566" s="2" t="inlineStr"/>
    </row>
    <row r="567" ht="15" customHeight="1">
      <c r="A567" t="inlineStr">
        <is>
          <t>A 8902-2024</t>
        </is>
      </c>
      <c r="B567" s="1" t="n">
        <v>45357.34521990741</v>
      </c>
      <c r="C567" s="1" t="n">
        <v>46169</v>
      </c>
      <c r="D567" t="inlineStr">
        <is>
          <t>ÖREBRO LÄN</t>
        </is>
      </c>
      <c r="E567" t="inlineStr">
        <is>
          <t>LINDESBERG</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57313-2025</t>
        </is>
      </c>
      <c r="B568" s="1" t="n">
        <v>45979.97458333334</v>
      </c>
      <c r="C568" s="1" t="n">
        <v>46169</v>
      </c>
      <c r="D568" t="inlineStr">
        <is>
          <t>ÖREBRO LÄN</t>
        </is>
      </c>
      <c r="E568" t="inlineStr">
        <is>
          <t>LINDESBERG</t>
        </is>
      </c>
      <c r="F568" t="inlineStr">
        <is>
          <t>Sveaskog</t>
        </is>
      </c>
      <c r="G568" t="n">
        <v>9.1</v>
      </c>
      <c r="H568" t="n">
        <v>0</v>
      </c>
      <c r="I568" t="n">
        <v>0</v>
      </c>
      <c r="J568" t="n">
        <v>0</v>
      </c>
      <c r="K568" t="n">
        <v>0</v>
      </c>
      <c r="L568" t="n">
        <v>0</v>
      </c>
      <c r="M568" t="n">
        <v>0</v>
      </c>
      <c r="N568" t="n">
        <v>0</v>
      </c>
      <c r="O568" t="n">
        <v>0</v>
      </c>
      <c r="P568" t="n">
        <v>0</v>
      </c>
      <c r="Q568" t="n">
        <v>0</v>
      </c>
      <c r="R568" s="2" t="inlineStr"/>
    </row>
    <row r="569" ht="15" customHeight="1">
      <c r="A569" t="inlineStr">
        <is>
          <t>A 57314-2025</t>
        </is>
      </c>
      <c r="B569" s="1" t="n">
        <v>45980.00710648148</v>
      </c>
      <c r="C569" s="1" t="n">
        <v>46169</v>
      </c>
      <c r="D569" t="inlineStr">
        <is>
          <t>ÖREBRO LÄN</t>
        </is>
      </c>
      <c r="E569" t="inlineStr">
        <is>
          <t>LINDESBERG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57315-2025</t>
        </is>
      </c>
      <c r="B570" s="1" t="n">
        <v>45980.00753472222</v>
      </c>
      <c r="C570" s="1" t="n">
        <v>46169</v>
      </c>
      <c r="D570" t="inlineStr">
        <is>
          <t>ÖREBRO LÄN</t>
        </is>
      </c>
      <c r="E570" t="inlineStr">
        <is>
          <t>LINDESBERG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57316-2025</t>
        </is>
      </c>
      <c r="B571" s="1" t="n">
        <v>45980.0115625</v>
      </c>
      <c r="C571" s="1" t="n">
        <v>46169</v>
      </c>
      <c r="D571" t="inlineStr">
        <is>
          <t>ÖREBRO LÄN</t>
        </is>
      </c>
      <c r="E571" t="inlineStr">
        <is>
          <t>LINDESBERG</t>
        </is>
      </c>
      <c r="F571" t="inlineStr">
        <is>
          <t>Sveaskog</t>
        </is>
      </c>
      <c r="G571" t="n">
        <v>6.5</v>
      </c>
      <c r="H571" t="n">
        <v>0</v>
      </c>
      <c r="I571" t="n">
        <v>0</v>
      </c>
      <c r="J571" t="n">
        <v>0</v>
      </c>
      <c r="K571" t="n">
        <v>0</v>
      </c>
      <c r="L571" t="n">
        <v>0</v>
      </c>
      <c r="M571" t="n">
        <v>0</v>
      </c>
      <c r="N571" t="n">
        <v>0</v>
      </c>
      <c r="O571" t="n">
        <v>0</v>
      </c>
      <c r="P571" t="n">
        <v>0</v>
      </c>
      <c r="Q571" t="n">
        <v>0</v>
      </c>
      <c r="R571" s="2" t="inlineStr"/>
    </row>
    <row r="572" ht="15" customHeight="1">
      <c r="A572" t="inlineStr">
        <is>
          <t>A 57320-2025</t>
        </is>
      </c>
      <c r="B572" s="1" t="n">
        <v>45980.01553240741</v>
      </c>
      <c r="C572" s="1" t="n">
        <v>46169</v>
      </c>
      <c r="D572" t="inlineStr">
        <is>
          <t>ÖREBRO LÄN</t>
        </is>
      </c>
      <c r="E572" t="inlineStr">
        <is>
          <t>LINDESBERG</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57363-2025</t>
        </is>
      </c>
      <c r="B573" s="1" t="n">
        <v>45980.3716087963</v>
      </c>
      <c r="C573" s="1" t="n">
        <v>46169</v>
      </c>
      <c r="D573" t="inlineStr">
        <is>
          <t>ÖREBRO LÄN</t>
        </is>
      </c>
      <c r="E573" t="inlineStr">
        <is>
          <t>LINDESBERG</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57356-2025</t>
        </is>
      </c>
      <c r="B574" s="1" t="n">
        <v>45980.36633101852</v>
      </c>
      <c r="C574" s="1" t="n">
        <v>46169</v>
      </c>
      <c r="D574" t="inlineStr">
        <is>
          <t>ÖREBRO LÄN</t>
        </is>
      </c>
      <c r="E574" t="inlineStr">
        <is>
          <t>LINDESBERG</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40305-2024</t>
        </is>
      </c>
      <c r="B575" s="1" t="n">
        <v>45554.71863425926</v>
      </c>
      <c r="C575" s="1" t="n">
        <v>46169</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57358-2025</t>
        </is>
      </c>
      <c r="B576" s="1" t="n">
        <v>45980.36679398148</v>
      </c>
      <c r="C576" s="1" t="n">
        <v>46169</v>
      </c>
      <c r="D576" t="inlineStr">
        <is>
          <t>ÖREBRO LÄN</t>
        </is>
      </c>
      <c r="E576" t="inlineStr">
        <is>
          <t>LINDESBERG</t>
        </is>
      </c>
      <c r="F576" t="inlineStr">
        <is>
          <t>Sveaskog</t>
        </is>
      </c>
      <c r="G576" t="n">
        <v>4.2</v>
      </c>
      <c r="H576" t="n">
        <v>0</v>
      </c>
      <c r="I576" t="n">
        <v>0</v>
      </c>
      <c r="J576" t="n">
        <v>0</v>
      </c>
      <c r="K576" t="n">
        <v>0</v>
      </c>
      <c r="L576" t="n">
        <v>0</v>
      </c>
      <c r="M576" t="n">
        <v>0</v>
      </c>
      <c r="N576" t="n">
        <v>0</v>
      </c>
      <c r="O576" t="n">
        <v>0</v>
      </c>
      <c r="P576" t="n">
        <v>0</v>
      </c>
      <c r="Q576" t="n">
        <v>0</v>
      </c>
      <c r="R576" s="2" t="inlineStr"/>
    </row>
    <row r="577" ht="15" customHeight="1">
      <c r="A577" t="inlineStr">
        <is>
          <t>A 19436-2025</t>
        </is>
      </c>
      <c r="B577" s="1" t="n">
        <v>45769.98449074074</v>
      </c>
      <c r="C577" s="1" t="n">
        <v>46169</v>
      </c>
      <c r="D577" t="inlineStr">
        <is>
          <t>ÖREBRO LÄN</t>
        </is>
      </c>
      <c r="E577" t="inlineStr">
        <is>
          <t>LINDESBERG</t>
        </is>
      </c>
      <c r="G577" t="n">
        <v>1.2</v>
      </c>
      <c r="H577" t="n">
        <v>0</v>
      </c>
      <c r="I577" t="n">
        <v>0</v>
      </c>
      <c r="J577" t="n">
        <v>0</v>
      </c>
      <c r="K577" t="n">
        <v>0</v>
      </c>
      <c r="L577" t="n">
        <v>0</v>
      </c>
      <c r="M577" t="n">
        <v>0</v>
      </c>
      <c r="N577" t="n">
        <v>0</v>
      </c>
      <c r="O577" t="n">
        <v>0</v>
      </c>
      <c r="P577" t="n">
        <v>0</v>
      </c>
      <c r="Q577" t="n">
        <v>0</v>
      </c>
      <c r="R577" s="2" t="inlineStr"/>
    </row>
    <row r="578" ht="15" customHeight="1">
      <c r="A578" t="inlineStr">
        <is>
          <t>A 22829-2023</t>
        </is>
      </c>
      <c r="B578" s="1" t="n">
        <v>45072.42776620371</v>
      </c>
      <c r="C578" s="1" t="n">
        <v>46169</v>
      </c>
      <c r="D578" t="inlineStr">
        <is>
          <t>ÖREBRO LÄN</t>
        </is>
      </c>
      <c r="E578" t="inlineStr">
        <is>
          <t>LINDESBERG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28463-2024</t>
        </is>
      </c>
      <c r="B579" s="1" t="n">
        <v>45477.70315972222</v>
      </c>
      <c r="C579" s="1" t="n">
        <v>46169</v>
      </c>
      <c r="D579" t="inlineStr">
        <is>
          <t>ÖREBRO LÄN</t>
        </is>
      </c>
      <c r="E579" t="inlineStr">
        <is>
          <t>LINDESBERG</t>
        </is>
      </c>
      <c r="G579" t="n">
        <v>6.3</v>
      </c>
      <c r="H579" t="n">
        <v>0</v>
      </c>
      <c r="I579" t="n">
        <v>0</v>
      </c>
      <c r="J579" t="n">
        <v>0</v>
      </c>
      <c r="K579" t="n">
        <v>0</v>
      </c>
      <c r="L579" t="n">
        <v>0</v>
      </c>
      <c r="M579" t="n">
        <v>0</v>
      </c>
      <c r="N579" t="n">
        <v>0</v>
      </c>
      <c r="O579" t="n">
        <v>0</v>
      </c>
      <c r="P579" t="n">
        <v>0</v>
      </c>
      <c r="Q579" t="n">
        <v>0</v>
      </c>
      <c r="R579" s="2" t="inlineStr"/>
    </row>
    <row r="580" ht="15" customHeight="1">
      <c r="A580" t="inlineStr">
        <is>
          <t>A 58166-2025</t>
        </is>
      </c>
      <c r="B580" s="1" t="n">
        <v>45982.71017361111</v>
      </c>
      <c r="C580" s="1" t="n">
        <v>46169</v>
      </c>
      <c r="D580" t="inlineStr">
        <is>
          <t>ÖREBRO LÄN</t>
        </is>
      </c>
      <c r="E580" t="inlineStr">
        <is>
          <t>LINDESBERG</t>
        </is>
      </c>
      <c r="G580" t="n">
        <v>2.5</v>
      </c>
      <c r="H580" t="n">
        <v>0</v>
      </c>
      <c r="I580" t="n">
        <v>0</v>
      </c>
      <c r="J580" t="n">
        <v>0</v>
      </c>
      <c r="K580" t="n">
        <v>0</v>
      </c>
      <c r="L580" t="n">
        <v>0</v>
      </c>
      <c r="M580" t="n">
        <v>0</v>
      </c>
      <c r="N580" t="n">
        <v>0</v>
      </c>
      <c r="O580" t="n">
        <v>0</v>
      </c>
      <c r="P580" t="n">
        <v>0</v>
      </c>
      <c r="Q580" t="n">
        <v>0</v>
      </c>
      <c r="R580" s="2" t="inlineStr"/>
    </row>
    <row r="581" ht="15" customHeight="1">
      <c r="A581" t="inlineStr">
        <is>
          <t>A 15822-2024</t>
        </is>
      </c>
      <c r="B581" s="1" t="n">
        <v>45404.68190972223</v>
      </c>
      <c r="C581" s="1" t="n">
        <v>46169</v>
      </c>
      <c r="D581" t="inlineStr">
        <is>
          <t>ÖREBRO LÄN</t>
        </is>
      </c>
      <c r="E581" t="inlineStr">
        <is>
          <t>LINDESBERG</t>
        </is>
      </c>
      <c r="F581" t="inlineStr">
        <is>
          <t>Sveaskog</t>
        </is>
      </c>
      <c r="G581" t="n">
        <v>6.7</v>
      </c>
      <c r="H581" t="n">
        <v>0</v>
      </c>
      <c r="I581" t="n">
        <v>0</v>
      </c>
      <c r="J581" t="n">
        <v>0</v>
      </c>
      <c r="K581" t="n">
        <v>0</v>
      </c>
      <c r="L581" t="n">
        <v>0</v>
      </c>
      <c r="M581" t="n">
        <v>0</v>
      </c>
      <c r="N581" t="n">
        <v>0</v>
      </c>
      <c r="O581" t="n">
        <v>0</v>
      </c>
      <c r="P581" t="n">
        <v>0</v>
      </c>
      <c r="Q581" t="n">
        <v>0</v>
      </c>
      <c r="R581" s="2" t="inlineStr"/>
    </row>
    <row r="582" ht="15" customHeight="1">
      <c r="A582" t="inlineStr">
        <is>
          <t>A 59052-2023</t>
        </is>
      </c>
      <c r="B582" s="1" t="n">
        <v>45252.78021990741</v>
      </c>
      <c r="C582" s="1" t="n">
        <v>46169</v>
      </c>
      <c r="D582" t="inlineStr">
        <is>
          <t>ÖREBRO LÄN</t>
        </is>
      </c>
      <c r="E582" t="inlineStr">
        <is>
          <t>LINDESBERG</t>
        </is>
      </c>
      <c r="G582" t="n">
        <v>4.2</v>
      </c>
      <c r="H582" t="n">
        <v>0</v>
      </c>
      <c r="I582" t="n">
        <v>0</v>
      </c>
      <c r="J582" t="n">
        <v>0</v>
      </c>
      <c r="K582" t="n">
        <v>0</v>
      </c>
      <c r="L582" t="n">
        <v>0</v>
      </c>
      <c r="M582" t="n">
        <v>0</v>
      </c>
      <c r="N582" t="n">
        <v>0</v>
      </c>
      <c r="O582" t="n">
        <v>0</v>
      </c>
      <c r="P582" t="n">
        <v>0</v>
      </c>
      <c r="Q582" t="n">
        <v>0</v>
      </c>
      <c r="R582" s="2" t="inlineStr"/>
    </row>
    <row r="583" ht="15" customHeight="1">
      <c r="A583" t="inlineStr">
        <is>
          <t>A 2107-2022</t>
        </is>
      </c>
      <c r="B583" s="1" t="n">
        <v>44577.83484953704</v>
      </c>
      <c r="C583" s="1" t="n">
        <v>46169</v>
      </c>
      <c r="D583" t="inlineStr">
        <is>
          <t>ÖREBRO LÄN</t>
        </is>
      </c>
      <c r="E583" t="inlineStr">
        <is>
          <t>LINDESBERG</t>
        </is>
      </c>
      <c r="G583" t="n">
        <v>2.9</v>
      </c>
      <c r="H583" t="n">
        <v>0</v>
      </c>
      <c r="I583" t="n">
        <v>0</v>
      </c>
      <c r="J583" t="n">
        <v>0</v>
      </c>
      <c r="K583" t="n">
        <v>0</v>
      </c>
      <c r="L583" t="n">
        <v>0</v>
      </c>
      <c r="M583" t="n">
        <v>0</v>
      </c>
      <c r="N583" t="n">
        <v>0</v>
      </c>
      <c r="O583" t="n">
        <v>0</v>
      </c>
      <c r="P583" t="n">
        <v>0</v>
      </c>
      <c r="Q583" t="n">
        <v>0</v>
      </c>
      <c r="R583" s="2" t="inlineStr"/>
    </row>
    <row r="584" ht="15" customHeight="1">
      <c r="A584" t="inlineStr">
        <is>
          <t>A 23603-2023</t>
        </is>
      </c>
      <c r="B584" s="1" t="n">
        <v>45077</v>
      </c>
      <c r="C584" s="1" t="n">
        <v>46169</v>
      </c>
      <c r="D584" t="inlineStr">
        <is>
          <t>ÖREBRO LÄN</t>
        </is>
      </c>
      <c r="E584" t="inlineStr">
        <is>
          <t>LINDESBERG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23607-2023</t>
        </is>
      </c>
      <c r="B585" s="1" t="n">
        <v>45077</v>
      </c>
      <c r="C585" s="1" t="n">
        <v>46169</v>
      </c>
      <c r="D585" t="inlineStr">
        <is>
          <t>ÖREBRO LÄN</t>
        </is>
      </c>
      <c r="E585" t="inlineStr">
        <is>
          <t>LINDESBERG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23612-2023</t>
        </is>
      </c>
      <c r="B586" s="1" t="n">
        <v>45077</v>
      </c>
      <c r="C586" s="1" t="n">
        <v>46169</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38534-2025</t>
        </is>
      </c>
      <c r="B587" s="1" t="n">
        <v>45884</v>
      </c>
      <c r="C587" s="1" t="n">
        <v>46169</v>
      </c>
      <c r="D587" t="inlineStr">
        <is>
          <t>ÖREBRO LÄN</t>
        </is>
      </c>
      <c r="E587" t="inlineStr">
        <is>
          <t>LINDESBERG</t>
        </is>
      </c>
      <c r="G587" t="n">
        <v>4.9</v>
      </c>
      <c r="H587" t="n">
        <v>0</v>
      </c>
      <c r="I587" t="n">
        <v>0</v>
      </c>
      <c r="J587" t="n">
        <v>0</v>
      </c>
      <c r="K587" t="n">
        <v>0</v>
      </c>
      <c r="L587" t="n">
        <v>0</v>
      </c>
      <c r="M587" t="n">
        <v>0</v>
      </c>
      <c r="N587" t="n">
        <v>0</v>
      </c>
      <c r="O587" t="n">
        <v>0</v>
      </c>
      <c r="P587" t="n">
        <v>0</v>
      </c>
      <c r="Q587" t="n">
        <v>0</v>
      </c>
      <c r="R587" s="2" t="inlineStr"/>
    </row>
    <row r="588" ht="15" customHeight="1">
      <c r="A588" t="inlineStr">
        <is>
          <t>A 23641-2024</t>
        </is>
      </c>
      <c r="B588" s="1" t="n">
        <v>45454.49679398148</v>
      </c>
      <c r="C588" s="1" t="n">
        <v>46169</v>
      </c>
      <c r="D588" t="inlineStr">
        <is>
          <t>ÖREBRO LÄN</t>
        </is>
      </c>
      <c r="E588" t="inlineStr">
        <is>
          <t>LINDESBERG</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46219-2022</t>
        </is>
      </c>
      <c r="B589" s="1" t="n">
        <v>44846</v>
      </c>
      <c r="C589" s="1" t="n">
        <v>46169</v>
      </c>
      <c r="D589" t="inlineStr">
        <is>
          <t>ÖREBRO LÄN</t>
        </is>
      </c>
      <c r="E589" t="inlineStr">
        <is>
          <t>LINDESBERG</t>
        </is>
      </c>
      <c r="G589" t="n">
        <v>6</v>
      </c>
      <c r="H589" t="n">
        <v>0</v>
      </c>
      <c r="I589" t="n">
        <v>0</v>
      </c>
      <c r="J589" t="n">
        <v>0</v>
      </c>
      <c r="K589" t="n">
        <v>0</v>
      </c>
      <c r="L589" t="n">
        <v>0</v>
      </c>
      <c r="M589" t="n">
        <v>0</v>
      </c>
      <c r="N589" t="n">
        <v>0</v>
      </c>
      <c r="O589" t="n">
        <v>0</v>
      </c>
      <c r="P589" t="n">
        <v>0</v>
      </c>
      <c r="Q589" t="n">
        <v>0</v>
      </c>
      <c r="R589" s="2" t="inlineStr"/>
    </row>
    <row r="590" ht="15" customHeight="1">
      <c r="A590" t="inlineStr">
        <is>
          <t>A 58963-2025</t>
        </is>
      </c>
      <c r="B590" s="1" t="n">
        <v>45987.60012731481</v>
      </c>
      <c r="C590" s="1" t="n">
        <v>46169</v>
      </c>
      <c r="D590" t="inlineStr">
        <is>
          <t>ÖREBRO LÄN</t>
        </is>
      </c>
      <c r="E590" t="inlineStr">
        <is>
          <t>LINDESBERG</t>
        </is>
      </c>
      <c r="G590" t="n">
        <v>0.8</v>
      </c>
      <c r="H590" t="n">
        <v>0</v>
      </c>
      <c r="I590" t="n">
        <v>0</v>
      </c>
      <c r="J590" t="n">
        <v>0</v>
      </c>
      <c r="K590" t="n">
        <v>0</v>
      </c>
      <c r="L590" t="n">
        <v>0</v>
      </c>
      <c r="M590" t="n">
        <v>0</v>
      </c>
      <c r="N590" t="n">
        <v>0</v>
      </c>
      <c r="O590" t="n">
        <v>0</v>
      </c>
      <c r="P590" t="n">
        <v>0</v>
      </c>
      <c r="Q590" t="n">
        <v>0</v>
      </c>
      <c r="R590" s="2" t="inlineStr"/>
    </row>
    <row r="591" ht="15" customHeight="1">
      <c r="A591" t="inlineStr">
        <is>
          <t>A 10057-2025</t>
        </is>
      </c>
      <c r="B591" s="1" t="n">
        <v>45719.52871527777</v>
      </c>
      <c r="C591" s="1" t="n">
        <v>46169</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54862-2024</t>
        </is>
      </c>
      <c r="B592" s="1" t="n">
        <v>45618</v>
      </c>
      <c r="C592" s="1" t="n">
        <v>46169</v>
      </c>
      <c r="D592" t="inlineStr">
        <is>
          <t>ÖREBRO LÄN</t>
        </is>
      </c>
      <c r="E592" t="inlineStr">
        <is>
          <t>LINDESBERG</t>
        </is>
      </c>
      <c r="F592" t="inlineStr">
        <is>
          <t>Sveaskog</t>
        </is>
      </c>
      <c r="G592" t="n">
        <v>12.2</v>
      </c>
      <c r="H592" t="n">
        <v>0</v>
      </c>
      <c r="I592" t="n">
        <v>0</v>
      </c>
      <c r="J592" t="n">
        <v>0</v>
      </c>
      <c r="K592" t="n">
        <v>0</v>
      </c>
      <c r="L592" t="n">
        <v>0</v>
      </c>
      <c r="M592" t="n">
        <v>0</v>
      </c>
      <c r="N592" t="n">
        <v>0</v>
      </c>
      <c r="O592" t="n">
        <v>0</v>
      </c>
      <c r="P592" t="n">
        <v>0</v>
      </c>
      <c r="Q592" t="n">
        <v>0</v>
      </c>
      <c r="R592" s="2" t="inlineStr"/>
    </row>
    <row r="593" ht="15" customHeight="1">
      <c r="A593" t="inlineStr">
        <is>
          <t>A 5358-2022</t>
        </is>
      </c>
      <c r="B593" s="1" t="n">
        <v>44594.84091435185</v>
      </c>
      <c r="C593" s="1" t="n">
        <v>46169</v>
      </c>
      <c r="D593" t="inlineStr">
        <is>
          <t>ÖREBRO LÄN</t>
        </is>
      </c>
      <c r="E593" t="inlineStr">
        <is>
          <t>LINDESBERG</t>
        </is>
      </c>
      <c r="G593" t="n">
        <v>2.8</v>
      </c>
      <c r="H593" t="n">
        <v>0</v>
      </c>
      <c r="I593" t="n">
        <v>0</v>
      </c>
      <c r="J593" t="n">
        <v>0</v>
      </c>
      <c r="K593" t="n">
        <v>0</v>
      </c>
      <c r="L593" t="n">
        <v>0</v>
      </c>
      <c r="M593" t="n">
        <v>0</v>
      </c>
      <c r="N593" t="n">
        <v>0</v>
      </c>
      <c r="O593" t="n">
        <v>0</v>
      </c>
      <c r="P593" t="n">
        <v>0</v>
      </c>
      <c r="Q593" t="n">
        <v>0</v>
      </c>
      <c r="R593" s="2" t="inlineStr"/>
    </row>
    <row r="594" ht="15" customHeight="1">
      <c r="A594" t="inlineStr">
        <is>
          <t>A 60943-2024</t>
        </is>
      </c>
      <c r="B594" s="1" t="n">
        <v>45645.3737962963</v>
      </c>
      <c r="C594" s="1" t="n">
        <v>46169</v>
      </c>
      <c r="D594" t="inlineStr">
        <is>
          <t>ÖREBRO LÄN</t>
        </is>
      </c>
      <c r="E594" t="inlineStr">
        <is>
          <t>LINDESBERG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41948-2023</t>
        </is>
      </c>
      <c r="B595" s="1" t="n">
        <v>45177.33091435185</v>
      </c>
      <c r="C595" s="1" t="n">
        <v>46169</v>
      </c>
      <c r="D595" t="inlineStr">
        <is>
          <t>ÖREBRO LÄN</t>
        </is>
      </c>
      <c r="E595" t="inlineStr">
        <is>
          <t>LINDESBERG</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44804-2024</t>
        </is>
      </c>
      <c r="B596" s="1" t="n">
        <v>45574.65189814815</v>
      </c>
      <c r="C596" s="1" t="n">
        <v>46169</v>
      </c>
      <c r="D596" t="inlineStr">
        <is>
          <t>ÖREBRO LÄN</t>
        </is>
      </c>
      <c r="E596" t="inlineStr">
        <is>
          <t>LINDESBERG</t>
        </is>
      </c>
      <c r="F596" t="inlineStr">
        <is>
          <t>Sveaskog</t>
        </is>
      </c>
      <c r="G596" t="n">
        <v>5.7</v>
      </c>
      <c r="H596" t="n">
        <v>0</v>
      </c>
      <c r="I596" t="n">
        <v>0</v>
      </c>
      <c r="J596" t="n">
        <v>0</v>
      </c>
      <c r="K596" t="n">
        <v>0</v>
      </c>
      <c r="L596" t="n">
        <v>0</v>
      </c>
      <c r="M596" t="n">
        <v>0</v>
      </c>
      <c r="N596" t="n">
        <v>0</v>
      </c>
      <c r="O596" t="n">
        <v>0</v>
      </c>
      <c r="P596" t="n">
        <v>0</v>
      </c>
      <c r="Q596" t="n">
        <v>0</v>
      </c>
      <c r="R596" s="2" t="inlineStr"/>
    </row>
    <row r="597" ht="15" customHeight="1">
      <c r="A597" t="inlineStr">
        <is>
          <t>A 26778-2023</t>
        </is>
      </c>
      <c r="B597" s="1" t="n">
        <v>45093.48221064815</v>
      </c>
      <c r="C597" s="1" t="n">
        <v>46169</v>
      </c>
      <c r="D597" t="inlineStr">
        <is>
          <t>ÖREBRO LÄN</t>
        </is>
      </c>
      <c r="E597" t="inlineStr">
        <is>
          <t>LINDESBERG</t>
        </is>
      </c>
      <c r="G597" t="n">
        <v>7.5</v>
      </c>
      <c r="H597" t="n">
        <v>0</v>
      </c>
      <c r="I597" t="n">
        <v>0</v>
      </c>
      <c r="J597" t="n">
        <v>0</v>
      </c>
      <c r="K597" t="n">
        <v>0</v>
      </c>
      <c r="L597" t="n">
        <v>0</v>
      </c>
      <c r="M597" t="n">
        <v>0</v>
      </c>
      <c r="N597" t="n">
        <v>0</v>
      </c>
      <c r="O597" t="n">
        <v>0</v>
      </c>
      <c r="P597" t="n">
        <v>0</v>
      </c>
      <c r="Q597" t="n">
        <v>0</v>
      </c>
      <c r="R597" s="2" t="inlineStr"/>
    </row>
    <row r="598" ht="15" customHeight="1">
      <c r="A598" t="inlineStr">
        <is>
          <t>A 19392-2025</t>
        </is>
      </c>
      <c r="B598" s="1" t="n">
        <v>45769.66260416667</v>
      </c>
      <c r="C598" s="1" t="n">
        <v>46169</v>
      </c>
      <c r="D598" t="inlineStr">
        <is>
          <t>ÖREBRO LÄN</t>
        </is>
      </c>
      <c r="E598" t="inlineStr">
        <is>
          <t>LINDESBERG</t>
        </is>
      </c>
      <c r="G598" t="n">
        <v>6.5</v>
      </c>
      <c r="H598" t="n">
        <v>0</v>
      </c>
      <c r="I598" t="n">
        <v>0</v>
      </c>
      <c r="J598" t="n">
        <v>0</v>
      </c>
      <c r="K598" t="n">
        <v>0</v>
      </c>
      <c r="L598" t="n">
        <v>0</v>
      </c>
      <c r="M598" t="n">
        <v>0</v>
      </c>
      <c r="N598" t="n">
        <v>0</v>
      </c>
      <c r="O598" t="n">
        <v>0</v>
      </c>
      <c r="P598" t="n">
        <v>0</v>
      </c>
      <c r="Q598" t="n">
        <v>0</v>
      </c>
      <c r="R598" s="2" t="inlineStr"/>
    </row>
    <row r="599" ht="15" customHeight="1">
      <c r="A599" t="inlineStr">
        <is>
          <t>A 61597-2023</t>
        </is>
      </c>
      <c r="B599" s="1" t="n">
        <v>45265.49225694445</v>
      </c>
      <c r="C599" s="1" t="n">
        <v>46169</v>
      </c>
      <c r="D599" t="inlineStr">
        <is>
          <t>ÖREBRO LÄN</t>
        </is>
      </c>
      <c r="E599" t="inlineStr">
        <is>
          <t>LINDESBERG</t>
        </is>
      </c>
      <c r="G599" t="n">
        <v>10.3</v>
      </c>
      <c r="H599" t="n">
        <v>0</v>
      </c>
      <c r="I599" t="n">
        <v>0</v>
      </c>
      <c r="J599" t="n">
        <v>0</v>
      </c>
      <c r="K599" t="n">
        <v>0</v>
      </c>
      <c r="L599" t="n">
        <v>0</v>
      </c>
      <c r="M599" t="n">
        <v>0</v>
      </c>
      <c r="N599" t="n">
        <v>0</v>
      </c>
      <c r="O599" t="n">
        <v>0</v>
      </c>
      <c r="P599" t="n">
        <v>0</v>
      </c>
      <c r="Q599" t="n">
        <v>0</v>
      </c>
      <c r="R599" s="2" t="inlineStr"/>
    </row>
    <row r="600" ht="15" customHeight="1">
      <c r="A600" t="inlineStr">
        <is>
          <t>A 7211-2024</t>
        </is>
      </c>
      <c r="B600" s="1" t="n">
        <v>45344.623125</v>
      </c>
      <c r="C600" s="1" t="n">
        <v>46169</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41582-2021</t>
        </is>
      </c>
      <c r="B601" s="1" t="n">
        <v>44425.40297453704</v>
      </c>
      <c r="C601" s="1" t="n">
        <v>46169</v>
      </c>
      <c r="D601" t="inlineStr">
        <is>
          <t>ÖREBRO LÄN</t>
        </is>
      </c>
      <c r="E601" t="inlineStr">
        <is>
          <t>LINDESBERG</t>
        </is>
      </c>
      <c r="F601" t="inlineStr">
        <is>
          <t>Sveaskog</t>
        </is>
      </c>
      <c r="G601" t="n">
        <v>5.2</v>
      </c>
      <c r="H601" t="n">
        <v>0</v>
      </c>
      <c r="I601" t="n">
        <v>0</v>
      </c>
      <c r="J601" t="n">
        <v>0</v>
      </c>
      <c r="K601" t="n">
        <v>0</v>
      </c>
      <c r="L601" t="n">
        <v>0</v>
      </c>
      <c r="M601" t="n">
        <v>0</v>
      </c>
      <c r="N601" t="n">
        <v>0</v>
      </c>
      <c r="O601" t="n">
        <v>0</v>
      </c>
      <c r="P601" t="n">
        <v>0</v>
      </c>
      <c r="Q601" t="n">
        <v>0</v>
      </c>
      <c r="R601" s="2" t="inlineStr"/>
    </row>
    <row r="602" ht="15" customHeight="1">
      <c r="A602" t="inlineStr">
        <is>
          <t>A 6511-2025</t>
        </is>
      </c>
      <c r="B602" s="1" t="n">
        <v>45699.65424768518</v>
      </c>
      <c r="C602" s="1" t="n">
        <v>46169</v>
      </c>
      <c r="D602" t="inlineStr">
        <is>
          <t>ÖREBRO LÄN</t>
        </is>
      </c>
      <c r="E602" t="inlineStr">
        <is>
          <t>LINDESBERG</t>
        </is>
      </c>
      <c r="G602" t="n">
        <v>9.1</v>
      </c>
      <c r="H602" t="n">
        <v>0</v>
      </c>
      <c r="I602" t="n">
        <v>0</v>
      </c>
      <c r="J602" t="n">
        <v>0</v>
      </c>
      <c r="K602" t="n">
        <v>0</v>
      </c>
      <c r="L602" t="n">
        <v>0</v>
      </c>
      <c r="M602" t="n">
        <v>0</v>
      </c>
      <c r="N602" t="n">
        <v>0</v>
      </c>
      <c r="O602" t="n">
        <v>0</v>
      </c>
      <c r="P602" t="n">
        <v>0</v>
      </c>
      <c r="Q602" t="n">
        <v>0</v>
      </c>
      <c r="R602" s="2" t="inlineStr"/>
    </row>
    <row r="603" ht="15" customHeight="1">
      <c r="A603" t="inlineStr">
        <is>
          <t>A 38460-2024</t>
        </is>
      </c>
      <c r="B603" s="1" t="n">
        <v>45546.46497685185</v>
      </c>
      <c r="C603" s="1" t="n">
        <v>46169</v>
      </c>
      <c r="D603" t="inlineStr">
        <is>
          <t>ÖREBRO LÄN</t>
        </is>
      </c>
      <c r="E603" t="inlineStr">
        <is>
          <t>LINDESBERG</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48265-2021</t>
        </is>
      </c>
      <c r="B604" s="1" t="n">
        <v>44449</v>
      </c>
      <c r="C604" s="1" t="n">
        <v>46169</v>
      </c>
      <c r="D604" t="inlineStr">
        <is>
          <t>ÖREBRO LÄN</t>
        </is>
      </c>
      <c r="E604" t="inlineStr">
        <is>
          <t>LINDESBERG</t>
        </is>
      </c>
      <c r="G604" t="n">
        <v>23.7</v>
      </c>
      <c r="H604" t="n">
        <v>0</v>
      </c>
      <c r="I604" t="n">
        <v>0</v>
      </c>
      <c r="J604" t="n">
        <v>0</v>
      </c>
      <c r="K604" t="n">
        <v>0</v>
      </c>
      <c r="L604" t="n">
        <v>0</v>
      </c>
      <c r="M604" t="n">
        <v>0</v>
      </c>
      <c r="N604" t="n">
        <v>0</v>
      </c>
      <c r="O604" t="n">
        <v>0</v>
      </c>
      <c r="P604" t="n">
        <v>0</v>
      </c>
      <c r="Q604" t="n">
        <v>0</v>
      </c>
      <c r="R604" s="2" t="inlineStr"/>
    </row>
    <row r="605" ht="15" customHeight="1">
      <c r="A605" t="inlineStr">
        <is>
          <t>A 67016-2021</t>
        </is>
      </c>
      <c r="B605" s="1" t="n">
        <v>44522</v>
      </c>
      <c r="C605" s="1" t="n">
        <v>46169</v>
      </c>
      <c r="D605" t="inlineStr">
        <is>
          <t>ÖREBRO LÄN</t>
        </is>
      </c>
      <c r="E605" t="inlineStr">
        <is>
          <t>LINDESBERG</t>
        </is>
      </c>
      <c r="G605" t="n">
        <v>8</v>
      </c>
      <c r="H605" t="n">
        <v>0</v>
      </c>
      <c r="I605" t="n">
        <v>0</v>
      </c>
      <c r="J605" t="n">
        <v>0</v>
      </c>
      <c r="K605" t="n">
        <v>0</v>
      </c>
      <c r="L605" t="n">
        <v>0</v>
      </c>
      <c r="M605" t="n">
        <v>0</v>
      </c>
      <c r="N605" t="n">
        <v>0</v>
      </c>
      <c r="O605" t="n">
        <v>0</v>
      </c>
      <c r="P605" t="n">
        <v>0</v>
      </c>
      <c r="Q605" t="n">
        <v>0</v>
      </c>
      <c r="R605" s="2" t="inlineStr"/>
    </row>
    <row r="606" ht="15" customHeight="1">
      <c r="A606" t="inlineStr">
        <is>
          <t>A 7026-2024</t>
        </is>
      </c>
      <c r="B606" s="1" t="n">
        <v>45343.58587962963</v>
      </c>
      <c r="C606" s="1" t="n">
        <v>46169</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4013-2025</t>
        </is>
      </c>
      <c r="B607" s="1" t="n">
        <v>45684.5790162037</v>
      </c>
      <c r="C607" s="1" t="n">
        <v>46169</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33978-2023</t>
        </is>
      </c>
      <c r="B608" s="1" t="n">
        <v>45134.68158564815</v>
      </c>
      <c r="C608" s="1" t="n">
        <v>46169</v>
      </c>
      <c r="D608" t="inlineStr">
        <is>
          <t>ÖREBRO LÄN</t>
        </is>
      </c>
      <c r="E608" t="inlineStr">
        <is>
          <t>LINDESBERG</t>
        </is>
      </c>
      <c r="G608" t="n">
        <v>4.1</v>
      </c>
      <c r="H608" t="n">
        <v>0</v>
      </c>
      <c r="I608" t="n">
        <v>0</v>
      </c>
      <c r="J608" t="n">
        <v>0</v>
      </c>
      <c r="K608" t="n">
        <v>0</v>
      </c>
      <c r="L608" t="n">
        <v>0</v>
      </c>
      <c r="M608" t="n">
        <v>0</v>
      </c>
      <c r="N608" t="n">
        <v>0</v>
      </c>
      <c r="O608" t="n">
        <v>0</v>
      </c>
      <c r="P608" t="n">
        <v>0</v>
      </c>
      <c r="Q608" t="n">
        <v>0</v>
      </c>
      <c r="R608" s="2" t="inlineStr"/>
    </row>
    <row r="609" ht="15" customHeight="1">
      <c r="A609" t="inlineStr">
        <is>
          <t>A 55272-2023</t>
        </is>
      </c>
      <c r="B609" s="1" t="n">
        <v>45237.67819444444</v>
      </c>
      <c r="C609" s="1" t="n">
        <v>46169</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60400-2025</t>
        </is>
      </c>
      <c r="B610" s="1" t="n">
        <v>45995</v>
      </c>
      <c r="C610" s="1" t="n">
        <v>46169</v>
      </c>
      <c r="D610" t="inlineStr">
        <is>
          <t>ÖREBRO LÄN</t>
        </is>
      </c>
      <c r="E610" t="inlineStr">
        <is>
          <t>LINDESBERG</t>
        </is>
      </c>
      <c r="G610" t="n">
        <v>11.2</v>
      </c>
      <c r="H610" t="n">
        <v>0</v>
      </c>
      <c r="I610" t="n">
        <v>0</v>
      </c>
      <c r="J610" t="n">
        <v>0</v>
      </c>
      <c r="K610" t="n">
        <v>0</v>
      </c>
      <c r="L610" t="n">
        <v>0</v>
      </c>
      <c r="M610" t="n">
        <v>0</v>
      </c>
      <c r="N610" t="n">
        <v>0</v>
      </c>
      <c r="O610" t="n">
        <v>0</v>
      </c>
      <c r="P610" t="n">
        <v>0</v>
      </c>
      <c r="Q610" t="n">
        <v>0</v>
      </c>
      <c r="R610" s="2" t="inlineStr"/>
    </row>
    <row r="611" ht="15" customHeight="1">
      <c r="A611" t="inlineStr">
        <is>
          <t>A 12307-2025</t>
        </is>
      </c>
      <c r="B611" s="1" t="n">
        <v>45729.76231481481</v>
      </c>
      <c r="C611" s="1" t="n">
        <v>46169</v>
      </c>
      <c r="D611" t="inlineStr">
        <is>
          <t>ÖREBRO LÄN</t>
        </is>
      </c>
      <c r="E611" t="inlineStr">
        <is>
          <t>LINDESBERG</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60450-2025</t>
        </is>
      </c>
      <c r="B612" s="1" t="n">
        <v>45995</v>
      </c>
      <c r="C612" s="1" t="n">
        <v>46169</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15852-2025</t>
        </is>
      </c>
      <c r="B613" s="1" t="n">
        <v>45749</v>
      </c>
      <c r="C613" s="1" t="n">
        <v>46169</v>
      </c>
      <c r="D613" t="inlineStr">
        <is>
          <t>ÖREBRO LÄN</t>
        </is>
      </c>
      <c r="E613" t="inlineStr">
        <is>
          <t>LINDESBERG</t>
        </is>
      </c>
      <c r="G613" t="n">
        <v>8.9</v>
      </c>
      <c r="H613" t="n">
        <v>0</v>
      </c>
      <c r="I613" t="n">
        <v>0</v>
      </c>
      <c r="J613" t="n">
        <v>0</v>
      </c>
      <c r="K613" t="n">
        <v>0</v>
      </c>
      <c r="L613" t="n">
        <v>0</v>
      </c>
      <c r="M613" t="n">
        <v>0</v>
      </c>
      <c r="N613" t="n">
        <v>0</v>
      </c>
      <c r="O613" t="n">
        <v>0</v>
      </c>
      <c r="P613" t="n">
        <v>0</v>
      </c>
      <c r="Q613" t="n">
        <v>0</v>
      </c>
      <c r="R613" s="2" t="inlineStr"/>
    </row>
    <row r="614" ht="15" customHeight="1">
      <c r="A614" t="inlineStr">
        <is>
          <t>A 8834-2023</t>
        </is>
      </c>
      <c r="B614" s="1" t="n">
        <v>44978</v>
      </c>
      <c r="C614" s="1" t="n">
        <v>46169</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60806-2025</t>
        </is>
      </c>
      <c r="B615" s="1" t="n">
        <v>45999.43730324074</v>
      </c>
      <c r="C615" s="1" t="n">
        <v>46169</v>
      </c>
      <c r="D615" t="inlineStr">
        <is>
          <t>ÖREBRO LÄN</t>
        </is>
      </c>
      <c r="E615" t="inlineStr">
        <is>
          <t>LINDESBERG</t>
        </is>
      </c>
      <c r="G615" t="n">
        <v>7.9</v>
      </c>
      <c r="H615" t="n">
        <v>0</v>
      </c>
      <c r="I615" t="n">
        <v>0</v>
      </c>
      <c r="J615" t="n">
        <v>0</v>
      </c>
      <c r="K615" t="n">
        <v>0</v>
      </c>
      <c r="L615" t="n">
        <v>0</v>
      </c>
      <c r="M615" t="n">
        <v>0</v>
      </c>
      <c r="N615" t="n">
        <v>0</v>
      </c>
      <c r="O615" t="n">
        <v>0</v>
      </c>
      <c r="P615" t="n">
        <v>0</v>
      </c>
      <c r="Q615" t="n">
        <v>0</v>
      </c>
      <c r="R615" s="2" t="inlineStr"/>
    </row>
    <row r="616" ht="15" customHeight="1">
      <c r="A616" t="inlineStr">
        <is>
          <t>A 51071-2022</t>
        </is>
      </c>
      <c r="B616" s="1" t="n">
        <v>44868.36924768519</v>
      </c>
      <c r="C616" s="1" t="n">
        <v>46169</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60926-2024</t>
        </is>
      </c>
      <c r="B617" s="1" t="n">
        <v>45645</v>
      </c>
      <c r="C617" s="1" t="n">
        <v>46169</v>
      </c>
      <c r="D617" t="inlineStr">
        <is>
          <t>ÖREBRO LÄN</t>
        </is>
      </c>
      <c r="E617" t="inlineStr">
        <is>
          <t>LINDESBERG</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1383-2025</t>
        </is>
      </c>
      <c r="B618" s="1" t="n">
        <v>45667</v>
      </c>
      <c r="C618" s="1" t="n">
        <v>46169</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35229-2024</t>
        </is>
      </c>
      <c r="B619" s="1" t="n">
        <v>45530</v>
      </c>
      <c r="C619" s="1" t="n">
        <v>46169</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50285-2022</t>
        </is>
      </c>
      <c r="B620" s="1" t="n">
        <v>44865.87770833333</v>
      </c>
      <c r="C620" s="1" t="n">
        <v>46169</v>
      </c>
      <c r="D620" t="inlineStr">
        <is>
          <t>ÖREBRO LÄN</t>
        </is>
      </c>
      <c r="E620" t="inlineStr">
        <is>
          <t>LINDESBERG</t>
        </is>
      </c>
      <c r="G620" t="n">
        <v>2.5</v>
      </c>
      <c r="H620" t="n">
        <v>0</v>
      </c>
      <c r="I620" t="n">
        <v>0</v>
      </c>
      <c r="J620" t="n">
        <v>0</v>
      </c>
      <c r="K620" t="n">
        <v>0</v>
      </c>
      <c r="L620" t="n">
        <v>0</v>
      </c>
      <c r="M620" t="n">
        <v>0</v>
      </c>
      <c r="N620" t="n">
        <v>0</v>
      </c>
      <c r="O620" t="n">
        <v>0</v>
      </c>
      <c r="P620" t="n">
        <v>0</v>
      </c>
      <c r="Q620" t="n">
        <v>0</v>
      </c>
      <c r="R620" s="2" t="inlineStr"/>
    </row>
    <row r="621" ht="15" customHeight="1">
      <c r="A621" t="inlineStr">
        <is>
          <t>A 10822-2023</t>
        </is>
      </c>
      <c r="B621" s="1" t="n">
        <v>44990</v>
      </c>
      <c r="C621" s="1" t="n">
        <v>46169</v>
      </c>
      <c r="D621" t="inlineStr">
        <is>
          <t>ÖREBRO LÄN</t>
        </is>
      </c>
      <c r="E621" t="inlineStr">
        <is>
          <t>LINDESBERG</t>
        </is>
      </c>
      <c r="G621" t="n">
        <v>1.3</v>
      </c>
      <c r="H621" t="n">
        <v>0</v>
      </c>
      <c r="I621" t="n">
        <v>0</v>
      </c>
      <c r="J621" t="n">
        <v>0</v>
      </c>
      <c r="K621" t="n">
        <v>0</v>
      </c>
      <c r="L621" t="n">
        <v>0</v>
      </c>
      <c r="M621" t="n">
        <v>0</v>
      </c>
      <c r="N621" t="n">
        <v>0</v>
      </c>
      <c r="O621" t="n">
        <v>0</v>
      </c>
      <c r="P621" t="n">
        <v>0</v>
      </c>
      <c r="Q621" t="n">
        <v>0</v>
      </c>
      <c r="R621" s="2" t="inlineStr"/>
    </row>
    <row r="622" ht="15" customHeight="1">
      <c r="A622" t="inlineStr">
        <is>
          <t>A 3233-2023</t>
        </is>
      </c>
      <c r="B622" s="1" t="n">
        <v>44946</v>
      </c>
      <c r="C622" s="1" t="n">
        <v>46169</v>
      </c>
      <c r="D622" t="inlineStr">
        <is>
          <t>ÖREBRO LÄN</t>
        </is>
      </c>
      <c r="E622" t="inlineStr">
        <is>
          <t>LINDESBERG</t>
        </is>
      </c>
      <c r="G622" t="n">
        <v>3</v>
      </c>
      <c r="H622" t="n">
        <v>0</v>
      </c>
      <c r="I622" t="n">
        <v>0</v>
      </c>
      <c r="J622" t="n">
        <v>0</v>
      </c>
      <c r="K622" t="n">
        <v>0</v>
      </c>
      <c r="L622" t="n">
        <v>0</v>
      </c>
      <c r="M622" t="n">
        <v>0</v>
      </c>
      <c r="N622" t="n">
        <v>0</v>
      </c>
      <c r="O622" t="n">
        <v>0</v>
      </c>
      <c r="P622" t="n">
        <v>0</v>
      </c>
      <c r="Q622" t="n">
        <v>0</v>
      </c>
      <c r="R622" s="2" t="inlineStr"/>
    </row>
    <row r="623" ht="15" customHeight="1">
      <c r="A623" t="inlineStr">
        <is>
          <t>A 15325-2024</t>
        </is>
      </c>
      <c r="B623" s="1" t="n">
        <v>45400.6709837963</v>
      </c>
      <c r="C623" s="1" t="n">
        <v>46169</v>
      </c>
      <c r="D623" t="inlineStr">
        <is>
          <t>ÖREBRO LÄN</t>
        </is>
      </c>
      <c r="E623" t="inlineStr">
        <is>
          <t>LINDESBERG</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40970-2023</t>
        </is>
      </c>
      <c r="B624" s="1" t="n">
        <v>45173</v>
      </c>
      <c r="C624" s="1" t="n">
        <v>46169</v>
      </c>
      <c r="D624" t="inlineStr">
        <is>
          <t>ÖREBRO LÄN</t>
        </is>
      </c>
      <c r="E624" t="inlineStr">
        <is>
          <t>LINDESBERG</t>
        </is>
      </c>
      <c r="G624" t="n">
        <v>2.1</v>
      </c>
      <c r="H624" t="n">
        <v>0</v>
      </c>
      <c r="I624" t="n">
        <v>0</v>
      </c>
      <c r="J624" t="n">
        <v>0</v>
      </c>
      <c r="K624" t="n">
        <v>0</v>
      </c>
      <c r="L624" t="n">
        <v>0</v>
      </c>
      <c r="M624" t="n">
        <v>0</v>
      </c>
      <c r="N624" t="n">
        <v>0</v>
      </c>
      <c r="O624" t="n">
        <v>0</v>
      </c>
      <c r="P624" t="n">
        <v>0</v>
      </c>
      <c r="Q624" t="n">
        <v>0</v>
      </c>
      <c r="R624" s="2" t="inlineStr"/>
    </row>
    <row r="625" ht="15" customHeight="1">
      <c r="A625" t="inlineStr">
        <is>
          <t>A 34093-2022</t>
        </is>
      </c>
      <c r="B625" s="1" t="n">
        <v>44791</v>
      </c>
      <c r="C625" s="1" t="n">
        <v>46169</v>
      </c>
      <c r="D625" t="inlineStr">
        <is>
          <t>ÖREBRO LÄN</t>
        </is>
      </c>
      <c r="E625" t="inlineStr">
        <is>
          <t>LINDESBERG</t>
        </is>
      </c>
      <c r="G625" t="n">
        <v>3.3</v>
      </c>
      <c r="H625" t="n">
        <v>0</v>
      </c>
      <c r="I625" t="n">
        <v>0</v>
      </c>
      <c r="J625" t="n">
        <v>0</v>
      </c>
      <c r="K625" t="n">
        <v>0</v>
      </c>
      <c r="L625" t="n">
        <v>0</v>
      </c>
      <c r="M625" t="n">
        <v>0</v>
      </c>
      <c r="N625" t="n">
        <v>0</v>
      </c>
      <c r="O625" t="n">
        <v>0</v>
      </c>
      <c r="P625" t="n">
        <v>0</v>
      </c>
      <c r="Q625" t="n">
        <v>0</v>
      </c>
      <c r="R625" s="2" t="inlineStr"/>
    </row>
    <row r="626" ht="15" customHeight="1">
      <c r="A626" t="inlineStr">
        <is>
          <t>A 58662-2022</t>
        </is>
      </c>
      <c r="B626" s="1" t="n">
        <v>44902</v>
      </c>
      <c r="C626" s="1" t="n">
        <v>46169</v>
      </c>
      <c r="D626" t="inlineStr">
        <is>
          <t>ÖREBRO LÄN</t>
        </is>
      </c>
      <c r="E626" t="inlineStr">
        <is>
          <t>LINDESBERG</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61761-2025</t>
        </is>
      </c>
      <c r="B627" s="1" t="n">
        <v>46002.62465277778</v>
      </c>
      <c r="C627" s="1" t="n">
        <v>46169</v>
      </c>
      <c r="D627" t="inlineStr">
        <is>
          <t>ÖREBRO LÄN</t>
        </is>
      </c>
      <c r="E627" t="inlineStr">
        <is>
          <t>LINDESBERG</t>
        </is>
      </c>
      <c r="G627" t="n">
        <v>3.8</v>
      </c>
      <c r="H627" t="n">
        <v>0</v>
      </c>
      <c r="I627" t="n">
        <v>0</v>
      </c>
      <c r="J627" t="n">
        <v>0</v>
      </c>
      <c r="K627" t="n">
        <v>0</v>
      </c>
      <c r="L627" t="n">
        <v>0</v>
      </c>
      <c r="M627" t="n">
        <v>0</v>
      </c>
      <c r="N627" t="n">
        <v>0</v>
      </c>
      <c r="O627" t="n">
        <v>0</v>
      </c>
      <c r="P627" t="n">
        <v>0</v>
      </c>
      <c r="Q627" t="n">
        <v>0</v>
      </c>
      <c r="R627" s="2" t="inlineStr"/>
    </row>
    <row r="628" ht="15" customHeight="1">
      <c r="A628" t="inlineStr">
        <is>
          <t>A 61745-2025</t>
        </is>
      </c>
      <c r="B628" s="1" t="n">
        <v>46002.60324074074</v>
      </c>
      <c r="C628" s="1" t="n">
        <v>46169</v>
      </c>
      <c r="D628" t="inlineStr">
        <is>
          <t>ÖREBRO LÄN</t>
        </is>
      </c>
      <c r="E628" t="inlineStr">
        <is>
          <t>LINDESBERG</t>
        </is>
      </c>
      <c r="G628" t="n">
        <v>1.8</v>
      </c>
      <c r="H628" t="n">
        <v>0</v>
      </c>
      <c r="I628" t="n">
        <v>0</v>
      </c>
      <c r="J628" t="n">
        <v>0</v>
      </c>
      <c r="K628" t="n">
        <v>0</v>
      </c>
      <c r="L628" t="n">
        <v>0</v>
      </c>
      <c r="M628" t="n">
        <v>0</v>
      </c>
      <c r="N628" t="n">
        <v>0</v>
      </c>
      <c r="O628" t="n">
        <v>0</v>
      </c>
      <c r="P628" t="n">
        <v>0</v>
      </c>
      <c r="Q628" t="n">
        <v>0</v>
      </c>
      <c r="R628" s="2" t="inlineStr"/>
    </row>
    <row r="629" ht="15" customHeight="1">
      <c r="A629" t="inlineStr">
        <is>
          <t>A 61758-2025</t>
        </is>
      </c>
      <c r="B629" s="1" t="n">
        <v>46002.61762731482</v>
      </c>
      <c r="C629" s="1" t="n">
        <v>46169</v>
      </c>
      <c r="D629" t="inlineStr">
        <is>
          <t>ÖREBRO LÄN</t>
        </is>
      </c>
      <c r="E629" t="inlineStr">
        <is>
          <t>LINDESBERG</t>
        </is>
      </c>
      <c r="G629" t="n">
        <v>1.8</v>
      </c>
      <c r="H629" t="n">
        <v>0</v>
      </c>
      <c r="I629" t="n">
        <v>0</v>
      </c>
      <c r="J629" t="n">
        <v>0</v>
      </c>
      <c r="K629" t="n">
        <v>0</v>
      </c>
      <c r="L629" t="n">
        <v>0</v>
      </c>
      <c r="M629" t="n">
        <v>0</v>
      </c>
      <c r="N629" t="n">
        <v>0</v>
      </c>
      <c r="O629" t="n">
        <v>0</v>
      </c>
      <c r="P629" t="n">
        <v>0</v>
      </c>
      <c r="Q629" t="n">
        <v>0</v>
      </c>
      <c r="R629" s="2" t="inlineStr"/>
    </row>
    <row r="630" ht="15" customHeight="1">
      <c r="A630" t="inlineStr">
        <is>
          <t>A 15060-2024</t>
        </is>
      </c>
      <c r="B630" s="1" t="n">
        <v>45399.56596064815</v>
      </c>
      <c r="C630" s="1" t="n">
        <v>46169</v>
      </c>
      <c r="D630" t="inlineStr">
        <is>
          <t>ÖREBRO LÄN</t>
        </is>
      </c>
      <c r="E630" t="inlineStr">
        <is>
          <t>LINDESBERG</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28031-2023</t>
        </is>
      </c>
      <c r="B631" s="1" t="n">
        <v>45099.27354166667</v>
      </c>
      <c r="C631" s="1" t="n">
        <v>46169</v>
      </c>
      <c r="D631" t="inlineStr">
        <is>
          <t>ÖREBRO LÄN</t>
        </is>
      </c>
      <c r="E631" t="inlineStr">
        <is>
          <t>LINDESBERG</t>
        </is>
      </c>
      <c r="F631" t="inlineStr">
        <is>
          <t>Kyrkan</t>
        </is>
      </c>
      <c r="G631" t="n">
        <v>1.2</v>
      </c>
      <c r="H631" t="n">
        <v>0</v>
      </c>
      <c r="I631" t="n">
        <v>0</v>
      </c>
      <c r="J631" t="n">
        <v>0</v>
      </c>
      <c r="K631" t="n">
        <v>0</v>
      </c>
      <c r="L631" t="n">
        <v>0</v>
      </c>
      <c r="M631" t="n">
        <v>0</v>
      </c>
      <c r="N631" t="n">
        <v>0</v>
      </c>
      <c r="O631" t="n">
        <v>0</v>
      </c>
      <c r="P631" t="n">
        <v>0</v>
      </c>
      <c r="Q631" t="n">
        <v>0</v>
      </c>
      <c r="R631" s="2" t="inlineStr"/>
    </row>
    <row r="632" ht="15" customHeight="1">
      <c r="A632" t="inlineStr">
        <is>
          <t>A 58050-2025</t>
        </is>
      </c>
      <c r="B632" s="1" t="n">
        <v>45982</v>
      </c>
      <c r="C632" s="1" t="n">
        <v>46169</v>
      </c>
      <c r="D632" t="inlineStr">
        <is>
          <t>ÖREBRO LÄN</t>
        </is>
      </c>
      <c r="E632" t="inlineStr">
        <is>
          <t>LINDESBERG</t>
        </is>
      </c>
      <c r="G632" t="n">
        <v>0.6</v>
      </c>
      <c r="H632" t="n">
        <v>0</v>
      </c>
      <c r="I632" t="n">
        <v>0</v>
      </c>
      <c r="J632" t="n">
        <v>0</v>
      </c>
      <c r="K632" t="n">
        <v>0</v>
      </c>
      <c r="L632" t="n">
        <v>0</v>
      </c>
      <c r="M632" t="n">
        <v>0</v>
      </c>
      <c r="N632" t="n">
        <v>0</v>
      </c>
      <c r="O632" t="n">
        <v>0</v>
      </c>
      <c r="P632" t="n">
        <v>0</v>
      </c>
      <c r="Q632" t="n">
        <v>0</v>
      </c>
      <c r="R632" s="2" t="inlineStr"/>
    </row>
    <row r="633" ht="15" customHeight="1">
      <c r="A633" t="inlineStr">
        <is>
          <t>A 58056-2025</t>
        </is>
      </c>
      <c r="B633" s="1" t="n">
        <v>45982</v>
      </c>
      <c r="C633" s="1" t="n">
        <v>46169</v>
      </c>
      <c r="D633" t="inlineStr">
        <is>
          <t>ÖREBRO LÄN</t>
        </is>
      </c>
      <c r="E633" t="inlineStr">
        <is>
          <t>LINDESBERG</t>
        </is>
      </c>
      <c r="G633" t="n">
        <v>0.9</v>
      </c>
      <c r="H633" t="n">
        <v>0</v>
      </c>
      <c r="I633" t="n">
        <v>0</v>
      </c>
      <c r="J633" t="n">
        <v>0</v>
      </c>
      <c r="K633" t="n">
        <v>0</v>
      </c>
      <c r="L633" t="n">
        <v>0</v>
      </c>
      <c r="M633" t="n">
        <v>0</v>
      </c>
      <c r="N633" t="n">
        <v>0</v>
      </c>
      <c r="O633" t="n">
        <v>0</v>
      </c>
      <c r="P633" t="n">
        <v>0</v>
      </c>
      <c r="Q633" t="n">
        <v>0</v>
      </c>
      <c r="R633" s="2" t="inlineStr"/>
    </row>
    <row r="634" ht="15" customHeight="1">
      <c r="A634" t="inlineStr">
        <is>
          <t>A 62383-2025</t>
        </is>
      </c>
      <c r="B634" s="1" t="n">
        <v>46007.3708449074</v>
      </c>
      <c r="C634" s="1" t="n">
        <v>46169</v>
      </c>
      <c r="D634" t="inlineStr">
        <is>
          <t>ÖREBRO LÄN</t>
        </is>
      </c>
      <c r="E634" t="inlineStr">
        <is>
          <t>LINDESBERG</t>
        </is>
      </c>
      <c r="G634" t="n">
        <v>3.5</v>
      </c>
      <c r="H634" t="n">
        <v>0</v>
      </c>
      <c r="I634" t="n">
        <v>0</v>
      </c>
      <c r="J634" t="n">
        <v>0</v>
      </c>
      <c r="K634" t="n">
        <v>0</v>
      </c>
      <c r="L634" t="n">
        <v>0</v>
      </c>
      <c r="M634" t="n">
        <v>0</v>
      </c>
      <c r="N634" t="n">
        <v>0</v>
      </c>
      <c r="O634" t="n">
        <v>0</v>
      </c>
      <c r="P634" t="n">
        <v>0</v>
      </c>
      <c r="Q634" t="n">
        <v>0</v>
      </c>
      <c r="R634" s="2" t="inlineStr"/>
    </row>
    <row r="635" ht="15" customHeight="1">
      <c r="A635" t="inlineStr">
        <is>
          <t>A 4310-2025</t>
        </is>
      </c>
      <c r="B635" s="1" t="n">
        <v>45685</v>
      </c>
      <c r="C635" s="1" t="n">
        <v>46169</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47110-2024</t>
        </is>
      </c>
      <c r="B636" s="1" t="n">
        <v>45586.55451388889</v>
      </c>
      <c r="C636" s="1" t="n">
        <v>46169</v>
      </c>
      <c r="D636" t="inlineStr">
        <is>
          <t>ÖREBRO LÄN</t>
        </is>
      </c>
      <c r="E636" t="inlineStr">
        <is>
          <t>LINDESBERG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62246-2025</t>
        </is>
      </c>
      <c r="B637" s="1" t="n">
        <v>46006.60633101852</v>
      </c>
      <c r="C637" s="1" t="n">
        <v>46169</v>
      </c>
      <c r="D637" t="inlineStr">
        <is>
          <t>ÖREBRO LÄN</t>
        </is>
      </c>
      <c r="E637" t="inlineStr">
        <is>
          <t>LINDESBERG</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27440-2023</t>
        </is>
      </c>
      <c r="B638" s="1" t="n">
        <v>45097.39893518519</v>
      </c>
      <c r="C638" s="1" t="n">
        <v>46169</v>
      </c>
      <c r="D638" t="inlineStr">
        <is>
          <t>ÖREBRO LÄN</t>
        </is>
      </c>
      <c r="E638" t="inlineStr">
        <is>
          <t>LINDESBERG</t>
        </is>
      </c>
      <c r="G638" t="n">
        <v>6.6</v>
      </c>
      <c r="H638" t="n">
        <v>0</v>
      </c>
      <c r="I638" t="n">
        <v>0</v>
      </c>
      <c r="J638" t="n">
        <v>0</v>
      </c>
      <c r="K638" t="n">
        <v>0</v>
      </c>
      <c r="L638" t="n">
        <v>0</v>
      </c>
      <c r="M638" t="n">
        <v>0</v>
      </c>
      <c r="N638" t="n">
        <v>0</v>
      </c>
      <c r="O638" t="n">
        <v>0</v>
      </c>
      <c r="P638" t="n">
        <v>0</v>
      </c>
      <c r="Q638" t="n">
        <v>0</v>
      </c>
      <c r="R638" s="2" t="inlineStr"/>
    </row>
    <row r="639" ht="15" customHeight="1">
      <c r="A639" t="inlineStr">
        <is>
          <t>A 63083-2025</t>
        </is>
      </c>
      <c r="B639" s="1" t="n">
        <v>46009.67175925926</v>
      </c>
      <c r="C639" s="1" t="n">
        <v>46169</v>
      </c>
      <c r="D639" t="inlineStr">
        <is>
          <t>ÖREBRO LÄN</t>
        </is>
      </c>
      <c r="E639" t="inlineStr">
        <is>
          <t>LINDESBERG</t>
        </is>
      </c>
      <c r="G639" t="n">
        <v>0.7</v>
      </c>
      <c r="H639" t="n">
        <v>0</v>
      </c>
      <c r="I639" t="n">
        <v>0</v>
      </c>
      <c r="J639" t="n">
        <v>0</v>
      </c>
      <c r="K639" t="n">
        <v>0</v>
      </c>
      <c r="L639" t="n">
        <v>0</v>
      </c>
      <c r="M639" t="n">
        <v>0</v>
      </c>
      <c r="N639" t="n">
        <v>0</v>
      </c>
      <c r="O639" t="n">
        <v>0</v>
      </c>
      <c r="P639" t="n">
        <v>0</v>
      </c>
      <c r="Q639" t="n">
        <v>0</v>
      </c>
      <c r="R639" s="2" t="inlineStr"/>
    </row>
    <row r="640" ht="15" customHeight="1">
      <c r="A640" t="inlineStr">
        <is>
          <t>A 63078-2025</t>
        </is>
      </c>
      <c r="B640" s="1" t="n">
        <v>46009</v>
      </c>
      <c r="C640" s="1" t="n">
        <v>46169</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39137-2024</t>
        </is>
      </c>
      <c r="B641" s="1" t="n">
        <v>45548</v>
      </c>
      <c r="C641" s="1" t="n">
        <v>46169</v>
      </c>
      <c r="D641" t="inlineStr">
        <is>
          <t>ÖREBRO LÄN</t>
        </is>
      </c>
      <c r="E641" t="inlineStr">
        <is>
          <t>LINDESBERG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39152-2024</t>
        </is>
      </c>
      <c r="B642" s="1" t="n">
        <v>45548</v>
      </c>
      <c r="C642" s="1" t="n">
        <v>46169</v>
      </c>
      <c r="D642" t="inlineStr">
        <is>
          <t>ÖREBRO LÄN</t>
        </is>
      </c>
      <c r="E642" t="inlineStr">
        <is>
          <t>LINDESBERG</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62603-2025</t>
        </is>
      </c>
      <c r="B643" s="1" t="n">
        <v>46008.25765046296</v>
      </c>
      <c r="C643" s="1" t="n">
        <v>46169</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62604-2025</t>
        </is>
      </c>
      <c r="B644" s="1" t="n">
        <v>46008.26085648148</v>
      </c>
      <c r="C644" s="1" t="n">
        <v>46169</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21245-2024</t>
        </is>
      </c>
      <c r="B645" s="1" t="n">
        <v>45440</v>
      </c>
      <c r="C645" s="1" t="n">
        <v>46169</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4603-2024</t>
        </is>
      </c>
      <c r="B646" s="1" t="n">
        <v>45328</v>
      </c>
      <c r="C646" s="1" t="n">
        <v>46169</v>
      </c>
      <c r="D646" t="inlineStr">
        <is>
          <t>ÖREBRO LÄN</t>
        </is>
      </c>
      <c r="E646" t="inlineStr">
        <is>
          <t>LINDESBERG</t>
        </is>
      </c>
      <c r="F646" t="inlineStr">
        <is>
          <t>BillerudKorsnäs AB</t>
        </is>
      </c>
      <c r="G646" t="n">
        <v>4.3</v>
      </c>
      <c r="H646" t="n">
        <v>0</v>
      </c>
      <c r="I646" t="n">
        <v>0</v>
      </c>
      <c r="J646" t="n">
        <v>0</v>
      </c>
      <c r="K646" t="n">
        <v>0</v>
      </c>
      <c r="L646" t="n">
        <v>0</v>
      </c>
      <c r="M646" t="n">
        <v>0</v>
      </c>
      <c r="N646" t="n">
        <v>0</v>
      </c>
      <c r="O646" t="n">
        <v>0</v>
      </c>
      <c r="P646" t="n">
        <v>0</v>
      </c>
      <c r="Q646" t="n">
        <v>0</v>
      </c>
      <c r="R646" s="2" t="inlineStr"/>
    </row>
    <row r="647" ht="15" customHeight="1">
      <c r="A647" t="inlineStr">
        <is>
          <t>A 61601-2024</t>
        </is>
      </c>
      <c r="B647" s="1" t="n">
        <v>45646.63839120371</v>
      </c>
      <c r="C647" s="1" t="n">
        <v>46169</v>
      </c>
      <c r="D647" t="inlineStr">
        <is>
          <t>ÖREBRO LÄN</t>
        </is>
      </c>
      <c r="E647" t="inlineStr">
        <is>
          <t>LINDESBERG</t>
        </is>
      </c>
      <c r="G647" t="n">
        <v>0.5</v>
      </c>
      <c r="H647" t="n">
        <v>0</v>
      </c>
      <c r="I647" t="n">
        <v>0</v>
      </c>
      <c r="J647" t="n">
        <v>0</v>
      </c>
      <c r="K647" t="n">
        <v>0</v>
      </c>
      <c r="L647" t="n">
        <v>0</v>
      </c>
      <c r="M647" t="n">
        <v>0</v>
      </c>
      <c r="N647" t="n">
        <v>0</v>
      </c>
      <c r="O647" t="n">
        <v>0</v>
      </c>
      <c r="P647" t="n">
        <v>0</v>
      </c>
      <c r="Q647" t="n">
        <v>0</v>
      </c>
      <c r="R647" s="2" t="inlineStr"/>
    </row>
    <row r="648" ht="15" customHeight="1">
      <c r="A648" t="inlineStr">
        <is>
          <t>A 63526-2025</t>
        </is>
      </c>
      <c r="B648" s="1" t="n">
        <v>46013</v>
      </c>
      <c r="C648" s="1" t="n">
        <v>46169</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6604-2024</t>
        </is>
      </c>
      <c r="B649" s="1" t="n">
        <v>45341.56577546296</v>
      </c>
      <c r="C649" s="1" t="n">
        <v>46169</v>
      </c>
      <c r="D649" t="inlineStr">
        <is>
          <t>ÖREBRO LÄN</t>
        </is>
      </c>
      <c r="E649" t="inlineStr">
        <is>
          <t>LINDESBERG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61736-2025</t>
        </is>
      </c>
      <c r="B650" s="1" t="n">
        <v>46002</v>
      </c>
      <c r="C650" s="1" t="n">
        <v>46169</v>
      </c>
      <c r="D650" t="inlineStr">
        <is>
          <t>ÖREBRO LÄN</t>
        </is>
      </c>
      <c r="E650" t="inlineStr">
        <is>
          <t>LINDESBERG</t>
        </is>
      </c>
      <c r="G650" t="n">
        <v>4.5</v>
      </c>
      <c r="H650" t="n">
        <v>0</v>
      </c>
      <c r="I650" t="n">
        <v>0</v>
      </c>
      <c r="J650" t="n">
        <v>0</v>
      </c>
      <c r="K650" t="n">
        <v>0</v>
      </c>
      <c r="L650" t="n">
        <v>0</v>
      </c>
      <c r="M650" t="n">
        <v>0</v>
      </c>
      <c r="N650" t="n">
        <v>0</v>
      </c>
      <c r="O650" t="n">
        <v>0</v>
      </c>
      <c r="P650" t="n">
        <v>0</v>
      </c>
      <c r="Q650" t="n">
        <v>0</v>
      </c>
      <c r="R650" s="2" t="inlineStr"/>
    </row>
    <row r="651" ht="15" customHeight="1">
      <c r="A651" t="inlineStr">
        <is>
          <t>A 61739-2025</t>
        </is>
      </c>
      <c r="B651" s="1" t="n">
        <v>46002</v>
      </c>
      <c r="C651" s="1" t="n">
        <v>46169</v>
      </c>
      <c r="D651" t="inlineStr">
        <is>
          <t>ÖREBRO LÄN</t>
        </is>
      </c>
      <c r="E651" t="inlineStr">
        <is>
          <t>LINDESBERG</t>
        </is>
      </c>
      <c r="G651" t="n">
        <v>5.3</v>
      </c>
      <c r="H651" t="n">
        <v>0</v>
      </c>
      <c r="I651" t="n">
        <v>0</v>
      </c>
      <c r="J651" t="n">
        <v>0</v>
      </c>
      <c r="K651" t="n">
        <v>0</v>
      </c>
      <c r="L651" t="n">
        <v>0</v>
      </c>
      <c r="M651" t="n">
        <v>0</v>
      </c>
      <c r="N651" t="n">
        <v>0</v>
      </c>
      <c r="O651" t="n">
        <v>0</v>
      </c>
      <c r="P651" t="n">
        <v>0</v>
      </c>
      <c r="Q651" t="n">
        <v>0</v>
      </c>
      <c r="R651" s="2" t="inlineStr"/>
    </row>
    <row r="652" ht="15" customHeight="1">
      <c r="A652" t="inlineStr">
        <is>
          <t>A 42410-2024</t>
        </is>
      </c>
      <c r="B652" s="1" t="n">
        <v>45565</v>
      </c>
      <c r="C652" s="1" t="n">
        <v>46169</v>
      </c>
      <c r="D652" t="inlineStr">
        <is>
          <t>ÖREBRO LÄN</t>
        </is>
      </c>
      <c r="E652" t="inlineStr">
        <is>
          <t>LINDESBERG</t>
        </is>
      </c>
      <c r="G652" t="n">
        <v>1.1</v>
      </c>
      <c r="H652" t="n">
        <v>0</v>
      </c>
      <c r="I652" t="n">
        <v>0</v>
      </c>
      <c r="J652" t="n">
        <v>0</v>
      </c>
      <c r="K652" t="n">
        <v>0</v>
      </c>
      <c r="L652" t="n">
        <v>0</v>
      </c>
      <c r="M652" t="n">
        <v>0</v>
      </c>
      <c r="N652" t="n">
        <v>0</v>
      </c>
      <c r="O652" t="n">
        <v>0</v>
      </c>
      <c r="P652" t="n">
        <v>0</v>
      </c>
      <c r="Q652" t="n">
        <v>0</v>
      </c>
      <c r="R652" s="2" t="inlineStr"/>
    </row>
    <row r="653" ht="15" customHeight="1">
      <c r="A653" t="inlineStr">
        <is>
          <t>A 9140-2025</t>
        </is>
      </c>
      <c r="B653" s="1" t="n">
        <v>45714.31533564815</v>
      </c>
      <c r="C653" s="1" t="n">
        <v>46169</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8139-2023</t>
        </is>
      </c>
      <c r="B654" s="1" t="n">
        <v>44970</v>
      </c>
      <c r="C654" s="1" t="n">
        <v>46169</v>
      </c>
      <c r="D654" t="inlineStr">
        <is>
          <t>ÖREBRO LÄN</t>
        </is>
      </c>
      <c r="E654" t="inlineStr">
        <is>
          <t>LINDESBERG</t>
        </is>
      </c>
      <c r="G654" t="n">
        <v>3.6</v>
      </c>
      <c r="H654" t="n">
        <v>0</v>
      </c>
      <c r="I654" t="n">
        <v>0</v>
      </c>
      <c r="J654" t="n">
        <v>0</v>
      </c>
      <c r="K654" t="n">
        <v>0</v>
      </c>
      <c r="L654" t="n">
        <v>0</v>
      </c>
      <c r="M654" t="n">
        <v>0</v>
      </c>
      <c r="N654" t="n">
        <v>0</v>
      </c>
      <c r="O654" t="n">
        <v>0</v>
      </c>
      <c r="P654" t="n">
        <v>0</v>
      </c>
      <c r="Q654" t="n">
        <v>0</v>
      </c>
      <c r="R654" s="2" t="inlineStr"/>
    </row>
    <row r="655" ht="15" customHeight="1">
      <c r="A655" t="inlineStr">
        <is>
          <t>A 53168-2023</t>
        </is>
      </c>
      <c r="B655" s="1" t="n">
        <v>45229</v>
      </c>
      <c r="C655" s="1" t="n">
        <v>46169</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36748-2024</t>
        </is>
      </c>
      <c r="B656" s="1" t="n">
        <v>45538.34460648148</v>
      </c>
      <c r="C656" s="1" t="n">
        <v>46169</v>
      </c>
      <c r="D656" t="inlineStr">
        <is>
          <t>ÖREBRO LÄN</t>
        </is>
      </c>
      <c r="E656" t="inlineStr">
        <is>
          <t>LINDESBERG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28082-2021</t>
        </is>
      </c>
      <c r="B657" s="1" t="n">
        <v>44355</v>
      </c>
      <c r="C657" s="1" t="n">
        <v>46169</v>
      </c>
      <c r="D657" t="inlineStr">
        <is>
          <t>ÖREBRO LÄN</t>
        </is>
      </c>
      <c r="E657" t="inlineStr">
        <is>
          <t>LINDESBERG</t>
        </is>
      </c>
      <c r="F657" t="inlineStr">
        <is>
          <t>Sveaskog</t>
        </is>
      </c>
      <c r="G657" t="n">
        <v>9.9</v>
      </c>
      <c r="H657" t="n">
        <v>0</v>
      </c>
      <c r="I657" t="n">
        <v>0</v>
      </c>
      <c r="J657" t="n">
        <v>0</v>
      </c>
      <c r="K657" t="n">
        <v>0</v>
      </c>
      <c r="L657" t="n">
        <v>0</v>
      </c>
      <c r="M657" t="n">
        <v>0</v>
      </c>
      <c r="N657" t="n">
        <v>0</v>
      </c>
      <c r="O657" t="n">
        <v>0</v>
      </c>
      <c r="P657" t="n">
        <v>0</v>
      </c>
      <c r="Q657" t="n">
        <v>0</v>
      </c>
      <c r="R657" s="2" t="inlineStr"/>
    </row>
    <row r="658" ht="15" customHeight="1">
      <c r="A658" t="inlineStr">
        <is>
          <t>A 64427-2021</t>
        </is>
      </c>
      <c r="B658" s="1" t="n">
        <v>44511</v>
      </c>
      <c r="C658" s="1" t="n">
        <v>46169</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47620-2023</t>
        </is>
      </c>
      <c r="B659" s="1" t="n">
        <v>45203.510625</v>
      </c>
      <c r="C659" s="1" t="n">
        <v>46169</v>
      </c>
      <c r="D659" t="inlineStr">
        <is>
          <t>ÖREBRO LÄN</t>
        </is>
      </c>
      <c r="E659" t="inlineStr">
        <is>
          <t>LINDESBERG</t>
        </is>
      </c>
      <c r="G659" t="n">
        <v>2.7</v>
      </c>
      <c r="H659" t="n">
        <v>0</v>
      </c>
      <c r="I659" t="n">
        <v>0</v>
      </c>
      <c r="J659" t="n">
        <v>0</v>
      </c>
      <c r="K659" t="n">
        <v>0</v>
      </c>
      <c r="L659" t="n">
        <v>0</v>
      </c>
      <c r="M659" t="n">
        <v>0</v>
      </c>
      <c r="N659" t="n">
        <v>0</v>
      </c>
      <c r="O659" t="n">
        <v>0</v>
      </c>
      <c r="P659" t="n">
        <v>0</v>
      </c>
      <c r="Q659" t="n">
        <v>0</v>
      </c>
      <c r="R659" s="2" t="inlineStr"/>
    </row>
    <row r="660" ht="15" customHeight="1">
      <c r="A660" t="inlineStr">
        <is>
          <t>A 53352-2023</t>
        </is>
      </c>
      <c r="B660" s="1" t="n">
        <v>45229.66262731481</v>
      </c>
      <c r="C660" s="1" t="n">
        <v>46169</v>
      </c>
      <c r="D660" t="inlineStr">
        <is>
          <t>ÖREBRO LÄN</t>
        </is>
      </c>
      <c r="E660" t="inlineStr">
        <is>
          <t>LINDESBERG</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6727-2022</t>
        </is>
      </c>
      <c r="B661" s="1" t="n">
        <v>44602.45490740741</v>
      </c>
      <c r="C661" s="1" t="n">
        <v>46169</v>
      </c>
      <c r="D661" t="inlineStr">
        <is>
          <t>ÖREBRO LÄN</t>
        </is>
      </c>
      <c r="E661" t="inlineStr">
        <is>
          <t>LINDESBERG</t>
        </is>
      </c>
      <c r="G661" t="n">
        <v>0.8</v>
      </c>
      <c r="H661" t="n">
        <v>0</v>
      </c>
      <c r="I661" t="n">
        <v>0</v>
      </c>
      <c r="J661" t="n">
        <v>0</v>
      </c>
      <c r="K661" t="n">
        <v>0</v>
      </c>
      <c r="L661" t="n">
        <v>0</v>
      </c>
      <c r="M661" t="n">
        <v>0</v>
      </c>
      <c r="N661" t="n">
        <v>0</v>
      </c>
      <c r="O661" t="n">
        <v>0</v>
      </c>
      <c r="P661" t="n">
        <v>0</v>
      </c>
      <c r="Q661" t="n">
        <v>0</v>
      </c>
      <c r="R661" s="2" t="inlineStr"/>
    </row>
    <row r="662" ht="15" customHeight="1">
      <c r="A662" t="inlineStr">
        <is>
          <t>A 610-2026</t>
        </is>
      </c>
      <c r="B662" s="1" t="n">
        <v>46029</v>
      </c>
      <c r="C662" s="1" t="n">
        <v>46169</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44803-2024</t>
        </is>
      </c>
      <c r="B663" s="1" t="n">
        <v>45574.65087962963</v>
      </c>
      <c r="C663" s="1" t="n">
        <v>46169</v>
      </c>
      <c r="D663" t="inlineStr">
        <is>
          <t>ÖREBRO LÄN</t>
        </is>
      </c>
      <c r="E663" t="inlineStr">
        <is>
          <t>LINDESBERG</t>
        </is>
      </c>
      <c r="F663" t="inlineStr">
        <is>
          <t>Sveaskog</t>
        </is>
      </c>
      <c r="G663" t="n">
        <v>6.8</v>
      </c>
      <c r="H663" t="n">
        <v>0</v>
      </c>
      <c r="I663" t="n">
        <v>0</v>
      </c>
      <c r="J663" t="n">
        <v>0</v>
      </c>
      <c r="K663" t="n">
        <v>0</v>
      </c>
      <c r="L663" t="n">
        <v>0</v>
      </c>
      <c r="M663" t="n">
        <v>0</v>
      </c>
      <c r="N663" t="n">
        <v>0</v>
      </c>
      <c r="O663" t="n">
        <v>0</v>
      </c>
      <c r="P663" t="n">
        <v>0</v>
      </c>
      <c r="Q663" t="n">
        <v>0</v>
      </c>
      <c r="R663" s="2" t="inlineStr"/>
    </row>
    <row r="664" ht="15" customHeight="1">
      <c r="A664" t="inlineStr">
        <is>
          <t>A 25012-2023</t>
        </is>
      </c>
      <c r="B664" s="1" t="n">
        <v>45085</v>
      </c>
      <c r="C664" s="1" t="n">
        <v>46169</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13969-2025</t>
        </is>
      </c>
      <c r="B665" s="1" t="n">
        <v>45738.43714120371</v>
      </c>
      <c r="C665" s="1" t="n">
        <v>46169</v>
      </c>
      <c r="D665" t="inlineStr">
        <is>
          <t>ÖREBRO LÄN</t>
        </is>
      </c>
      <c r="E665" t="inlineStr">
        <is>
          <t>LINDESBERG</t>
        </is>
      </c>
      <c r="G665" t="n">
        <v>1.5</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46169</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1160-2026</t>
        </is>
      </c>
      <c r="B667" s="1" t="n">
        <v>46031</v>
      </c>
      <c r="C667" s="1" t="n">
        <v>46169</v>
      </c>
      <c r="D667" t="inlineStr">
        <is>
          <t>ÖREBRO LÄN</t>
        </is>
      </c>
      <c r="E667" t="inlineStr">
        <is>
          <t>LINDESBERG</t>
        </is>
      </c>
      <c r="G667" t="n">
        <v>12.2</v>
      </c>
      <c r="H667" t="n">
        <v>0</v>
      </c>
      <c r="I667" t="n">
        <v>0</v>
      </c>
      <c r="J667" t="n">
        <v>0</v>
      </c>
      <c r="K667" t="n">
        <v>0</v>
      </c>
      <c r="L667" t="n">
        <v>0</v>
      </c>
      <c r="M667" t="n">
        <v>0</v>
      </c>
      <c r="N667" t="n">
        <v>0</v>
      </c>
      <c r="O667" t="n">
        <v>0</v>
      </c>
      <c r="P667" t="n">
        <v>0</v>
      </c>
      <c r="Q667" t="n">
        <v>0</v>
      </c>
      <c r="R667" s="2" t="inlineStr"/>
    </row>
    <row r="668" ht="15" customHeight="1">
      <c r="A668" t="inlineStr">
        <is>
          <t>A 53366-2023</t>
        </is>
      </c>
      <c r="B668" s="1" t="n">
        <v>45229</v>
      </c>
      <c r="C668" s="1" t="n">
        <v>46169</v>
      </c>
      <c r="D668" t="inlineStr">
        <is>
          <t>ÖREBRO LÄN</t>
        </is>
      </c>
      <c r="E668" t="inlineStr">
        <is>
          <t>LINDESBERG</t>
        </is>
      </c>
      <c r="G668" t="n">
        <v>1.9</v>
      </c>
      <c r="H668" t="n">
        <v>0</v>
      </c>
      <c r="I668" t="n">
        <v>0</v>
      </c>
      <c r="J668" t="n">
        <v>0</v>
      </c>
      <c r="K668" t="n">
        <v>0</v>
      </c>
      <c r="L668" t="n">
        <v>0</v>
      </c>
      <c r="M668" t="n">
        <v>0</v>
      </c>
      <c r="N668" t="n">
        <v>0</v>
      </c>
      <c r="O668" t="n">
        <v>0</v>
      </c>
      <c r="P668" t="n">
        <v>0</v>
      </c>
      <c r="Q668" t="n">
        <v>0</v>
      </c>
      <c r="R668" s="2" t="inlineStr"/>
    </row>
    <row r="669" ht="15" customHeight="1">
      <c r="A669" t="inlineStr">
        <is>
          <t>A 42430-2024</t>
        </is>
      </c>
      <c r="B669" s="1" t="n">
        <v>45565.40700231482</v>
      </c>
      <c r="C669" s="1" t="n">
        <v>46169</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36754-2024</t>
        </is>
      </c>
      <c r="B670" s="1" t="n">
        <v>45538.34796296297</v>
      </c>
      <c r="C670" s="1" t="n">
        <v>46169</v>
      </c>
      <c r="D670" t="inlineStr">
        <is>
          <t>ÖREBRO LÄN</t>
        </is>
      </c>
      <c r="E670" t="inlineStr">
        <is>
          <t>LINDESBERG</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878-2026</t>
        </is>
      </c>
      <c r="B671" s="1" t="n">
        <v>46030.44277777777</v>
      </c>
      <c r="C671" s="1" t="n">
        <v>46169</v>
      </c>
      <c r="D671" t="inlineStr">
        <is>
          <t>ÖREBRO LÄN</t>
        </is>
      </c>
      <c r="E671" t="inlineStr">
        <is>
          <t>LINDESBERG</t>
        </is>
      </c>
      <c r="G671" t="n">
        <v>2.2</v>
      </c>
      <c r="H671" t="n">
        <v>0</v>
      </c>
      <c r="I671" t="n">
        <v>0</v>
      </c>
      <c r="J671" t="n">
        <v>0</v>
      </c>
      <c r="K671" t="n">
        <v>0</v>
      </c>
      <c r="L671" t="n">
        <v>0</v>
      </c>
      <c r="M671" t="n">
        <v>0</v>
      </c>
      <c r="N671" t="n">
        <v>0</v>
      </c>
      <c r="O671" t="n">
        <v>0</v>
      </c>
      <c r="P671" t="n">
        <v>0</v>
      </c>
      <c r="Q671" t="n">
        <v>0</v>
      </c>
      <c r="R671" s="2" t="inlineStr"/>
    </row>
    <row r="672" ht="15" customHeight="1">
      <c r="A672" t="inlineStr">
        <is>
          <t>A 2556-2026</t>
        </is>
      </c>
      <c r="B672" s="1" t="n">
        <v>46035</v>
      </c>
      <c r="C672" s="1" t="n">
        <v>46169</v>
      </c>
      <c r="D672" t="inlineStr">
        <is>
          <t>ÖREBRO LÄN</t>
        </is>
      </c>
      <c r="E672" t="inlineStr">
        <is>
          <t>LINDESBERG</t>
        </is>
      </c>
      <c r="G672" t="n">
        <v>3.4</v>
      </c>
      <c r="H672" t="n">
        <v>0</v>
      </c>
      <c r="I672" t="n">
        <v>0</v>
      </c>
      <c r="J672" t="n">
        <v>0</v>
      </c>
      <c r="K672" t="n">
        <v>0</v>
      </c>
      <c r="L672" t="n">
        <v>0</v>
      </c>
      <c r="M672" t="n">
        <v>0</v>
      </c>
      <c r="N672" t="n">
        <v>0</v>
      </c>
      <c r="O672" t="n">
        <v>0</v>
      </c>
      <c r="P672" t="n">
        <v>0</v>
      </c>
      <c r="Q672" t="n">
        <v>0</v>
      </c>
      <c r="R672" s="2" t="inlineStr"/>
    </row>
    <row r="673" ht="15" customHeight="1">
      <c r="A673" t="inlineStr">
        <is>
          <t>A 1354-2024</t>
        </is>
      </c>
      <c r="B673" s="1" t="n">
        <v>45303</v>
      </c>
      <c r="C673" s="1" t="n">
        <v>46169</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27001-2024</t>
        </is>
      </c>
      <c r="B674" s="1" t="n">
        <v>45471.38995370371</v>
      </c>
      <c r="C674" s="1" t="n">
        <v>46169</v>
      </c>
      <c r="D674" t="inlineStr">
        <is>
          <t>ÖREBRO LÄN</t>
        </is>
      </c>
      <c r="E674" t="inlineStr">
        <is>
          <t>LINDESBERG</t>
        </is>
      </c>
      <c r="G674" t="n">
        <v>2.8</v>
      </c>
      <c r="H674" t="n">
        <v>0</v>
      </c>
      <c r="I674" t="n">
        <v>0</v>
      </c>
      <c r="J674" t="n">
        <v>0</v>
      </c>
      <c r="K674" t="n">
        <v>0</v>
      </c>
      <c r="L674" t="n">
        <v>0</v>
      </c>
      <c r="M674" t="n">
        <v>0</v>
      </c>
      <c r="N674" t="n">
        <v>0</v>
      </c>
      <c r="O674" t="n">
        <v>0</v>
      </c>
      <c r="P674" t="n">
        <v>0</v>
      </c>
      <c r="Q674" t="n">
        <v>0</v>
      </c>
      <c r="R674" s="2" t="inlineStr"/>
    </row>
    <row r="675" ht="15" customHeight="1">
      <c r="A675" t="inlineStr">
        <is>
          <t>A 26067-2022</t>
        </is>
      </c>
      <c r="B675" s="1" t="n">
        <v>44734.64337962963</v>
      </c>
      <c r="C675" s="1" t="n">
        <v>46169</v>
      </c>
      <c r="D675" t="inlineStr">
        <is>
          <t>ÖREBRO LÄN</t>
        </is>
      </c>
      <c r="E675" t="inlineStr">
        <is>
          <t>LINDESBERG</t>
        </is>
      </c>
      <c r="G675" t="n">
        <v>3.1</v>
      </c>
      <c r="H675" t="n">
        <v>0</v>
      </c>
      <c r="I675" t="n">
        <v>0</v>
      </c>
      <c r="J675" t="n">
        <v>0</v>
      </c>
      <c r="K675" t="n">
        <v>0</v>
      </c>
      <c r="L675" t="n">
        <v>0</v>
      </c>
      <c r="M675" t="n">
        <v>0</v>
      </c>
      <c r="N675" t="n">
        <v>0</v>
      </c>
      <c r="O675" t="n">
        <v>0</v>
      </c>
      <c r="P675" t="n">
        <v>0</v>
      </c>
      <c r="Q675" t="n">
        <v>0</v>
      </c>
      <c r="R675" s="2" t="inlineStr"/>
    </row>
    <row r="676" ht="15" customHeight="1">
      <c r="A676" t="inlineStr">
        <is>
          <t>A 59395-2022</t>
        </is>
      </c>
      <c r="B676" s="1" t="n">
        <v>44906.73321759259</v>
      </c>
      <c r="C676" s="1" t="n">
        <v>46169</v>
      </c>
      <c r="D676" t="inlineStr">
        <is>
          <t>ÖREBRO LÄN</t>
        </is>
      </c>
      <c r="E676" t="inlineStr">
        <is>
          <t>LINDESBERG</t>
        </is>
      </c>
      <c r="G676" t="n">
        <v>4.3</v>
      </c>
      <c r="H676" t="n">
        <v>0</v>
      </c>
      <c r="I676" t="n">
        <v>0</v>
      </c>
      <c r="J676" t="n">
        <v>0</v>
      </c>
      <c r="K676" t="n">
        <v>0</v>
      </c>
      <c r="L676" t="n">
        <v>0</v>
      </c>
      <c r="M676" t="n">
        <v>0</v>
      </c>
      <c r="N676" t="n">
        <v>0</v>
      </c>
      <c r="O676" t="n">
        <v>0</v>
      </c>
      <c r="P676" t="n">
        <v>0</v>
      </c>
      <c r="Q676" t="n">
        <v>0</v>
      </c>
      <c r="R676" s="2" t="inlineStr"/>
    </row>
    <row r="677" ht="15" customHeight="1">
      <c r="A677" t="inlineStr">
        <is>
          <t>A 19043-2023</t>
        </is>
      </c>
      <c r="B677" s="1" t="n">
        <v>45047.7181712963</v>
      </c>
      <c r="C677" s="1" t="n">
        <v>46169</v>
      </c>
      <c r="D677" t="inlineStr">
        <is>
          <t>ÖREBRO LÄN</t>
        </is>
      </c>
      <c r="E677" t="inlineStr">
        <is>
          <t>LINDESBERG</t>
        </is>
      </c>
      <c r="G677" t="n">
        <v>2.6</v>
      </c>
      <c r="H677" t="n">
        <v>0</v>
      </c>
      <c r="I677" t="n">
        <v>0</v>
      </c>
      <c r="J677" t="n">
        <v>0</v>
      </c>
      <c r="K677" t="n">
        <v>0</v>
      </c>
      <c r="L677" t="n">
        <v>0</v>
      </c>
      <c r="M677" t="n">
        <v>0</v>
      </c>
      <c r="N677" t="n">
        <v>0</v>
      </c>
      <c r="O677" t="n">
        <v>0</v>
      </c>
      <c r="P677" t="n">
        <v>0</v>
      </c>
      <c r="Q677" t="n">
        <v>0</v>
      </c>
      <c r="R677" s="2" t="inlineStr"/>
    </row>
    <row r="678" ht="15" customHeight="1">
      <c r="A678" t="inlineStr">
        <is>
          <t>A 41343-2021</t>
        </is>
      </c>
      <c r="B678" s="1" t="n">
        <v>44424.61709490741</v>
      </c>
      <c r="C678" s="1" t="n">
        <v>46169</v>
      </c>
      <c r="D678" t="inlineStr">
        <is>
          <t>ÖREBRO LÄN</t>
        </is>
      </c>
      <c r="E678" t="inlineStr">
        <is>
          <t>LINDESBERG</t>
        </is>
      </c>
      <c r="G678" t="n">
        <v>8.9</v>
      </c>
      <c r="H678" t="n">
        <v>0</v>
      </c>
      <c r="I678" t="n">
        <v>0</v>
      </c>
      <c r="J678" t="n">
        <v>0</v>
      </c>
      <c r="K678" t="n">
        <v>0</v>
      </c>
      <c r="L678" t="n">
        <v>0</v>
      </c>
      <c r="M678" t="n">
        <v>0</v>
      </c>
      <c r="N678" t="n">
        <v>0</v>
      </c>
      <c r="O678" t="n">
        <v>0</v>
      </c>
      <c r="P678" t="n">
        <v>0</v>
      </c>
      <c r="Q678" t="n">
        <v>0</v>
      </c>
      <c r="R678" s="2" t="inlineStr"/>
    </row>
    <row r="679" ht="15" customHeight="1">
      <c r="A679" t="inlineStr">
        <is>
          <t>A 1749-2026</t>
        </is>
      </c>
      <c r="B679" s="1" t="n">
        <v>46034.65601851852</v>
      </c>
      <c r="C679" s="1" t="n">
        <v>46169</v>
      </c>
      <c r="D679" t="inlineStr">
        <is>
          <t>ÖREBRO LÄN</t>
        </is>
      </c>
      <c r="E679" t="inlineStr">
        <is>
          <t>LINDESBERG</t>
        </is>
      </c>
      <c r="G679" t="n">
        <v>2.2</v>
      </c>
      <c r="H679" t="n">
        <v>0</v>
      </c>
      <c r="I679" t="n">
        <v>0</v>
      </c>
      <c r="J679" t="n">
        <v>0</v>
      </c>
      <c r="K679" t="n">
        <v>0</v>
      </c>
      <c r="L679" t="n">
        <v>0</v>
      </c>
      <c r="M679" t="n">
        <v>0</v>
      </c>
      <c r="N679" t="n">
        <v>0</v>
      </c>
      <c r="O679" t="n">
        <v>0</v>
      </c>
      <c r="P679" t="n">
        <v>0</v>
      </c>
      <c r="Q679" t="n">
        <v>0</v>
      </c>
      <c r="R679" s="2" t="inlineStr"/>
    </row>
    <row r="680" ht="15" customHeight="1">
      <c r="A680" t="inlineStr">
        <is>
          <t>A 43416-2024</t>
        </is>
      </c>
      <c r="B680" s="1" t="n">
        <v>45568.62625</v>
      </c>
      <c r="C680" s="1" t="n">
        <v>46169</v>
      </c>
      <c r="D680" t="inlineStr">
        <is>
          <t>ÖREBRO LÄN</t>
        </is>
      </c>
      <c r="E680" t="inlineStr">
        <is>
          <t>LINDESBERG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10654-2023</t>
        </is>
      </c>
      <c r="B681" s="1" t="n">
        <v>44984</v>
      </c>
      <c r="C681" s="1" t="n">
        <v>46169</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63125-2023</t>
        </is>
      </c>
      <c r="B682" s="1" t="n">
        <v>45273</v>
      </c>
      <c r="C682" s="1" t="n">
        <v>46169</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2704-2026</t>
        </is>
      </c>
      <c r="B683" s="1" t="n">
        <v>46037.69133101852</v>
      </c>
      <c r="C683" s="1" t="n">
        <v>46169</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14454-2024</t>
        </is>
      </c>
      <c r="B684" s="1" t="n">
        <v>45394.51289351852</v>
      </c>
      <c r="C684" s="1" t="n">
        <v>46169</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3227-2026</t>
        </is>
      </c>
      <c r="B685" s="1" t="n">
        <v>46041.54181712963</v>
      </c>
      <c r="C685" s="1" t="n">
        <v>46169</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3315-2026</t>
        </is>
      </c>
      <c r="B686" s="1" t="n">
        <v>46041.68443287037</v>
      </c>
      <c r="C686" s="1" t="n">
        <v>46169</v>
      </c>
      <c r="D686" t="inlineStr">
        <is>
          <t>ÖREBRO LÄN</t>
        </is>
      </c>
      <c r="E686" t="inlineStr">
        <is>
          <t>LINDESBERG</t>
        </is>
      </c>
      <c r="G686" t="n">
        <v>7.6</v>
      </c>
      <c r="H686" t="n">
        <v>0</v>
      </c>
      <c r="I686" t="n">
        <v>0</v>
      </c>
      <c r="J686" t="n">
        <v>0</v>
      </c>
      <c r="K686" t="n">
        <v>0</v>
      </c>
      <c r="L686" t="n">
        <v>0</v>
      </c>
      <c r="M686" t="n">
        <v>0</v>
      </c>
      <c r="N686" t="n">
        <v>0</v>
      </c>
      <c r="O686" t="n">
        <v>0</v>
      </c>
      <c r="P686" t="n">
        <v>0</v>
      </c>
      <c r="Q686" t="n">
        <v>0</v>
      </c>
      <c r="R686" s="2" t="inlineStr"/>
    </row>
    <row r="687" ht="15" customHeight="1">
      <c r="A687" t="inlineStr">
        <is>
          <t>A 2969-2026</t>
        </is>
      </c>
      <c r="B687" s="1" t="n">
        <v>46038.61912037037</v>
      </c>
      <c r="C687" s="1" t="n">
        <v>46169</v>
      </c>
      <c r="D687" t="inlineStr">
        <is>
          <t>ÖREBRO LÄN</t>
        </is>
      </c>
      <c r="E687" t="inlineStr">
        <is>
          <t>LINDESBERG</t>
        </is>
      </c>
      <c r="G687" t="n">
        <v>2.6</v>
      </c>
      <c r="H687" t="n">
        <v>0</v>
      </c>
      <c r="I687" t="n">
        <v>0</v>
      </c>
      <c r="J687" t="n">
        <v>0</v>
      </c>
      <c r="K687" t="n">
        <v>0</v>
      </c>
      <c r="L687" t="n">
        <v>0</v>
      </c>
      <c r="M687" t="n">
        <v>0</v>
      </c>
      <c r="N687" t="n">
        <v>0</v>
      </c>
      <c r="O687" t="n">
        <v>0</v>
      </c>
      <c r="P687" t="n">
        <v>0</v>
      </c>
      <c r="Q687" t="n">
        <v>0</v>
      </c>
      <c r="R687" s="2" t="inlineStr"/>
    </row>
    <row r="688" ht="15" customHeight="1">
      <c r="A688" t="inlineStr">
        <is>
          <t>A 61960-2024</t>
        </is>
      </c>
      <c r="B688" s="1" t="n">
        <v>45653.53664351852</v>
      </c>
      <c r="C688" s="1" t="n">
        <v>46169</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34436-2023</t>
        </is>
      </c>
      <c r="B689" s="1" t="n">
        <v>45139.64328703703</v>
      </c>
      <c r="C689" s="1" t="n">
        <v>46169</v>
      </c>
      <c r="D689" t="inlineStr">
        <is>
          <t>ÖREBRO LÄN</t>
        </is>
      </c>
      <c r="E689" t="inlineStr">
        <is>
          <t>LINDESBERG</t>
        </is>
      </c>
      <c r="F689" t="inlineStr">
        <is>
          <t>Kyrkan</t>
        </is>
      </c>
      <c r="G689" t="n">
        <v>5.8</v>
      </c>
      <c r="H689" t="n">
        <v>0</v>
      </c>
      <c r="I689" t="n">
        <v>0</v>
      </c>
      <c r="J689" t="n">
        <v>0</v>
      </c>
      <c r="K689" t="n">
        <v>0</v>
      </c>
      <c r="L689" t="n">
        <v>0</v>
      </c>
      <c r="M689" t="n">
        <v>0</v>
      </c>
      <c r="N689" t="n">
        <v>0</v>
      </c>
      <c r="O689" t="n">
        <v>0</v>
      </c>
      <c r="P689" t="n">
        <v>0</v>
      </c>
      <c r="Q689" t="n">
        <v>0</v>
      </c>
      <c r="R689" s="2" t="inlineStr"/>
    </row>
    <row r="690" ht="15" customHeight="1">
      <c r="A690" t="inlineStr">
        <is>
          <t>A 2902-2026</t>
        </is>
      </c>
      <c r="B690" s="1" t="n">
        <v>46038.55849537037</v>
      </c>
      <c r="C690" s="1" t="n">
        <v>46169</v>
      </c>
      <c r="D690" t="inlineStr">
        <is>
          <t>ÖREBRO LÄN</t>
        </is>
      </c>
      <c r="E690" t="inlineStr">
        <is>
          <t>LINDESBERG</t>
        </is>
      </c>
      <c r="G690" t="n">
        <v>2.1</v>
      </c>
      <c r="H690" t="n">
        <v>0</v>
      </c>
      <c r="I690" t="n">
        <v>0</v>
      </c>
      <c r="J690" t="n">
        <v>0</v>
      </c>
      <c r="K690" t="n">
        <v>0</v>
      </c>
      <c r="L690" t="n">
        <v>0</v>
      </c>
      <c r="M690" t="n">
        <v>0</v>
      </c>
      <c r="N690" t="n">
        <v>0</v>
      </c>
      <c r="O690" t="n">
        <v>0</v>
      </c>
      <c r="P690" t="n">
        <v>0</v>
      </c>
      <c r="Q690" t="n">
        <v>0</v>
      </c>
      <c r="R690" s="2" t="inlineStr"/>
    </row>
    <row r="691" ht="15" customHeight="1">
      <c r="A691" t="inlineStr">
        <is>
          <t>A 54860-2024</t>
        </is>
      </c>
      <c r="B691" s="1" t="n">
        <v>45618.59219907408</v>
      </c>
      <c r="C691" s="1" t="n">
        <v>46169</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2929-2026</t>
        </is>
      </c>
      <c r="B692" s="1" t="n">
        <v>46038.58241898148</v>
      </c>
      <c r="C692" s="1" t="n">
        <v>46169</v>
      </c>
      <c r="D692" t="inlineStr">
        <is>
          <t>ÖREBRO LÄN</t>
        </is>
      </c>
      <c r="E692" t="inlineStr">
        <is>
          <t>LINDESBERG</t>
        </is>
      </c>
      <c r="G692" t="n">
        <v>1.8</v>
      </c>
      <c r="H692" t="n">
        <v>0</v>
      </c>
      <c r="I692" t="n">
        <v>0</v>
      </c>
      <c r="J692" t="n">
        <v>0</v>
      </c>
      <c r="K692" t="n">
        <v>0</v>
      </c>
      <c r="L692" t="n">
        <v>0</v>
      </c>
      <c r="M692" t="n">
        <v>0</v>
      </c>
      <c r="N692" t="n">
        <v>0</v>
      </c>
      <c r="O692" t="n">
        <v>0</v>
      </c>
      <c r="P692" t="n">
        <v>0</v>
      </c>
      <c r="Q692" t="n">
        <v>0</v>
      </c>
      <c r="R692" s="2" t="inlineStr"/>
    </row>
    <row r="693" ht="15" customHeight="1">
      <c r="A693" t="inlineStr">
        <is>
          <t>A 2949-2026</t>
        </is>
      </c>
      <c r="B693" s="1" t="n">
        <v>46038.59640046296</v>
      </c>
      <c r="C693" s="1" t="n">
        <v>46169</v>
      </c>
      <c r="D693" t="inlineStr">
        <is>
          <t>ÖREBRO LÄN</t>
        </is>
      </c>
      <c r="E693" t="inlineStr">
        <is>
          <t>LINDESBERG</t>
        </is>
      </c>
      <c r="G693" t="n">
        <v>4</v>
      </c>
      <c r="H693" t="n">
        <v>0</v>
      </c>
      <c r="I693" t="n">
        <v>0</v>
      </c>
      <c r="J693" t="n">
        <v>0</v>
      </c>
      <c r="K693" t="n">
        <v>0</v>
      </c>
      <c r="L693" t="n">
        <v>0</v>
      </c>
      <c r="M693" t="n">
        <v>0</v>
      </c>
      <c r="N693" t="n">
        <v>0</v>
      </c>
      <c r="O693" t="n">
        <v>0</v>
      </c>
      <c r="P693" t="n">
        <v>0</v>
      </c>
      <c r="Q693" t="n">
        <v>0</v>
      </c>
      <c r="R693" s="2" t="inlineStr"/>
    </row>
    <row r="694" ht="15" customHeight="1">
      <c r="A694" t="inlineStr">
        <is>
          <t>A 2859-2026</t>
        </is>
      </c>
      <c r="B694" s="1" t="n">
        <v>46038.49269675926</v>
      </c>
      <c r="C694" s="1" t="n">
        <v>46169</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2958-2026</t>
        </is>
      </c>
      <c r="B695" s="1" t="n">
        <v>46038.61067129629</v>
      </c>
      <c r="C695" s="1" t="n">
        <v>46169</v>
      </c>
      <c r="D695" t="inlineStr">
        <is>
          <t>ÖREBRO LÄN</t>
        </is>
      </c>
      <c r="E695" t="inlineStr">
        <is>
          <t>LINDESBERG</t>
        </is>
      </c>
      <c r="G695" t="n">
        <v>5.8</v>
      </c>
      <c r="H695" t="n">
        <v>0</v>
      </c>
      <c r="I695" t="n">
        <v>0</v>
      </c>
      <c r="J695" t="n">
        <v>0</v>
      </c>
      <c r="K695" t="n">
        <v>0</v>
      </c>
      <c r="L695" t="n">
        <v>0</v>
      </c>
      <c r="M695" t="n">
        <v>0</v>
      </c>
      <c r="N695" t="n">
        <v>0</v>
      </c>
      <c r="O695" t="n">
        <v>0</v>
      </c>
      <c r="P695" t="n">
        <v>0</v>
      </c>
      <c r="Q695" t="n">
        <v>0</v>
      </c>
      <c r="R695" s="2" t="inlineStr"/>
    </row>
    <row r="696" ht="15" customHeight="1">
      <c r="A696" t="inlineStr">
        <is>
          <t>A 3660-2026</t>
        </is>
      </c>
      <c r="B696" s="1" t="n">
        <v>46043.38744212963</v>
      </c>
      <c r="C696" s="1" t="n">
        <v>46169</v>
      </c>
      <c r="D696" t="inlineStr">
        <is>
          <t>ÖREBRO LÄN</t>
        </is>
      </c>
      <c r="E696" t="inlineStr">
        <is>
          <t>LINDESBERG</t>
        </is>
      </c>
      <c r="G696" t="n">
        <v>3.4</v>
      </c>
      <c r="H696" t="n">
        <v>0</v>
      </c>
      <c r="I696" t="n">
        <v>0</v>
      </c>
      <c r="J696" t="n">
        <v>0</v>
      </c>
      <c r="K696" t="n">
        <v>0</v>
      </c>
      <c r="L696" t="n">
        <v>0</v>
      </c>
      <c r="M696" t="n">
        <v>0</v>
      </c>
      <c r="N696" t="n">
        <v>0</v>
      </c>
      <c r="O696" t="n">
        <v>0</v>
      </c>
      <c r="P696" t="n">
        <v>0</v>
      </c>
      <c r="Q696" t="n">
        <v>0</v>
      </c>
      <c r="R696" s="2" t="inlineStr"/>
    </row>
    <row r="697" ht="15" customHeight="1">
      <c r="A697" t="inlineStr">
        <is>
          <t>A 6181-2025</t>
        </is>
      </c>
      <c r="B697" s="1" t="n">
        <v>45698</v>
      </c>
      <c r="C697" s="1" t="n">
        <v>46169</v>
      </c>
      <c r="D697" t="inlineStr">
        <is>
          <t>ÖREBRO LÄN</t>
        </is>
      </c>
      <c r="E697" t="inlineStr">
        <is>
          <t>LINDESBERG</t>
        </is>
      </c>
      <c r="G697" t="n">
        <v>2.8</v>
      </c>
      <c r="H697" t="n">
        <v>0</v>
      </c>
      <c r="I697" t="n">
        <v>0</v>
      </c>
      <c r="J697" t="n">
        <v>0</v>
      </c>
      <c r="K697" t="n">
        <v>0</v>
      </c>
      <c r="L697" t="n">
        <v>0</v>
      </c>
      <c r="M697" t="n">
        <v>0</v>
      </c>
      <c r="N697" t="n">
        <v>0</v>
      </c>
      <c r="O697" t="n">
        <v>0</v>
      </c>
      <c r="P697" t="n">
        <v>0</v>
      </c>
      <c r="Q697" t="n">
        <v>0</v>
      </c>
      <c r="R697" s="2" t="inlineStr"/>
    </row>
    <row r="698" ht="15" customHeight="1">
      <c r="A698" t="inlineStr">
        <is>
          <t>A 3659-2026</t>
        </is>
      </c>
      <c r="B698" s="1" t="n">
        <v>46043</v>
      </c>
      <c r="C698" s="1" t="n">
        <v>46169</v>
      </c>
      <c r="D698" t="inlineStr">
        <is>
          <t>ÖREBRO LÄN</t>
        </is>
      </c>
      <c r="E698" t="inlineStr">
        <is>
          <t>LINDESBERG</t>
        </is>
      </c>
      <c r="G698" t="n">
        <v>1.1</v>
      </c>
      <c r="H698" t="n">
        <v>0</v>
      </c>
      <c r="I698" t="n">
        <v>0</v>
      </c>
      <c r="J698" t="n">
        <v>0</v>
      </c>
      <c r="K698" t="n">
        <v>0</v>
      </c>
      <c r="L698" t="n">
        <v>0</v>
      </c>
      <c r="M698" t="n">
        <v>0</v>
      </c>
      <c r="N698" t="n">
        <v>0</v>
      </c>
      <c r="O698" t="n">
        <v>0</v>
      </c>
      <c r="P698" t="n">
        <v>0</v>
      </c>
      <c r="Q698" t="n">
        <v>0</v>
      </c>
      <c r="R698" s="2" t="inlineStr"/>
    </row>
    <row r="699" ht="15" customHeight="1">
      <c r="A699" t="inlineStr">
        <is>
          <t>A 8612-2024</t>
        </is>
      </c>
      <c r="B699" s="1" t="n">
        <v>45355.70009259259</v>
      </c>
      <c r="C699" s="1" t="n">
        <v>46169</v>
      </c>
      <c r="D699" t="inlineStr">
        <is>
          <t>ÖREBRO LÄN</t>
        </is>
      </c>
      <c r="E699" t="inlineStr">
        <is>
          <t>LINDESBERG</t>
        </is>
      </c>
      <c r="G699" t="n">
        <v>4.5</v>
      </c>
      <c r="H699" t="n">
        <v>0</v>
      </c>
      <c r="I699" t="n">
        <v>0</v>
      </c>
      <c r="J699" t="n">
        <v>0</v>
      </c>
      <c r="K699" t="n">
        <v>0</v>
      </c>
      <c r="L699" t="n">
        <v>0</v>
      </c>
      <c r="M699" t="n">
        <v>0</v>
      </c>
      <c r="N699" t="n">
        <v>0</v>
      </c>
      <c r="O699" t="n">
        <v>0</v>
      </c>
      <c r="P699" t="n">
        <v>0</v>
      </c>
      <c r="Q699" t="n">
        <v>0</v>
      </c>
      <c r="R699" s="2" t="inlineStr"/>
    </row>
    <row r="700" ht="15" customHeight="1">
      <c r="A700" t="inlineStr">
        <is>
          <t>A 7126-2025</t>
        </is>
      </c>
      <c r="B700" s="1" t="n">
        <v>45702</v>
      </c>
      <c r="C700" s="1" t="n">
        <v>46169</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9961-2023</t>
        </is>
      </c>
      <c r="B701" s="1" t="n">
        <v>44979</v>
      </c>
      <c r="C701" s="1" t="n">
        <v>46169</v>
      </c>
      <c r="D701" t="inlineStr">
        <is>
          <t>ÖREBRO LÄN</t>
        </is>
      </c>
      <c r="E701" t="inlineStr">
        <is>
          <t>LINDESBERG</t>
        </is>
      </c>
      <c r="G701" t="n">
        <v>4.8</v>
      </c>
      <c r="H701" t="n">
        <v>0</v>
      </c>
      <c r="I701" t="n">
        <v>0</v>
      </c>
      <c r="J701" t="n">
        <v>0</v>
      </c>
      <c r="K701" t="n">
        <v>0</v>
      </c>
      <c r="L701" t="n">
        <v>0</v>
      </c>
      <c r="M701" t="n">
        <v>0</v>
      </c>
      <c r="N701" t="n">
        <v>0</v>
      </c>
      <c r="O701" t="n">
        <v>0</v>
      </c>
      <c r="P701" t="n">
        <v>0</v>
      </c>
      <c r="Q701" t="n">
        <v>0</v>
      </c>
      <c r="R701" s="2" t="inlineStr"/>
    </row>
    <row r="702" ht="15" customHeight="1">
      <c r="A702" t="inlineStr">
        <is>
          <t>A 3951-2026</t>
        </is>
      </c>
      <c r="B702" s="1" t="n">
        <v>46044</v>
      </c>
      <c r="C702" s="1" t="n">
        <v>46169</v>
      </c>
      <c r="D702" t="inlineStr">
        <is>
          <t>ÖREBRO LÄN</t>
        </is>
      </c>
      <c r="E702" t="inlineStr">
        <is>
          <t>LINDESBERG</t>
        </is>
      </c>
      <c r="G702" t="n">
        <v>0.6</v>
      </c>
      <c r="H702" t="n">
        <v>0</v>
      </c>
      <c r="I702" t="n">
        <v>0</v>
      </c>
      <c r="J702" t="n">
        <v>0</v>
      </c>
      <c r="K702" t="n">
        <v>0</v>
      </c>
      <c r="L702" t="n">
        <v>0</v>
      </c>
      <c r="M702" t="n">
        <v>0</v>
      </c>
      <c r="N702" t="n">
        <v>0</v>
      </c>
      <c r="O702" t="n">
        <v>0</v>
      </c>
      <c r="P702" t="n">
        <v>0</v>
      </c>
      <c r="Q702" t="n">
        <v>0</v>
      </c>
      <c r="R702" s="2" t="inlineStr"/>
    </row>
    <row r="703" ht="15" customHeight="1">
      <c r="A703" t="inlineStr">
        <is>
          <t>A 5047-2023</t>
        </is>
      </c>
      <c r="B703" s="1" t="n">
        <v>44958.58982638889</v>
      </c>
      <c r="C703" s="1" t="n">
        <v>46169</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18590-2023</t>
        </is>
      </c>
      <c r="B704" s="1" t="n">
        <v>45043.40300925926</v>
      </c>
      <c r="C704" s="1" t="n">
        <v>46169</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5784-2025</t>
        </is>
      </c>
      <c r="B705" s="1" t="n">
        <v>45694</v>
      </c>
      <c r="C705" s="1" t="n">
        <v>46169</v>
      </c>
      <c r="D705" t="inlineStr">
        <is>
          <t>ÖREBRO LÄN</t>
        </is>
      </c>
      <c r="E705" t="inlineStr">
        <is>
          <t>LINDESBERG</t>
        </is>
      </c>
      <c r="F705" t="inlineStr">
        <is>
          <t>Allmännings- och besparingsskogar</t>
        </is>
      </c>
      <c r="G705" t="n">
        <v>1.6</v>
      </c>
      <c r="H705" t="n">
        <v>0</v>
      </c>
      <c r="I705" t="n">
        <v>0</v>
      </c>
      <c r="J705" t="n">
        <v>0</v>
      </c>
      <c r="K705" t="n">
        <v>0</v>
      </c>
      <c r="L705" t="n">
        <v>0</v>
      </c>
      <c r="M705" t="n">
        <v>0</v>
      </c>
      <c r="N705" t="n">
        <v>0</v>
      </c>
      <c r="O705" t="n">
        <v>0</v>
      </c>
      <c r="P705" t="n">
        <v>0</v>
      </c>
      <c r="Q705" t="n">
        <v>0</v>
      </c>
      <c r="R705" s="2" t="inlineStr"/>
    </row>
    <row r="706" ht="15" customHeight="1">
      <c r="A706" t="inlineStr">
        <is>
          <t>A 5717-2026</t>
        </is>
      </c>
      <c r="B706" s="1" t="n">
        <v>46051.53689814815</v>
      </c>
      <c r="C706" s="1" t="n">
        <v>46169</v>
      </c>
      <c r="D706" t="inlineStr">
        <is>
          <t>ÖREBRO LÄN</t>
        </is>
      </c>
      <c r="E706" t="inlineStr">
        <is>
          <t>LINDESBERG</t>
        </is>
      </c>
      <c r="G706" t="n">
        <v>6</v>
      </c>
      <c r="H706" t="n">
        <v>0</v>
      </c>
      <c r="I706" t="n">
        <v>0</v>
      </c>
      <c r="J706" t="n">
        <v>0</v>
      </c>
      <c r="K706" t="n">
        <v>0</v>
      </c>
      <c r="L706" t="n">
        <v>0</v>
      </c>
      <c r="M706" t="n">
        <v>0</v>
      </c>
      <c r="N706" t="n">
        <v>0</v>
      </c>
      <c r="O706" t="n">
        <v>0</v>
      </c>
      <c r="P706" t="n">
        <v>0</v>
      </c>
      <c r="Q706" t="n">
        <v>0</v>
      </c>
      <c r="R706" s="2" t="inlineStr"/>
    </row>
    <row r="707" ht="15" customHeight="1">
      <c r="A707" t="inlineStr">
        <is>
          <t>A 16448-2025</t>
        </is>
      </c>
      <c r="B707" s="1" t="n">
        <v>45751.5056712963</v>
      </c>
      <c r="C707" s="1" t="n">
        <v>46169</v>
      </c>
      <c r="D707" t="inlineStr">
        <is>
          <t>ÖREBRO LÄN</t>
        </is>
      </c>
      <c r="E707" t="inlineStr">
        <is>
          <t>LINDESBERG</t>
        </is>
      </c>
      <c r="G707" t="n">
        <v>20.1</v>
      </c>
      <c r="H707" t="n">
        <v>0</v>
      </c>
      <c r="I707" t="n">
        <v>0</v>
      </c>
      <c r="J707" t="n">
        <v>0</v>
      </c>
      <c r="K707" t="n">
        <v>0</v>
      </c>
      <c r="L707" t="n">
        <v>0</v>
      </c>
      <c r="M707" t="n">
        <v>0</v>
      </c>
      <c r="N707" t="n">
        <v>0</v>
      </c>
      <c r="O707" t="n">
        <v>0</v>
      </c>
      <c r="P707" t="n">
        <v>0</v>
      </c>
      <c r="Q707" t="n">
        <v>0</v>
      </c>
      <c r="R707" s="2" t="inlineStr"/>
    </row>
    <row r="708" ht="15" customHeight="1">
      <c r="A708" t="inlineStr">
        <is>
          <t>A 54432-2023</t>
        </is>
      </c>
      <c r="B708" s="1" t="n">
        <v>45233.42121527778</v>
      </c>
      <c r="C708" s="1" t="n">
        <v>46169</v>
      </c>
      <c r="D708" t="inlineStr">
        <is>
          <t>ÖREBRO LÄN</t>
        </is>
      </c>
      <c r="E708" t="inlineStr">
        <is>
          <t>LINDESBERG</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9436-2023</t>
        </is>
      </c>
      <c r="B709" s="1" t="n">
        <v>44981</v>
      </c>
      <c r="C709" s="1" t="n">
        <v>46169</v>
      </c>
      <c r="D709" t="inlineStr">
        <is>
          <t>ÖREBRO LÄN</t>
        </is>
      </c>
      <c r="E709" t="inlineStr">
        <is>
          <t>LINDESBERG</t>
        </is>
      </c>
      <c r="G709" t="n">
        <v>2.8</v>
      </c>
      <c r="H709" t="n">
        <v>0</v>
      </c>
      <c r="I709" t="n">
        <v>0</v>
      </c>
      <c r="J709" t="n">
        <v>0</v>
      </c>
      <c r="K709" t="n">
        <v>0</v>
      </c>
      <c r="L709" t="n">
        <v>0</v>
      </c>
      <c r="M709" t="n">
        <v>0</v>
      </c>
      <c r="N709" t="n">
        <v>0</v>
      </c>
      <c r="O709" t="n">
        <v>0</v>
      </c>
      <c r="P709" t="n">
        <v>0</v>
      </c>
      <c r="Q709" t="n">
        <v>0</v>
      </c>
      <c r="R709" s="2" t="inlineStr"/>
    </row>
    <row r="710" ht="15" customHeight="1">
      <c r="A710" t="inlineStr">
        <is>
          <t>A 60200-2024</t>
        </is>
      </c>
      <c r="B710" s="1" t="n">
        <v>45642.66184027777</v>
      </c>
      <c r="C710" s="1" t="n">
        <v>46169</v>
      </c>
      <c r="D710" t="inlineStr">
        <is>
          <t>ÖREBRO LÄN</t>
        </is>
      </c>
      <c r="E710" t="inlineStr">
        <is>
          <t>LINDESBERG</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5235-2026</t>
        </is>
      </c>
      <c r="B711" s="1" t="n">
        <v>46049.84017361111</v>
      </c>
      <c r="C711" s="1" t="n">
        <v>46169</v>
      </c>
      <c r="D711" t="inlineStr">
        <is>
          <t>ÖREBRO LÄN</t>
        </is>
      </c>
      <c r="E711" t="inlineStr">
        <is>
          <t>LINDESBERG</t>
        </is>
      </c>
      <c r="G711" t="n">
        <v>4.8</v>
      </c>
      <c r="H711" t="n">
        <v>0</v>
      </c>
      <c r="I711" t="n">
        <v>0</v>
      </c>
      <c r="J711" t="n">
        <v>0</v>
      </c>
      <c r="K711" t="n">
        <v>0</v>
      </c>
      <c r="L711" t="n">
        <v>0</v>
      </c>
      <c r="M711" t="n">
        <v>0</v>
      </c>
      <c r="N711" t="n">
        <v>0</v>
      </c>
      <c r="O711" t="n">
        <v>0</v>
      </c>
      <c r="P711" t="n">
        <v>0</v>
      </c>
      <c r="Q711" t="n">
        <v>0</v>
      </c>
      <c r="R711" s="2" t="inlineStr"/>
    </row>
    <row r="712" ht="15" customHeight="1">
      <c r="A712" t="inlineStr">
        <is>
          <t>A 5715-2026</t>
        </is>
      </c>
      <c r="B712" s="1" t="n">
        <v>46051.53563657407</v>
      </c>
      <c r="C712" s="1" t="n">
        <v>46169</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36747-2024</t>
        </is>
      </c>
      <c r="B713" s="1" t="n">
        <v>45538.34193287037</v>
      </c>
      <c r="C713" s="1" t="n">
        <v>46169</v>
      </c>
      <c r="D713" t="inlineStr">
        <is>
          <t>ÖREBRO LÄN</t>
        </is>
      </c>
      <c r="E713" t="inlineStr">
        <is>
          <t>LINDESBERG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13305-2023</t>
        </is>
      </c>
      <c r="B714" s="1" t="n">
        <v>45005.35967592592</v>
      </c>
      <c r="C714" s="1" t="n">
        <v>46169</v>
      </c>
      <c r="D714" t="inlineStr">
        <is>
          <t>ÖREBRO LÄN</t>
        </is>
      </c>
      <c r="E714" t="inlineStr">
        <is>
          <t>LINDESBERG</t>
        </is>
      </c>
      <c r="G714" t="n">
        <v>5.5</v>
      </c>
      <c r="H714" t="n">
        <v>0</v>
      </c>
      <c r="I714" t="n">
        <v>0</v>
      </c>
      <c r="J714" t="n">
        <v>0</v>
      </c>
      <c r="K714" t="n">
        <v>0</v>
      </c>
      <c r="L714" t="n">
        <v>0</v>
      </c>
      <c r="M714" t="n">
        <v>0</v>
      </c>
      <c r="N714" t="n">
        <v>0</v>
      </c>
      <c r="O714" t="n">
        <v>0</v>
      </c>
      <c r="P714" t="n">
        <v>0</v>
      </c>
      <c r="Q714" t="n">
        <v>0</v>
      </c>
      <c r="R714" s="2" t="inlineStr"/>
    </row>
    <row r="715" ht="15" customHeight="1">
      <c r="A715" t="inlineStr">
        <is>
          <t>A 13368-2023</t>
        </is>
      </c>
      <c r="B715" s="1" t="n">
        <v>45005.47820601852</v>
      </c>
      <c r="C715" s="1" t="n">
        <v>46169</v>
      </c>
      <c r="D715" t="inlineStr">
        <is>
          <t>ÖREBRO LÄN</t>
        </is>
      </c>
      <c r="E715" t="inlineStr">
        <is>
          <t>LINDESBERG</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56912-2024</t>
        </is>
      </c>
      <c r="B716" s="1" t="n">
        <v>45628.59233796296</v>
      </c>
      <c r="C716" s="1" t="n">
        <v>46169</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15745-2024</t>
        </is>
      </c>
      <c r="B717" s="1" t="n">
        <v>45404.55239583334</v>
      </c>
      <c r="C717" s="1" t="n">
        <v>46169</v>
      </c>
      <c r="D717" t="inlineStr">
        <is>
          <t>ÖREBRO LÄN</t>
        </is>
      </c>
      <c r="E717" t="inlineStr">
        <is>
          <t>LINDESBERG</t>
        </is>
      </c>
      <c r="F717" t="inlineStr">
        <is>
          <t>Sveaskog</t>
        </is>
      </c>
      <c r="G717" t="n">
        <v>6.2</v>
      </c>
      <c r="H717" t="n">
        <v>0</v>
      </c>
      <c r="I717" t="n">
        <v>0</v>
      </c>
      <c r="J717" t="n">
        <v>0</v>
      </c>
      <c r="K717" t="n">
        <v>0</v>
      </c>
      <c r="L717" t="n">
        <v>0</v>
      </c>
      <c r="M717" t="n">
        <v>0</v>
      </c>
      <c r="N717" t="n">
        <v>0</v>
      </c>
      <c r="O717" t="n">
        <v>0</v>
      </c>
      <c r="P717" t="n">
        <v>0</v>
      </c>
      <c r="Q717" t="n">
        <v>0</v>
      </c>
      <c r="R717" s="2" t="inlineStr"/>
    </row>
    <row r="718" ht="15" customHeight="1">
      <c r="A718" t="inlineStr">
        <is>
          <t>A 15750-2024</t>
        </is>
      </c>
      <c r="B718" s="1" t="n">
        <v>45404.55601851852</v>
      </c>
      <c r="C718" s="1" t="n">
        <v>46169</v>
      </c>
      <c r="D718" t="inlineStr">
        <is>
          <t>ÖREBRO LÄN</t>
        </is>
      </c>
      <c r="E718" t="inlineStr">
        <is>
          <t>LINDESBERG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72698-2021</t>
        </is>
      </c>
      <c r="B719" s="1" t="n">
        <v>44546.6679050926</v>
      </c>
      <c r="C719" s="1" t="n">
        <v>46169</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19110-2025</t>
        </is>
      </c>
      <c r="B720" s="1" t="n">
        <v>45768.49947916667</v>
      </c>
      <c r="C720" s="1" t="n">
        <v>46169</v>
      </c>
      <c r="D720" t="inlineStr">
        <is>
          <t>ÖREBRO LÄN</t>
        </is>
      </c>
      <c r="E720" t="inlineStr">
        <is>
          <t>LINDESBERG</t>
        </is>
      </c>
      <c r="G720" t="n">
        <v>2.6</v>
      </c>
      <c r="H720" t="n">
        <v>0</v>
      </c>
      <c r="I720" t="n">
        <v>0</v>
      </c>
      <c r="J720" t="n">
        <v>0</v>
      </c>
      <c r="K720" t="n">
        <v>0</v>
      </c>
      <c r="L720" t="n">
        <v>0</v>
      </c>
      <c r="M720" t="n">
        <v>0</v>
      </c>
      <c r="N720" t="n">
        <v>0</v>
      </c>
      <c r="O720" t="n">
        <v>0</v>
      </c>
      <c r="P720" t="n">
        <v>0</v>
      </c>
      <c r="Q720" t="n">
        <v>0</v>
      </c>
      <c r="R720" s="2" t="inlineStr"/>
    </row>
    <row r="721" ht="15" customHeight="1">
      <c r="A721" t="inlineStr">
        <is>
          <t>A 46678-2023</t>
        </is>
      </c>
      <c r="B721" s="1" t="n">
        <v>45194</v>
      </c>
      <c r="C721" s="1" t="n">
        <v>46169</v>
      </c>
      <c r="D721" t="inlineStr">
        <is>
          <t>ÖREBRO LÄN</t>
        </is>
      </c>
      <c r="E721" t="inlineStr">
        <is>
          <t>LINDESBERG</t>
        </is>
      </c>
      <c r="G721" t="n">
        <v>1.4</v>
      </c>
      <c r="H721" t="n">
        <v>0</v>
      </c>
      <c r="I721" t="n">
        <v>0</v>
      </c>
      <c r="J721" t="n">
        <v>0</v>
      </c>
      <c r="K721" t="n">
        <v>0</v>
      </c>
      <c r="L721" t="n">
        <v>0</v>
      </c>
      <c r="M721" t="n">
        <v>0</v>
      </c>
      <c r="N721" t="n">
        <v>0</v>
      </c>
      <c r="O721" t="n">
        <v>0</v>
      </c>
      <c r="P721" t="n">
        <v>0</v>
      </c>
      <c r="Q721" t="n">
        <v>0</v>
      </c>
      <c r="R721" s="2" t="inlineStr"/>
    </row>
    <row r="722" ht="15" customHeight="1">
      <c r="A722" t="inlineStr">
        <is>
          <t>A 23579-2022</t>
        </is>
      </c>
      <c r="B722" s="1" t="n">
        <v>44721.52627314815</v>
      </c>
      <c r="C722" s="1" t="n">
        <v>46169</v>
      </c>
      <c r="D722" t="inlineStr">
        <is>
          <t>ÖREBRO LÄN</t>
        </is>
      </c>
      <c r="E722" t="inlineStr">
        <is>
          <t>LINDESBERG</t>
        </is>
      </c>
      <c r="G722" t="n">
        <v>0.7</v>
      </c>
      <c r="H722" t="n">
        <v>0</v>
      </c>
      <c r="I722" t="n">
        <v>0</v>
      </c>
      <c r="J722" t="n">
        <v>0</v>
      </c>
      <c r="K722" t="n">
        <v>0</v>
      </c>
      <c r="L722" t="n">
        <v>0</v>
      </c>
      <c r="M722" t="n">
        <v>0</v>
      </c>
      <c r="N722" t="n">
        <v>0</v>
      </c>
      <c r="O722" t="n">
        <v>0</v>
      </c>
      <c r="P722" t="n">
        <v>0</v>
      </c>
      <c r="Q722" t="n">
        <v>0</v>
      </c>
      <c r="R722" s="2" t="inlineStr"/>
    </row>
    <row r="723" ht="15" customHeight="1">
      <c r="A723" t="inlineStr">
        <is>
          <t>A 53054-2022</t>
        </is>
      </c>
      <c r="B723" s="1" t="n">
        <v>44876.35706018518</v>
      </c>
      <c r="C723" s="1" t="n">
        <v>46169</v>
      </c>
      <c r="D723" t="inlineStr">
        <is>
          <t>ÖREBRO LÄN</t>
        </is>
      </c>
      <c r="E723" t="inlineStr">
        <is>
          <t>LINDESBERG</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5928-2026</t>
        </is>
      </c>
      <c r="B724" s="1" t="n">
        <v>46052.46519675926</v>
      </c>
      <c r="C724" s="1" t="n">
        <v>46169</v>
      </c>
      <c r="D724" t="inlineStr">
        <is>
          <t>ÖREBRO LÄN</t>
        </is>
      </c>
      <c r="E724" t="inlineStr">
        <is>
          <t>LINDESBERG</t>
        </is>
      </c>
      <c r="G724" t="n">
        <v>2.1</v>
      </c>
      <c r="H724" t="n">
        <v>0</v>
      </c>
      <c r="I724" t="n">
        <v>0</v>
      </c>
      <c r="J724" t="n">
        <v>0</v>
      </c>
      <c r="K724" t="n">
        <v>0</v>
      </c>
      <c r="L724" t="n">
        <v>0</v>
      </c>
      <c r="M724" t="n">
        <v>0</v>
      </c>
      <c r="N724" t="n">
        <v>0</v>
      </c>
      <c r="O724" t="n">
        <v>0</v>
      </c>
      <c r="P724" t="n">
        <v>0</v>
      </c>
      <c r="Q724" t="n">
        <v>0</v>
      </c>
      <c r="R724" s="2" t="inlineStr"/>
    </row>
    <row r="725" ht="15" customHeight="1">
      <c r="A725" t="inlineStr">
        <is>
          <t>A 20467-2023</t>
        </is>
      </c>
      <c r="B725" s="1" t="n">
        <v>45057</v>
      </c>
      <c r="C725" s="1" t="n">
        <v>46169</v>
      </c>
      <c r="D725" t="inlineStr">
        <is>
          <t>ÖREBRO LÄN</t>
        </is>
      </c>
      <c r="E725" t="inlineStr">
        <is>
          <t>LINDESBERG</t>
        </is>
      </c>
      <c r="G725" t="n">
        <v>2.1</v>
      </c>
      <c r="H725" t="n">
        <v>0</v>
      </c>
      <c r="I725" t="n">
        <v>0</v>
      </c>
      <c r="J725" t="n">
        <v>0</v>
      </c>
      <c r="K725" t="n">
        <v>0</v>
      </c>
      <c r="L725" t="n">
        <v>0</v>
      </c>
      <c r="M725" t="n">
        <v>0</v>
      </c>
      <c r="N725" t="n">
        <v>0</v>
      </c>
      <c r="O725" t="n">
        <v>0</v>
      </c>
      <c r="P725" t="n">
        <v>0</v>
      </c>
      <c r="Q725" t="n">
        <v>0</v>
      </c>
      <c r="R725" s="2" t="inlineStr"/>
    </row>
    <row r="726" ht="15" customHeight="1">
      <c r="A726" t="inlineStr">
        <is>
          <t>A 35140-2023</t>
        </is>
      </c>
      <c r="B726" s="1" t="n">
        <v>45145</v>
      </c>
      <c r="C726" s="1" t="n">
        <v>46169</v>
      </c>
      <c r="D726" t="inlineStr">
        <is>
          <t>ÖREBRO LÄN</t>
        </is>
      </c>
      <c r="E726" t="inlineStr">
        <is>
          <t>LINDESBERG</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6616-2026</t>
        </is>
      </c>
      <c r="B727" s="1" t="n">
        <v>46056.49075231481</v>
      </c>
      <c r="C727" s="1" t="n">
        <v>46169</v>
      </c>
      <c r="D727" t="inlineStr">
        <is>
          <t>ÖREBRO LÄN</t>
        </is>
      </c>
      <c r="E727" t="inlineStr">
        <is>
          <t>LINDESBERG</t>
        </is>
      </c>
      <c r="G727" t="n">
        <v>9</v>
      </c>
      <c r="H727" t="n">
        <v>0</v>
      </c>
      <c r="I727" t="n">
        <v>0</v>
      </c>
      <c r="J727" t="n">
        <v>0</v>
      </c>
      <c r="K727" t="n">
        <v>0</v>
      </c>
      <c r="L727" t="n">
        <v>0</v>
      </c>
      <c r="M727" t="n">
        <v>0</v>
      </c>
      <c r="N727" t="n">
        <v>0</v>
      </c>
      <c r="O727" t="n">
        <v>0</v>
      </c>
      <c r="P727" t="n">
        <v>0</v>
      </c>
      <c r="Q727" t="n">
        <v>0</v>
      </c>
      <c r="R727" s="2" t="inlineStr"/>
    </row>
    <row r="728" ht="15" customHeight="1">
      <c r="A728" t="inlineStr">
        <is>
          <t>A 6989-2026</t>
        </is>
      </c>
      <c r="B728" s="1" t="n">
        <v>46057.60342592592</v>
      </c>
      <c r="C728" s="1" t="n">
        <v>46169</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38762-2021</t>
        </is>
      </c>
      <c r="B729" s="1" t="n">
        <v>44410.61837962963</v>
      </c>
      <c r="C729" s="1" t="n">
        <v>46169</v>
      </c>
      <c r="D729" t="inlineStr">
        <is>
          <t>ÖREBRO LÄN</t>
        </is>
      </c>
      <c r="E729" t="inlineStr">
        <is>
          <t>LINDESBERG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3756-2026</t>
        </is>
      </c>
      <c r="B730" s="1" t="n">
        <v>46043</v>
      </c>
      <c r="C730" s="1" t="n">
        <v>46169</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6520-2026</t>
        </is>
      </c>
      <c r="B731" s="1" t="n">
        <v>46056.40149305556</v>
      </c>
      <c r="C731" s="1" t="n">
        <v>46169</v>
      </c>
      <c r="D731" t="inlineStr">
        <is>
          <t>ÖREBRO LÄN</t>
        </is>
      </c>
      <c r="E731" t="inlineStr">
        <is>
          <t>LINDESBERG</t>
        </is>
      </c>
      <c r="G731" t="n">
        <v>2.2</v>
      </c>
      <c r="H731" t="n">
        <v>0</v>
      </c>
      <c r="I731" t="n">
        <v>0</v>
      </c>
      <c r="J731" t="n">
        <v>0</v>
      </c>
      <c r="K731" t="n">
        <v>0</v>
      </c>
      <c r="L731" t="n">
        <v>0</v>
      </c>
      <c r="M731" t="n">
        <v>0</v>
      </c>
      <c r="N731" t="n">
        <v>0</v>
      </c>
      <c r="O731" t="n">
        <v>0</v>
      </c>
      <c r="P731" t="n">
        <v>0</v>
      </c>
      <c r="Q731" t="n">
        <v>0</v>
      </c>
      <c r="R731" s="2" t="inlineStr"/>
    </row>
    <row r="732" ht="15" customHeight="1">
      <c r="A732" t="inlineStr">
        <is>
          <t>A 6524-2026</t>
        </is>
      </c>
      <c r="B732" s="1" t="n">
        <v>46056.40425925926</v>
      </c>
      <c r="C732" s="1" t="n">
        <v>46169</v>
      </c>
      <c r="D732" t="inlineStr">
        <is>
          <t>ÖREBRO LÄN</t>
        </is>
      </c>
      <c r="E732" t="inlineStr">
        <is>
          <t>LINDESBERG</t>
        </is>
      </c>
      <c r="G732" t="n">
        <v>0.6</v>
      </c>
      <c r="H732" t="n">
        <v>0</v>
      </c>
      <c r="I732" t="n">
        <v>0</v>
      </c>
      <c r="J732" t="n">
        <v>0</v>
      </c>
      <c r="K732" t="n">
        <v>0</v>
      </c>
      <c r="L732" t="n">
        <v>0</v>
      </c>
      <c r="M732" t="n">
        <v>0</v>
      </c>
      <c r="N732" t="n">
        <v>0</v>
      </c>
      <c r="O732" t="n">
        <v>0</v>
      </c>
      <c r="P732" t="n">
        <v>0</v>
      </c>
      <c r="Q732" t="n">
        <v>0</v>
      </c>
      <c r="R732" s="2" t="inlineStr"/>
    </row>
    <row r="733" ht="15" customHeight="1">
      <c r="A733" t="inlineStr">
        <is>
          <t>A 39419-2023</t>
        </is>
      </c>
      <c r="B733" s="1" t="n">
        <v>45166.68493055556</v>
      </c>
      <c r="C733" s="1" t="n">
        <v>46169</v>
      </c>
      <c r="D733" t="inlineStr">
        <is>
          <t>ÖREBRO LÄN</t>
        </is>
      </c>
      <c r="E733" t="inlineStr">
        <is>
          <t>LINDESBERG</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6470-2024</t>
        </is>
      </c>
      <c r="B734" s="1" t="n">
        <v>45338</v>
      </c>
      <c r="C734" s="1" t="n">
        <v>46169</v>
      </c>
      <c r="D734" t="inlineStr">
        <is>
          <t>ÖREBRO LÄN</t>
        </is>
      </c>
      <c r="E734" t="inlineStr">
        <is>
          <t>LINDESBERG</t>
        </is>
      </c>
      <c r="G734" t="n">
        <v>1.2</v>
      </c>
      <c r="H734" t="n">
        <v>0</v>
      </c>
      <c r="I734" t="n">
        <v>0</v>
      </c>
      <c r="J734" t="n">
        <v>0</v>
      </c>
      <c r="K734" t="n">
        <v>0</v>
      </c>
      <c r="L734" t="n">
        <v>0</v>
      </c>
      <c r="M734" t="n">
        <v>0</v>
      </c>
      <c r="N734" t="n">
        <v>0</v>
      </c>
      <c r="O734" t="n">
        <v>0</v>
      </c>
      <c r="P734" t="n">
        <v>0</v>
      </c>
      <c r="Q734" t="n">
        <v>0</v>
      </c>
      <c r="R734" s="2" t="inlineStr"/>
    </row>
    <row r="735" ht="15" customHeight="1">
      <c r="A735" t="inlineStr">
        <is>
          <t>A 7098-2026</t>
        </is>
      </c>
      <c r="B735" s="1" t="n">
        <v>46058.35196759259</v>
      </c>
      <c r="C735" s="1" t="n">
        <v>46169</v>
      </c>
      <c r="D735" t="inlineStr">
        <is>
          <t>ÖREBRO LÄN</t>
        </is>
      </c>
      <c r="E735" t="inlineStr">
        <is>
          <t>LINDESBERG</t>
        </is>
      </c>
      <c r="G735" t="n">
        <v>1.9</v>
      </c>
      <c r="H735" t="n">
        <v>0</v>
      </c>
      <c r="I735" t="n">
        <v>0</v>
      </c>
      <c r="J735" t="n">
        <v>0</v>
      </c>
      <c r="K735" t="n">
        <v>0</v>
      </c>
      <c r="L735" t="n">
        <v>0</v>
      </c>
      <c r="M735" t="n">
        <v>0</v>
      </c>
      <c r="N735" t="n">
        <v>0</v>
      </c>
      <c r="O735" t="n">
        <v>0</v>
      </c>
      <c r="P735" t="n">
        <v>0</v>
      </c>
      <c r="Q735" t="n">
        <v>0</v>
      </c>
      <c r="R735" s="2" t="inlineStr"/>
    </row>
    <row r="736" ht="15" customHeight="1">
      <c r="A736" t="inlineStr">
        <is>
          <t>A 58697-2024</t>
        </is>
      </c>
      <c r="B736" s="1" t="n">
        <v>45635.63706018519</v>
      </c>
      <c r="C736" s="1" t="n">
        <v>46169</v>
      </c>
      <c r="D736" t="inlineStr">
        <is>
          <t>ÖREBRO LÄN</t>
        </is>
      </c>
      <c r="E736" t="inlineStr">
        <is>
          <t>LINDESBERG</t>
        </is>
      </c>
      <c r="G736" t="n">
        <v>25.1</v>
      </c>
      <c r="H736" t="n">
        <v>0</v>
      </c>
      <c r="I736" t="n">
        <v>0</v>
      </c>
      <c r="J736" t="n">
        <v>0</v>
      </c>
      <c r="K736" t="n">
        <v>0</v>
      </c>
      <c r="L736" t="n">
        <v>0</v>
      </c>
      <c r="M736" t="n">
        <v>0</v>
      </c>
      <c r="N736" t="n">
        <v>0</v>
      </c>
      <c r="O736" t="n">
        <v>0</v>
      </c>
      <c r="P736" t="n">
        <v>0</v>
      </c>
      <c r="Q736" t="n">
        <v>0</v>
      </c>
      <c r="R736" s="2" t="inlineStr"/>
    </row>
    <row r="737" ht="15" customHeight="1">
      <c r="A737" t="inlineStr">
        <is>
          <t>A 7202-2026</t>
        </is>
      </c>
      <c r="B737" s="1" t="n">
        <v>46058.52864583334</v>
      </c>
      <c r="C737" s="1" t="n">
        <v>46169</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45978-2021</t>
        </is>
      </c>
      <c r="B738" s="1" t="n">
        <v>44441.70047453704</v>
      </c>
      <c r="C738" s="1" t="n">
        <v>46169</v>
      </c>
      <c r="D738" t="inlineStr">
        <is>
          <t>ÖREBRO LÄN</t>
        </is>
      </c>
      <c r="E738" t="inlineStr">
        <is>
          <t>LINDESBERG</t>
        </is>
      </c>
      <c r="G738" t="n">
        <v>4.4</v>
      </c>
      <c r="H738" t="n">
        <v>0</v>
      </c>
      <c r="I738" t="n">
        <v>0</v>
      </c>
      <c r="J738" t="n">
        <v>0</v>
      </c>
      <c r="K738" t="n">
        <v>0</v>
      </c>
      <c r="L738" t="n">
        <v>0</v>
      </c>
      <c r="M738" t="n">
        <v>0</v>
      </c>
      <c r="N738" t="n">
        <v>0</v>
      </c>
      <c r="O738" t="n">
        <v>0</v>
      </c>
      <c r="P738" t="n">
        <v>0</v>
      </c>
      <c r="Q738" t="n">
        <v>0</v>
      </c>
      <c r="R738" s="2" t="inlineStr"/>
    </row>
    <row r="739" ht="15" customHeight="1">
      <c r="A739" t="inlineStr">
        <is>
          <t>A 7069-2026</t>
        </is>
      </c>
      <c r="B739" s="1" t="n">
        <v>46058.30956018518</v>
      </c>
      <c r="C739" s="1" t="n">
        <v>46169</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7121-2026</t>
        </is>
      </c>
      <c r="B740" s="1" t="n">
        <v>46058.38300925926</v>
      </c>
      <c r="C740" s="1" t="n">
        <v>46169</v>
      </c>
      <c r="D740" t="inlineStr">
        <is>
          <t>ÖREBRO LÄN</t>
        </is>
      </c>
      <c r="E740" t="inlineStr">
        <is>
          <t>LINDESBERG</t>
        </is>
      </c>
      <c r="G740" t="n">
        <v>1.1</v>
      </c>
      <c r="H740" t="n">
        <v>0</v>
      </c>
      <c r="I740" t="n">
        <v>0</v>
      </c>
      <c r="J740" t="n">
        <v>0</v>
      </c>
      <c r="K740" t="n">
        <v>0</v>
      </c>
      <c r="L740" t="n">
        <v>0</v>
      </c>
      <c r="M740" t="n">
        <v>0</v>
      </c>
      <c r="N740" t="n">
        <v>0</v>
      </c>
      <c r="O740" t="n">
        <v>0</v>
      </c>
      <c r="P740" t="n">
        <v>0</v>
      </c>
      <c r="Q740" t="n">
        <v>0</v>
      </c>
      <c r="R740" s="2" t="inlineStr"/>
    </row>
    <row r="741" ht="15" customHeight="1">
      <c r="A741" t="inlineStr">
        <is>
          <t>A 11218-2025</t>
        </is>
      </c>
      <c r="B741" s="1" t="n">
        <v>45726.33763888889</v>
      </c>
      <c r="C741" s="1" t="n">
        <v>46169</v>
      </c>
      <c r="D741" t="inlineStr">
        <is>
          <t>ÖREBRO LÄN</t>
        </is>
      </c>
      <c r="E741" t="inlineStr">
        <is>
          <t>LINDESBERG</t>
        </is>
      </c>
      <c r="G741" t="n">
        <v>0.4</v>
      </c>
      <c r="H741" t="n">
        <v>0</v>
      </c>
      <c r="I741" t="n">
        <v>0</v>
      </c>
      <c r="J741" t="n">
        <v>0</v>
      </c>
      <c r="K741" t="n">
        <v>0</v>
      </c>
      <c r="L741" t="n">
        <v>0</v>
      </c>
      <c r="M741" t="n">
        <v>0</v>
      </c>
      <c r="N741" t="n">
        <v>0</v>
      </c>
      <c r="O741" t="n">
        <v>0</v>
      </c>
      <c r="P741" t="n">
        <v>0</v>
      </c>
      <c r="Q741" t="n">
        <v>0</v>
      </c>
      <c r="R741" s="2" t="inlineStr"/>
    </row>
    <row r="742" ht="15" customHeight="1">
      <c r="A742" t="inlineStr">
        <is>
          <t>A 11220-2025</t>
        </is>
      </c>
      <c r="B742" s="1" t="n">
        <v>45726.34090277777</v>
      </c>
      <c r="C742" s="1" t="n">
        <v>46169</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37616-2023</t>
        </is>
      </c>
      <c r="B743" s="1" t="n">
        <v>45159.44525462963</v>
      </c>
      <c r="C743" s="1" t="n">
        <v>46169</v>
      </c>
      <c r="D743" t="inlineStr">
        <is>
          <t>ÖREBRO LÄN</t>
        </is>
      </c>
      <c r="E743" t="inlineStr">
        <is>
          <t>LINDESBERG</t>
        </is>
      </c>
      <c r="G743" t="n">
        <v>5.3</v>
      </c>
      <c r="H743" t="n">
        <v>0</v>
      </c>
      <c r="I743" t="n">
        <v>0</v>
      </c>
      <c r="J743" t="n">
        <v>0</v>
      </c>
      <c r="K743" t="n">
        <v>0</v>
      </c>
      <c r="L743" t="n">
        <v>0</v>
      </c>
      <c r="M743" t="n">
        <v>0</v>
      </c>
      <c r="N743" t="n">
        <v>0</v>
      </c>
      <c r="O743" t="n">
        <v>0</v>
      </c>
      <c r="P743" t="n">
        <v>0</v>
      </c>
      <c r="Q743" t="n">
        <v>0</v>
      </c>
      <c r="R743" s="2" t="inlineStr"/>
    </row>
    <row r="744" ht="15" customHeight="1">
      <c r="A744" t="inlineStr">
        <is>
          <t>A 28562-2023</t>
        </is>
      </c>
      <c r="B744" s="1" t="n">
        <v>45103.53614583334</v>
      </c>
      <c r="C744" s="1" t="n">
        <v>46169</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21016-2023</t>
        </is>
      </c>
      <c r="B745" s="1" t="n">
        <v>45061.53414351852</v>
      </c>
      <c r="C745" s="1" t="n">
        <v>46169</v>
      </c>
      <c r="D745" t="inlineStr">
        <is>
          <t>ÖREBRO LÄN</t>
        </is>
      </c>
      <c r="E745" t="inlineStr">
        <is>
          <t>LINDESBERG</t>
        </is>
      </c>
      <c r="G745" t="n">
        <v>8.1</v>
      </c>
      <c r="H745" t="n">
        <v>0</v>
      </c>
      <c r="I745" t="n">
        <v>0</v>
      </c>
      <c r="J745" t="n">
        <v>0</v>
      </c>
      <c r="K745" t="n">
        <v>0</v>
      </c>
      <c r="L745" t="n">
        <v>0</v>
      </c>
      <c r="M745" t="n">
        <v>0</v>
      </c>
      <c r="N745" t="n">
        <v>0</v>
      </c>
      <c r="O745" t="n">
        <v>0</v>
      </c>
      <c r="P745" t="n">
        <v>0</v>
      </c>
      <c r="Q745" t="n">
        <v>0</v>
      </c>
      <c r="R745" s="2" t="inlineStr"/>
    </row>
    <row r="746" ht="15" customHeight="1">
      <c r="A746" t="inlineStr">
        <is>
          <t>A 64084-2023</t>
        </is>
      </c>
      <c r="B746" s="1" t="n">
        <v>45279</v>
      </c>
      <c r="C746" s="1" t="n">
        <v>46169</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33886-2024</t>
        </is>
      </c>
      <c r="B747" s="1" t="n">
        <v>45523.31621527778</v>
      </c>
      <c r="C747" s="1" t="n">
        <v>46169</v>
      </c>
      <c r="D747" t="inlineStr">
        <is>
          <t>ÖREBRO LÄN</t>
        </is>
      </c>
      <c r="E747" t="inlineStr">
        <is>
          <t>LINDESBERG</t>
        </is>
      </c>
      <c r="G747" t="n">
        <v>1.3</v>
      </c>
      <c r="H747" t="n">
        <v>0</v>
      </c>
      <c r="I747" t="n">
        <v>0</v>
      </c>
      <c r="J747" t="n">
        <v>0</v>
      </c>
      <c r="K747" t="n">
        <v>0</v>
      </c>
      <c r="L747" t="n">
        <v>0</v>
      </c>
      <c r="M747" t="n">
        <v>0</v>
      </c>
      <c r="N747" t="n">
        <v>0</v>
      </c>
      <c r="O747" t="n">
        <v>0</v>
      </c>
      <c r="P747" t="n">
        <v>0</v>
      </c>
      <c r="Q747" t="n">
        <v>0</v>
      </c>
      <c r="R747" s="2" t="inlineStr"/>
    </row>
    <row r="748" ht="15" customHeight="1">
      <c r="A748" t="inlineStr">
        <is>
          <t>A 43046-2022</t>
        </is>
      </c>
      <c r="B748" s="1" t="n">
        <v>44833</v>
      </c>
      <c r="C748" s="1" t="n">
        <v>46169</v>
      </c>
      <c r="D748" t="inlineStr">
        <is>
          <t>ÖREBRO LÄN</t>
        </is>
      </c>
      <c r="E748" t="inlineStr">
        <is>
          <t>LINDESBERG</t>
        </is>
      </c>
      <c r="G748" t="n">
        <v>0.9</v>
      </c>
      <c r="H748" t="n">
        <v>0</v>
      </c>
      <c r="I748" t="n">
        <v>0</v>
      </c>
      <c r="J748" t="n">
        <v>0</v>
      </c>
      <c r="K748" t="n">
        <v>0</v>
      </c>
      <c r="L748" t="n">
        <v>0</v>
      </c>
      <c r="M748" t="n">
        <v>0</v>
      </c>
      <c r="N748" t="n">
        <v>0</v>
      </c>
      <c r="O748" t="n">
        <v>0</v>
      </c>
      <c r="P748" t="n">
        <v>0</v>
      </c>
      <c r="Q748" t="n">
        <v>0</v>
      </c>
      <c r="R748" s="2" t="inlineStr"/>
    </row>
    <row r="749" ht="15" customHeight="1">
      <c r="A749" t="inlineStr">
        <is>
          <t>A 62866-2023</t>
        </is>
      </c>
      <c r="B749" s="1" t="n">
        <v>45272.36168981482</v>
      </c>
      <c r="C749" s="1" t="n">
        <v>46169</v>
      </c>
      <c r="D749" t="inlineStr">
        <is>
          <t>ÖREBRO LÄN</t>
        </is>
      </c>
      <c r="E749" t="inlineStr">
        <is>
          <t>LINDESBERG</t>
        </is>
      </c>
      <c r="G749" t="n">
        <v>14.5</v>
      </c>
      <c r="H749" t="n">
        <v>0</v>
      </c>
      <c r="I749" t="n">
        <v>0</v>
      </c>
      <c r="J749" t="n">
        <v>0</v>
      </c>
      <c r="K749" t="n">
        <v>0</v>
      </c>
      <c r="L749" t="n">
        <v>0</v>
      </c>
      <c r="M749" t="n">
        <v>0</v>
      </c>
      <c r="N749" t="n">
        <v>0</v>
      </c>
      <c r="O749" t="n">
        <v>0</v>
      </c>
      <c r="P749" t="n">
        <v>0</v>
      </c>
      <c r="Q749" t="n">
        <v>0</v>
      </c>
      <c r="R749" s="2" t="inlineStr"/>
    </row>
    <row r="750" ht="15" customHeight="1">
      <c r="A750" t="inlineStr">
        <is>
          <t>A 6-2023</t>
        </is>
      </c>
      <c r="B750" s="1" t="n">
        <v>44927.72487268518</v>
      </c>
      <c r="C750" s="1" t="n">
        <v>46169</v>
      </c>
      <c r="D750" t="inlineStr">
        <is>
          <t>ÖREBRO LÄN</t>
        </is>
      </c>
      <c r="E750" t="inlineStr">
        <is>
          <t>LINDESBERG</t>
        </is>
      </c>
      <c r="G750" t="n">
        <v>2.8</v>
      </c>
      <c r="H750" t="n">
        <v>0</v>
      </c>
      <c r="I750" t="n">
        <v>0</v>
      </c>
      <c r="J750" t="n">
        <v>0</v>
      </c>
      <c r="K750" t="n">
        <v>0</v>
      </c>
      <c r="L750" t="n">
        <v>0</v>
      </c>
      <c r="M750" t="n">
        <v>0</v>
      </c>
      <c r="N750" t="n">
        <v>0</v>
      </c>
      <c r="O750" t="n">
        <v>0</v>
      </c>
      <c r="P750" t="n">
        <v>0</v>
      </c>
      <c r="Q750" t="n">
        <v>0</v>
      </c>
      <c r="R750" s="2" t="inlineStr"/>
    </row>
    <row r="751" ht="15" customHeight="1">
      <c r="A751" t="inlineStr">
        <is>
          <t>A 13729-2025</t>
        </is>
      </c>
      <c r="B751" s="1" t="n">
        <v>45737.3846412037</v>
      </c>
      <c r="C751" s="1" t="n">
        <v>46169</v>
      </c>
      <c r="D751" t="inlineStr">
        <is>
          <t>ÖREBRO LÄN</t>
        </is>
      </c>
      <c r="E751" t="inlineStr">
        <is>
          <t>LINDESBERG</t>
        </is>
      </c>
      <c r="F751" t="inlineStr">
        <is>
          <t>Sveaskog</t>
        </is>
      </c>
      <c r="G751" t="n">
        <v>5.4</v>
      </c>
      <c r="H751" t="n">
        <v>0</v>
      </c>
      <c r="I751" t="n">
        <v>0</v>
      </c>
      <c r="J751" t="n">
        <v>0</v>
      </c>
      <c r="K751" t="n">
        <v>0</v>
      </c>
      <c r="L751" t="n">
        <v>0</v>
      </c>
      <c r="M751" t="n">
        <v>0</v>
      </c>
      <c r="N751" t="n">
        <v>0</v>
      </c>
      <c r="O751" t="n">
        <v>0</v>
      </c>
      <c r="P751" t="n">
        <v>0</v>
      </c>
      <c r="Q751" t="n">
        <v>0</v>
      </c>
      <c r="R751" s="2" t="inlineStr"/>
    </row>
    <row r="752" ht="15" customHeight="1">
      <c r="A752" t="inlineStr">
        <is>
          <t>A 41353-2024</t>
        </is>
      </c>
      <c r="B752" s="1" t="n">
        <v>45559</v>
      </c>
      <c r="C752" s="1" t="n">
        <v>46169</v>
      </c>
      <c r="D752" t="inlineStr">
        <is>
          <t>ÖREBRO LÄN</t>
        </is>
      </c>
      <c r="E752" t="inlineStr">
        <is>
          <t>LINDESBERG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63508-2023</t>
        </is>
      </c>
      <c r="B753" s="1" t="n">
        <v>45274</v>
      </c>
      <c r="C753" s="1" t="n">
        <v>46169</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36136-2023</t>
        </is>
      </c>
      <c r="B754" s="1" t="n">
        <v>45149</v>
      </c>
      <c r="C754" s="1" t="n">
        <v>46169</v>
      </c>
      <c r="D754" t="inlineStr">
        <is>
          <t>ÖREBRO LÄN</t>
        </is>
      </c>
      <c r="E754" t="inlineStr">
        <is>
          <t>LINDESBERG</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34025-2024</t>
        </is>
      </c>
      <c r="B755" s="1" t="n">
        <v>45523.58565972222</v>
      </c>
      <c r="C755" s="1" t="n">
        <v>46169</v>
      </c>
      <c r="D755" t="inlineStr">
        <is>
          <t>ÖREBRO LÄN</t>
        </is>
      </c>
      <c r="E755" t="inlineStr">
        <is>
          <t>LINDESBERG</t>
        </is>
      </c>
      <c r="G755" t="n">
        <v>1.3</v>
      </c>
      <c r="H755" t="n">
        <v>0</v>
      </c>
      <c r="I755" t="n">
        <v>0</v>
      </c>
      <c r="J755" t="n">
        <v>0</v>
      </c>
      <c r="K755" t="n">
        <v>0</v>
      </c>
      <c r="L755" t="n">
        <v>0</v>
      </c>
      <c r="M755" t="n">
        <v>0</v>
      </c>
      <c r="N755" t="n">
        <v>0</v>
      </c>
      <c r="O755" t="n">
        <v>0</v>
      </c>
      <c r="P755" t="n">
        <v>0</v>
      </c>
      <c r="Q755" t="n">
        <v>0</v>
      </c>
      <c r="R755" s="2" t="inlineStr"/>
    </row>
    <row r="756" ht="15" customHeight="1">
      <c r="A756" t="inlineStr">
        <is>
          <t>A 19077-2025</t>
        </is>
      </c>
      <c r="B756" s="1" t="n">
        <v>45766.33309027777</v>
      </c>
      <c r="C756" s="1" t="n">
        <v>46169</v>
      </c>
      <c r="D756" t="inlineStr">
        <is>
          <t>ÖREBRO LÄN</t>
        </is>
      </c>
      <c r="E756" t="inlineStr">
        <is>
          <t>LINDESBERG</t>
        </is>
      </c>
      <c r="G756" t="n">
        <v>0</v>
      </c>
      <c r="H756" t="n">
        <v>0</v>
      </c>
      <c r="I756" t="n">
        <v>0</v>
      </c>
      <c r="J756" t="n">
        <v>0</v>
      </c>
      <c r="K756" t="n">
        <v>0</v>
      </c>
      <c r="L756" t="n">
        <v>0</v>
      </c>
      <c r="M756" t="n">
        <v>0</v>
      </c>
      <c r="N756" t="n">
        <v>0</v>
      </c>
      <c r="O756" t="n">
        <v>0</v>
      </c>
      <c r="P756" t="n">
        <v>0</v>
      </c>
      <c r="Q756" t="n">
        <v>0</v>
      </c>
      <c r="R756" s="2" t="inlineStr"/>
    </row>
    <row r="757" ht="15" customHeight="1">
      <c r="A757" t="inlineStr">
        <is>
          <t>A 13884-2023</t>
        </is>
      </c>
      <c r="B757" s="1" t="n">
        <v>45007</v>
      </c>
      <c r="C757" s="1" t="n">
        <v>46169</v>
      </c>
      <c r="D757" t="inlineStr">
        <is>
          <t>ÖREBRO LÄN</t>
        </is>
      </c>
      <c r="E757" t="inlineStr">
        <is>
          <t>LINDESBERG</t>
        </is>
      </c>
      <c r="F757" t="inlineStr">
        <is>
          <t>Kommuner</t>
        </is>
      </c>
      <c r="G757" t="n">
        <v>7.7</v>
      </c>
      <c r="H757" t="n">
        <v>0</v>
      </c>
      <c r="I757" t="n">
        <v>0</v>
      </c>
      <c r="J757" t="n">
        <v>0</v>
      </c>
      <c r="K757" t="n">
        <v>0</v>
      </c>
      <c r="L757" t="n">
        <v>0</v>
      </c>
      <c r="M757" t="n">
        <v>0</v>
      </c>
      <c r="N757" t="n">
        <v>0</v>
      </c>
      <c r="O757" t="n">
        <v>0</v>
      </c>
      <c r="P757" t="n">
        <v>0</v>
      </c>
      <c r="Q757" t="n">
        <v>0</v>
      </c>
      <c r="R757" s="2" t="inlineStr"/>
    </row>
    <row r="758" ht="15" customHeight="1">
      <c r="A758" t="inlineStr">
        <is>
          <t>A 50275-2024</t>
        </is>
      </c>
      <c r="B758" s="1" t="n">
        <v>45600.60071759259</v>
      </c>
      <c r="C758" s="1" t="n">
        <v>46169</v>
      </c>
      <c r="D758" t="inlineStr">
        <is>
          <t>ÖREBRO LÄN</t>
        </is>
      </c>
      <c r="E758" t="inlineStr">
        <is>
          <t>LINDESBERG</t>
        </is>
      </c>
      <c r="G758" t="n">
        <v>4.3</v>
      </c>
      <c r="H758" t="n">
        <v>0</v>
      </c>
      <c r="I758" t="n">
        <v>0</v>
      </c>
      <c r="J758" t="n">
        <v>0</v>
      </c>
      <c r="K758" t="n">
        <v>0</v>
      </c>
      <c r="L758" t="n">
        <v>0</v>
      </c>
      <c r="M758" t="n">
        <v>0</v>
      </c>
      <c r="N758" t="n">
        <v>0</v>
      </c>
      <c r="O758" t="n">
        <v>0</v>
      </c>
      <c r="P758" t="n">
        <v>0</v>
      </c>
      <c r="Q758" t="n">
        <v>0</v>
      </c>
      <c r="R758" s="2" t="inlineStr"/>
    </row>
    <row r="759" ht="15" customHeight="1">
      <c r="A759" t="inlineStr">
        <is>
          <t>A 17463-2023</t>
        </is>
      </c>
      <c r="B759" s="1" t="n">
        <v>45036</v>
      </c>
      <c r="C759" s="1" t="n">
        <v>46169</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14522-2025</t>
        </is>
      </c>
      <c r="B760" s="1" t="n">
        <v>45741.64491898148</v>
      </c>
      <c r="C760" s="1" t="n">
        <v>46169</v>
      </c>
      <c r="D760" t="inlineStr">
        <is>
          <t>ÖREBRO LÄN</t>
        </is>
      </c>
      <c r="E760" t="inlineStr">
        <is>
          <t>LINDESBERG</t>
        </is>
      </c>
      <c r="G760" t="n">
        <v>4.5</v>
      </c>
      <c r="H760" t="n">
        <v>0</v>
      </c>
      <c r="I760" t="n">
        <v>0</v>
      </c>
      <c r="J760" t="n">
        <v>0</v>
      </c>
      <c r="K760" t="n">
        <v>0</v>
      </c>
      <c r="L760" t="n">
        <v>0</v>
      </c>
      <c r="M760" t="n">
        <v>0</v>
      </c>
      <c r="N760" t="n">
        <v>0</v>
      </c>
      <c r="O760" t="n">
        <v>0</v>
      </c>
      <c r="P760" t="n">
        <v>0</v>
      </c>
      <c r="Q760" t="n">
        <v>0</v>
      </c>
      <c r="R760" s="2" t="inlineStr"/>
    </row>
    <row r="761" ht="15" customHeight="1">
      <c r="A761" t="inlineStr">
        <is>
          <t>A 36001-2021</t>
        </is>
      </c>
      <c r="B761" s="1" t="n">
        <v>44389</v>
      </c>
      <c r="C761" s="1" t="n">
        <v>46169</v>
      </c>
      <c r="D761" t="inlineStr">
        <is>
          <t>ÖREBRO LÄN</t>
        </is>
      </c>
      <c r="E761" t="inlineStr">
        <is>
          <t>LINDESBERG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33280-2024</t>
        </is>
      </c>
      <c r="B762" s="1" t="n">
        <v>45518.71048611111</v>
      </c>
      <c r="C762" s="1" t="n">
        <v>46169</v>
      </c>
      <c r="D762" t="inlineStr">
        <is>
          <t>ÖREBRO LÄN</t>
        </is>
      </c>
      <c r="E762" t="inlineStr">
        <is>
          <t>LINDESBERG</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33281-2024</t>
        </is>
      </c>
      <c r="B763" s="1" t="n">
        <v>45518.71202546296</v>
      </c>
      <c r="C763" s="1" t="n">
        <v>46169</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33283-2024</t>
        </is>
      </c>
      <c r="B764" s="1" t="n">
        <v>45518.71591435185</v>
      </c>
      <c r="C764" s="1" t="n">
        <v>46169</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39140-2024</t>
        </is>
      </c>
      <c r="B765" s="1" t="n">
        <v>45548</v>
      </c>
      <c r="C765" s="1" t="n">
        <v>46169</v>
      </c>
      <c r="D765" t="inlineStr">
        <is>
          <t>ÖREBRO LÄN</t>
        </is>
      </c>
      <c r="E765" t="inlineStr">
        <is>
          <t>LINDESBERG</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9432-2026</t>
        </is>
      </c>
      <c r="B766" s="1" t="n">
        <v>46071.45568287037</v>
      </c>
      <c r="C766" s="1" t="n">
        <v>46169</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9577-2026</t>
        </is>
      </c>
      <c r="B767" s="1" t="n">
        <v>46071.67334490741</v>
      </c>
      <c r="C767" s="1" t="n">
        <v>46169</v>
      </c>
      <c r="D767" t="inlineStr">
        <is>
          <t>ÖREBRO LÄN</t>
        </is>
      </c>
      <c r="E767" t="inlineStr">
        <is>
          <t>LINDESBERG</t>
        </is>
      </c>
      <c r="F767" t="inlineStr">
        <is>
          <t>Kommuner</t>
        </is>
      </c>
      <c r="G767" t="n">
        <v>1</v>
      </c>
      <c r="H767" t="n">
        <v>0</v>
      </c>
      <c r="I767" t="n">
        <v>0</v>
      </c>
      <c r="J767" t="n">
        <v>0</v>
      </c>
      <c r="K767" t="n">
        <v>0</v>
      </c>
      <c r="L767" t="n">
        <v>0</v>
      </c>
      <c r="M767" t="n">
        <v>0</v>
      </c>
      <c r="N767" t="n">
        <v>0</v>
      </c>
      <c r="O767" t="n">
        <v>0</v>
      </c>
      <c r="P767" t="n">
        <v>0</v>
      </c>
      <c r="Q767" t="n">
        <v>0</v>
      </c>
      <c r="R767" s="2" t="inlineStr"/>
    </row>
    <row r="768" ht="15" customHeight="1">
      <c r="A768" t="inlineStr">
        <is>
          <t>A 32928-2023</t>
        </is>
      </c>
      <c r="B768" s="1" t="n">
        <v>45125.41458333333</v>
      </c>
      <c r="C768" s="1" t="n">
        <v>46169</v>
      </c>
      <c r="D768" t="inlineStr">
        <is>
          <t>ÖREBRO LÄN</t>
        </is>
      </c>
      <c r="E768" t="inlineStr">
        <is>
          <t>LINDESBERG</t>
        </is>
      </c>
      <c r="G768" t="n">
        <v>4.8</v>
      </c>
      <c r="H768" t="n">
        <v>0</v>
      </c>
      <c r="I768" t="n">
        <v>0</v>
      </c>
      <c r="J768" t="n">
        <v>0</v>
      </c>
      <c r="K768" t="n">
        <v>0</v>
      </c>
      <c r="L768" t="n">
        <v>0</v>
      </c>
      <c r="M768" t="n">
        <v>0</v>
      </c>
      <c r="N768" t="n">
        <v>0</v>
      </c>
      <c r="O768" t="n">
        <v>0</v>
      </c>
      <c r="P768" t="n">
        <v>0</v>
      </c>
      <c r="Q768" t="n">
        <v>0</v>
      </c>
      <c r="R768" s="2" t="inlineStr"/>
    </row>
    <row r="769" ht="15" customHeight="1">
      <c r="A769" t="inlineStr">
        <is>
          <t>A 32994-2023</t>
        </is>
      </c>
      <c r="B769" s="1" t="n">
        <v>45113</v>
      </c>
      <c r="C769" s="1" t="n">
        <v>46169</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45062-2022</t>
        </is>
      </c>
      <c r="B770" s="1" t="n">
        <v>44841</v>
      </c>
      <c r="C770" s="1" t="n">
        <v>46169</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21012-2023</t>
        </is>
      </c>
      <c r="B771" s="1" t="n">
        <v>45061.52474537037</v>
      </c>
      <c r="C771" s="1" t="n">
        <v>46169</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40456-2023</t>
        </is>
      </c>
      <c r="B772" s="1" t="n">
        <v>45170</v>
      </c>
      <c r="C772" s="1" t="n">
        <v>46169</v>
      </c>
      <c r="D772" t="inlineStr">
        <is>
          <t>ÖREBRO LÄN</t>
        </is>
      </c>
      <c r="E772" t="inlineStr">
        <is>
          <t>LINDESBERG</t>
        </is>
      </c>
      <c r="F772" t="inlineStr">
        <is>
          <t>Kyrkan</t>
        </is>
      </c>
      <c r="G772" t="n">
        <v>0.6</v>
      </c>
      <c r="H772" t="n">
        <v>0</v>
      </c>
      <c r="I772" t="n">
        <v>0</v>
      </c>
      <c r="J772" t="n">
        <v>0</v>
      </c>
      <c r="K772" t="n">
        <v>0</v>
      </c>
      <c r="L772" t="n">
        <v>0</v>
      </c>
      <c r="M772" t="n">
        <v>0</v>
      </c>
      <c r="N772" t="n">
        <v>0</v>
      </c>
      <c r="O772" t="n">
        <v>0</v>
      </c>
      <c r="P772" t="n">
        <v>0</v>
      </c>
      <c r="Q772" t="n">
        <v>0</v>
      </c>
      <c r="R772" s="2" t="inlineStr"/>
    </row>
    <row r="773" ht="15" customHeight="1">
      <c r="A773" t="inlineStr">
        <is>
          <t>A 42282-2024</t>
        </is>
      </c>
      <c r="B773" s="1" t="n">
        <v>45562.61158564815</v>
      </c>
      <c r="C773" s="1" t="n">
        <v>46169</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32262-2021</t>
        </is>
      </c>
      <c r="B774" s="1" t="n">
        <v>44371.47609953704</v>
      </c>
      <c r="C774" s="1" t="n">
        <v>46169</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27576-2024</t>
        </is>
      </c>
      <c r="B775" s="1" t="n">
        <v>45474.65005787037</v>
      </c>
      <c r="C775" s="1" t="n">
        <v>46169</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32099-2024</t>
        </is>
      </c>
      <c r="B776" s="1" t="n">
        <v>45511.40297453704</v>
      </c>
      <c r="C776" s="1" t="n">
        <v>46169</v>
      </c>
      <c r="D776" t="inlineStr">
        <is>
          <t>ÖREBRO LÄN</t>
        </is>
      </c>
      <c r="E776" t="inlineStr">
        <is>
          <t>LINDESBERG</t>
        </is>
      </c>
      <c r="G776" t="n">
        <v>2.3</v>
      </c>
      <c r="H776" t="n">
        <v>0</v>
      </c>
      <c r="I776" t="n">
        <v>0</v>
      </c>
      <c r="J776" t="n">
        <v>0</v>
      </c>
      <c r="K776" t="n">
        <v>0</v>
      </c>
      <c r="L776" t="n">
        <v>0</v>
      </c>
      <c r="M776" t="n">
        <v>0</v>
      </c>
      <c r="N776" t="n">
        <v>0</v>
      </c>
      <c r="O776" t="n">
        <v>0</v>
      </c>
      <c r="P776" t="n">
        <v>0</v>
      </c>
      <c r="Q776" t="n">
        <v>0</v>
      </c>
      <c r="R776" s="2" t="inlineStr"/>
    </row>
    <row r="777" ht="15" customHeight="1">
      <c r="A777" t="inlineStr">
        <is>
          <t>A 8836-2023</t>
        </is>
      </c>
      <c r="B777" s="1" t="n">
        <v>44978</v>
      </c>
      <c r="C777" s="1" t="n">
        <v>46169</v>
      </c>
      <c r="D777" t="inlineStr">
        <is>
          <t>ÖREBRO LÄN</t>
        </is>
      </c>
      <c r="E777" t="inlineStr">
        <is>
          <t>LINDESBERG</t>
        </is>
      </c>
      <c r="G777" t="n">
        <v>1</v>
      </c>
      <c r="H777" t="n">
        <v>0</v>
      </c>
      <c r="I777" t="n">
        <v>0</v>
      </c>
      <c r="J777" t="n">
        <v>0</v>
      </c>
      <c r="K777" t="n">
        <v>0</v>
      </c>
      <c r="L777" t="n">
        <v>0</v>
      </c>
      <c r="M777" t="n">
        <v>0</v>
      </c>
      <c r="N777" t="n">
        <v>0</v>
      </c>
      <c r="O777" t="n">
        <v>0</v>
      </c>
      <c r="P777" t="n">
        <v>0</v>
      </c>
      <c r="Q777" t="n">
        <v>0</v>
      </c>
      <c r="R777" s="2" t="inlineStr"/>
    </row>
    <row r="778" ht="15" customHeight="1">
      <c r="A778" t="inlineStr">
        <is>
          <t>A 5772-2023</t>
        </is>
      </c>
      <c r="B778" s="1" t="n">
        <v>44963.37709490741</v>
      </c>
      <c r="C778" s="1" t="n">
        <v>46169</v>
      </c>
      <c r="D778" t="inlineStr">
        <is>
          <t>ÖREBRO LÄN</t>
        </is>
      </c>
      <c r="E778" t="inlineStr">
        <is>
          <t>LINDESBERG</t>
        </is>
      </c>
      <c r="G778" t="n">
        <v>3</v>
      </c>
      <c r="H778" t="n">
        <v>0</v>
      </c>
      <c r="I778" t="n">
        <v>0</v>
      </c>
      <c r="J778" t="n">
        <v>0</v>
      </c>
      <c r="K778" t="n">
        <v>0</v>
      </c>
      <c r="L778" t="n">
        <v>0</v>
      </c>
      <c r="M778" t="n">
        <v>0</v>
      </c>
      <c r="N778" t="n">
        <v>0</v>
      </c>
      <c r="O778" t="n">
        <v>0</v>
      </c>
      <c r="P778" t="n">
        <v>0</v>
      </c>
      <c r="Q778" t="n">
        <v>0</v>
      </c>
      <c r="R778" s="2" t="inlineStr"/>
    </row>
    <row r="779" ht="15" customHeight="1">
      <c r="A779" t="inlineStr">
        <is>
          <t>A 36024-2021</t>
        </is>
      </c>
      <c r="B779" s="1" t="n">
        <v>44389</v>
      </c>
      <c r="C779" s="1" t="n">
        <v>46169</v>
      </c>
      <c r="D779" t="inlineStr">
        <is>
          <t>ÖREBRO LÄN</t>
        </is>
      </c>
      <c r="E779" t="inlineStr">
        <is>
          <t>LINDESBERG</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11559-2024</t>
        </is>
      </c>
      <c r="B780" s="1" t="n">
        <v>45373.30434027778</v>
      </c>
      <c r="C780" s="1" t="n">
        <v>46169</v>
      </c>
      <c r="D780" t="inlineStr">
        <is>
          <t>ÖREBRO LÄN</t>
        </is>
      </c>
      <c r="E780" t="inlineStr">
        <is>
          <t>LINDESBERG</t>
        </is>
      </c>
      <c r="F780" t="inlineStr">
        <is>
          <t>BillerudKorsnäs AB</t>
        </is>
      </c>
      <c r="G780" t="n">
        <v>1.9</v>
      </c>
      <c r="H780" t="n">
        <v>0</v>
      </c>
      <c r="I780" t="n">
        <v>0</v>
      </c>
      <c r="J780" t="n">
        <v>0</v>
      </c>
      <c r="K780" t="n">
        <v>0</v>
      </c>
      <c r="L780" t="n">
        <v>0</v>
      </c>
      <c r="M780" t="n">
        <v>0</v>
      </c>
      <c r="N780" t="n">
        <v>0</v>
      </c>
      <c r="O780" t="n">
        <v>0</v>
      </c>
      <c r="P780" t="n">
        <v>0</v>
      </c>
      <c r="Q780" t="n">
        <v>0</v>
      </c>
      <c r="R780" s="2" t="inlineStr"/>
    </row>
    <row r="781" ht="15" customHeight="1">
      <c r="A781" t="inlineStr">
        <is>
          <t>A 13472-2023</t>
        </is>
      </c>
      <c r="B781" s="1" t="n">
        <v>45005</v>
      </c>
      <c r="C781" s="1" t="n">
        <v>46169</v>
      </c>
      <c r="D781" t="inlineStr">
        <is>
          <t>ÖREBRO LÄN</t>
        </is>
      </c>
      <c r="E781" t="inlineStr">
        <is>
          <t>LINDESBERG</t>
        </is>
      </c>
      <c r="G781" t="n">
        <v>2.5</v>
      </c>
      <c r="H781" t="n">
        <v>0</v>
      </c>
      <c r="I781" t="n">
        <v>0</v>
      </c>
      <c r="J781" t="n">
        <v>0</v>
      </c>
      <c r="K781" t="n">
        <v>0</v>
      </c>
      <c r="L781" t="n">
        <v>0</v>
      </c>
      <c r="M781" t="n">
        <v>0</v>
      </c>
      <c r="N781" t="n">
        <v>0</v>
      </c>
      <c r="O781" t="n">
        <v>0</v>
      </c>
      <c r="P781" t="n">
        <v>0</v>
      </c>
      <c r="Q781" t="n">
        <v>0</v>
      </c>
      <c r="R781" s="2" t="inlineStr"/>
    </row>
    <row r="782" ht="15" customHeight="1">
      <c r="A782" t="inlineStr">
        <is>
          <t>A 18640-2026</t>
        </is>
      </c>
      <c r="B782" s="1" t="n">
        <v>46128.32461805556</v>
      </c>
      <c r="C782" s="1" t="n">
        <v>46169</v>
      </c>
      <c r="D782" t="inlineStr">
        <is>
          <t>ÖREBRO LÄN</t>
        </is>
      </c>
      <c r="E782" t="inlineStr">
        <is>
          <t>LINDESBERG</t>
        </is>
      </c>
      <c r="F782" t="inlineStr">
        <is>
          <t>Sveaskog</t>
        </is>
      </c>
      <c r="G782" t="n">
        <v>0.3</v>
      </c>
      <c r="H782" t="n">
        <v>0</v>
      </c>
      <c r="I782" t="n">
        <v>0</v>
      </c>
      <c r="J782" t="n">
        <v>0</v>
      </c>
      <c r="K782" t="n">
        <v>0</v>
      </c>
      <c r="L782" t="n">
        <v>0</v>
      </c>
      <c r="M782" t="n">
        <v>0</v>
      </c>
      <c r="N782" t="n">
        <v>0</v>
      </c>
      <c r="O782" t="n">
        <v>0</v>
      </c>
      <c r="P782" t="n">
        <v>0</v>
      </c>
      <c r="Q782" t="n">
        <v>0</v>
      </c>
      <c r="R782" s="2" t="inlineStr"/>
    </row>
    <row r="783" ht="15" customHeight="1">
      <c r="A783" t="inlineStr">
        <is>
          <t>A 17087-2023</t>
        </is>
      </c>
      <c r="B783" s="1" t="n">
        <v>45034.5174537037</v>
      </c>
      <c r="C783" s="1" t="n">
        <v>46169</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18634-2026</t>
        </is>
      </c>
      <c r="B784" s="1" t="n">
        <v>46128.31271990741</v>
      </c>
      <c r="C784" s="1" t="n">
        <v>46169</v>
      </c>
      <c r="D784" t="inlineStr">
        <is>
          <t>ÖREBRO LÄN</t>
        </is>
      </c>
      <c r="E784" t="inlineStr">
        <is>
          <t>LINDESBERG</t>
        </is>
      </c>
      <c r="F784" t="inlineStr">
        <is>
          <t>Sveaskog</t>
        </is>
      </c>
      <c r="G784" t="n">
        <v>11.7</v>
      </c>
      <c r="H784" t="n">
        <v>0</v>
      </c>
      <c r="I784" t="n">
        <v>0</v>
      </c>
      <c r="J784" t="n">
        <v>0</v>
      </c>
      <c r="K784" t="n">
        <v>0</v>
      </c>
      <c r="L784" t="n">
        <v>0</v>
      </c>
      <c r="M784" t="n">
        <v>0</v>
      </c>
      <c r="N784" t="n">
        <v>0</v>
      </c>
      <c r="O784" t="n">
        <v>0</v>
      </c>
      <c r="P784" t="n">
        <v>0</v>
      </c>
      <c r="Q784" t="n">
        <v>0</v>
      </c>
      <c r="R784" s="2" t="inlineStr"/>
    </row>
    <row r="785" ht="15" customHeight="1">
      <c r="A785" t="inlineStr">
        <is>
          <t>A 61222-2022</t>
        </is>
      </c>
      <c r="B785" s="1" t="n">
        <v>44909</v>
      </c>
      <c r="C785" s="1" t="n">
        <v>46169</v>
      </c>
      <c r="D785" t="inlineStr">
        <is>
          <t>ÖREBRO LÄN</t>
        </is>
      </c>
      <c r="E785" t="inlineStr">
        <is>
          <t>LINDESBERG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18637-2026</t>
        </is>
      </c>
      <c r="B786" s="1" t="n">
        <v>46128.31604166667</v>
      </c>
      <c r="C786" s="1" t="n">
        <v>46169</v>
      </c>
      <c r="D786" t="inlineStr">
        <is>
          <t>ÖREBRO LÄN</t>
        </is>
      </c>
      <c r="E786" t="inlineStr">
        <is>
          <t>LINDESBERG</t>
        </is>
      </c>
      <c r="F786" t="inlineStr">
        <is>
          <t>Sveaskog</t>
        </is>
      </c>
      <c r="G786" t="n">
        <v>2.6</v>
      </c>
      <c r="H786" t="n">
        <v>0</v>
      </c>
      <c r="I786" t="n">
        <v>0</v>
      </c>
      <c r="J786" t="n">
        <v>0</v>
      </c>
      <c r="K786" t="n">
        <v>0</v>
      </c>
      <c r="L786" t="n">
        <v>0</v>
      </c>
      <c r="M786" t="n">
        <v>0</v>
      </c>
      <c r="N786" t="n">
        <v>0</v>
      </c>
      <c r="O786" t="n">
        <v>0</v>
      </c>
      <c r="P786" t="n">
        <v>0</v>
      </c>
      <c r="Q786" t="n">
        <v>0</v>
      </c>
      <c r="R786" s="2" t="inlineStr"/>
    </row>
    <row r="787" ht="15" customHeight="1">
      <c r="A787" t="inlineStr">
        <is>
          <t>A 46484-2024</t>
        </is>
      </c>
      <c r="B787" s="1" t="n">
        <v>45582.57542824074</v>
      </c>
      <c r="C787" s="1" t="n">
        <v>46169</v>
      </c>
      <c r="D787" t="inlineStr">
        <is>
          <t>ÖREBRO LÄN</t>
        </is>
      </c>
      <c r="E787" t="inlineStr">
        <is>
          <t>LINDESBERG</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41576-2021</t>
        </is>
      </c>
      <c r="B788" s="1" t="n">
        <v>44425</v>
      </c>
      <c r="C788" s="1" t="n">
        <v>46169</v>
      </c>
      <c r="D788" t="inlineStr">
        <is>
          <t>ÖREBRO LÄN</t>
        </is>
      </c>
      <c r="E788" t="inlineStr">
        <is>
          <t>LINDESBERG</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18636-2026</t>
        </is>
      </c>
      <c r="B789" s="1" t="n">
        <v>46128.31521990741</v>
      </c>
      <c r="C789" s="1" t="n">
        <v>46169</v>
      </c>
      <c r="D789" t="inlineStr">
        <is>
          <t>ÖREBRO LÄN</t>
        </is>
      </c>
      <c r="E789" t="inlineStr">
        <is>
          <t>LINDESBERG</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58741-2024</t>
        </is>
      </c>
      <c r="B790" s="1" t="n">
        <v>45635.69581018519</v>
      </c>
      <c r="C790" s="1" t="n">
        <v>46169</v>
      </c>
      <c r="D790" t="inlineStr">
        <is>
          <t>ÖREBRO LÄN</t>
        </is>
      </c>
      <c r="E790" t="inlineStr">
        <is>
          <t>LINDESBERG</t>
        </is>
      </c>
      <c r="G790" t="n">
        <v>1.5</v>
      </c>
      <c r="H790" t="n">
        <v>0</v>
      </c>
      <c r="I790" t="n">
        <v>0</v>
      </c>
      <c r="J790" t="n">
        <v>0</v>
      </c>
      <c r="K790" t="n">
        <v>0</v>
      </c>
      <c r="L790" t="n">
        <v>0</v>
      </c>
      <c r="M790" t="n">
        <v>0</v>
      </c>
      <c r="N790" t="n">
        <v>0</v>
      </c>
      <c r="O790" t="n">
        <v>0</v>
      </c>
      <c r="P790" t="n">
        <v>0</v>
      </c>
      <c r="Q790" t="n">
        <v>0</v>
      </c>
      <c r="R790" s="2" t="inlineStr"/>
    </row>
    <row r="791" ht="15" customHeight="1">
      <c r="A791" t="inlineStr">
        <is>
          <t>A 26967-2022</t>
        </is>
      </c>
      <c r="B791" s="1" t="n">
        <v>44740.66997685185</v>
      </c>
      <c r="C791" s="1" t="n">
        <v>46169</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43066-2021</t>
        </is>
      </c>
      <c r="B792" s="1" t="n">
        <v>44431</v>
      </c>
      <c r="C792" s="1" t="n">
        <v>46169</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19260-2026</t>
        </is>
      </c>
      <c r="B793" s="1" t="n">
        <v>46132.70711805556</v>
      </c>
      <c r="C793" s="1" t="n">
        <v>46169</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45428-2023</t>
        </is>
      </c>
      <c r="B794" s="1" t="n">
        <v>45194</v>
      </c>
      <c r="C794" s="1" t="n">
        <v>46169</v>
      </c>
      <c r="D794" t="inlineStr">
        <is>
          <t>ÖREBRO LÄN</t>
        </is>
      </c>
      <c r="E794" t="inlineStr">
        <is>
          <t>LINDESBERG</t>
        </is>
      </c>
      <c r="G794" t="n">
        <v>7.7</v>
      </c>
      <c r="H794" t="n">
        <v>0</v>
      </c>
      <c r="I794" t="n">
        <v>0</v>
      </c>
      <c r="J794" t="n">
        <v>0</v>
      </c>
      <c r="K794" t="n">
        <v>0</v>
      </c>
      <c r="L794" t="n">
        <v>0</v>
      </c>
      <c r="M794" t="n">
        <v>0</v>
      </c>
      <c r="N794" t="n">
        <v>0</v>
      </c>
      <c r="O794" t="n">
        <v>0</v>
      </c>
      <c r="P794" t="n">
        <v>0</v>
      </c>
      <c r="Q794" t="n">
        <v>0</v>
      </c>
      <c r="R794" s="2" t="inlineStr"/>
    </row>
    <row r="795" ht="15" customHeight="1">
      <c r="A795" t="inlineStr">
        <is>
          <t>A 53897-2024</t>
        </is>
      </c>
      <c r="B795" s="1" t="n">
        <v>45615.69570601852</v>
      </c>
      <c r="C795" s="1" t="n">
        <v>46169</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56907-2024</t>
        </is>
      </c>
      <c r="B796" s="1" t="n">
        <v>45628.58975694444</v>
      </c>
      <c r="C796" s="1" t="n">
        <v>46169</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7992-2025</t>
        </is>
      </c>
      <c r="B797" s="1" t="n">
        <v>45707</v>
      </c>
      <c r="C797" s="1" t="n">
        <v>46169</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17242-2025</t>
        </is>
      </c>
      <c r="B798" s="1" t="n">
        <v>45756.49009259259</v>
      </c>
      <c r="C798" s="1" t="n">
        <v>46169</v>
      </c>
      <c r="D798" t="inlineStr">
        <is>
          <t>ÖREBRO LÄN</t>
        </is>
      </c>
      <c r="E798" t="inlineStr">
        <is>
          <t>LINDESBERG</t>
        </is>
      </c>
      <c r="G798" t="n">
        <v>7.3</v>
      </c>
      <c r="H798" t="n">
        <v>0</v>
      </c>
      <c r="I798" t="n">
        <v>0</v>
      </c>
      <c r="J798" t="n">
        <v>0</v>
      </c>
      <c r="K798" t="n">
        <v>0</v>
      </c>
      <c r="L798" t="n">
        <v>0</v>
      </c>
      <c r="M798" t="n">
        <v>0</v>
      </c>
      <c r="N798" t="n">
        <v>0</v>
      </c>
      <c r="O798" t="n">
        <v>0</v>
      </c>
      <c r="P798" t="n">
        <v>0</v>
      </c>
      <c r="Q798" t="n">
        <v>0</v>
      </c>
      <c r="R798" s="2" t="inlineStr"/>
    </row>
    <row r="799" ht="15" customHeight="1">
      <c r="A799" t="inlineStr">
        <is>
          <t>A 7119-2025</t>
        </is>
      </c>
      <c r="B799" s="1" t="n">
        <v>45702</v>
      </c>
      <c r="C799" s="1" t="n">
        <v>46169</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45060-2024</t>
        </is>
      </c>
      <c r="B800" s="1" t="n">
        <v>45575.55570601852</v>
      </c>
      <c r="C800" s="1" t="n">
        <v>46169</v>
      </c>
      <c r="D800" t="inlineStr">
        <is>
          <t>ÖREBRO LÄN</t>
        </is>
      </c>
      <c r="E800" t="inlineStr">
        <is>
          <t>LINDESBERG</t>
        </is>
      </c>
      <c r="F800" t="inlineStr">
        <is>
          <t>Sveaskog</t>
        </is>
      </c>
      <c r="G800" t="n">
        <v>4.6</v>
      </c>
      <c r="H800" t="n">
        <v>0</v>
      </c>
      <c r="I800" t="n">
        <v>0</v>
      </c>
      <c r="J800" t="n">
        <v>0</v>
      </c>
      <c r="K800" t="n">
        <v>0</v>
      </c>
      <c r="L800" t="n">
        <v>0</v>
      </c>
      <c r="M800" t="n">
        <v>0</v>
      </c>
      <c r="N800" t="n">
        <v>0</v>
      </c>
      <c r="O800" t="n">
        <v>0</v>
      </c>
      <c r="P800" t="n">
        <v>0</v>
      </c>
      <c r="Q800" t="n">
        <v>0</v>
      </c>
      <c r="R800" s="2" t="inlineStr"/>
    </row>
    <row r="801" ht="15" customHeight="1">
      <c r="A801" t="inlineStr">
        <is>
          <t>A 19292-2026</t>
        </is>
      </c>
      <c r="B801" s="1" t="n">
        <v>46133.32493055556</v>
      </c>
      <c r="C801" s="1" t="n">
        <v>46169</v>
      </c>
      <c r="D801" t="inlineStr">
        <is>
          <t>ÖREBRO LÄN</t>
        </is>
      </c>
      <c r="E801" t="inlineStr">
        <is>
          <t>LINDESBERG</t>
        </is>
      </c>
      <c r="G801" t="n">
        <v>0.4</v>
      </c>
      <c r="H801" t="n">
        <v>0</v>
      </c>
      <c r="I801" t="n">
        <v>0</v>
      </c>
      <c r="J801" t="n">
        <v>0</v>
      </c>
      <c r="K801" t="n">
        <v>0</v>
      </c>
      <c r="L801" t="n">
        <v>0</v>
      </c>
      <c r="M801" t="n">
        <v>0</v>
      </c>
      <c r="N801" t="n">
        <v>0</v>
      </c>
      <c r="O801" t="n">
        <v>0</v>
      </c>
      <c r="P801" t="n">
        <v>0</v>
      </c>
      <c r="Q801" t="n">
        <v>0</v>
      </c>
      <c r="R801" s="2" t="inlineStr"/>
    </row>
    <row r="802" ht="15" customHeight="1">
      <c r="A802" t="inlineStr">
        <is>
          <t>A 50972-2023</t>
        </is>
      </c>
      <c r="B802" s="1" t="n">
        <v>45218</v>
      </c>
      <c r="C802" s="1" t="n">
        <v>46169</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50225-2021</t>
        </is>
      </c>
      <c r="B803" s="1" t="n">
        <v>44457</v>
      </c>
      <c r="C803" s="1" t="n">
        <v>46169</v>
      </c>
      <c r="D803" t="inlineStr">
        <is>
          <t>ÖREBRO LÄN</t>
        </is>
      </c>
      <c r="E803" t="inlineStr">
        <is>
          <t>LINDESBERG</t>
        </is>
      </c>
      <c r="G803" t="n">
        <v>2.5</v>
      </c>
      <c r="H803" t="n">
        <v>0</v>
      </c>
      <c r="I803" t="n">
        <v>0</v>
      </c>
      <c r="J803" t="n">
        <v>0</v>
      </c>
      <c r="K803" t="n">
        <v>0</v>
      </c>
      <c r="L803" t="n">
        <v>0</v>
      </c>
      <c r="M803" t="n">
        <v>0</v>
      </c>
      <c r="N803" t="n">
        <v>0</v>
      </c>
      <c r="O803" t="n">
        <v>0</v>
      </c>
      <c r="P803" t="n">
        <v>0</v>
      </c>
      <c r="Q803" t="n">
        <v>0</v>
      </c>
      <c r="R803" s="2" t="inlineStr"/>
    </row>
    <row r="804" ht="15" customHeight="1">
      <c r="A804" t="inlineStr">
        <is>
          <t>A 48244-2024</t>
        </is>
      </c>
      <c r="B804" s="1" t="n">
        <v>45590.39471064815</v>
      </c>
      <c r="C804" s="1" t="n">
        <v>46169</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20210-2024</t>
        </is>
      </c>
      <c r="B805" s="1" t="n">
        <v>45434.65854166666</v>
      </c>
      <c r="C805" s="1" t="n">
        <v>46169</v>
      </c>
      <c r="D805" t="inlineStr">
        <is>
          <t>ÖREBRO LÄN</t>
        </is>
      </c>
      <c r="E805" t="inlineStr">
        <is>
          <t>LINDESBERG</t>
        </is>
      </c>
      <c r="G805" t="n">
        <v>5.5</v>
      </c>
      <c r="H805" t="n">
        <v>0</v>
      </c>
      <c r="I805" t="n">
        <v>0</v>
      </c>
      <c r="J805" t="n">
        <v>0</v>
      </c>
      <c r="K805" t="n">
        <v>0</v>
      </c>
      <c r="L805" t="n">
        <v>0</v>
      </c>
      <c r="M805" t="n">
        <v>0</v>
      </c>
      <c r="N805" t="n">
        <v>0</v>
      </c>
      <c r="O805" t="n">
        <v>0</v>
      </c>
      <c r="P805" t="n">
        <v>0</v>
      </c>
      <c r="Q805" t="n">
        <v>0</v>
      </c>
      <c r="R805" s="2" t="inlineStr"/>
    </row>
    <row r="806" ht="15" customHeight="1">
      <c r="A806" t="inlineStr">
        <is>
          <t>A 24352-2023</t>
        </is>
      </c>
      <c r="B806" s="1" t="n">
        <v>45082.31421296296</v>
      </c>
      <c r="C806" s="1" t="n">
        <v>46169</v>
      </c>
      <c r="D806" t="inlineStr">
        <is>
          <t>ÖREBRO LÄN</t>
        </is>
      </c>
      <c r="E806" t="inlineStr">
        <is>
          <t>LINDESBERG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20387-2026</t>
        </is>
      </c>
      <c r="B807" s="1" t="n">
        <v>46139.71047453704</v>
      </c>
      <c r="C807" s="1" t="n">
        <v>46169</v>
      </c>
      <c r="D807" t="inlineStr">
        <is>
          <t>ÖREBRO LÄN</t>
        </is>
      </c>
      <c r="E807" t="inlineStr">
        <is>
          <t>LINDESBERG</t>
        </is>
      </c>
      <c r="G807" t="n">
        <v>1.2</v>
      </c>
      <c r="H807" t="n">
        <v>0</v>
      </c>
      <c r="I807" t="n">
        <v>0</v>
      </c>
      <c r="J807" t="n">
        <v>0</v>
      </c>
      <c r="K807" t="n">
        <v>0</v>
      </c>
      <c r="L807" t="n">
        <v>0</v>
      </c>
      <c r="M807" t="n">
        <v>0</v>
      </c>
      <c r="N807" t="n">
        <v>0</v>
      </c>
      <c r="O807" t="n">
        <v>0</v>
      </c>
      <c r="P807" t="n">
        <v>0</v>
      </c>
      <c r="Q807" t="n">
        <v>0</v>
      </c>
      <c r="R807" s="2" t="inlineStr"/>
    </row>
    <row r="808" ht="15" customHeight="1">
      <c r="A808" t="inlineStr">
        <is>
          <t>A 22824-2023</t>
        </is>
      </c>
      <c r="B808" s="1" t="n">
        <v>45072</v>
      </c>
      <c r="C808" s="1" t="n">
        <v>46169</v>
      </c>
      <c r="D808" t="inlineStr">
        <is>
          <t>ÖREBRO LÄN</t>
        </is>
      </c>
      <c r="E808" t="inlineStr">
        <is>
          <t>LINDESBERG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36509-2024</t>
        </is>
      </c>
      <c r="B809" s="1" t="n">
        <v>45537.42240740741</v>
      </c>
      <c r="C809" s="1" t="n">
        <v>46169</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33428-2024</t>
        </is>
      </c>
      <c r="B810" s="1" t="n">
        <v>45519.52319444445</v>
      </c>
      <c r="C810" s="1" t="n">
        <v>46169</v>
      </c>
      <c r="D810" t="inlineStr">
        <is>
          <t>ÖREBRO LÄN</t>
        </is>
      </c>
      <c r="E810" t="inlineStr">
        <is>
          <t>LINDESBERG</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17104-2024</t>
        </is>
      </c>
      <c r="B811" s="1" t="n">
        <v>45412.54541666667</v>
      </c>
      <c r="C811" s="1" t="n">
        <v>46169</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13350-2024</t>
        </is>
      </c>
      <c r="B812" s="1" t="n">
        <v>45387.24732638889</v>
      </c>
      <c r="C812" s="1" t="n">
        <v>46169</v>
      </c>
      <c r="D812" t="inlineStr">
        <is>
          <t>ÖREBRO LÄN</t>
        </is>
      </c>
      <c r="E812" t="inlineStr">
        <is>
          <t>LINDESBERG</t>
        </is>
      </c>
      <c r="G812" t="n">
        <v>4.1</v>
      </c>
      <c r="H812" t="n">
        <v>0</v>
      </c>
      <c r="I812" t="n">
        <v>0</v>
      </c>
      <c r="J812" t="n">
        <v>0</v>
      </c>
      <c r="K812" t="n">
        <v>0</v>
      </c>
      <c r="L812" t="n">
        <v>0</v>
      </c>
      <c r="M812" t="n">
        <v>0</v>
      </c>
      <c r="N812" t="n">
        <v>0</v>
      </c>
      <c r="O812" t="n">
        <v>0</v>
      </c>
      <c r="P812" t="n">
        <v>0</v>
      </c>
      <c r="Q812" t="n">
        <v>0</v>
      </c>
      <c r="R812" s="2" t="inlineStr"/>
    </row>
    <row r="813" ht="15" customHeight="1">
      <c r="A813" t="inlineStr">
        <is>
          <t>A 13351-2024</t>
        </is>
      </c>
      <c r="B813" s="1" t="n">
        <v>45387.2521875</v>
      </c>
      <c r="C813" s="1" t="n">
        <v>46169</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40303-2024</t>
        </is>
      </c>
      <c r="B814" s="1" t="n">
        <v>45554.7158912037</v>
      </c>
      <c r="C814" s="1" t="n">
        <v>46169</v>
      </c>
      <c r="D814" t="inlineStr">
        <is>
          <t>ÖREBRO LÄN</t>
        </is>
      </c>
      <c r="E814" t="inlineStr">
        <is>
          <t>LINDESBERG</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34838-2023</t>
        </is>
      </c>
      <c r="B815" s="1" t="n">
        <v>45141.76530092592</v>
      </c>
      <c r="C815" s="1" t="n">
        <v>46169</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15324-2024</t>
        </is>
      </c>
      <c r="B816" s="1" t="n">
        <v>45400.66995370371</v>
      </c>
      <c r="C816" s="1" t="n">
        <v>46169</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36170-2021</t>
        </is>
      </c>
      <c r="B817" s="1" t="n">
        <v>44389</v>
      </c>
      <c r="C817" s="1" t="n">
        <v>46169</v>
      </c>
      <c r="D817" t="inlineStr">
        <is>
          <t>ÖREBRO LÄN</t>
        </is>
      </c>
      <c r="E817" t="inlineStr">
        <is>
          <t>LINDESBERG</t>
        </is>
      </c>
      <c r="G817" t="n">
        <v>0.4</v>
      </c>
      <c r="H817" t="n">
        <v>0</v>
      </c>
      <c r="I817" t="n">
        <v>0</v>
      </c>
      <c r="J817" t="n">
        <v>0</v>
      </c>
      <c r="K817" t="n">
        <v>0</v>
      </c>
      <c r="L817" t="n">
        <v>0</v>
      </c>
      <c r="M817" t="n">
        <v>0</v>
      </c>
      <c r="N817" t="n">
        <v>0</v>
      </c>
      <c r="O817" t="n">
        <v>0</v>
      </c>
      <c r="P817" t="n">
        <v>0</v>
      </c>
      <c r="Q817" t="n">
        <v>0</v>
      </c>
      <c r="R817" s="2" t="inlineStr"/>
    </row>
    <row r="818" ht="15" customHeight="1">
      <c r="A818" t="inlineStr">
        <is>
          <t>A 20970-2026</t>
        </is>
      </c>
      <c r="B818" s="1" t="n">
        <v>46142.56342592592</v>
      </c>
      <c r="C818" s="1" t="n">
        <v>46169</v>
      </c>
      <c r="D818" t="inlineStr">
        <is>
          <t>ÖREBRO LÄN</t>
        </is>
      </c>
      <c r="E818" t="inlineStr">
        <is>
          <t>LINDESBERG</t>
        </is>
      </c>
      <c r="F818" t="inlineStr">
        <is>
          <t>Naturvårdsverket</t>
        </is>
      </c>
      <c r="G818" t="n">
        <v>5</v>
      </c>
      <c r="H818" t="n">
        <v>0</v>
      </c>
      <c r="I818" t="n">
        <v>0</v>
      </c>
      <c r="J818" t="n">
        <v>0</v>
      </c>
      <c r="K818" t="n">
        <v>0</v>
      </c>
      <c r="L818" t="n">
        <v>0</v>
      </c>
      <c r="M818" t="n">
        <v>0</v>
      </c>
      <c r="N818" t="n">
        <v>0</v>
      </c>
      <c r="O818" t="n">
        <v>0</v>
      </c>
      <c r="P818" t="n">
        <v>0</v>
      </c>
      <c r="Q818" t="n">
        <v>0</v>
      </c>
      <c r="R818" s="2" t="inlineStr"/>
    </row>
    <row r="819" ht="15" customHeight="1">
      <c r="A819" t="inlineStr">
        <is>
          <t>A 14034-2026</t>
        </is>
      </c>
      <c r="B819" s="1" t="n">
        <v>46098.79559027778</v>
      </c>
      <c r="C819" s="1" t="n">
        <v>46169</v>
      </c>
      <c r="D819" t="inlineStr">
        <is>
          <t>ÖREBRO LÄN</t>
        </is>
      </c>
      <c r="E819" t="inlineStr">
        <is>
          <t>LINDESBERG</t>
        </is>
      </c>
      <c r="F819" t="inlineStr">
        <is>
          <t>Sveaskog</t>
        </is>
      </c>
      <c r="G819" t="n">
        <v>2.9</v>
      </c>
      <c r="H819" t="n">
        <v>0</v>
      </c>
      <c r="I819" t="n">
        <v>0</v>
      </c>
      <c r="J819" t="n">
        <v>0</v>
      </c>
      <c r="K819" t="n">
        <v>0</v>
      </c>
      <c r="L819" t="n">
        <v>0</v>
      </c>
      <c r="M819" t="n">
        <v>0</v>
      </c>
      <c r="N819" t="n">
        <v>0</v>
      </c>
      <c r="O819" t="n">
        <v>0</v>
      </c>
      <c r="P819" t="n">
        <v>0</v>
      </c>
      <c r="Q819" t="n">
        <v>0</v>
      </c>
      <c r="R819" s="2" t="inlineStr"/>
    </row>
    <row r="820" ht="15" customHeight="1">
      <c r="A820" t="inlineStr">
        <is>
          <t>A 7180-2023</t>
        </is>
      </c>
      <c r="B820" s="1" t="n">
        <v>44970.51849537037</v>
      </c>
      <c r="C820" s="1" t="n">
        <v>46169</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46675-2023</t>
        </is>
      </c>
      <c r="B821" s="1" t="n">
        <v>45194</v>
      </c>
      <c r="C821" s="1" t="n">
        <v>46169</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50964-2023</t>
        </is>
      </c>
      <c r="B822" s="1" t="n">
        <v>45218.488125</v>
      </c>
      <c r="C822" s="1" t="n">
        <v>46169</v>
      </c>
      <c r="D822" t="inlineStr">
        <is>
          <t>ÖREBRO LÄN</t>
        </is>
      </c>
      <c r="E822" t="inlineStr">
        <is>
          <t>LINDESBERG</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50619-2022</t>
        </is>
      </c>
      <c r="B823" s="1" t="n">
        <v>44866.79668981482</v>
      </c>
      <c r="C823" s="1" t="n">
        <v>46169</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36893-2024</t>
        </is>
      </c>
      <c r="B824" s="1" t="n">
        <v>45538</v>
      </c>
      <c r="C824" s="1" t="n">
        <v>46169</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20971-2026</t>
        </is>
      </c>
      <c r="B825" s="1" t="n">
        <v>46142.56399305556</v>
      </c>
      <c r="C825" s="1" t="n">
        <v>46169</v>
      </c>
      <c r="D825" t="inlineStr">
        <is>
          <t>ÖREBRO LÄN</t>
        </is>
      </c>
      <c r="E825" t="inlineStr">
        <is>
          <t>LINDESBERG</t>
        </is>
      </c>
      <c r="F825" t="inlineStr">
        <is>
          <t>Naturvårdsverket</t>
        </is>
      </c>
      <c r="G825" t="n">
        <v>4.5</v>
      </c>
      <c r="H825" t="n">
        <v>0</v>
      </c>
      <c r="I825" t="n">
        <v>0</v>
      </c>
      <c r="J825" t="n">
        <v>0</v>
      </c>
      <c r="K825" t="n">
        <v>0</v>
      </c>
      <c r="L825" t="n">
        <v>0</v>
      </c>
      <c r="M825" t="n">
        <v>0</v>
      </c>
      <c r="N825" t="n">
        <v>0</v>
      </c>
      <c r="O825" t="n">
        <v>0</v>
      </c>
      <c r="P825" t="n">
        <v>0</v>
      </c>
      <c r="Q825" t="n">
        <v>0</v>
      </c>
      <c r="R825" s="2" t="inlineStr"/>
    </row>
    <row r="826" ht="15" customHeight="1">
      <c r="A826" t="inlineStr">
        <is>
          <t>A 15050-2026</t>
        </is>
      </c>
      <c r="B826" s="1" t="n">
        <v>46104.67331018519</v>
      </c>
      <c r="C826" s="1" t="n">
        <v>46169</v>
      </c>
      <c r="D826" t="inlineStr">
        <is>
          <t>ÖREBRO LÄN</t>
        </is>
      </c>
      <c r="E826" t="inlineStr">
        <is>
          <t>LINDESBERG</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14680-2026</t>
        </is>
      </c>
      <c r="B827" s="1" t="n">
        <v>46101.48212962963</v>
      </c>
      <c r="C827" s="1" t="n">
        <v>46169</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47155-2024</t>
        </is>
      </c>
      <c r="B828" s="1" t="n">
        <v>45586</v>
      </c>
      <c r="C828" s="1" t="n">
        <v>46169</v>
      </c>
      <c r="D828" t="inlineStr">
        <is>
          <t>ÖREBRO LÄN</t>
        </is>
      </c>
      <c r="E828" t="inlineStr">
        <is>
          <t>LINDESBERG</t>
        </is>
      </c>
      <c r="F828" t="inlineStr">
        <is>
          <t>Sveaskog</t>
        </is>
      </c>
      <c r="G828" t="n">
        <v>5.7</v>
      </c>
      <c r="H828" t="n">
        <v>0</v>
      </c>
      <c r="I828" t="n">
        <v>0</v>
      </c>
      <c r="J828" t="n">
        <v>0</v>
      </c>
      <c r="K828" t="n">
        <v>0</v>
      </c>
      <c r="L828" t="n">
        <v>0</v>
      </c>
      <c r="M828" t="n">
        <v>0</v>
      </c>
      <c r="N828" t="n">
        <v>0</v>
      </c>
      <c r="O828" t="n">
        <v>0</v>
      </c>
      <c r="P828" t="n">
        <v>0</v>
      </c>
      <c r="Q828" t="n">
        <v>0</v>
      </c>
      <c r="R828" s="2" t="inlineStr"/>
    </row>
    <row r="829" ht="15" customHeight="1">
      <c r="A829" t="inlineStr">
        <is>
          <t>A 21084-2026</t>
        </is>
      </c>
      <c r="B829" s="1" t="n">
        <v>46146.43534722222</v>
      </c>
      <c r="C829" s="1" t="n">
        <v>46169</v>
      </c>
      <c r="D829" t="inlineStr">
        <is>
          <t>ÖREBRO LÄN</t>
        </is>
      </c>
      <c r="E829" t="inlineStr">
        <is>
          <t>LINDESBERG</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10111-2022</t>
        </is>
      </c>
      <c r="B830" s="1" t="n">
        <v>44621.85737268518</v>
      </c>
      <c r="C830" s="1" t="n">
        <v>46169</v>
      </c>
      <c r="D830" t="inlineStr">
        <is>
          <t>ÖREBRO LÄN</t>
        </is>
      </c>
      <c r="E830" t="inlineStr">
        <is>
          <t>LINDESBERG</t>
        </is>
      </c>
      <c r="G830" t="n">
        <v>2.4</v>
      </c>
      <c r="H830" t="n">
        <v>0</v>
      </c>
      <c r="I830" t="n">
        <v>0</v>
      </c>
      <c r="J830" t="n">
        <v>0</v>
      </c>
      <c r="K830" t="n">
        <v>0</v>
      </c>
      <c r="L830" t="n">
        <v>0</v>
      </c>
      <c r="M830" t="n">
        <v>0</v>
      </c>
      <c r="N830" t="n">
        <v>0</v>
      </c>
      <c r="O830" t="n">
        <v>0</v>
      </c>
      <c r="P830" t="n">
        <v>0</v>
      </c>
      <c r="Q830" t="n">
        <v>0</v>
      </c>
      <c r="R830" s="2" t="inlineStr"/>
    </row>
    <row r="831" ht="15" customHeight="1">
      <c r="A831" t="inlineStr">
        <is>
          <t>A 14231-2023</t>
        </is>
      </c>
      <c r="B831" s="1" t="n">
        <v>45009.64217592592</v>
      </c>
      <c r="C831" s="1" t="n">
        <v>46169</v>
      </c>
      <c r="D831" t="inlineStr">
        <is>
          <t>ÖREBRO LÄN</t>
        </is>
      </c>
      <c r="E831" t="inlineStr">
        <is>
          <t>LINDESBERG</t>
        </is>
      </c>
      <c r="G831" t="n">
        <v>4.3</v>
      </c>
      <c r="H831" t="n">
        <v>0</v>
      </c>
      <c r="I831" t="n">
        <v>0</v>
      </c>
      <c r="J831" t="n">
        <v>0</v>
      </c>
      <c r="K831" t="n">
        <v>0</v>
      </c>
      <c r="L831" t="n">
        <v>0</v>
      </c>
      <c r="M831" t="n">
        <v>0</v>
      </c>
      <c r="N831" t="n">
        <v>0</v>
      </c>
      <c r="O831" t="n">
        <v>0</v>
      </c>
      <c r="P831" t="n">
        <v>0</v>
      </c>
      <c r="Q831" t="n">
        <v>0</v>
      </c>
      <c r="R831" s="2" t="inlineStr"/>
    </row>
    <row r="832" ht="15" customHeight="1">
      <c r="A832" t="inlineStr">
        <is>
          <t>A 484-2022</t>
        </is>
      </c>
      <c r="B832" s="1" t="n">
        <v>44566</v>
      </c>
      <c r="C832" s="1" t="n">
        <v>46169</v>
      </c>
      <c r="D832" t="inlineStr">
        <is>
          <t>ÖREBRO LÄN</t>
        </is>
      </c>
      <c r="E832" t="inlineStr">
        <is>
          <t>LINDESBERG</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15126-2026</t>
        </is>
      </c>
      <c r="B833" s="1" t="n">
        <v>46105.37195601852</v>
      </c>
      <c r="C833" s="1" t="n">
        <v>46169</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1395-2025</t>
        </is>
      </c>
      <c r="B834" s="1" t="n">
        <v>45667</v>
      </c>
      <c r="C834" s="1" t="n">
        <v>46169</v>
      </c>
      <c r="D834" t="inlineStr">
        <is>
          <t>ÖREBRO LÄN</t>
        </is>
      </c>
      <c r="E834" t="inlineStr">
        <is>
          <t>LINDESBERG</t>
        </is>
      </c>
      <c r="G834" t="n">
        <v>4.6</v>
      </c>
      <c r="H834" t="n">
        <v>0</v>
      </c>
      <c r="I834" t="n">
        <v>0</v>
      </c>
      <c r="J834" t="n">
        <v>0</v>
      </c>
      <c r="K834" t="n">
        <v>0</v>
      </c>
      <c r="L834" t="n">
        <v>0</v>
      </c>
      <c r="M834" t="n">
        <v>0</v>
      </c>
      <c r="N834" t="n">
        <v>0</v>
      </c>
      <c r="O834" t="n">
        <v>0</v>
      </c>
      <c r="P834" t="n">
        <v>0</v>
      </c>
      <c r="Q834" t="n">
        <v>0</v>
      </c>
      <c r="R834" s="2" t="inlineStr"/>
    </row>
    <row r="835" ht="15" customHeight="1">
      <c r="A835" t="inlineStr">
        <is>
          <t>A 1405-2025</t>
        </is>
      </c>
      <c r="B835" s="1" t="n">
        <v>45667</v>
      </c>
      <c r="C835" s="1" t="n">
        <v>46169</v>
      </c>
      <c r="D835" t="inlineStr">
        <is>
          <t>ÖREBRO LÄN</t>
        </is>
      </c>
      <c r="E835" t="inlineStr">
        <is>
          <t>LINDESBERG</t>
        </is>
      </c>
      <c r="F835" t="inlineStr">
        <is>
          <t>Allmännings- och besparingsskogar</t>
        </is>
      </c>
      <c r="G835" t="n">
        <v>3.1</v>
      </c>
      <c r="H835" t="n">
        <v>0</v>
      </c>
      <c r="I835" t="n">
        <v>0</v>
      </c>
      <c r="J835" t="n">
        <v>0</v>
      </c>
      <c r="K835" t="n">
        <v>0</v>
      </c>
      <c r="L835" t="n">
        <v>0</v>
      </c>
      <c r="M835" t="n">
        <v>0</v>
      </c>
      <c r="N835" t="n">
        <v>0</v>
      </c>
      <c r="O835" t="n">
        <v>0</v>
      </c>
      <c r="P835" t="n">
        <v>0</v>
      </c>
      <c r="Q835" t="n">
        <v>0</v>
      </c>
      <c r="R835" s="2" t="inlineStr"/>
    </row>
    <row r="836" ht="15" customHeight="1">
      <c r="A836" t="inlineStr">
        <is>
          <t>A 34434-2023</t>
        </is>
      </c>
      <c r="B836" s="1" t="n">
        <v>45139.63480324074</v>
      </c>
      <c r="C836" s="1" t="n">
        <v>46169</v>
      </c>
      <c r="D836" t="inlineStr">
        <is>
          <t>ÖREBRO LÄN</t>
        </is>
      </c>
      <c r="E836" t="inlineStr">
        <is>
          <t>LINDESBERG</t>
        </is>
      </c>
      <c r="F836" t="inlineStr">
        <is>
          <t>Kyrkan</t>
        </is>
      </c>
      <c r="G836" t="n">
        <v>1.7</v>
      </c>
      <c r="H836" t="n">
        <v>0</v>
      </c>
      <c r="I836" t="n">
        <v>0</v>
      </c>
      <c r="J836" t="n">
        <v>0</v>
      </c>
      <c r="K836" t="n">
        <v>0</v>
      </c>
      <c r="L836" t="n">
        <v>0</v>
      </c>
      <c r="M836" t="n">
        <v>0</v>
      </c>
      <c r="N836" t="n">
        <v>0</v>
      </c>
      <c r="O836" t="n">
        <v>0</v>
      </c>
      <c r="P836" t="n">
        <v>0</v>
      </c>
      <c r="Q836" t="n">
        <v>0</v>
      </c>
      <c r="R836" s="2" t="inlineStr"/>
    </row>
    <row r="837" ht="15" customHeight="1">
      <c r="A837" t="inlineStr">
        <is>
          <t>A 45078-2024</t>
        </is>
      </c>
      <c r="B837" s="1" t="n">
        <v>45575.57104166667</v>
      </c>
      <c r="C837" s="1" t="n">
        <v>46169</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16092-2026</t>
        </is>
      </c>
      <c r="B838" s="1" t="n">
        <v>46108</v>
      </c>
      <c r="C838" s="1" t="n">
        <v>46169</v>
      </c>
      <c r="D838" t="inlineStr">
        <is>
          <t>ÖREBRO LÄN</t>
        </is>
      </c>
      <c r="E838" t="inlineStr">
        <is>
          <t>LINDESBERG</t>
        </is>
      </c>
      <c r="G838" t="n">
        <v>2.3</v>
      </c>
      <c r="H838" t="n">
        <v>0</v>
      </c>
      <c r="I838" t="n">
        <v>0</v>
      </c>
      <c r="J838" t="n">
        <v>0</v>
      </c>
      <c r="K838" t="n">
        <v>0</v>
      </c>
      <c r="L838" t="n">
        <v>0</v>
      </c>
      <c r="M838" t="n">
        <v>0</v>
      </c>
      <c r="N838" t="n">
        <v>0</v>
      </c>
      <c r="O838" t="n">
        <v>0</v>
      </c>
      <c r="P838" t="n">
        <v>0</v>
      </c>
      <c r="Q838" t="n">
        <v>0</v>
      </c>
      <c r="R838" s="2" t="inlineStr"/>
    </row>
    <row r="839" ht="15" customHeight="1">
      <c r="A839" t="inlineStr">
        <is>
          <t>A 21796-2026</t>
        </is>
      </c>
      <c r="B839" s="1" t="n">
        <v>46150.42483796296</v>
      </c>
      <c r="C839" s="1" t="n">
        <v>46169</v>
      </c>
      <c r="D839" t="inlineStr">
        <is>
          <t>ÖREBRO LÄN</t>
        </is>
      </c>
      <c r="E839" t="inlineStr">
        <is>
          <t>LINDESBERG</t>
        </is>
      </c>
      <c r="F839" t="inlineStr">
        <is>
          <t>Naturvårdsverket</t>
        </is>
      </c>
      <c r="G839" t="n">
        <v>5.1</v>
      </c>
      <c r="H839" t="n">
        <v>0</v>
      </c>
      <c r="I839" t="n">
        <v>0</v>
      </c>
      <c r="J839" t="n">
        <v>0</v>
      </c>
      <c r="K839" t="n">
        <v>0</v>
      </c>
      <c r="L839" t="n">
        <v>0</v>
      </c>
      <c r="M839" t="n">
        <v>0</v>
      </c>
      <c r="N839" t="n">
        <v>0</v>
      </c>
      <c r="O839" t="n">
        <v>0</v>
      </c>
      <c r="P839" t="n">
        <v>0</v>
      </c>
      <c r="Q839" t="n">
        <v>0</v>
      </c>
      <c r="R839" s="2" t="inlineStr"/>
    </row>
    <row r="840" ht="15" customHeight="1">
      <c r="A840" t="inlineStr">
        <is>
          <t>A 6723-2022</t>
        </is>
      </c>
      <c r="B840" s="1" t="n">
        <v>44602.45162037037</v>
      </c>
      <c r="C840" s="1" t="n">
        <v>46169</v>
      </c>
      <c r="D840" t="inlineStr">
        <is>
          <t>ÖREBRO LÄN</t>
        </is>
      </c>
      <c r="E840" t="inlineStr">
        <is>
          <t>LINDESBERG</t>
        </is>
      </c>
      <c r="G840" t="n">
        <v>4.2</v>
      </c>
      <c r="H840" t="n">
        <v>0</v>
      </c>
      <c r="I840" t="n">
        <v>0</v>
      </c>
      <c r="J840" t="n">
        <v>0</v>
      </c>
      <c r="K840" t="n">
        <v>0</v>
      </c>
      <c r="L840" t="n">
        <v>0</v>
      </c>
      <c r="M840" t="n">
        <v>0</v>
      </c>
      <c r="N840" t="n">
        <v>0</v>
      </c>
      <c r="O840" t="n">
        <v>0</v>
      </c>
      <c r="P840" t="n">
        <v>0</v>
      </c>
      <c r="Q840" t="n">
        <v>0</v>
      </c>
      <c r="R840" s="2" t="inlineStr"/>
    </row>
    <row r="841" ht="15" customHeight="1">
      <c r="A841" t="inlineStr">
        <is>
          <t>A 16090-2026</t>
        </is>
      </c>
      <c r="B841" s="1" t="n">
        <v>46108</v>
      </c>
      <c r="C841" s="1" t="n">
        <v>46169</v>
      </c>
      <c r="D841" t="inlineStr">
        <is>
          <t>ÖREBRO LÄN</t>
        </is>
      </c>
      <c r="E841" t="inlineStr">
        <is>
          <t>LINDESBERG</t>
        </is>
      </c>
      <c r="G841" t="n">
        <v>4</v>
      </c>
      <c r="H841" t="n">
        <v>0</v>
      </c>
      <c r="I841" t="n">
        <v>0</v>
      </c>
      <c r="J841" t="n">
        <v>0</v>
      </c>
      <c r="K841" t="n">
        <v>0</v>
      </c>
      <c r="L841" t="n">
        <v>0</v>
      </c>
      <c r="M841" t="n">
        <v>0</v>
      </c>
      <c r="N841" t="n">
        <v>0</v>
      </c>
      <c r="O841" t="n">
        <v>0</v>
      </c>
      <c r="P841" t="n">
        <v>0</v>
      </c>
      <c r="Q841" t="n">
        <v>0</v>
      </c>
      <c r="R841" s="2" t="inlineStr"/>
    </row>
    <row r="842" ht="15" customHeight="1">
      <c r="A842" t="inlineStr">
        <is>
          <t>A 16094-2026</t>
        </is>
      </c>
      <c r="B842" s="1" t="n">
        <v>46108</v>
      </c>
      <c r="C842" s="1" t="n">
        <v>46169</v>
      </c>
      <c r="D842" t="inlineStr">
        <is>
          <t>ÖREBRO LÄN</t>
        </is>
      </c>
      <c r="E842" t="inlineStr">
        <is>
          <t>LINDESBERG</t>
        </is>
      </c>
      <c r="G842" t="n">
        <v>3.9</v>
      </c>
      <c r="H842" t="n">
        <v>0</v>
      </c>
      <c r="I842" t="n">
        <v>0</v>
      </c>
      <c r="J842" t="n">
        <v>0</v>
      </c>
      <c r="K842" t="n">
        <v>0</v>
      </c>
      <c r="L842" t="n">
        <v>0</v>
      </c>
      <c r="M842" t="n">
        <v>0</v>
      </c>
      <c r="N842" t="n">
        <v>0</v>
      </c>
      <c r="O842" t="n">
        <v>0</v>
      </c>
      <c r="P842" t="n">
        <v>0</v>
      </c>
      <c r="Q842" t="n">
        <v>0</v>
      </c>
      <c r="R842" s="2" t="inlineStr"/>
    </row>
    <row r="843" ht="15" customHeight="1">
      <c r="A843" t="inlineStr">
        <is>
          <t>A 28470-2023</t>
        </is>
      </c>
      <c r="B843" s="1" t="n">
        <v>45103</v>
      </c>
      <c r="C843" s="1" t="n">
        <v>46169</v>
      </c>
      <c r="D843" t="inlineStr">
        <is>
          <t>ÖREBRO LÄN</t>
        </is>
      </c>
      <c r="E843" t="inlineStr">
        <is>
          <t>LINDESBERG</t>
        </is>
      </c>
      <c r="G843" t="n">
        <v>6.7</v>
      </c>
      <c r="H843" t="n">
        <v>0</v>
      </c>
      <c r="I843" t="n">
        <v>0</v>
      </c>
      <c r="J843" t="n">
        <v>0</v>
      </c>
      <c r="K843" t="n">
        <v>0</v>
      </c>
      <c r="L843" t="n">
        <v>0</v>
      </c>
      <c r="M843" t="n">
        <v>0</v>
      </c>
      <c r="N843" t="n">
        <v>0</v>
      </c>
      <c r="O843" t="n">
        <v>0</v>
      </c>
      <c r="P843" t="n">
        <v>0</v>
      </c>
      <c r="Q843" t="n">
        <v>0</v>
      </c>
      <c r="R843" s="2" t="inlineStr"/>
    </row>
    <row r="844" ht="15" customHeight="1">
      <c r="A844" t="inlineStr">
        <is>
          <t>A 32097-2024</t>
        </is>
      </c>
      <c r="B844" s="1" t="n">
        <v>45511.39445601852</v>
      </c>
      <c r="C844" s="1" t="n">
        <v>46169</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26340-2022</t>
        </is>
      </c>
      <c r="B845" s="1" t="n">
        <v>44735.62539351852</v>
      </c>
      <c r="C845" s="1" t="n">
        <v>46169</v>
      </c>
      <c r="D845" t="inlineStr">
        <is>
          <t>ÖREBRO LÄN</t>
        </is>
      </c>
      <c r="E845" t="inlineStr">
        <is>
          <t>LINDESBERG</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30534-2023</t>
        </is>
      </c>
      <c r="B846" s="1" t="n">
        <v>45111</v>
      </c>
      <c r="C846" s="1" t="n">
        <v>46169</v>
      </c>
      <c r="D846" t="inlineStr">
        <is>
          <t>ÖREBRO LÄN</t>
        </is>
      </c>
      <c r="E846" t="inlineStr">
        <is>
          <t>LINDESBERG</t>
        </is>
      </c>
      <c r="G846" t="n">
        <v>0.7</v>
      </c>
      <c r="H846" t="n">
        <v>0</v>
      </c>
      <c r="I846" t="n">
        <v>0</v>
      </c>
      <c r="J846" t="n">
        <v>0</v>
      </c>
      <c r="K846" t="n">
        <v>0</v>
      </c>
      <c r="L846" t="n">
        <v>0</v>
      </c>
      <c r="M846" t="n">
        <v>0</v>
      </c>
      <c r="N846" t="n">
        <v>0</v>
      </c>
      <c r="O846" t="n">
        <v>0</v>
      </c>
      <c r="P846" t="n">
        <v>0</v>
      </c>
      <c r="Q846" t="n">
        <v>0</v>
      </c>
      <c r="R846" s="2" t="inlineStr"/>
    </row>
    <row r="847" ht="15" customHeight="1">
      <c r="A847" t="inlineStr">
        <is>
          <t>A 21871-2026</t>
        </is>
      </c>
      <c r="B847" s="1" t="n">
        <v>46150.58001157407</v>
      </c>
      <c r="C847" s="1" t="n">
        <v>46169</v>
      </c>
      <c r="D847" t="inlineStr">
        <is>
          <t>ÖREBRO LÄN</t>
        </is>
      </c>
      <c r="E847" t="inlineStr">
        <is>
          <t>LINDESBERG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3994-2023</t>
        </is>
      </c>
      <c r="B848" s="1" t="n">
        <v>44950</v>
      </c>
      <c r="C848" s="1" t="n">
        <v>46169</v>
      </c>
      <c r="D848" t="inlineStr">
        <is>
          <t>ÖREBRO LÄN</t>
        </is>
      </c>
      <c r="E848" t="inlineStr">
        <is>
          <t>LINDESBERG</t>
        </is>
      </c>
      <c r="G848" t="n">
        <v>4.8</v>
      </c>
      <c r="H848" t="n">
        <v>0</v>
      </c>
      <c r="I848" t="n">
        <v>0</v>
      </c>
      <c r="J848" t="n">
        <v>0</v>
      </c>
      <c r="K848" t="n">
        <v>0</v>
      </c>
      <c r="L848" t="n">
        <v>0</v>
      </c>
      <c r="M848" t="n">
        <v>0</v>
      </c>
      <c r="N848" t="n">
        <v>0</v>
      </c>
      <c r="O848" t="n">
        <v>0</v>
      </c>
      <c r="P848" t="n">
        <v>0</v>
      </c>
      <c r="Q848" t="n">
        <v>0</v>
      </c>
      <c r="R848" s="2" t="inlineStr"/>
    </row>
    <row r="849" ht="15" customHeight="1">
      <c r="A849" t="inlineStr">
        <is>
          <t>A 54705-2022</t>
        </is>
      </c>
      <c r="B849" s="1" t="n">
        <v>44883</v>
      </c>
      <c r="C849" s="1" t="n">
        <v>46169</v>
      </c>
      <c r="D849" t="inlineStr">
        <is>
          <t>ÖREBRO LÄN</t>
        </is>
      </c>
      <c r="E849" t="inlineStr">
        <is>
          <t>LINDESBERG</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59631-2023</t>
        </is>
      </c>
      <c r="B850" s="1" t="n">
        <v>45254.68105324074</v>
      </c>
      <c r="C850" s="1" t="n">
        <v>46169</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34539-2024</t>
        </is>
      </c>
      <c r="B851" s="1" t="n">
        <v>45525.7374537037</v>
      </c>
      <c r="C851" s="1" t="n">
        <v>46169</v>
      </c>
      <c r="D851" t="inlineStr">
        <is>
          <t>ÖREBRO LÄN</t>
        </is>
      </c>
      <c r="E851" t="inlineStr">
        <is>
          <t>LINDESBERG</t>
        </is>
      </c>
      <c r="G851" t="n">
        <v>5.4</v>
      </c>
      <c r="H851" t="n">
        <v>0</v>
      </c>
      <c r="I851" t="n">
        <v>0</v>
      </c>
      <c r="J851" t="n">
        <v>0</v>
      </c>
      <c r="K851" t="n">
        <v>0</v>
      </c>
      <c r="L851" t="n">
        <v>0</v>
      </c>
      <c r="M851" t="n">
        <v>0</v>
      </c>
      <c r="N851" t="n">
        <v>0</v>
      </c>
      <c r="O851" t="n">
        <v>0</v>
      </c>
      <c r="P851" t="n">
        <v>0</v>
      </c>
      <c r="Q851" t="n">
        <v>0</v>
      </c>
      <c r="R851" s="2" t="inlineStr"/>
    </row>
    <row r="852" ht="15" customHeight="1">
      <c r="A852" t="inlineStr">
        <is>
          <t>A 41951-2023</t>
        </is>
      </c>
      <c r="B852" s="1" t="n">
        <v>45177.33991898148</v>
      </c>
      <c r="C852" s="1" t="n">
        <v>46169</v>
      </c>
      <c r="D852" t="inlineStr">
        <is>
          <t>ÖREBRO LÄN</t>
        </is>
      </c>
      <c r="E852" t="inlineStr">
        <is>
          <t>LINDESBERG</t>
        </is>
      </c>
      <c r="F852" t="inlineStr">
        <is>
          <t>Kyrkan</t>
        </is>
      </c>
      <c r="G852" t="n">
        <v>3.3</v>
      </c>
      <c r="H852" t="n">
        <v>0</v>
      </c>
      <c r="I852" t="n">
        <v>0</v>
      </c>
      <c r="J852" t="n">
        <v>0</v>
      </c>
      <c r="K852" t="n">
        <v>0</v>
      </c>
      <c r="L852" t="n">
        <v>0</v>
      </c>
      <c r="M852" t="n">
        <v>0</v>
      </c>
      <c r="N852" t="n">
        <v>0</v>
      </c>
      <c r="O852" t="n">
        <v>0</v>
      </c>
      <c r="P852" t="n">
        <v>0</v>
      </c>
      <c r="Q852" t="n">
        <v>0</v>
      </c>
      <c r="R852" s="2" t="inlineStr"/>
    </row>
    <row r="853" ht="15" customHeight="1">
      <c r="A853" t="inlineStr">
        <is>
          <t>A 58603-2023</t>
        </is>
      </c>
      <c r="B853" s="1" t="n">
        <v>45251</v>
      </c>
      <c r="C853" s="1" t="n">
        <v>46169</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14187-2024</t>
        </is>
      </c>
      <c r="B854" s="1" t="n">
        <v>45393.35787037037</v>
      </c>
      <c r="C854" s="1" t="n">
        <v>46169</v>
      </c>
      <c r="D854" t="inlineStr">
        <is>
          <t>ÖREBRO LÄN</t>
        </is>
      </c>
      <c r="E854" t="inlineStr">
        <is>
          <t>LINDESBERG</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18418-2025</t>
        </is>
      </c>
      <c r="B855" s="1" t="n">
        <v>45762.61817129629</v>
      </c>
      <c r="C855" s="1" t="n">
        <v>46169</v>
      </c>
      <c r="D855" t="inlineStr">
        <is>
          <t>ÖREBRO LÄN</t>
        </is>
      </c>
      <c r="E855" t="inlineStr">
        <is>
          <t>LINDESBERG</t>
        </is>
      </c>
      <c r="G855" t="n">
        <v>2.3</v>
      </c>
      <c r="H855" t="n">
        <v>0</v>
      </c>
      <c r="I855" t="n">
        <v>0</v>
      </c>
      <c r="J855" t="n">
        <v>0</v>
      </c>
      <c r="K855" t="n">
        <v>0</v>
      </c>
      <c r="L855" t="n">
        <v>0</v>
      </c>
      <c r="M855" t="n">
        <v>0</v>
      </c>
      <c r="N855" t="n">
        <v>0</v>
      </c>
      <c r="O855" t="n">
        <v>0</v>
      </c>
      <c r="P855" t="n">
        <v>0</v>
      </c>
      <c r="Q855" t="n">
        <v>0</v>
      </c>
      <c r="R855" s="2" t="inlineStr"/>
    </row>
    <row r="856" ht="15" customHeight="1">
      <c r="A856" t="inlineStr">
        <is>
          <t>A 29849-2023</t>
        </is>
      </c>
      <c r="B856" s="1" t="n">
        <v>45107</v>
      </c>
      <c r="C856" s="1" t="n">
        <v>46169</v>
      </c>
      <c r="D856" t="inlineStr">
        <is>
          <t>ÖREBRO LÄN</t>
        </is>
      </c>
      <c r="E856" t="inlineStr">
        <is>
          <t>LINDESBERG</t>
        </is>
      </c>
      <c r="G856" t="n">
        <v>2.1</v>
      </c>
      <c r="H856" t="n">
        <v>0</v>
      </c>
      <c r="I856" t="n">
        <v>0</v>
      </c>
      <c r="J856" t="n">
        <v>0</v>
      </c>
      <c r="K856" t="n">
        <v>0</v>
      </c>
      <c r="L856" t="n">
        <v>0</v>
      </c>
      <c r="M856" t="n">
        <v>0</v>
      </c>
      <c r="N856" t="n">
        <v>0</v>
      </c>
      <c r="O856" t="n">
        <v>0</v>
      </c>
      <c r="P856" t="n">
        <v>0</v>
      </c>
      <c r="Q856" t="n">
        <v>0</v>
      </c>
      <c r="R856" s="2" t="inlineStr"/>
    </row>
    <row r="857" ht="15" customHeight="1">
      <c r="A857" t="inlineStr">
        <is>
          <t>A 60105-2022</t>
        </is>
      </c>
      <c r="B857" s="1" t="n">
        <v>44902</v>
      </c>
      <c r="C857" s="1" t="n">
        <v>46169</v>
      </c>
      <c r="D857" t="inlineStr">
        <is>
          <t>ÖREBRO LÄN</t>
        </is>
      </c>
      <c r="E857" t="inlineStr">
        <is>
          <t>LINDESBERG</t>
        </is>
      </c>
      <c r="G857" t="n">
        <v>0.5</v>
      </c>
      <c r="H857" t="n">
        <v>0</v>
      </c>
      <c r="I857" t="n">
        <v>0</v>
      </c>
      <c r="J857" t="n">
        <v>0</v>
      </c>
      <c r="K857" t="n">
        <v>0</v>
      </c>
      <c r="L857" t="n">
        <v>0</v>
      </c>
      <c r="M857" t="n">
        <v>0</v>
      </c>
      <c r="N857" t="n">
        <v>0</v>
      </c>
      <c r="O857" t="n">
        <v>0</v>
      </c>
      <c r="P857" t="n">
        <v>0</v>
      </c>
      <c r="Q857" t="n">
        <v>0</v>
      </c>
      <c r="R857" s="2" t="inlineStr"/>
    </row>
    <row r="858" ht="15" customHeight="1">
      <c r="A858" t="inlineStr">
        <is>
          <t>A 17010-2026</t>
        </is>
      </c>
      <c r="B858" s="1" t="n">
        <v>46114</v>
      </c>
      <c r="C858" s="1" t="n">
        <v>46169</v>
      </c>
      <c r="D858" t="inlineStr">
        <is>
          <t>ÖREBRO LÄN</t>
        </is>
      </c>
      <c r="E858" t="inlineStr">
        <is>
          <t>LINDESBERG</t>
        </is>
      </c>
      <c r="G858" t="n">
        <v>3.7</v>
      </c>
      <c r="H858" t="n">
        <v>0</v>
      </c>
      <c r="I858" t="n">
        <v>0</v>
      </c>
      <c r="J858" t="n">
        <v>0</v>
      </c>
      <c r="K858" t="n">
        <v>0</v>
      </c>
      <c r="L858" t="n">
        <v>0</v>
      </c>
      <c r="M858" t="n">
        <v>0</v>
      </c>
      <c r="N858" t="n">
        <v>0</v>
      </c>
      <c r="O858" t="n">
        <v>0</v>
      </c>
      <c r="P858" t="n">
        <v>0</v>
      </c>
      <c r="Q858" t="n">
        <v>0</v>
      </c>
      <c r="R858" s="2" t="inlineStr"/>
    </row>
    <row r="859" ht="15" customHeight="1">
      <c r="A859" t="inlineStr">
        <is>
          <t>A 15094-2025</t>
        </is>
      </c>
      <c r="B859" s="1" t="n">
        <v>45744.32981481482</v>
      </c>
      <c r="C859" s="1" t="n">
        <v>46169</v>
      </c>
      <c r="D859" t="inlineStr">
        <is>
          <t>ÖREBRO LÄN</t>
        </is>
      </c>
      <c r="E859" t="inlineStr">
        <is>
          <t>LINDESBERG</t>
        </is>
      </c>
      <c r="G859" t="n">
        <v>1.2</v>
      </c>
      <c r="H859" t="n">
        <v>0</v>
      </c>
      <c r="I859" t="n">
        <v>0</v>
      </c>
      <c r="J859" t="n">
        <v>0</v>
      </c>
      <c r="K859" t="n">
        <v>0</v>
      </c>
      <c r="L859" t="n">
        <v>0</v>
      </c>
      <c r="M859" t="n">
        <v>0</v>
      </c>
      <c r="N859" t="n">
        <v>0</v>
      </c>
      <c r="O859" t="n">
        <v>0</v>
      </c>
      <c r="P859" t="n">
        <v>0</v>
      </c>
      <c r="Q859" t="n">
        <v>0</v>
      </c>
      <c r="R859" s="2" t="inlineStr"/>
    </row>
    <row r="860" ht="15" customHeight="1">
      <c r="A860" t="inlineStr">
        <is>
          <t>A 33427-2024</t>
        </is>
      </c>
      <c r="B860" s="1" t="n">
        <v>45519.52232638889</v>
      </c>
      <c r="C860" s="1" t="n">
        <v>46169</v>
      </c>
      <c r="D860" t="inlineStr">
        <is>
          <t>ÖREBRO LÄN</t>
        </is>
      </c>
      <c r="E860" t="inlineStr">
        <is>
          <t>LINDESBERG</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29894-2023</t>
        </is>
      </c>
      <c r="B861" s="1" t="n">
        <v>45107</v>
      </c>
      <c r="C861" s="1" t="n">
        <v>46169</v>
      </c>
      <c r="D861" t="inlineStr">
        <is>
          <t>ÖREBRO LÄN</t>
        </is>
      </c>
      <c r="E861" t="inlineStr">
        <is>
          <t>LINDESBERG</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16812-2026</t>
        </is>
      </c>
      <c r="B862" s="1" t="n">
        <v>46113.49563657407</v>
      </c>
      <c r="C862" s="1" t="n">
        <v>46169</v>
      </c>
      <c r="D862" t="inlineStr">
        <is>
          <t>ÖREBRO LÄN</t>
        </is>
      </c>
      <c r="E862" t="inlineStr">
        <is>
          <t>LINDESBERG</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17013-2026</t>
        </is>
      </c>
      <c r="B863" s="1" t="n">
        <v>46114</v>
      </c>
      <c r="C863" s="1" t="n">
        <v>46169</v>
      </c>
      <c r="D863" t="inlineStr">
        <is>
          <t>ÖREBRO LÄN</t>
        </is>
      </c>
      <c r="E863" t="inlineStr">
        <is>
          <t>LINDESBERG</t>
        </is>
      </c>
      <c r="G863" t="n">
        <v>1.3</v>
      </c>
      <c r="H863" t="n">
        <v>0</v>
      </c>
      <c r="I863" t="n">
        <v>0</v>
      </c>
      <c r="J863" t="n">
        <v>0</v>
      </c>
      <c r="K863" t="n">
        <v>0</v>
      </c>
      <c r="L863" t="n">
        <v>0</v>
      </c>
      <c r="M863" t="n">
        <v>0</v>
      </c>
      <c r="N863" t="n">
        <v>0</v>
      </c>
      <c r="O863" t="n">
        <v>0</v>
      </c>
      <c r="P863" t="n">
        <v>0</v>
      </c>
      <c r="Q863" t="n">
        <v>0</v>
      </c>
      <c r="R863" s="2" t="inlineStr"/>
    </row>
    <row r="864" ht="15" customHeight="1">
      <c r="A864" t="inlineStr">
        <is>
          <t>A 3026-2026</t>
        </is>
      </c>
      <c r="B864" s="1" t="n">
        <v>46038</v>
      </c>
      <c r="C864" s="1" t="n">
        <v>46169</v>
      </c>
      <c r="D864" t="inlineStr">
        <is>
          <t>ÖREBRO LÄN</t>
        </is>
      </c>
      <c r="E864" t="inlineStr">
        <is>
          <t>LINDESBERG</t>
        </is>
      </c>
      <c r="G864" t="n">
        <v>10.3</v>
      </c>
      <c r="H864" t="n">
        <v>0</v>
      </c>
      <c r="I864" t="n">
        <v>0</v>
      </c>
      <c r="J864" t="n">
        <v>0</v>
      </c>
      <c r="K864" t="n">
        <v>0</v>
      </c>
      <c r="L864" t="n">
        <v>0</v>
      </c>
      <c r="M864" t="n">
        <v>0</v>
      </c>
      <c r="N864" t="n">
        <v>0</v>
      </c>
      <c r="O864" t="n">
        <v>0</v>
      </c>
      <c r="P864" t="n">
        <v>0</v>
      </c>
      <c r="Q864" t="n">
        <v>0</v>
      </c>
      <c r="R864" s="2" t="inlineStr"/>
    </row>
    <row r="865" ht="15" customHeight="1">
      <c r="A865" t="inlineStr">
        <is>
          <t>A 40306-2022</t>
        </is>
      </c>
      <c r="B865" s="1" t="n">
        <v>44822</v>
      </c>
      <c r="C865" s="1" t="n">
        <v>46169</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63668-2023</t>
        </is>
      </c>
      <c r="B866" s="1" t="n">
        <v>45274</v>
      </c>
      <c r="C866" s="1" t="n">
        <v>46169</v>
      </c>
      <c r="D866" t="inlineStr">
        <is>
          <t>ÖREBRO LÄN</t>
        </is>
      </c>
      <c r="E866" t="inlineStr">
        <is>
          <t>LINDESBERG</t>
        </is>
      </c>
      <c r="G866" t="n">
        <v>0.7</v>
      </c>
      <c r="H866" t="n">
        <v>0</v>
      </c>
      <c r="I866" t="n">
        <v>0</v>
      </c>
      <c r="J866" t="n">
        <v>0</v>
      </c>
      <c r="K866" t="n">
        <v>0</v>
      </c>
      <c r="L866" t="n">
        <v>0</v>
      </c>
      <c r="M866" t="n">
        <v>0</v>
      </c>
      <c r="N866" t="n">
        <v>0</v>
      </c>
      <c r="O866" t="n">
        <v>0</v>
      </c>
      <c r="P866" t="n">
        <v>0</v>
      </c>
      <c r="Q866" t="n">
        <v>0</v>
      </c>
      <c r="R866" s="2" t="inlineStr"/>
    </row>
    <row r="867" ht="15" customHeight="1">
      <c r="A867" t="inlineStr">
        <is>
          <t>A 4539-2025</t>
        </is>
      </c>
      <c r="B867" s="1" t="n">
        <v>45687</v>
      </c>
      <c r="C867" s="1" t="n">
        <v>46169</v>
      </c>
      <c r="D867" t="inlineStr">
        <is>
          <t>ÖREBRO LÄN</t>
        </is>
      </c>
      <c r="E867" t="inlineStr">
        <is>
          <t>LINDESBERG</t>
        </is>
      </c>
      <c r="G867" t="n">
        <v>2.2</v>
      </c>
      <c r="H867" t="n">
        <v>0</v>
      </c>
      <c r="I867" t="n">
        <v>0</v>
      </c>
      <c r="J867" t="n">
        <v>0</v>
      </c>
      <c r="K867" t="n">
        <v>0</v>
      </c>
      <c r="L867" t="n">
        <v>0</v>
      </c>
      <c r="M867" t="n">
        <v>0</v>
      </c>
      <c r="N867" t="n">
        <v>0</v>
      </c>
      <c r="O867" t="n">
        <v>0</v>
      </c>
      <c r="P867" t="n">
        <v>0</v>
      </c>
      <c r="Q867" t="n">
        <v>0</v>
      </c>
      <c r="R867" s="2" t="inlineStr"/>
    </row>
    <row r="868" ht="15" customHeight="1">
      <c r="A868" t="inlineStr">
        <is>
          <t>A 22745-2026</t>
        </is>
      </c>
      <c r="B868" s="1" t="n">
        <v>46157.4291087963</v>
      </c>
      <c r="C868" s="1" t="n">
        <v>46169</v>
      </c>
      <c r="D868" t="inlineStr">
        <is>
          <t>ÖREBRO LÄN</t>
        </is>
      </c>
      <c r="E868" t="inlineStr">
        <is>
          <t>LINDESBERG</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22752-2026</t>
        </is>
      </c>
      <c r="B869" s="1" t="n">
        <v>46157.44695601852</v>
      </c>
      <c r="C869" s="1" t="n">
        <v>46169</v>
      </c>
      <c r="D869" t="inlineStr">
        <is>
          <t>ÖREBRO LÄN</t>
        </is>
      </c>
      <c r="E869" t="inlineStr">
        <is>
          <t>LINDESBERG</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22748-2026</t>
        </is>
      </c>
      <c r="B870" s="1" t="n">
        <v>46157.43287037037</v>
      </c>
      <c r="C870" s="1" t="n">
        <v>46169</v>
      </c>
      <c r="D870" t="inlineStr">
        <is>
          <t>ÖREBRO LÄN</t>
        </is>
      </c>
      <c r="E870" t="inlineStr">
        <is>
          <t>LINDESBERG</t>
        </is>
      </c>
      <c r="G870" t="n">
        <v>3.1</v>
      </c>
      <c r="H870" t="n">
        <v>0</v>
      </c>
      <c r="I870" t="n">
        <v>0</v>
      </c>
      <c r="J870" t="n">
        <v>0</v>
      </c>
      <c r="K870" t="n">
        <v>0</v>
      </c>
      <c r="L870" t="n">
        <v>0</v>
      </c>
      <c r="M870" t="n">
        <v>0</v>
      </c>
      <c r="N870" t="n">
        <v>0</v>
      </c>
      <c r="O870" t="n">
        <v>0</v>
      </c>
      <c r="P870" t="n">
        <v>0</v>
      </c>
      <c r="Q870" t="n">
        <v>0</v>
      </c>
      <c r="R870" s="2" t="inlineStr"/>
    </row>
    <row r="871" ht="15" customHeight="1">
      <c r="A871" t="inlineStr">
        <is>
          <t>A 22747-2026</t>
        </is>
      </c>
      <c r="B871" s="1" t="n">
        <v>46157.43127314815</v>
      </c>
      <c r="C871" s="1" t="n">
        <v>46169</v>
      </c>
      <c r="D871" t="inlineStr">
        <is>
          <t>ÖREBRO LÄN</t>
        </is>
      </c>
      <c r="E871" t="inlineStr">
        <is>
          <t>LINDESBERG</t>
        </is>
      </c>
      <c r="G871" t="n">
        <v>4.4</v>
      </c>
      <c r="H871" t="n">
        <v>0</v>
      </c>
      <c r="I871" t="n">
        <v>0</v>
      </c>
      <c r="J871" t="n">
        <v>0</v>
      </c>
      <c r="K871" t="n">
        <v>0</v>
      </c>
      <c r="L871" t="n">
        <v>0</v>
      </c>
      <c r="M871" t="n">
        <v>0</v>
      </c>
      <c r="N871" t="n">
        <v>0</v>
      </c>
      <c r="O871" t="n">
        <v>0</v>
      </c>
      <c r="P871" t="n">
        <v>0</v>
      </c>
      <c r="Q871" t="n">
        <v>0</v>
      </c>
      <c r="R871" s="2" t="inlineStr"/>
    </row>
    <row r="872" ht="15" customHeight="1">
      <c r="A872" t="inlineStr">
        <is>
          <t>A 17158-2026</t>
        </is>
      </c>
      <c r="B872" s="1" t="n">
        <v>46115.55826388889</v>
      </c>
      <c r="C872" s="1" t="n">
        <v>46169</v>
      </c>
      <c r="D872" t="inlineStr">
        <is>
          <t>ÖREBRO LÄN</t>
        </is>
      </c>
      <c r="E872" t="inlineStr">
        <is>
          <t>LINDESBERG</t>
        </is>
      </c>
      <c r="G872" t="n">
        <v>7.8</v>
      </c>
      <c r="H872" t="n">
        <v>0</v>
      </c>
      <c r="I872" t="n">
        <v>0</v>
      </c>
      <c r="J872" t="n">
        <v>0</v>
      </c>
      <c r="K872" t="n">
        <v>0</v>
      </c>
      <c r="L872" t="n">
        <v>0</v>
      </c>
      <c r="M872" t="n">
        <v>0</v>
      </c>
      <c r="N872" t="n">
        <v>0</v>
      </c>
      <c r="O872" t="n">
        <v>0</v>
      </c>
      <c r="P872" t="n">
        <v>0</v>
      </c>
      <c r="Q872" t="n">
        <v>0</v>
      </c>
      <c r="R872" s="2" t="inlineStr"/>
    </row>
    <row r="873" ht="15" customHeight="1">
      <c r="A873" t="inlineStr">
        <is>
          <t>A 44675-2021</t>
        </is>
      </c>
      <c r="B873" s="1" t="n">
        <v>44438</v>
      </c>
      <c r="C873" s="1" t="n">
        <v>46169</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22861-2026</t>
        </is>
      </c>
      <c r="B874" s="1" t="n">
        <v>46160.4221412037</v>
      </c>
      <c r="C874" s="1" t="n">
        <v>46169</v>
      </c>
      <c r="D874" t="inlineStr">
        <is>
          <t>ÖREBRO LÄN</t>
        </is>
      </c>
      <c r="E874" t="inlineStr">
        <is>
          <t>LINDESBERG</t>
        </is>
      </c>
      <c r="G874" t="n">
        <v>2.3</v>
      </c>
      <c r="H874" t="n">
        <v>0</v>
      </c>
      <c r="I874" t="n">
        <v>0</v>
      </c>
      <c r="J874" t="n">
        <v>0</v>
      </c>
      <c r="K874" t="n">
        <v>0</v>
      </c>
      <c r="L874" t="n">
        <v>0</v>
      </c>
      <c r="M874" t="n">
        <v>0</v>
      </c>
      <c r="N874" t="n">
        <v>0</v>
      </c>
      <c r="O874" t="n">
        <v>0</v>
      </c>
      <c r="P874" t="n">
        <v>0</v>
      </c>
      <c r="Q874" t="n">
        <v>0</v>
      </c>
      <c r="R874" s="2" t="inlineStr"/>
    </row>
    <row r="875" ht="15" customHeight="1">
      <c r="A875" t="inlineStr">
        <is>
          <t>A 22862-2026</t>
        </is>
      </c>
      <c r="B875" s="1" t="n">
        <v>46160.42400462963</v>
      </c>
      <c r="C875" s="1" t="n">
        <v>46169</v>
      </c>
      <c r="D875" t="inlineStr">
        <is>
          <t>ÖREBRO LÄN</t>
        </is>
      </c>
      <c r="E875" t="inlineStr">
        <is>
          <t>LINDESBERG</t>
        </is>
      </c>
      <c r="G875" t="n">
        <v>2.2</v>
      </c>
      <c r="H875" t="n">
        <v>0</v>
      </c>
      <c r="I875" t="n">
        <v>0</v>
      </c>
      <c r="J875" t="n">
        <v>0</v>
      </c>
      <c r="K875" t="n">
        <v>0</v>
      </c>
      <c r="L875" t="n">
        <v>0</v>
      </c>
      <c r="M875" t="n">
        <v>0</v>
      </c>
      <c r="N875" t="n">
        <v>0</v>
      </c>
      <c r="O875" t="n">
        <v>0</v>
      </c>
      <c r="P875" t="n">
        <v>0</v>
      </c>
      <c r="Q875" t="n">
        <v>0</v>
      </c>
      <c r="R875" s="2" t="inlineStr"/>
    </row>
    <row r="876" ht="15" customHeight="1">
      <c r="A876" t="inlineStr">
        <is>
          <t>A 17154-2026</t>
        </is>
      </c>
      <c r="B876" s="1" t="n">
        <v>46115.49298611111</v>
      </c>
      <c r="C876" s="1" t="n">
        <v>46169</v>
      </c>
      <c r="D876" t="inlineStr">
        <is>
          <t>ÖREBRO LÄN</t>
        </is>
      </c>
      <c r="E876" t="inlineStr">
        <is>
          <t>LINDESBERG</t>
        </is>
      </c>
      <c r="G876" t="n">
        <v>1</v>
      </c>
      <c r="H876" t="n">
        <v>0</v>
      </c>
      <c r="I876" t="n">
        <v>0</v>
      </c>
      <c r="J876" t="n">
        <v>0</v>
      </c>
      <c r="K876" t="n">
        <v>0</v>
      </c>
      <c r="L876" t="n">
        <v>0</v>
      </c>
      <c r="M876" t="n">
        <v>0</v>
      </c>
      <c r="N876" t="n">
        <v>0</v>
      </c>
      <c r="O876" t="n">
        <v>0</v>
      </c>
      <c r="P876" t="n">
        <v>0</v>
      </c>
      <c r="Q876" t="n">
        <v>0</v>
      </c>
      <c r="R876" s="2" t="inlineStr"/>
    </row>
    <row r="877" ht="15" customHeight="1">
      <c r="A877" t="inlineStr">
        <is>
          <t>A 17157-2026</t>
        </is>
      </c>
      <c r="B877" s="1" t="n">
        <v>46115.52068287037</v>
      </c>
      <c r="C877" s="1" t="n">
        <v>46169</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17159-2026</t>
        </is>
      </c>
      <c r="B878" s="1" t="n">
        <v>46115.57298611111</v>
      </c>
      <c r="C878" s="1" t="n">
        <v>46169</v>
      </c>
      <c r="D878" t="inlineStr">
        <is>
          <t>ÖREBRO LÄN</t>
        </is>
      </c>
      <c r="E878" t="inlineStr">
        <is>
          <t>LINDESBERG</t>
        </is>
      </c>
      <c r="G878" t="n">
        <v>1.5</v>
      </c>
      <c r="H878" t="n">
        <v>0</v>
      </c>
      <c r="I878" t="n">
        <v>0</v>
      </c>
      <c r="J878" t="n">
        <v>0</v>
      </c>
      <c r="K878" t="n">
        <v>0</v>
      </c>
      <c r="L878" t="n">
        <v>0</v>
      </c>
      <c r="M878" t="n">
        <v>0</v>
      </c>
      <c r="N878" t="n">
        <v>0</v>
      </c>
      <c r="O878" t="n">
        <v>0</v>
      </c>
      <c r="P878" t="n">
        <v>0</v>
      </c>
      <c r="Q878" t="n">
        <v>0</v>
      </c>
      <c r="R878" s="2" t="inlineStr"/>
    </row>
    <row r="879" ht="15" customHeight="1">
      <c r="A879" t="inlineStr">
        <is>
          <t>A 17153-2026</t>
        </is>
      </c>
      <c r="B879" s="1" t="n">
        <v>46115.4727199074</v>
      </c>
      <c r="C879" s="1" t="n">
        <v>46169</v>
      </c>
      <c r="D879" t="inlineStr">
        <is>
          <t>ÖREBRO LÄN</t>
        </is>
      </c>
      <c r="E879" t="inlineStr">
        <is>
          <t>LINDESBERG</t>
        </is>
      </c>
      <c r="G879" t="n">
        <v>5.6</v>
      </c>
      <c r="H879" t="n">
        <v>0</v>
      </c>
      <c r="I879" t="n">
        <v>0</v>
      </c>
      <c r="J879" t="n">
        <v>0</v>
      </c>
      <c r="K879" t="n">
        <v>0</v>
      </c>
      <c r="L879" t="n">
        <v>0</v>
      </c>
      <c r="M879" t="n">
        <v>0</v>
      </c>
      <c r="N879" t="n">
        <v>0</v>
      </c>
      <c r="O879" t="n">
        <v>0</v>
      </c>
      <c r="P879" t="n">
        <v>0</v>
      </c>
      <c r="Q879" t="n">
        <v>0</v>
      </c>
      <c r="R879" s="2" t="inlineStr"/>
    </row>
    <row r="880" ht="15" customHeight="1">
      <c r="A880" t="inlineStr">
        <is>
          <t>A 17155-2026</t>
        </is>
      </c>
      <c r="B880" s="1" t="n">
        <v>46115.50295138889</v>
      </c>
      <c r="C880" s="1" t="n">
        <v>46169</v>
      </c>
      <c r="D880" t="inlineStr">
        <is>
          <t>ÖREBRO LÄN</t>
        </is>
      </c>
      <c r="E880" t="inlineStr">
        <is>
          <t>LINDESBERG</t>
        </is>
      </c>
      <c r="G880" t="n">
        <v>1.4</v>
      </c>
      <c r="H880" t="n">
        <v>0</v>
      </c>
      <c r="I880" t="n">
        <v>0</v>
      </c>
      <c r="J880" t="n">
        <v>0</v>
      </c>
      <c r="K880" t="n">
        <v>0</v>
      </c>
      <c r="L880" t="n">
        <v>0</v>
      </c>
      <c r="M880" t="n">
        <v>0</v>
      </c>
      <c r="N880" t="n">
        <v>0</v>
      </c>
      <c r="O880" t="n">
        <v>0</v>
      </c>
      <c r="P880" t="n">
        <v>0</v>
      </c>
      <c r="Q880" t="n">
        <v>0</v>
      </c>
      <c r="R880" s="2" t="inlineStr"/>
    </row>
    <row r="881" ht="15" customHeight="1">
      <c r="A881" t="inlineStr">
        <is>
          <t>A 17156-2026</t>
        </is>
      </c>
      <c r="B881" s="1" t="n">
        <v>46115.51194444444</v>
      </c>
      <c r="C881" s="1" t="n">
        <v>46169</v>
      </c>
      <c r="D881" t="inlineStr">
        <is>
          <t>ÖREBRO LÄN</t>
        </is>
      </c>
      <c r="E881" t="inlineStr">
        <is>
          <t>LINDESBERG</t>
        </is>
      </c>
      <c r="G881" t="n">
        <v>2.2</v>
      </c>
      <c r="H881" t="n">
        <v>0</v>
      </c>
      <c r="I881" t="n">
        <v>0</v>
      </c>
      <c r="J881" t="n">
        <v>0</v>
      </c>
      <c r="K881" t="n">
        <v>0</v>
      </c>
      <c r="L881" t="n">
        <v>0</v>
      </c>
      <c r="M881" t="n">
        <v>0</v>
      </c>
      <c r="N881" t="n">
        <v>0</v>
      </c>
      <c r="O881" t="n">
        <v>0</v>
      </c>
      <c r="P881" t="n">
        <v>0</v>
      </c>
      <c r="Q881" t="n">
        <v>0</v>
      </c>
      <c r="R881" s="2" t="inlineStr"/>
    </row>
    <row r="882" ht="15" customHeight="1">
      <c r="A882" t="inlineStr">
        <is>
          <t>A 17161-2026</t>
        </is>
      </c>
      <c r="B882" s="1" t="n">
        <v>46115.59534722222</v>
      </c>
      <c r="C882" s="1" t="n">
        <v>46169</v>
      </c>
      <c r="D882" t="inlineStr">
        <is>
          <t>ÖREBRO LÄN</t>
        </is>
      </c>
      <c r="E882" t="inlineStr">
        <is>
          <t>LINDESBERG</t>
        </is>
      </c>
      <c r="G882" t="n">
        <v>3.3</v>
      </c>
      <c r="H882" t="n">
        <v>0</v>
      </c>
      <c r="I882" t="n">
        <v>0</v>
      </c>
      <c r="J882" t="n">
        <v>0</v>
      </c>
      <c r="K882" t="n">
        <v>0</v>
      </c>
      <c r="L882" t="n">
        <v>0</v>
      </c>
      <c r="M882" t="n">
        <v>0</v>
      </c>
      <c r="N882" t="n">
        <v>0</v>
      </c>
      <c r="O882" t="n">
        <v>0</v>
      </c>
      <c r="P882" t="n">
        <v>0</v>
      </c>
      <c r="Q882" t="n">
        <v>0</v>
      </c>
      <c r="R882" s="2" t="inlineStr"/>
    </row>
    <row r="883" ht="15" customHeight="1">
      <c r="A883" t="inlineStr">
        <is>
          <t>A 17162-2026</t>
        </is>
      </c>
      <c r="B883" s="1" t="n">
        <v>46115.60453703703</v>
      </c>
      <c r="C883" s="1" t="n">
        <v>46169</v>
      </c>
      <c r="D883" t="inlineStr">
        <is>
          <t>ÖREBRO LÄN</t>
        </is>
      </c>
      <c r="E883" t="inlineStr">
        <is>
          <t>LINDESBERG</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59633-2023</t>
        </is>
      </c>
      <c r="B884" s="1" t="n">
        <v>45254</v>
      </c>
      <c r="C884" s="1" t="n">
        <v>46169</v>
      </c>
      <c r="D884" t="inlineStr">
        <is>
          <t>ÖREBRO LÄN</t>
        </is>
      </c>
      <c r="E884" t="inlineStr">
        <is>
          <t>LINDESBERG</t>
        </is>
      </c>
      <c r="F884" t="inlineStr">
        <is>
          <t>Sveaskog</t>
        </is>
      </c>
      <c r="G884" t="n">
        <v>1.9</v>
      </c>
      <c r="H884" t="n">
        <v>0</v>
      </c>
      <c r="I884" t="n">
        <v>0</v>
      </c>
      <c r="J884" t="n">
        <v>0</v>
      </c>
      <c r="K884" t="n">
        <v>0</v>
      </c>
      <c r="L884" t="n">
        <v>0</v>
      </c>
      <c r="M884" t="n">
        <v>0</v>
      </c>
      <c r="N884" t="n">
        <v>0</v>
      </c>
      <c r="O884" t="n">
        <v>0</v>
      </c>
      <c r="P884" t="n">
        <v>0</v>
      </c>
      <c r="Q884" t="n">
        <v>0</v>
      </c>
      <c r="R884" s="2" t="inlineStr"/>
    </row>
    <row r="885" ht="15" customHeight="1">
      <c r="A885" t="inlineStr">
        <is>
          <t>A 13416-2025</t>
        </is>
      </c>
      <c r="B885" s="1" t="n">
        <v>45736.308125</v>
      </c>
      <c r="C885" s="1" t="n">
        <v>46169</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23187-2026</t>
        </is>
      </c>
      <c r="B886" s="1" t="n">
        <v>46161.69637731482</v>
      </c>
      <c r="C886" s="1" t="n">
        <v>46169</v>
      </c>
      <c r="D886" t="inlineStr">
        <is>
          <t>ÖREBRO LÄN</t>
        </is>
      </c>
      <c r="E886" t="inlineStr">
        <is>
          <t>LINDESBERG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27051-2023</t>
        </is>
      </c>
      <c r="B887" s="1" t="n">
        <v>45095</v>
      </c>
      <c r="C887" s="1" t="n">
        <v>46169</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23174-2026</t>
        </is>
      </c>
      <c r="B888" s="1" t="n">
        <v>46161.67359953704</v>
      </c>
      <c r="C888" s="1" t="n">
        <v>46169</v>
      </c>
      <c r="D888" t="inlineStr">
        <is>
          <t>ÖREBRO LÄN</t>
        </is>
      </c>
      <c r="E888" t="inlineStr">
        <is>
          <t>LINDESBERG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43801-2024</t>
        </is>
      </c>
      <c r="B889" s="1" t="n">
        <v>45571.71736111111</v>
      </c>
      <c r="C889" s="1" t="n">
        <v>46169</v>
      </c>
      <c r="D889" t="inlineStr">
        <is>
          <t>ÖREBRO LÄN</t>
        </is>
      </c>
      <c r="E889" t="inlineStr">
        <is>
          <t>LINDESBERG</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23393-2026</t>
        </is>
      </c>
      <c r="B890" s="1" t="n">
        <v>46162.67203703704</v>
      </c>
      <c r="C890" s="1" t="n">
        <v>46169</v>
      </c>
      <c r="D890" t="inlineStr">
        <is>
          <t>ÖREBRO LÄN</t>
        </is>
      </c>
      <c r="E890" t="inlineStr">
        <is>
          <t>LINDESBERG</t>
        </is>
      </c>
      <c r="F890" t="inlineStr">
        <is>
          <t>Naturvårdsverket</t>
        </is>
      </c>
      <c r="G890" t="n">
        <v>1.9</v>
      </c>
      <c r="H890" t="n">
        <v>0</v>
      </c>
      <c r="I890" t="n">
        <v>0</v>
      </c>
      <c r="J890" t="n">
        <v>0</v>
      </c>
      <c r="K890" t="n">
        <v>0</v>
      </c>
      <c r="L890" t="n">
        <v>0</v>
      </c>
      <c r="M890" t="n">
        <v>0</v>
      </c>
      <c r="N890" t="n">
        <v>0</v>
      </c>
      <c r="O890" t="n">
        <v>0</v>
      </c>
      <c r="P890" t="n">
        <v>0</v>
      </c>
      <c r="Q890" t="n">
        <v>0</v>
      </c>
      <c r="R890" s="2" t="inlineStr"/>
    </row>
    <row r="891" ht="15" customHeight="1">
      <c r="A891" t="inlineStr">
        <is>
          <t>A 45072-2024</t>
        </is>
      </c>
      <c r="B891" s="1" t="n">
        <v>45575.56686342593</v>
      </c>
      <c r="C891" s="1" t="n">
        <v>46169</v>
      </c>
      <c r="D891" t="inlineStr">
        <is>
          <t>ÖREBRO LÄN</t>
        </is>
      </c>
      <c r="E891" t="inlineStr">
        <is>
          <t>LINDESBERG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45075-2024</t>
        </is>
      </c>
      <c r="B892" s="1" t="n">
        <v>45575.56820601852</v>
      </c>
      <c r="C892" s="1" t="n">
        <v>46169</v>
      </c>
      <c r="D892" t="inlineStr">
        <is>
          <t>ÖREBRO LÄN</t>
        </is>
      </c>
      <c r="E892" t="inlineStr">
        <is>
          <t>LINDESBERG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23181-2026</t>
        </is>
      </c>
      <c r="B893" s="1" t="n">
        <v>46161.68100694445</v>
      </c>
      <c r="C893" s="1" t="n">
        <v>46169</v>
      </c>
      <c r="D893" t="inlineStr">
        <is>
          <t>ÖREBRO LÄN</t>
        </is>
      </c>
      <c r="E893" t="inlineStr">
        <is>
          <t>LINDESBERG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23184-2026</t>
        </is>
      </c>
      <c r="B894" s="1" t="n">
        <v>46161.68303240741</v>
      </c>
      <c r="C894" s="1" t="n">
        <v>46169</v>
      </c>
      <c r="D894" t="inlineStr">
        <is>
          <t>ÖREBRO LÄN</t>
        </is>
      </c>
      <c r="E894" t="inlineStr">
        <is>
          <t>LINDESBERG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23190-2026</t>
        </is>
      </c>
      <c r="B895" s="1" t="n">
        <v>46161.6995949074</v>
      </c>
      <c r="C895" s="1" t="n">
        <v>46169</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23191-2026</t>
        </is>
      </c>
      <c r="B896" s="1" t="n">
        <v>46161.70207175926</v>
      </c>
      <c r="C896" s="1" t="n">
        <v>46169</v>
      </c>
      <c r="D896" t="inlineStr">
        <is>
          <t>ÖREBRO LÄN</t>
        </is>
      </c>
      <c r="E896" t="inlineStr">
        <is>
          <t>LINDESBERG</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23337-2026</t>
        </is>
      </c>
      <c r="B897" s="1" t="n">
        <v>46162.56237268518</v>
      </c>
      <c r="C897" s="1" t="n">
        <v>46169</v>
      </c>
      <c r="D897" t="inlineStr">
        <is>
          <t>ÖREBRO LÄN</t>
        </is>
      </c>
      <c r="E897" t="inlineStr">
        <is>
          <t>LINDESBERG</t>
        </is>
      </c>
      <c r="F897" t="inlineStr">
        <is>
          <t>Naturvårdsverket</t>
        </is>
      </c>
      <c r="G897" t="n">
        <v>1.4</v>
      </c>
      <c r="H897" t="n">
        <v>0</v>
      </c>
      <c r="I897" t="n">
        <v>0</v>
      </c>
      <c r="J897" t="n">
        <v>0</v>
      </c>
      <c r="K897" t="n">
        <v>0</v>
      </c>
      <c r="L897" t="n">
        <v>0</v>
      </c>
      <c r="M897" t="n">
        <v>0</v>
      </c>
      <c r="N897" t="n">
        <v>0</v>
      </c>
      <c r="O897" t="n">
        <v>0</v>
      </c>
      <c r="P897" t="n">
        <v>0</v>
      </c>
      <c r="Q897" t="n">
        <v>0</v>
      </c>
      <c r="R897" s="2" t="inlineStr"/>
    </row>
    <row r="898" ht="15" customHeight="1">
      <c r="A898" t="inlineStr">
        <is>
          <t>A 23338-2026</t>
        </is>
      </c>
      <c r="B898" s="1" t="n">
        <v>46162.56407407407</v>
      </c>
      <c r="C898" s="1" t="n">
        <v>46169</v>
      </c>
      <c r="D898" t="inlineStr">
        <is>
          <t>ÖREBRO LÄN</t>
        </is>
      </c>
      <c r="E898" t="inlineStr">
        <is>
          <t>LINDESBERG</t>
        </is>
      </c>
      <c r="F898" t="inlineStr">
        <is>
          <t>Naturvårdsverket</t>
        </is>
      </c>
      <c r="G898" t="n">
        <v>2.2</v>
      </c>
      <c r="H898" t="n">
        <v>0</v>
      </c>
      <c r="I898" t="n">
        <v>0</v>
      </c>
      <c r="J898" t="n">
        <v>0</v>
      </c>
      <c r="K898" t="n">
        <v>0</v>
      </c>
      <c r="L898" t="n">
        <v>0</v>
      </c>
      <c r="M898" t="n">
        <v>0</v>
      </c>
      <c r="N898" t="n">
        <v>0</v>
      </c>
      <c r="O898" t="n">
        <v>0</v>
      </c>
      <c r="P898" t="n">
        <v>0</v>
      </c>
      <c r="Q898" t="n">
        <v>0</v>
      </c>
      <c r="R898" s="2" t="inlineStr"/>
    </row>
    <row r="899" ht="15" customHeight="1">
      <c r="A899" t="inlineStr">
        <is>
          <t>A 61405-2022</t>
        </is>
      </c>
      <c r="B899" s="1" t="n">
        <v>44916</v>
      </c>
      <c r="C899" s="1" t="n">
        <v>46169</v>
      </c>
      <c r="D899" t="inlineStr">
        <is>
          <t>ÖREBRO LÄN</t>
        </is>
      </c>
      <c r="E899" t="inlineStr">
        <is>
          <t>LINDESBERG</t>
        </is>
      </c>
      <c r="G899" t="n">
        <v>4.4</v>
      </c>
      <c r="H899" t="n">
        <v>0</v>
      </c>
      <c r="I899" t="n">
        <v>0</v>
      </c>
      <c r="J899" t="n">
        <v>0</v>
      </c>
      <c r="K899" t="n">
        <v>0</v>
      </c>
      <c r="L899" t="n">
        <v>0</v>
      </c>
      <c r="M899" t="n">
        <v>0</v>
      </c>
      <c r="N899" t="n">
        <v>0</v>
      </c>
      <c r="O899" t="n">
        <v>0</v>
      </c>
      <c r="P899" t="n">
        <v>0</v>
      </c>
      <c r="Q899" t="n">
        <v>0</v>
      </c>
      <c r="R899" s="2" t="inlineStr"/>
    </row>
    <row r="900" ht="15" customHeight="1">
      <c r="A900" t="inlineStr">
        <is>
          <t>A 23173-2026</t>
        </is>
      </c>
      <c r="B900" s="1" t="n">
        <v>46161.67074074074</v>
      </c>
      <c r="C900" s="1" t="n">
        <v>46169</v>
      </c>
      <c r="D900" t="inlineStr">
        <is>
          <t>ÖREBRO LÄN</t>
        </is>
      </c>
      <c r="E900" t="inlineStr">
        <is>
          <t>LINDESBERG</t>
        </is>
      </c>
      <c r="F900" t="inlineStr">
        <is>
          <t>Sveaskog</t>
        </is>
      </c>
      <c r="G900" t="n">
        <v>3.1</v>
      </c>
      <c r="H900" t="n">
        <v>0</v>
      </c>
      <c r="I900" t="n">
        <v>0</v>
      </c>
      <c r="J900" t="n">
        <v>0</v>
      </c>
      <c r="K900" t="n">
        <v>0</v>
      </c>
      <c r="L900" t="n">
        <v>0</v>
      </c>
      <c r="M900" t="n">
        <v>0</v>
      </c>
      <c r="N900" t="n">
        <v>0</v>
      </c>
      <c r="O900" t="n">
        <v>0</v>
      </c>
      <c r="P900" t="n">
        <v>0</v>
      </c>
      <c r="Q900" t="n">
        <v>0</v>
      </c>
      <c r="R900" s="2" t="inlineStr"/>
    </row>
    <row r="901" ht="15" customHeight="1">
      <c r="A901" t="inlineStr">
        <is>
          <t>A 40563-2023</t>
        </is>
      </c>
      <c r="B901" s="1" t="n">
        <v>45170.45921296296</v>
      </c>
      <c r="C901" s="1" t="n">
        <v>46169</v>
      </c>
      <c r="D901" t="inlineStr">
        <is>
          <t>ÖREBRO LÄN</t>
        </is>
      </c>
      <c r="E901" t="inlineStr">
        <is>
          <t>LINDESBERG</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23180-2026</t>
        </is>
      </c>
      <c r="B902" s="1" t="n">
        <v>46161.67895833333</v>
      </c>
      <c r="C902" s="1" t="n">
        <v>46169</v>
      </c>
      <c r="D902" t="inlineStr">
        <is>
          <t>ÖREBRO LÄN</t>
        </is>
      </c>
      <c r="E902" t="inlineStr">
        <is>
          <t>LINDESBERG</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23175-2026</t>
        </is>
      </c>
      <c r="B903" s="1" t="n">
        <v>46161.6755787037</v>
      </c>
      <c r="C903" s="1" t="n">
        <v>46169</v>
      </c>
      <c r="D903" t="inlineStr">
        <is>
          <t>ÖREBRO LÄN</t>
        </is>
      </c>
      <c r="E903" t="inlineStr">
        <is>
          <t>LINDESBERG</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23177-2026</t>
        </is>
      </c>
      <c r="B904" s="1" t="n">
        <v>46161.67731481481</v>
      </c>
      <c r="C904" s="1" t="n">
        <v>46169</v>
      </c>
      <c r="D904" t="inlineStr">
        <is>
          <t>ÖREBRO LÄN</t>
        </is>
      </c>
      <c r="E904" t="inlineStr">
        <is>
          <t>LINDESBERG</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23188-2026</t>
        </is>
      </c>
      <c r="B905" s="1" t="n">
        <v>46161.69788194444</v>
      </c>
      <c r="C905" s="1" t="n">
        <v>46169</v>
      </c>
      <c r="D905" t="inlineStr">
        <is>
          <t>ÖREBRO LÄN</t>
        </is>
      </c>
      <c r="E905" t="inlineStr">
        <is>
          <t>LINDESBERG</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38613-2024</t>
        </is>
      </c>
      <c r="B906" s="1" t="n">
        <v>45546.68743055555</v>
      </c>
      <c r="C906" s="1" t="n">
        <v>46169</v>
      </c>
      <c r="D906" t="inlineStr">
        <is>
          <t>ÖREBRO LÄN</t>
        </is>
      </c>
      <c r="E906" t="inlineStr">
        <is>
          <t>LINDESBERG</t>
        </is>
      </c>
      <c r="F906" t="inlineStr">
        <is>
          <t>Kyrkan</t>
        </is>
      </c>
      <c r="G906" t="n">
        <v>1.6</v>
      </c>
      <c r="H906" t="n">
        <v>0</v>
      </c>
      <c r="I906" t="n">
        <v>0</v>
      </c>
      <c r="J906" t="n">
        <v>0</v>
      </c>
      <c r="K906" t="n">
        <v>0</v>
      </c>
      <c r="L906" t="n">
        <v>0</v>
      </c>
      <c r="M906" t="n">
        <v>0</v>
      </c>
      <c r="N906" t="n">
        <v>0</v>
      </c>
      <c r="O906" t="n">
        <v>0</v>
      </c>
      <c r="P906" t="n">
        <v>0</v>
      </c>
      <c r="Q906" t="n">
        <v>0</v>
      </c>
      <c r="R906" s="2" t="inlineStr"/>
    </row>
    <row r="907" ht="15" customHeight="1">
      <c r="A907" t="inlineStr">
        <is>
          <t>A 49358-2023</t>
        </is>
      </c>
      <c r="B907" s="1" t="n">
        <v>45211</v>
      </c>
      <c r="C907" s="1" t="n">
        <v>46169</v>
      </c>
      <c r="D907" t="inlineStr">
        <is>
          <t>ÖREBRO LÄN</t>
        </is>
      </c>
      <c r="E907" t="inlineStr">
        <is>
          <t>LINDESBERG</t>
        </is>
      </c>
      <c r="F907" t="inlineStr">
        <is>
          <t>Sveaskog</t>
        </is>
      </c>
      <c r="G907" t="n">
        <v>4.7</v>
      </c>
      <c r="H907" t="n">
        <v>0</v>
      </c>
      <c r="I907" t="n">
        <v>0</v>
      </c>
      <c r="J907" t="n">
        <v>0</v>
      </c>
      <c r="K907" t="n">
        <v>0</v>
      </c>
      <c r="L907" t="n">
        <v>0</v>
      </c>
      <c r="M907" t="n">
        <v>0</v>
      </c>
      <c r="N907" t="n">
        <v>0</v>
      </c>
      <c r="O907" t="n">
        <v>0</v>
      </c>
      <c r="P907" t="n">
        <v>0</v>
      </c>
      <c r="Q907" t="n">
        <v>0</v>
      </c>
      <c r="R907" s="2" t="inlineStr"/>
    </row>
    <row r="908" ht="15" customHeight="1">
      <c r="A908" t="inlineStr">
        <is>
          <t>A 72331-2021</t>
        </is>
      </c>
      <c r="B908" s="1" t="n">
        <v>44544</v>
      </c>
      <c r="C908" s="1" t="n">
        <v>46169</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54663-2021</t>
        </is>
      </c>
      <c r="B909" s="1" t="n">
        <v>44473.6343287037</v>
      </c>
      <c r="C909" s="1" t="n">
        <v>46169</v>
      </c>
      <c r="D909" t="inlineStr">
        <is>
          <t>ÖREBRO LÄN</t>
        </is>
      </c>
      <c r="E909" t="inlineStr">
        <is>
          <t>LINDESBERG</t>
        </is>
      </c>
      <c r="G909" t="n">
        <v>1.2</v>
      </c>
      <c r="H909" t="n">
        <v>0</v>
      </c>
      <c r="I909" t="n">
        <v>0</v>
      </c>
      <c r="J909" t="n">
        <v>0</v>
      </c>
      <c r="K909" t="n">
        <v>0</v>
      </c>
      <c r="L909" t="n">
        <v>0</v>
      </c>
      <c r="M909" t="n">
        <v>0</v>
      </c>
      <c r="N909" t="n">
        <v>0</v>
      </c>
      <c r="O909" t="n">
        <v>0</v>
      </c>
      <c r="P909" t="n">
        <v>0</v>
      </c>
      <c r="Q909" t="n">
        <v>0</v>
      </c>
      <c r="R909" s="2" t="inlineStr"/>
    </row>
    <row r="910" ht="15" customHeight="1">
      <c r="A910" t="inlineStr">
        <is>
          <t>A 57795-2021</t>
        </is>
      </c>
      <c r="B910" s="1" t="n">
        <v>44484</v>
      </c>
      <c r="C910" s="1" t="n">
        <v>46169</v>
      </c>
      <c r="D910" t="inlineStr">
        <is>
          <t>ÖREBRO LÄN</t>
        </is>
      </c>
      <c r="E910" t="inlineStr">
        <is>
          <t>LINDESBERG</t>
        </is>
      </c>
      <c r="G910" t="n">
        <v>39.4</v>
      </c>
      <c r="H910" t="n">
        <v>0</v>
      </c>
      <c r="I910" t="n">
        <v>0</v>
      </c>
      <c r="J910" t="n">
        <v>0</v>
      </c>
      <c r="K910" t="n">
        <v>0</v>
      </c>
      <c r="L910" t="n">
        <v>0</v>
      </c>
      <c r="M910" t="n">
        <v>0</v>
      </c>
      <c r="N910" t="n">
        <v>0</v>
      </c>
      <c r="O910" t="n">
        <v>0</v>
      </c>
      <c r="P910" t="n">
        <v>0</v>
      </c>
      <c r="Q910" t="n">
        <v>0</v>
      </c>
      <c r="R910" s="2" t="inlineStr"/>
    </row>
    <row r="911" ht="15" customHeight="1">
      <c r="A911" t="inlineStr">
        <is>
          <t>A 17663-2026</t>
        </is>
      </c>
      <c r="B911" s="1" t="n">
        <v>46121.57420138889</v>
      </c>
      <c r="C911" s="1" t="n">
        <v>46169</v>
      </c>
      <c r="D911" t="inlineStr">
        <is>
          <t>ÖREBRO LÄN</t>
        </is>
      </c>
      <c r="E911" t="inlineStr">
        <is>
          <t>LINDESBERG</t>
        </is>
      </c>
      <c r="G911" t="n">
        <v>3.2</v>
      </c>
      <c r="H911" t="n">
        <v>0</v>
      </c>
      <c r="I911" t="n">
        <v>0</v>
      </c>
      <c r="J911" t="n">
        <v>0</v>
      </c>
      <c r="K911" t="n">
        <v>0</v>
      </c>
      <c r="L911" t="n">
        <v>0</v>
      </c>
      <c r="M911" t="n">
        <v>0</v>
      </c>
      <c r="N911" t="n">
        <v>0</v>
      </c>
      <c r="O911" t="n">
        <v>0</v>
      </c>
      <c r="P911" t="n">
        <v>0</v>
      </c>
      <c r="Q911" t="n">
        <v>0</v>
      </c>
      <c r="R911" s="2" t="inlineStr"/>
    </row>
    <row r="912" ht="15" customHeight="1">
      <c r="A912" t="inlineStr">
        <is>
          <t>A 27031-2024</t>
        </is>
      </c>
      <c r="B912" s="1" t="n">
        <v>45471.42659722222</v>
      </c>
      <c r="C912" s="1" t="n">
        <v>46169</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23910-2026</t>
        </is>
      </c>
      <c r="B913" s="1" t="n">
        <v>46167.49278935185</v>
      </c>
      <c r="C913" s="1" t="n">
        <v>46169</v>
      </c>
      <c r="D913" t="inlineStr">
        <is>
          <t>ÖREBRO LÄN</t>
        </is>
      </c>
      <c r="E913" t="inlineStr">
        <is>
          <t>LINDESBERG</t>
        </is>
      </c>
      <c r="F913" t="inlineStr">
        <is>
          <t>Naturvårdsverket</t>
        </is>
      </c>
      <c r="G913" t="n">
        <v>2.7</v>
      </c>
      <c r="H913" t="n">
        <v>0</v>
      </c>
      <c r="I913" t="n">
        <v>0</v>
      </c>
      <c r="J913" t="n">
        <v>0</v>
      </c>
      <c r="K913" t="n">
        <v>0</v>
      </c>
      <c r="L913" t="n">
        <v>0</v>
      </c>
      <c r="M913" t="n">
        <v>0</v>
      </c>
      <c r="N913" t="n">
        <v>0</v>
      </c>
      <c r="O913" t="n">
        <v>0</v>
      </c>
      <c r="P913" t="n">
        <v>0</v>
      </c>
      <c r="Q913" t="n">
        <v>0</v>
      </c>
      <c r="R913" s="2" t="inlineStr"/>
    </row>
    <row r="914" ht="15" customHeight="1">
      <c r="A914" t="inlineStr">
        <is>
          <t>A 27130-2024</t>
        </is>
      </c>
      <c r="B914" s="1" t="n">
        <v>45471.52072916667</v>
      </c>
      <c r="C914" s="1" t="n">
        <v>46169</v>
      </c>
      <c r="D914" t="inlineStr">
        <is>
          <t>ÖREBRO LÄN</t>
        </is>
      </c>
      <c r="E914" t="inlineStr">
        <is>
          <t>LINDESBERG</t>
        </is>
      </c>
      <c r="G914" t="n">
        <v>2</v>
      </c>
      <c r="H914" t="n">
        <v>0</v>
      </c>
      <c r="I914" t="n">
        <v>0</v>
      </c>
      <c r="J914" t="n">
        <v>0</v>
      </c>
      <c r="K914" t="n">
        <v>0</v>
      </c>
      <c r="L914" t="n">
        <v>0</v>
      </c>
      <c r="M914" t="n">
        <v>0</v>
      </c>
      <c r="N914" t="n">
        <v>0</v>
      </c>
      <c r="O914" t="n">
        <v>0</v>
      </c>
      <c r="P914" t="n">
        <v>0</v>
      </c>
      <c r="Q914" t="n">
        <v>0</v>
      </c>
      <c r="R914" s="2" t="inlineStr"/>
    </row>
    <row r="915" ht="15" customHeight="1">
      <c r="A915" t="inlineStr">
        <is>
          <t>A 18220-2026</t>
        </is>
      </c>
      <c r="B915" s="1" t="n">
        <v>46126.30818287037</v>
      </c>
      <c r="C915" s="1" t="n">
        <v>46169</v>
      </c>
      <c r="D915" t="inlineStr">
        <is>
          <t>ÖREBRO LÄN</t>
        </is>
      </c>
      <c r="E915" t="inlineStr">
        <is>
          <t>LINDESBERG</t>
        </is>
      </c>
      <c r="G915" t="n">
        <v>5.7</v>
      </c>
      <c r="H915" t="n">
        <v>0</v>
      </c>
      <c r="I915" t="n">
        <v>0</v>
      </c>
      <c r="J915" t="n">
        <v>0</v>
      </c>
      <c r="K915" t="n">
        <v>0</v>
      </c>
      <c r="L915" t="n">
        <v>0</v>
      </c>
      <c r="M915" t="n">
        <v>0</v>
      </c>
      <c r="N915" t="n">
        <v>0</v>
      </c>
      <c r="O915" t="n">
        <v>0</v>
      </c>
      <c r="P915" t="n">
        <v>0</v>
      </c>
      <c r="Q915" t="n">
        <v>0</v>
      </c>
      <c r="R915" s="2" t="inlineStr"/>
    </row>
    <row r="916" ht="15" customHeight="1">
      <c r="A916" t="inlineStr">
        <is>
          <t>A 6161-2025</t>
        </is>
      </c>
      <c r="B916" s="1" t="n">
        <v>45698</v>
      </c>
      <c r="C916" s="1" t="n">
        <v>46169</v>
      </c>
      <c r="D916" t="inlineStr">
        <is>
          <t>ÖREBRO LÄN</t>
        </is>
      </c>
      <c r="E916" t="inlineStr">
        <is>
          <t>LINDESBERG</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6165-2025</t>
        </is>
      </c>
      <c r="B917" s="1" t="n">
        <v>45698</v>
      </c>
      <c r="C917" s="1" t="n">
        <v>46169</v>
      </c>
      <c r="D917" t="inlineStr">
        <is>
          <t>ÖREBRO LÄN</t>
        </is>
      </c>
      <c r="E917" t="inlineStr">
        <is>
          <t>LINDESBERG</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44664-2023</t>
        </is>
      </c>
      <c r="B918" s="1" t="n">
        <v>45189</v>
      </c>
      <c r="C918" s="1" t="n">
        <v>46169</v>
      </c>
      <c r="D918" t="inlineStr">
        <is>
          <t>ÖREBRO LÄN</t>
        </is>
      </c>
      <c r="E918" t="inlineStr">
        <is>
          <t>LINDESBERG</t>
        </is>
      </c>
      <c r="G918" t="n">
        <v>2.1</v>
      </c>
      <c r="H918" t="n">
        <v>0</v>
      </c>
      <c r="I918" t="n">
        <v>0</v>
      </c>
      <c r="J918" t="n">
        <v>0</v>
      </c>
      <c r="K918" t="n">
        <v>0</v>
      </c>
      <c r="L918" t="n">
        <v>0</v>
      </c>
      <c r="M918" t="n">
        <v>0</v>
      </c>
      <c r="N918" t="n">
        <v>0</v>
      </c>
      <c r="O918" t="n">
        <v>0</v>
      </c>
      <c r="P918" t="n">
        <v>0</v>
      </c>
      <c r="Q918" t="n">
        <v>0</v>
      </c>
      <c r="R918" s="2" t="inlineStr"/>
    </row>
    <row r="919" ht="15" customHeight="1">
      <c r="A919" t="inlineStr">
        <is>
          <t>A 11366-2024</t>
        </is>
      </c>
      <c r="B919" s="1" t="n">
        <v>45372.40246527778</v>
      </c>
      <c r="C919" s="1" t="n">
        <v>46169</v>
      </c>
      <c r="D919" t="inlineStr">
        <is>
          <t>ÖREBRO LÄN</t>
        </is>
      </c>
      <c r="E919" t="inlineStr">
        <is>
          <t>LINDESBERG</t>
        </is>
      </c>
      <c r="G919" t="n">
        <v>4.4</v>
      </c>
      <c r="H919" t="n">
        <v>0</v>
      </c>
      <c r="I919" t="n">
        <v>0</v>
      </c>
      <c r="J919" t="n">
        <v>0</v>
      </c>
      <c r="K919" t="n">
        <v>0</v>
      </c>
      <c r="L919" t="n">
        <v>0</v>
      </c>
      <c r="M919" t="n">
        <v>0</v>
      </c>
      <c r="N919" t="n">
        <v>0</v>
      </c>
      <c r="O919" t="n">
        <v>0</v>
      </c>
      <c r="P919" t="n">
        <v>0</v>
      </c>
      <c r="Q919" t="n">
        <v>0</v>
      </c>
      <c r="R919" s="2" t="inlineStr"/>
    </row>
    <row r="920" ht="15" customHeight="1">
      <c r="A920" t="inlineStr">
        <is>
          <t>A 24270-2023</t>
        </is>
      </c>
      <c r="B920" s="1" t="n">
        <v>45079</v>
      </c>
      <c r="C920" s="1" t="n">
        <v>46169</v>
      </c>
      <c r="D920" t="inlineStr">
        <is>
          <t>ÖREBRO LÄN</t>
        </is>
      </c>
      <c r="E920" t="inlineStr">
        <is>
          <t>LINDESBERG</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23912-2026</t>
        </is>
      </c>
      <c r="B921" s="1" t="n">
        <v>46167.49552083333</v>
      </c>
      <c r="C921" s="1" t="n">
        <v>46169</v>
      </c>
      <c r="D921" t="inlineStr">
        <is>
          <t>ÖREBRO LÄN</t>
        </is>
      </c>
      <c r="E921" t="inlineStr">
        <is>
          <t>LINDESBERG</t>
        </is>
      </c>
      <c r="F921" t="inlineStr">
        <is>
          <t>Naturvårdsverket</t>
        </is>
      </c>
      <c r="G921" t="n">
        <v>5.5</v>
      </c>
      <c r="H921" t="n">
        <v>0</v>
      </c>
      <c r="I921" t="n">
        <v>0</v>
      </c>
      <c r="J921" t="n">
        <v>0</v>
      </c>
      <c r="K921" t="n">
        <v>0</v>
      </c>
      <c r="L921" t="n">
        <v>0</v>
      </c>
      <c r="M921" t="n">
        <v>0</v>
      </c>
      <c r="N921" t="n">
        <v>0</v>
      </c>
      <c r="O921" t="n">
        <v>0</v>
      </c>
      <c r="P921" t="n">
        <v>0</v>
      </c>
      <c r="Q921" t="n">
        <v>0</v>
      </c>
      <c r="R921" s="2" t="inlineStr"/>
    </row>
    <row r="922" ht="15" customHeight="1">
      <c r="A922" t="inlineStr">
        <is>
          <t>A 24271-2023</t>
        </is>
      </c>
      <c r="B922" s="1" t="n">
        <v>45079</v>
      </c>
      <c r="C922" s="1" t="n">
        <v>46169</v>
      </c>
      <c r="D922" t="inlineStr">
        <is>
          <t>ÖREBRO LÄN</t>
        </is>
      </c>
      <c r="E922" t="inlineStr">
        <is>
          <t>LINDESBERG</t>
        </is>
      </c>
      <c r="F922" t="inlineStr">
        <is>
          <t>Sveaskog</t>
        </is>
      </c>
      <c r="G922" t="n">
        <v>0.4</v>
      </c>
      <c r="H922" t="n">
        <v>0</v>
      </c>
      <c r="I922" t="n">
        <v>0</v>
      </c>
      <c r="J922" t="n">
        <v>0</v>
      </c>
      <c r="K922" t="n">
        <v>0</v>
      </c>
      <c r="L922" t="n">
        <v>0</v>
      </c>
      <c r="M922" t="n">
        <v>0</v>
      </c>
      <c r="N922" t="n">
        <v>0</v>
      </c>
      <c r="O922" t="n">
        <v>0</v>
      </c>
      <c r="P922" t="n">
        <v>0</v>
      </c>
      <c r="Q922" t="n">
        <v>0</v>
      </c>
      <c r="R922" s="2" t="inlineStr"/>
    </row>
    <row r="923" ht="15" customHeight="1">
      <c r="A923" t="inlineStr">
        <is>
          <t>A 25046-2024</t>
        </is>
      </c>
      <c r="B923" s="1" t="n">
        <v>45462</v>
      </c>
      <c r="C923" s="1" t="n">
        <v>46169</v>
      </c>
      <c r="D923" t="inlineStr">
        <is>
          <t>ÖREBRO LÄN</t>
        </is>
      </c>
      <c r="E923" t="inlineStr">
        <is>
          <t>LINDESBERG</t>
        </is>
      </c>
      <c r="G923" t="n">
        <v>4.1</v>
      </c>
      <c r="H923" t="n">
        <v>0</v>
      </c>
      <c r="I923" t="n">
        <v>0</v>
      </c>
      <c r="J923" t="n">
        <v>0</v>
      </c>
      <c r="K923" t="n">
        <v>0</v>
      </c>
      <c r="L923" t="n">
        <v>0</v>
      </c>
      <c r="M923" t="n">
        <v>0</v>
      </c>
      <c r="N923" t="n">
        <v>0</v>
      </c>
      <c r="O923" t="n">
        <v>0</v>
      </c>
      <c r="P923" t="n">
        <v>0</v>
      </c>
      <c r="Q923" t="n">
        <v>0</v>
      </c>
      <c r="R923" s="2" t="inlineStr"/>
    </row>
    <row r="924" ht="15" customHeight="1">
      <c r="A924" t="inlineStr">
        <is>
          <t>A 23914-2026</t>
        </is>
      </c>
      <c r="B924" s="1" t="n">
        <v>46167.50077546296</v>
      </c>
      <c r="C924" s="1" t="n">
        <v>46169</v>
      </c>
      <c r="D924" t="inlineStr">
        <is>
          <t>ÖREBRO LÄN</t>
        </is>
      </c>
      <c r="E924" t="inlineStr">
        <is>
          <t>LINDESBERG</t>
        </is>
      </c>
      <c r="F924" t="inlineStr">
        <is>
          <t>Naturvårdsverket</t>
        </is>
      </c>
      <c r="G924" t="n">
        <v>3</v>
      </c>
      <c r="H924" t="n">
        <v>0</v>
      </c>
      <c r="I924" t="n">
        <v>0</v>
      </c>
      <c r="J924" t="n">
        <v>0</v>
      </c>
      <c r="K924" t="n">
        <v>0</v>
      </c>
      <c r="L924" t="n">
        <v>0</v>
      </c>
      <c r="M924" t="n">
        <v>0</v>
      </c>
      <c r="N924" t="n">
        <v>0</v>
      </c>
      <c r="O924" t="n">
        <v>0</v>
      </c>
      <c r="P924" t="n">
        <v>0</v>
      </c>
      <c r="Q924" t="n">
        <v>0</v>
      </c>
      <c r="R924" s="2" t="inlineStr"/>
    </row>
    <row r="925" ht="15" customHeight="1">
      <c r="A925" t="inlineStr">
        <is>
          <t>A 18061-2026</t>
        </is>
      </c>
      <c r="B925" s="1" t="n">
        <v>46125.46030092592</v>
      </c>
      <c r="C925" s="1" t="n">
        <v>46169</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45038-2024</t>
        </is>
      </c>
      <c r="B926" s="1" t="n">
        <v>45575.53331018519</v>
      </c>
      <c r="C926" s="1" t="n">
        <v>46169</v>
      </c>
      <c r="D926" t="inlineStr">
        <is>
          <t>ÖREBRO LÄN</t>
        </is>
      </c>
      <c r="E926" t="inlineStr">
        <is>
          <t>LINDESBERG</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45046-2024</t>
        </is>
      </c>
      <c r="B927" s="1" t="n">
        <v>45575.54489583334</v>
      </c>
      <c r="C927" s="1" t="n">
        <v>46169</v>
      </c>
      <c r="D927" t="inlineStr">
        <is>
          <t>ÖREBRO LÄN</t>
        </is>
      </c>
      <c r="E927" t="inlineStr">
        <is>
          <t>LINDESBERG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21468-2024</t>
        </is>
      </c>
      <c r="B928" s="1" t="n">
        <v>45441.48670138889</v>
      </c>
      <c r="C928" s="1" t="n">
        <v>46169</v>
      </c>
      <c r="D928" t="inlineStr">
        <is>
          <t>ÖREBRO LÄN</t>
        </is>
      </c>
      <c r="E928" t="inlineStr">
        <is>
          <t>LINDESBERG</t>
        </is>
      </c>
      <c r="G928" t="n">
        <v>1</v>
      </c>
      <c r="H928" t="n">
        <v>0</v>
      </c>
      <c r="I928" t="n">
        <v>0</v>
      </c>
      <c r="J928" t="n">
        <v>0</v>
      </c>
      <c r="K928" t="n">
        <v>0</v>
      </c>
      <c r="L928" t="n">
        <v>0</v>
      </c>
      <c r="M928" t="n">
        <v>0</v>
      </c>
      <c r="N928" t="n">
        <v>0</v>
      </c>
      <c r="O928" t="n">
        <v>0</v>
      </c>
      <c r="P928" t="n">
        <v>0</v>
      </c>
      <c r="Q928" t="n">
        <v>0</v>
      </c>
      <c r="R928" s="2" t="inlineStr"/>
    </row>
    <row r="929" ht="15" customHeight="1">
      <c r="A929" t="inlineStr">
        <is>
          <t>A 40038-2024</t>
        </is>
      </c>
      <c r="B929" s="1" t="n">
        <v>45553</v>
      </c>
      <c r="C929" s="1" t="n">
        <v>46169</v>
      </c>
      <c r="D929" t="inlineStr">
        <is>
          <t>ÖREBRO LÄN</t>
        </is>
      </c>
      <c r="E929" t="inlineStr">
        <is>
          <t>LINDESBERG</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61360-2024</t>
        </is>
      </c>
      <c r="B930" s="1" t="n">
        <v>45646</v>
      </c>
      <c r="C930" s="1" t="n">
        <v>46169</v>
      </c>
      <c r="D930" t="inlineStr">
        <is>
          <t>ÖREBRO LÄN</t>
        </is>
      </c>
      <c r="E930" t="inlineStr">
        <is>
          <t>LINDESBERG</t>
        </is>
      </c>
      <c r="F930" t="inlineStr">
        <is>
          <t>Sveaskog</t>
        </is>
      </c>
      <c r="G930" t="n">
        <v>6.5</v>
      </c>
      <c r="H930" t="n">
        <v>0</v>
      </c>
      <c r="I930" t="n">
        <v>0</v>
      </c>
      <c r="J930" t="n">
        <v>0</v>
      </c>
      <c r="K930" t="n">
        <v>0</v>
      </c>
      <c r="L930" t="n">
        <v>0</v>
      </c>
      <c r="M930" t="n">
        <v>0</v>
      </c>
      <c r="N930" t="n">
        <v>0</v>
      </c>
      <c r="O930" t="n">
        <v>0</v>
      </c>
      <c r="P930" t="n">
        <v>0</v>
      </c>
      <c r="Q930" t="n">
        <v>0</v>
      </c>
      <c r="R930" s="2" t="inlineStr"/>
    </row>
    <row r="931" ht="15" customHeight="1">
      <c r="A931" t="inlineStr">
        <is>
          <t>A 12276-2025</t>
        </is>
      </c>
      <c r="B931" s="1" t="n">
        <v>45729.65061342593</v>
      </c>
      <c r="C931" s="1" t="n">
        <v>46169</v>
      </c>
      <c r="D931" t="inlineStr">
        <is>
          <t>ÖREBRO LÄN</t>
        </is>
      </c>
      <c r="E931" t="inlineStr">
        <is>
          <t>LINDESBERG</t>
        </is>
      </c>
      <c r="G931" t="n">
        <v>7.6</v>
      </c>
      <c r="H931" t="n">
        <v>0</v>
      </c>
      <c r="I931" t="n">
        <v>0</v>
      </c>
      <c r="J931" t="n">
        <v>0</v>
      </c>
      <c r="K931" t="n">
        <v>0</v>
      </c>
      <c r="L931" t="n">
        <v>0</v>
      </c>
      <c r="M931" t="n">
        <v>0</v>
      </c>
      <c r="N931" t="n">
        <v>0</v>
      </c>
      <c r="O931" t="n">
        <v>0</v>
      </c>
      <c r="P931" t="n">
        <v>0</v>
      </c>
      <c r="Q931" t="n">
        <v>0</v>
      </c>
      <c r="R931" s="2" t="inlineStr"/>
    </row>
    <row r="932" ht="15" customHeight="1">
      <c r="A932" t="inlineStr">
        <is>
          <t>A 14028-2023</t>
        </is>
      </c>
      <c r="B932" s="1" t="n">
        <v>45008</v>
      </c>
      <c r="C932" s="1" t="n">
        <v>46169</v>
      </c>
      <c r="D932" t="inlineStr">
        <is>
          <t>ÖREBRO LÄN</t>
        </is>
      </c>
      <c r="E932" t="inlineStr">
        <is>
          <t>LINDESBERG</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31024-2023</t>
        </is>
      </c>
      <c r="B933" s="1" t="n">
        <v>45113</v>
      </c>
      <c r="C933" s="1" t="n">
        <v>46169</v>
      </c>
      <c r="D933" t="inlineStr">
        <is>
          <t>ÖREBRO LÄN</t>
        </is>
      </c>
      <c r="E933" t="inlineStr">
        <is>
          <t>LINDESBERG</t>
        </is>
      </c>
      <c r="G933" t="n">
        <v>5.1</v>
      </c>
      <c r="H933" t="n">
        <v>0</v>
      </c>
      <c r="I933" t="n">
        <v>0</v>
      </c>
      <c r="J933" t="n">
        <v>0</v>
      </c>
      <c r="K933" t="n">
        <v>0</v>
      </c>
      <c r="L933" t="n">
        <v>0</v>
      </c>
      <c r="M933" t="n">
        <v>0</v>
      </c>
      <c r="N933" t="n">
        <v>0</v>
      </c>
      <c r="O933" t="n">
        <v>0</v>
      </c>
      <c r="P933" t="n">
        <v>0</v>
      </c>
      <c r="Q933" t="n">
        <v>0</v>
      </c>
      <c r="R933" s="2" t="inlineStr"/>
    </row>
    <row r="934" ht="15" customHeight="1">
      <c r="A934" t="inlineStr">
        <is>
          <t>A 27052-2023</t>
        </is>
      </c>
      <c r="B934" s="1" t="n">
        <v>45095</v>
      </c>
      <c r="C934" s="1" t="n">
        <v>46169</v>
      </c>
      <c r="D934" t="inlineStr">
        <is>
          <t>ÖREBRO LÄN</t>
        </is>
      </c>
      <c r="E934" t="inlineStr">
        <is>
          <t>LINDESBERG</t>
        </is>
      </c>
      <c r="G934" t="n">
        <v>1.1</v>
      </c>
      <c r="H934" t="n">
        <v>0</v>
      </c>
      <c r="I934" t="n">
        <v>0</v>
      </c>
      <c r="J934" t="n">
        <v>0</v>
      </c>
      <c r="K934" t="n">
        <v>0</v>
      </c>
      <c r="L934" t="n">
        <v>0</v>
      </c>
      <c r="M934" t="n">
        <v>0</v>
      </c>
      <c r="N934" t="n">
        <v>0</v>
      </c>
      <c r="O934" t="n">
        <v>0</v>
      </c>
      <c r="P934" t="n">
        <v>0</v>
      </c>
      <c r="Q934" t="n">
        <v>0</v>
      </c>
      <c r="R934" s="2" t="inlineStr"/>
    </row>
    <row r="935" ht="15" customHeight="1">
      <c r="A935" t="inlineStr">
        <is>
          <t>A 12053-2024</t>
        </is>
      </c>
      <c r="B935" s="1" t="n">
        <v>45377.48265046296</v>
      </c>
      <c r="C935" s="1" t="n">
        <v>46169</v>
      </c>
      <c r="D935" t="inlineStr">
        <is>
          <t>ÖREBRO LÄN</t>
        </is>
      </c>
      <c r="E935" t="inlineStr">
        <is>
          <t>LINDESBERG</t>
        </is>
      </c>
      <c r="G935" t="n">
        <v>1.7</v>
      </c>
      <c r="H935" t="n">
        <v>0</v>
      </c>
      <c r="I935" t="n">
        <v>0</v>
      </c>
      <c r="J935" t="n">
        <v>0</v>
      </c>
      <c r="K935" t="n">
        <v>0</v>
      </c>
      <c r="L935" t="n">
        <v>0</v>
      </c>
      <c r="M935" t="n">
        <v>0</v>
      </c>
      <c r="N935" t="n">
        <v>0</v>
      </c>
      <c r="O935" t="n">
        <v>0</v>
      </c>
      <c r="P935" t="n">
        <v>0</v>
      </c>
      <c r="Q935" t="n">
        <v>0</v>
      </c>
      <c r="R935" s="2" t="inlineStr"/>
    </row>
    <row r="936" ht="15" customHeight="1">
      <c r="A936" t="inlineStr">
        <is>
          <t>A 626-2025</t>
        </is>
      </c>
      <c r="B936" s="1" t="n">
        <v>45664</v>
      </c>
      <c r="C936" s="1" t="n">
        <v>46169</v>
      </c>
      <c r="D936" t="inlineStr">
        <is>
          <t>ÖREBRO LÄN</t>
        </is>
      </c>
      <c r="E936" t="inlineStr">
        <is>
          <t>LINDESBERG</t>
        </is>
      </c>
      <c r="G936" t="n">
        <v>0.5</v>
      </c>
      <c r="H936" t="n">
        <v>0</v>
      </c>
      <c r="I936" t="n">
        <v>0</v>
      </c>
      <c r="J936" t="n">
        <v>0</v>
      </c>
      <c r="K936" t="n">
        <v>0</v>
      </c>
      <c r="L936" t="n">
        <v>0</v>
      </c>
      <c r="M936" t="n">
        <v>0</v>
      </c>
      <c r="N936" t="n">
        <v>0</v>
      </c>
      <c r="O936" t="n">
        <v>0</v>
      </c>
      <c r="P936" t="n">
        <v>0</v>
      </c>
      <c r="Q936" t="n">
        <v>0</v>
      </c>
      <c r="R936" s="2" t="inlineStr"/>
    </row>
    <row r="937" ht="15" customHeight="1">
      <c r="A937" t="inlineStr">
        <is>
          <t>A 13573-2025</t>
        </is>
      </c>
      <c r="B937" s="1" t="n">
        <v>45736</v>
      </c>
      <c r="C937" s="1" t="n">
        <v>46169</v>
      </c>
      <c r="D937" t="inlineStr">
        <is>
          <t>ÖREBRO LÄN</t>
        </is>
      </c>
      <c r="E937" t="inlineStr">
        <is>
          <t>LINDESBERG</t>
        </is>
      </c>
      <c r="G937" t="n">
        <v>11.7</v>
      </c>
      <c r="H937" t="n">
        <v>0</v>
      </c>
      <c r="I937" t="n">
        <v>0</v>
      </c>
      <c r="J937" t="n">
        <v>0</v>
      </c>
      <c r="K937" t="n">
        <v>0</v>
      </c>
      <c r="L937" t="n">
        <v>0</v>
      </c>
      <c r="M937" t="n">
        <v>0</v>
      </c>
      <c r="N937" t="n">
        <v>0</v>
      </c>
      <c r="O937" t="n">
        <v>0</v>
      </c>
      <c r="P937" t="n">
        <v>0</v>
      </c>
      <c r="Q937" t="n">
        <v>0</v>
      </c>
      <c r="R937" s="2" t="inlineStr"/>
    </row>
    <row r="938" ht="15" customHeight="1">
      <c r="A938" t="inlineStr">
        <is>
          <t>A 63686-2023</t>
        </is>
      </c>
      <c r="B938" s="1" t="n">
        <v>45274</v>
      </c>
      <c r="C938" s="1" t="n">
        <v>46169</v>
      </c>
      <c r="D938" t="inlineStr">
        <is>
          <t>ÖREBRO LÄN</t>
        </is>
      </c>
      <c r="E938" t="inlineStr">
        <is>
          <t>LINDESBERG</t>
        </is>
      </c>
      <c r="G938" t="n">
        <v>0.9</v>
      </c>
      <c r="H938" t="n">
        <v>0</v>
      </c>
      <c r="I938" t="n">
        <v>0</v>
      </c>
      <c r="J938" t="n">
        <v>0</v>
      </c>
      <c r="K938" t="n">
        <v>0</v>
      </c>
      <c r="L938" t="n">
        <v>0</v>
      </c>
      <c r="M938" t="n">
        <v>0</v>
      </c>
      <c r="N938" t="n">
        <v>0</v>
      </c>
      <c r="O938" t="n">
        <v>0</v>
      </c>
      <c r="P938" t="n">
        <v>0</v>
      </c>
      <c r="Q938" t="n">
        <v>0</v>
      </c>
      <c r="R938" s="2" t="inlineStr"/>
    </row>
    <row r="939" ht="15" customHeight="1">
      <c r="A939" t="inlineStr">
        <is>
          <t>A 64365-2023</t>
        </is>
      </c>
      <c r="B939" s="1" t="n">
        <v>45280</v>
      </c>
      <c r="C939" s="1" t="n">
        <v>46169</v>
      </c>
      <c r="D939" t="inlineStr">
        <is>
          <t>ÖREBRO LÄN</t>
        </is>
      </c>
      <c r="E939" t="inlineStr">
        <is>
          <t>LINDESBERG</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56217-2022</t>
        </is>
      </c>
      <c r="B940" s="1" t="n">
        <v>44890.46174768519</v>
      </c>
      <c r="C940" s="1" t="n">
        <v>46169</v>
      </c>
      <c r="D940" t="inlineStr">
        <is>
          <t>ÖREBRO LÄN</t>
        </is>
      </c>
      <c r="E940" t="inlineStr">
        <is>
          <t>LINDESBERG</t>
        </is>
      </c>
      <c r="G940" t="n">
        <v>6.9</v>
      </c>
      <c r="H940" t="n">
        <v>0</v>
      </c>
      <c r="I940" t="n">
        <v>0</v>
      </c>
      <c r="J940" t="n">
        <v>0</v>
      </c>
      <c r="K940" t="n">
        <v>0</v>
      </c>
      <c r="L940" t="n">
        <v>0</v>
      </c>
      <c r="M940" t="n">
        <v>0</v>
      </c>
      <c r="N940" t="n">
        <v>0</v>
      </c>
      <c r="O940" t="n">
        <v>0</v>
      </c>
      <c r="P940" t="n">
        <v>0</v>
      </c>
      <c r="Q940" t="n">
        <v>0</v>
      </c>
      <c r="R940" s="2" t="inlineStr"/>
    </row>
    <row r="941" ht="15" customHeight="1">
      <c r="A941" t="inlineStr">
        <is>
          <t>A 5550-2024</t>
        </is>
      </c>
      <c r="B941" s="1" t="n">
        <v>45334</v>
      </c>
      <c r="C941" s="1" t="n">
        <v>46169</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32829-2024</t>
        </is>
      </c>
      <c r="B942" s="1" t="n">
        <v>45516.59447916667</v>
      </c>
      <c r="C942" s="1" t="n">
        <v>46169</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29350-2022</t>
        </is>
      </c>
      <c r="B943" s="1" t="n">
        <v>44753</v>
      </c>
      <c r="C943" s="1" t="n">
        <v>46169</v>
      </c>
      <c r="D943" t="inlineStr">
        <is>
          <t>ÖREBRO LÄN</t>
        </is>
      </c>
      <c r="E943" t="inlineStr">
        <is>
          <t>LINDESBERG</t>
        </is>
      </c>
      <c r="G943" t="n">
        <v>7.7</v>
      </c>
      <c r="H943" t="n">
        <v>0</v>
      </c>
      <c r="I943" t="n">
        <v>0</v>
      </c>
      <c r="J943" t="n">
        <v>0</v>
      </c>
      <c r="K943" t="n">
        <v>0</v>
      </c>
      <c r="L943" t="n">
        <v>0</v>
      </c>
      <c r="M943" t="n">
        <v>0</v>
      </c>
      <c r="N943" t="n">
        <v>0</v>
      </c>
      <c r="O943" t="n">
        <v>0</v>
      </c>
      <c r="P943" t="n">
        <v>0</v>
      </c>
      <c r="Q943" t="n">
        <v>0</v>
      </c>
      <c r="R943" s="2" t="inlineStr"/>
    </row>
    <row r="944" ht="15" customHeight="1">
      <c r="A944" t="inlineStr">
        <is>
          <t>A 53510-2024</t>
        </is>
      </c>
      <c r="B944" s="1" t="n">
        <v>45614.5968287037</v>
      </c>
      <c r="C944" s="1" t="n">
        <v>46169</v>
      </c>
      <c r="D944" t="inlineStr">
        <is>
          <t>ÖREBRO LÄN</t>
        </is>
      </c>
      <c r="E944" t="inlineStr">
        <is>
          <t>LINDESBERG</t>
        </is>
      </c>
      <c r="G944" t="n">
        <v>1</v>
      </c>
      <c r="H944" t="n">
        <v>0</v>
      </c>
      <c r="I944" t="n">
        <v>0</v>
      </c>
      <c r="J944" t="n">
        <v>0</v>
      </c>
      <c r="K944" t="n">
        <v>0</v>
      </c>
      <c r="L944" t="n">
        <v>0</v>
      </c>
      <c r="M944" t="n">
        <v>0</v>
      </c>
      <c r="N944" t="n">
        <v>0</v>
      </c>
      <c r="O944" t="n">
        <v>0</v>
      </c>
      <c r="P944" t="n">
        <v>0</v>
      </c>
      <c r="Q944" t="n">
        <v>0</v>
      </c>
      <c r="R944" s="2" t="inlineStr"/>
    </row>
    <row r="945" ht="15" customHeight="1">
      <c r="A945" t="inlineStr">
        <is>
          <t>A 58710-2023</t>
        </is>
      </c>
      <c r="B945" s="1" t="n">
        <v>45251.696875</v>
      </c>
      <c r="C945" s="1" t="n">
        <v>46169</v>
      </c>
      <c r="D945" t="inlineStr">
        <is>
          <t>ÖREBRO LÄN</t>
        </is>
      </c>
      <c r="E945" t="inlineStr">
        <is>
          <t>LINDESBERG</t>
        </is>
      </c>
      <c r="G945" t="n">
        <v>6.3</v>
      </c>
      <c r="H945" t="n">
        <v>0</v>
      </c>
      <c r="I945" t="n">
        <v>0</v>
      </c>
      <c r="J945" t="n">
        <v>0</v>
      </c>
      <c r="K945" t="n">
        <v>0</v>
      </c>
      <c r="L945" t="n">
        <v>0</v>
      </c>
      <c r="M945" t="n">
        <v>0</v>
      </c>
      <c r="N945" t="n">
        <v>0</v>
      </c>
      <c r="O945" t="n">
        <v>0</v>
      </c>
      <c r="P945" t="n">
        <v>0</v>
      </c>
      <c r="Q945" t="n">
        <v>0</v>
      </c>
      <c r="R945" s="2" t="inlineStr"/>
    </row>
    <row r="946" ht="15" customHeight="1">
      <c r="A946" t="inlineStr">
        <is>
          <t>A 60449-2024</t>
        </is>
      </c>
      <c r="B946" s="1" t="n">
        <v>45643</v>
      </c>
      <c r="C946" s="1" t="n">
        <v>46169</v>
      </c>
      <c r="D946" t="inlineStr">
        <is>
          <t>ÖREBRO LÄN</t>
        </is>
      </c>
      <c r="E946" t="inlineStr">
        <is>
          <t>LINDESBERG</t>
        </is>
      </c>
      <c r="G946" t="n">
        <v>1.2</v>
      </c>
      <c r="H946" t="n">
        <v>0</v>
      </c>
      <c r="I946" t="n">
        <v>0</v>
      </c>
      <c r="J946" t="n">
        <v>0</v>
      </c>
      <c r="K946" t="n">
        <v>0</v>
      </c>
      <c r="L946" t="n">
        <v>0</v>
      </c>
      <c r="M946" t="n">
        <v>0</v>
      </c>
      <c r="N946" t="n">
        <v>0</v>
      </c>
      <c r="O946" t="n">
        <v>0</v>
      </c>
      <c r="P946" t="n">
        <v>0</v>
      </c>
      <c r="Q946" t="n">
        <v>0</v>
      </c>
      <c r="R946" s="2" t="inlineStr"/>
    </row>
    <row r="947" ht="15" customHeight="1">
      <c r="A947" t="inlineStr">
        <is>
          <t>A 15894-2025</t>
        </is>
      </c>
      <c r="B947" s="1" t="n">
        <v>45749</v>
      </c>
      <c r="C947" s="1" t="n">
        <v>46169</v>
      </c>
      <c r="D947" t="inlineStr">
        <is>
          <t>ÖREBRO LÄN</t>
        </is>
      </c>
      <c r="E947" t="inlineStr">
        <is>
          <t>LINDESBERG</t>
        </is>
      </c>
      <c r="G947" t="n">
        <v>1.5</v>
      </c>
      <c r="H947" t="n">
        <v>0</v>
      </c>
      <c r="I947" t="n">
        <v>0</v>
      </c>
      <c r="J947" t="n">
        <v>0</v>
      </c>
      <c r="K947" t="n">
        <v>0</v>
      </c>
      <c r="L947" t="n">
        <v>0</v>
      </c>
      <c r="M947" t="n">
        <v>0</v>
      </c>
      <c r="N947" t="n">
        <v>0</v>
      </c>
      <c r="O947" t="n">
        <v>0</v>
      </c>
      <c r="P947" t="n">
        <v>0</v>
      </c>
      <c r="Q947" t="n">
        <v>0</v>
      </c>
      <c r="R947" s="2" t="inlineStr"/>
    </row>
    <row r="948" ht="15" customHeight="1">
      <c r="A948" t="inlineStr">
        <is>
          <t>A 43529-2024</t>
        </is>
      </c>
      <c r="B948" s="1" t="n">
        <v>45569.35209490741</v>
      </c>
      <c r="C948" s="1" t="n">
        <v>46169</v>
      </c>
      <c r="D948" t="inlineStr">
        <is>
          <t>ÖREBRO LÄN</t>
        </is>
      </c>
      <c r="E948" t="inlineStr">
        <is>
          <t>LINDESBERG</t>
        </is>
      </c>
      <c r="G948" t="n">
        <v>2.8</v>
      </c>
      <c r="H948" t="n">
        <v>0</v>
      </c>
      <c r="I948" t="n">
        <v>0</v>
      </c>
      <c r="J948" t="n">
        <v>0</v>
      </c>
      <c r="K948" t="n">
        <v>0</v>
      </c>
      <c r="L948" t="n">
        <v>0</v>
      </c>
      <c r="M948" t="n">
        <v>0</v>
      </c>
      <c r="N948" t="n">
        <v>0</v>
      </c>
      <c r="O948" t="n">
        <v>0</v>
      </c>
      <c r="P948" t="n">
        <v>0</v>
      </c>
      <c r="Q948" t="n">
        <v>0</v>
      </c>
      <c r="R948" s="2" t="inlineStr"/>
    </row>
    <row r="949" ht="15" customHeight="1">
      <c r="A949" t="inlineStr">
        <is>
          <t>A 54864-2024</t>
        </is>
      </c>
      <c r="B949" s="1" t="n">
        <v>45618.59456018519</v>
      </c>
      <c r="C949" s="1" t="n">
        <v>46169</v>
      </c>
      <c r="D949" t="inlineStr">
        <is>
          <t>ÖREBRO LÄN</t>
        </is>
      </c>
      <c r="E949" t="inlineStr">
        <is>
          <t>LINDESBERG</t>
        </is>
      </c>
      <c r="F949" t="inlineStr">
        <is>
          <t>Sveaskog</t>
        </is>
      </c>
      <c r="G949" t="n">
        <v>4.4</v>
      </c>
      <c r="H949" t="n">
        <v>0</v>
      </c>
      <c r="I949" t="n">
        <v>0</v>
      </c>
      <c r="J949" t="n">
        <v>0</v>
      </c>
      <c r="K949" t="n">
        <v>0</v>
      </c>
      <c r="L949" t="n">
        <v>0</v>
      </c>
      <c r="M949" t="n">
        <v>0</v>
      </c>
      <c r="N949" t="n">
        <v>0</v>
      </c>
      <c r="O949" t="n">
        <v>0</v>
      </c>
      <c r="P949" t="n">
        <v>0</v>
      </c>
      <c r="Q949" t="n">
        <v>0</v>
      </c>
      <c r="R949" s="2" t="inlineStr"/>
    </row>
    <row r="950" ht="15" customHeight="1">
      <c r="A950" t="inlineStr">
        <is>
          <t>A 32009-2023</t>
        </is>
      </c>
      <c r="B950" s="1" t="n">
        <v>45119</v>
      </c>
      <c r="C950" s="1" t="n">
        <v>46169</v>
      </c>
      <c r="D950" t="inlineStr">
        <is>
          <t>ÖREBRO LÄN</t>
        </is>
      </c>
      <c r="E950" t="inlineStr">
        <is>
          <t>LINDESBERG</t>
        </is>
      </c>
      <c r="F950" t="inlineStr">
        <is>
          <t>Kyrkan</t>
        </is>
      </c>
      <c r="G950" t="n">
        <v>0.8</v>
      </c>
      <c r="H950" t="n">
        <v>0</v>
      </c>
      <c r="I950" t="n">
        <v>0</v>
      </c>
      <c r="J950" t="n">
        <v>0</v>
      </c>
      <c r="K950" t="n">
        <v>0</v>
      </c>
      <c r="L950" t="n">
        <v>0</v>
      </c>
      <c r="M950" t="n">
        <v>0</v>
      </c>
      <c r="N950" t="n">
        <v>0</v>
      </c>
      <c r="O950" t="n">
        <v>0</v>
      </c>
      <c r="P950" t="n">
        <v>0</v>
      </c>
      <c r="Q950" t="n">
        <v>0</v>
      </c>
      <c r="R950" s="2" t="inlineStr"/>
    </row>
    <row r="951" ht="15" customHeight="1">
      <c r="A951" t="inlineStr">
        <is>
          <t>A 3148-2023</t>
        </is>
      </c>
      <c r="B951" s="1" t="n">
        <v>44946.54424768518</v>
      </c>
      <c r="C951" s="1" t="n">
        <v>46169</v>
      </c>
      <c r="D951" t="inlineStr">
        <is>
          <t>ÖREBRO LÄN</t>
        </is>
      </c>
      <c r="E951" t="inlineStr">
        <is>
          <t>LINDESBERG</t>
        </is>
      </c>
      <c r="G951" t="n">
        <v>5.5</v>
      </c>
      <c r="H951" t="n">
        <v>0</v>
      </c>
      <c r="I951" t="n">
        <v>0</v>
      </c>
      <c r="J951" t="n">
        <v>0</v>
      </c>
      <c r="K951" t="n">
        <v>0</v>
      </c>
      <c r="L951" t="n">
        <v>0</v>
      </c>
      <c r="M951" t="n">
        <v>0</v>
      </c>
      <c r="N951" t="n">
        <v>0</v>
      </c>
      <c r="O951" t="n">
        <v>0</v>
      </c>
      <c r="P951" t="n">
        <v>0</v>
      </c>
      <c r="Q951" t="n">
        <v>0</v>
      </c>
      <c r="R951" s="2" t="inlineStr"/>
    </row>
    <row r="952" ht="15" customHeight="1">
      <c r="A952" t="inlineStr">
        <is>
          <t>A 54855-2024</t>
        </is>
      </c>
      <c r="B952" s="1" t="n">
        <v>45618.58622685185</v>
      </c>
      <c r="C952" s="1" t="n">
        <v>46169</v>
      </c>
      <c r="D952" t="inlineStr">
        <is>
          <t>ÖREBRO LÄN</t>
        </is>
      </c>
      <c r="E952" t="inlineStr">
        <is>
          <t>LINDESBERG</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37432-2022</t>
        </is>
      </c>
      <c r="B953" s="1" t="n">
        <v>44809</v>
      </c>
      <c r="C953" s="1" t="n">
        <v>46169</v>
      </c>
      <c r="D953" t="inlineStr">
        <is>
          <t>ÖREBRO LÄN</t>
        </is>
      </c>
      <c r="E953" t="inlineStr">
        <is>
          <t>LINDESBERG</t>
        </is>
      </c>
      <c r="G953" t="n">
        <v>3.6</v>
      </c>
      <c r="H953" t="n">
        <v>0</v>
      </c>
      <c r="I953" t="n">
        <v>0</v>
      </c>
      <c r="J953" t="n">
        <v>0</v>
      </c>
      <c r="K953" t="n">
        <v>0</v>
      </c>
      <c r="L953" t="n">
        <v>0</v>
      </c>
      <c r="M953" t="n">
        <v>0</v>
      </c>
      <c r="N953" t="n">
        <v>0</v>
      </c>
      <c r="O953" t="n">
        <v>0</v>
      </c>
      <c r="P953" t="n">
        <v>0</v>
      </c>
      <c r="Q953" t="n">
        <v>0</v>
      </c>
      <c r="R953" s="2" t="inlineStr"/>
    </row>
    <row r="954" ht="15" customHeight="1">
      <c r="A954" t="inlineStr">
        <is>
          <t>A 61202-2023</t>
        </is>
      </c>
      <c r="B954" s="1" t="n">
        <v>45264.38084490741</v>
      </c>
      <c r="C954" s="1" t="n">
        <v>46169</v>
      </c>
      <c r="D954" t="inlineStr">
        <is>
          <t>ÖREBRO LÄN</t>
        </is>
      </c>
      <c r="E954" t="inlineStr">
        <is>
          <t>LINDESBERG</t>
        </is>
      </c>
      <c r="G954" t="n">
        <v>0.9</v>
      </c>
      <c r="H954" t="n">
        <v>0</v>
      </c>
      <c r="I954" t="n">
        <v>0</v>
      </c>
      <c r="J954" t="n">
        <v>0</v>
      </c>
      <c r="K954" t="n">
        <v>0</v>
      </c>
      <c r="L954" t="n">
        <v>0</v>
      </c>
      <c r="M954" t="n">
        <v>0</v>
      </c>
      <c r="N954" t="n">
        <v>0</v>
      </c>
      <c r="O954" t="n">
        <v>0</v>
      </c>
      <c r="P954" t="n">
        <v>0</v>
      </c>
      <c r="Q954" t="n">
        <v>0</v>
      </c>
      <c r="R954" s="2" t="inlineStr"/>
    </row>
    <row r="955" ht="15" customHeight="1">
      <c r="A955" t="inlineStr">
        <is>
          <t>A 7120-2025</t>
        </is>
      </c>
      <c r="B955" s="1" t="n">
        <v>45702</v>
      </c>
      <c r="C955" s="1" t="n">
        <v>46169</v>
      </c>
      <c r="D955" t="inlineStr">
        <is>
          <t>ÖREBRO LÄN</t>
        </is>
      </c>
      <c r="E955" t="inlineStr">
        <is>
          <t>LINDESBERG</t>
        </is>
      </c>
      <c r="G955" t="n">
        <v>0.5</v>
      </c>
      <c r="H955" t="n">
        <v>0</v>
      </c>
      <c r="I955" t="n">
        <v>0</v>
      </c>
      <c r="J955" t="n">
        <v>0</v>
      </c>
      <c r="K955" t="n">
        <v>0</v>
      </c>
      <c r="L955" t="n">
        <v>0</v>
      </c>
      <c r="M955" t="n">
        <v>0</v>
      </c>
      <c r="N955" t="n">
        <v>0</v>
      </c>
      <c r="O955" t="n">
        <v>0</v>
      </c>
      <c r="P955" t="n">
        <v>0</v>
      </c>
      <c r="Q955" t="n">
        <v>0</v>
      </c>
      <c r="R955" s="2" t="inlineStr"/>
    </row>
    <row r="956" ht="15" customHeight="1">
      <c r="A956" t="inlineStr">
        <is>
          <t>A 195-2022</t>
        </is>
      </c>
      <c r="B956" s="1" t="n">
        <v>44564</v>
      </c>
      <c r="C956" s="1" t="n">
        <v>46169</v>
      </c>
      <c r="D956" t="inlineStr">
        <is>
          <t>ÖREBRO LÄN</t>
        </is>
      </c>
      <c r="E956" t="inlineStr">
        <is>
          <t>LINDESBERG</t>
        </is>
      </c>
      <c r="G956" t="n">
        <v>4.7</v>
      </c>
      <c r="H956" t="n">
        <v>0</v>
      </c>
      <c r="I956" t="n">
        <v>0</v>
      </c>
      <c r="J956" t="n">
        <v>0</v>
      </c>
      <c r="K956" t="n">
        <v>0</v>
      </c>
      <c r="L956" t="n">
        <v>0</v>
      </c>
      <c r="M956" t="n">
        <v>0</v>
      </c>
      <c r="N956" t="n">
        <v>0</v>
      </c>
      <c r="O956" t="n">
        <v>0</v>
      </c>
      <c r="P956" t="n">
        <v>0</v>
      </c>
      <c r="Q956" t="n">
        <v>0</v>
      </c>
      <c r="R956" s="2" t="inlineStr"/>
    </row>
    <row r="957" ht="15" customHeight="1">
      <c r="A957" t="inlineStr">
        <is>
          <t>A 51379-2023</t>
        </is>
      </c>
      <c r="B957" s="1" t="n">
        <v>45219</v>
      </c>
      <c r="C957" s="1" t="n">
        <v>46169</v>
      </c>
      <c r="D957" t="inlineStr">
        <is>
          <t>ÖREBRO LÄN</t>
        </is>
      </c>
      <c r="E957" t="inlineStr">
        <is>
          <t>LINDESBERG</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16054-2022</t>
        </is>
      </c>
      <c r="B958" s="1" t="n">
        <v>44665</v>
      </c>
      <c r="C958" s="1" t="n">
        <v>46169</v>
      </c>
      <c r="D958" t="inlineStr">
        <is>
          <t>ÖREBRO LÄN</t>
        </is>
      </c>
      <c r="E958" t="inlineStr">
        <is>
          <t>LINDESBERG</t>
        </is>
      </c>
      <c r="G958" t="n">
        <v>6.9</v>
      </c>
      <c r="H958" t="n">
        <v>0</v>
      </c>
      <c r="I958" t="n">
        <v>0</v>
      </c>
      <c r="J958" t="n">
        <v>0</v>
      </c>
      <c r="K958" t="n">
        <v>0</v>
      </c>
      <c r="L958" t="n">
        <v>0</v>
      </c>
      <c r="M958" t="n">
        <v>0</v>
      </c>
      <c r="N958" t="n">
        <v>0</v>
      </c>
      <c r="O958" t="n">
        <v>0</v>
      </c>
      <c r="P958" t="n">
        <v>0</v>
      </c>
      <c r="Q958" t="n">
        <v>0</v>
      </c>
      <c r="R958" s="2" t="inlineStr"/>
    </row>
    <row r="959" ht="15" customHeight="1">
      <c r="A959" t="inlineStr">
        <is>
          <t>A 49544-2023</t>
        </is>
      </c>
      <c r="B959" s="1" t="n">
        <v>45211</v>
      </c>
      <c r="C959" s="1" t="n">
        <v>46169</v>
      </c>
      <c r="D959" t="inlineStr">
        <is>
          <t>ÖREBRO LÄN</t>
        </is>
      </c>
      <c r="E959" t="inlineStr">
        <is>
          <t>LINDESBERG</t>
        </is>
      </c>
      <c r="G959" t="n">
        <v>0.5</v>
      </c>
      <c r="H959" t="n">
        <v>0</v>
      </c>
      <c r="I959" t="n">
        <v>0</v>
      </c>
      <c r="J959" t="n">
        <v>0</v>
      </c>
      <c r="K959" t="n">
        <v>0</v>
      </c>
      <c r="L959" t="n">
        <v>0</v>
      </c>
      <c r="M959" t="n">
        <v>0</v>
      </c>
      <c r="N959" t="n">
        <v>0</v>
      </c>
      <c r="O959" t="n">
        <v>0</v>
      </c>
      <c r="P959" t="n">
        <v>0</v>
      </c>
      <c r="Q959" t="n">
        <v>0</v>
      </c>
      <c r="R959" s="2" t="inlineStr"/>
    </row>
    <row r="960" ht="15" customHeight="1">
      <c r="A960" t="inlineStr">
        <is>
          <t>A 48756-2024</t>
        </is>
      </c>
      <c r="B960" s="1" t="n">
        <v>45593.59681712963</v>
      </c>
      <c r="C960" s="1" t="n">
        <v>46169</v>
      </c>
      <c r="D960" t="inlineStr">
        <is>
          <t>ÖREBRO LÄN</t>
        </is>
      </c>
      <c r="E960" t="inlineStr">
        <is>
          <t>LINDESBERG</t>
        </is>
      </c>
      <c r="G960" t="n">
        <v>1.6</v>
      </c>
      <c r="H960" t="n">
        <v>0</v>
      </c>
      <c r="I960" t="n">
        <v>0</v>
      </c>
      <c r="J960" t="n">
        <v>0</v>
      </c>
      <c r="K960" t="n">
        <v>0</v>
      </c>
      <c r="L960" t="n">
        <v>0</v>
      </c>
      <c r="M960" t="n">
        <v>0</v>
      </c>
      <c r="N960" t="n">
        <v>0</v>
      </c>
      <c r="O960" t="n">
        <v>0</v>
      </c>
      <c r="P960" t="n">
        <v>0</v>
      </c>
      <c r="Q960" t="n">
        <v>0</v>
      </c>
      <c r="R960" s="2" t="inlineStr"/>
    </row>
    <row r="961" ht="15" customHeight="1">
      <c r="A961" t="inlineStr">
        <is>
          <t>A 15892-2025</t>
        </is>
      </c>
      <c r="B961" s="1" t="n">
        <v>45749</v>
      </c>
      <c r="C961" s="1" t="n">
        <v>46169</v>
      </c>
      <c r="D961" t="inlineStr">
        <is>
          <t>ÖREBRO LÄN</t>
        </is>
      </c>
      <c r="E961" t="inlineStr">
        <is>
          <t>LINDESBERG</t>
        </is>
      </c>
      <c r="G961" t="n">
        <v>0.8</v>
      </c>
      <c r="H961" t="n">
        <v>0</v>
      </c>
      <c r="I961" t="n">
        <v>0</v>
      </c>
      <c r="J961" t="n">
        <v>0</v>
      </c>
      <c r="K961" t="n">
        <v>0</v>
      </c>
      <c r="L961" t="n">
        <v>0</v>
      </c>
      <c r="M961" t="n">
        <v>0</v>
      </c>
      <c r="N961" t="n">
        <v>0</v>
      </c>
      <c r="O961" t="n">
        <v>0</v>
      </c>
      <c r="P961" t="n">
        <v>0</v>
      </c>
      <c r="Q961" t="n">
        <v>0</v>
      </c>
      <c r="R961" s="2" t="inlineStr"/>
    </row>
    <row r="962" ht="15" customHeight="1">
      <c r="A962" t="inlineStr">
        <is>
          <t>A 23260-2024</t>
        </is>
      </c>
      <c r="B962" s="1" t="n">
        <v>45453.36664351852</v>
      </c>
      <c r="C962" s="1" t="n">
        <v>46169</v>
      </c>
      <c r="D962" t="inlineStr">
        <is>
          <t>ÖREBRO LÄN</t>
        </is>
      </c>
      <c r="E962" t="inlineStr">
        <is>
          <t>LINDESBERG</t>
        </is>
      </c>
      <c r="F962" t="inlineStr">
        <is>
          <t>Sveaskog</t>
        </is>
      </c>
      <c r="G962" t="n">
        <v>0.3</v>
      </c>
      <c r="H962" t="n">
        <v>0</v>
      </c>
      <c r="I962" t="n">
        <v>0</v>
      </c>
      <c r="J962" t="n">
        <v>0</v>
      </c>
      <c r="K962" t="n">
        <v>0</v>
      </c>
      <c r="L962" t="n">
        <v>0</v>
      </c>
      <c r="M962" t="n">
        <v>0</v>
      </c>
      <c r="N962" t="n">
        <v>0</v>
      </c>
      <c r="O962" t="n">
        <v>0</v>
      </c>
      <c r="P962" t="n">
        <v>0</v>
      </c>
      <c r="Q962" t="n">
        <v>0</v>
      </c>
      <c r="R962" s="2" t="inlineStr"/>
    </row>
    <row r="963" ht="15" customHeight="1">
      <c r="A963" t="inlineStr">
        <is>
          <t>A 46607-2021</t>
        </is>
      </c>
      <c r="B963" s="1" t="n">
        <v>44445.55690972223</v>
      </c>
      <c r="C963" s="1" t="n">
        <v>46169</v>
      </c>
      <c r="D963" t="inlineStr">
        <is>
          <t>ÖREBRO LÄN</t>
        </is>
      </c>
      <c r="E963" t="inlineStr">
        <is>
          <t>LINDESBERG</t>
        </is>
      </c>
      <c r="F963" t="inlineStr">
        <is>
          <t>Sveaskog</t>
        </is>
      </c>
      <c r="G963" t="n">
        <v>2.3</v>
      </c>
      <c r="H963" t="n">
        <v>0</v>
      </c>
      <c r="I963" t="n">
        <v>0</v>
      </c>
      <c r="J963" t="n">
        <v>0</v>
      </c>
      <c r="K963" t="n">
        <v>0</v>
      </c>
      <c r="L963" t="n">
        <v>0</v>
      </c>
      <c r="M963" t="n">
        <v>0</v>
      </c>
      <c r="N963" t="n">
        <v>0</v>
      </c>
      <c r="O963" t="n">
        <v>0</v>
      </c>
      <c r="P963" t="n">
        <v>0</v>
      </c>
      <c r="Q963" t="n">
        <v>0</v>
      </c>
      <c r="R963" s="2" t="inlineStr"/>
    </row>
    <row r="964" ht="15" customHeight="1">
      <c r="A964" t="inlineStr">
        <is>
          <t>A 20930-2025</t>
        </is>
      </c>
      <c r="B964" s="1" t="n">
        <v>45777.42628472222</v>
      </c>
      <c r="C964" s="1" t="n">
        <v>46169</v>
      </c>
      <c r="D964" t="inlineStr">
        <is>
          <t>ÖREBRO LÄN</t>
        </is>
      </c>
      <c r="E964" t="inlineStr">
        <is>
          <t>LINDESBERG</t>
        </is>
      </c>
      <c r="F964" t="inlineStr">
        <is>
          <t>Sveaskog</t>
        </is>
      </c>
      <c r="G964" t="n">
        <v>3.9</v>
      </c>
      <c r="H964" t="n">
        <v>0</v>
      </c>
      <c r="I964" t="n">
        <v>0</v>
      </c>
      <c r="J964" t="n">
        <v>0</v>
      </c>
      <c r="K964" t="n">
        <v>0</v>
      </c>
      <c r="L964" t="n">
        <v>0</v>
      </c>
      <c r="M964" t="n">
        <v>0</v>
      </c>
      <c r="N964" t="n">
        <v>0</v>
      </c>
      <c r="O964" t="n">
        <v>0</v>
      </c>
      <c r="P964" t="n">
        <v>0</v>
      </c>
      <c r="Q964" t="n">
        <v>0</v>
      </c>
      <c r="R964" s="2" t="inlineStr"/>
    </row>
    <row r="965" ht="15" customHeight="1">
      <c r="A965" t="inlineStr">
        <is>
          <t>A 20923-2025</t>
        </is>
      </c>
      <c r="B965" s="1" t="n">
        <v>45777.41673611111</v>
      </c>
      <c r="C965" s="1" t="n">
        <v>46169</v>
      </c>
      <c r="D965" t="inlineStr">
        <is>
          <t>ÖREBRO LÄN</t>
        </is>
      </c>
      <c r="E965" t="inlineStr">
        <is>
          <t>LINDESBERG</t>
        </is>
      </c>
      <c r="F965" t="inlineStr">
        <is>
          <t>Sveaskog</t>
        </is>
      </c>
      <c r="G965" t="n">
        <v>10.3</v>
      </c>
      <c r="H965" t="n">
        <v>0</v>
      </c>
      <c r="I965" t="n">
        <v>0</v>
      </c>
      <c r="J965" t="n">
        <v>0</v>
      </c>
      <c r="K965" t="n">
        <v>0</v>
      </c>
      <c r="L965" t="n">
        <v>0</v>
      </c>
      <c r="M965" t="n">
        <v>0</v>
      </c>
      <c r="N965" t="n">
        <v>0</v>
      </c>
      <c r="O965" t="n">
        <v>0</v>
      </c>
      <c r="P965" t="n">
        <v>0</v>
      </c>
      <c r="Q965" t="n">
        <v>0</v>
      </c>
      <c r="R965" s="2" t="inlineStr"/>
    </row>
    <row r="966" ht="15" customHeight="1">
      <c r="A966" t="inlineStr">
        <is>
          <t>A 12795-2025</t>
        </is>
      </c>
      <c r="B966" s="1" t="n">
        <v>45733.60959490741</v>
      </c>
      <c r="C966" s="1" t="n">
        <v>46169</v>
      </c>
      <c r="D966" t="inlineStr">
        <is>
          <t>ÖREBRO LÄN</t>
        </is>
      </c>
      <c r="E966" t="inlineStr">
        <is>
          <t>LINDESBERG</t>
        </is>
      </c>
      <c r="G966" t="n">
        <v>10.8</v>
      </c>
      <c r="H966" t="n">
        <v>0</v>
      </c>
      <c r="I966" t="n">
        <v>0</v>
      </c>
      <c r="J966" t="n">
        <v>0</v>
      </c>
      <c r="K966" t="n">
        <v>0</v>
      </c>
      <c r="L966" t="n">
        <v>0</v>
      </c>
      <c r="M966" t="n">
        <v>0</v>
      </c>
      <c r="N966" t="n">
        <v>0</v>
      </c>
      <c r="O966" t="n">
        <v>0</v>
      </c>
      <c r="P966" t="n">
        <v>0</v>
      </c>
      <c r="Q966" t="n">
        <v>0</v>
      </c>
      <c r="R966" s="2" t="inlineStr"/>
    </row>
    <row r="967" ht="15" customHeight="1">
      <c r="A967" t="inlineStr">
        <is>
          <t>A 20944-2025</t>
        </is>
      </c>
      <c r="B967" s="1" t="n">
        <v>45777</v>
      </c>
      <c r="C967" s="1" t="n">
        <v>46169</v>
      </c>
      <c r="D967" t="inlineStr">
        <is>
          <t>ÖREBRO LÄN</t>
        </is>
      </c>
      <c r="E967" t="inlineStr">
        <is>
          <t>LINDESBERG</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20950-2025</t>
        </is>
      </c>
      <c r="B968" s="1" t="n">
        <v>45777.43878472222</v>
      </c>
      <c r="C968" s="1" t="n">
        <v>46169</v>
      </c>
      <c r="D968" t="inlineStr">
        <is>
          <t>ÖREBRO LÄN</t>
        </is>
      </c>
      <c r="E968" t="inlineStr">
        <is>
          <t>LINDESBERG</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20804-2025</t>
        </is>
      </c>
      <c r="B969" s="1" t="n">
        <v>45776.65518518518</v>
      </c>
      <c r="C969" s="1" t="n">
        <v>46169</v>
      </c>
      <c r="D969" t="inlineStr">
        <is>
          <t>ÖREBRO LÄN</t>
        </is>
      </c>
      <c r="E969" t="inlineStr">
        <is>
          <t>LINDESBERG</t>
        </is>
      </c>
      <c r="G969" t="n">
        <v>3.2</v>
      </c>
      <c r="H969" t="n">
        <v>0</v>
      </c>
      <c r="I969" t="n">
        <v>0</v>
      </c>
      <c r="J969" t="n">
        <v>0</v>
      </c>
      <c r="K969" t="n">
        <v>0</v>
      </c>
      <c r="L969" t="n">
        <v>0</v>
      </c>
      <c r="M969" t="n">
        <v>0</v>
      </c>
      <c r="N969" t="n">
        <v>0</v>
      </c>
      <c r="O969" t="n">
        <v>0</v>
      </c>
      <c r="P969" t="n">
        <v>0</v>
      </c>
      <c r="Q969" t="n">
        <v>0</v>
      </c>
      <c r="R969" s="2" t="inlineStr"/>
    </row>
    <row r="970" ht="15" customHeight="1">
      <c r="A970" t="inlineStr">
        <is>
          <t>A 21812-2025</t>
        </is>
      </c>
      <c r="B970" s="1" t="n">
        <v>45783.71833333333</v>
      </c>
      <c r="C970" s="1" t="n">
        <v>46169</v>
      </c>
      <c r="D970" t="inlineStr">
        <is>
          <t>ÖREBRO LÄN</t>
        </is>
      </c>
      <c r="E970" t="inlineStr">
        <is>
          <t>LINDESBERG</t>
        </is>
      </c>
      <c r="G970" t="n">
        <v>0.9</v>
      </c>
      <c r="H970" t="n">
        <v>0</v>
      </c>
      <c r="I970" t="n">
        <v>0</v>
      </c>
      <c r="J970" t="n">
        <v>0</v>
      </c>
      <c r="K970" t="n">
        <v>0</v>
      </c>
      <c r="L970" t="n">
        <v>0</v>
      </c>
      <c r="M970" t="n">
        <v>0</v>
      </c>
      <c r="N970" t="n">
        <v>0</v>
      </c>
      <c r="O970" t="n">
        <v>0</v>
      </c>
      <c r="P970" t="n">
        <v>0</v>
      </c>
      <c r="Q970" t="n">
        <v>0</v>
      </c>
      <c r="R970" s="2" t="inlineStr"/>
    </row>
    <row r="971" ht="15" customHeight="1">
      <c r="A971" t="inlineStr">
        <is>
          <t>A 43195-2024</t>
        </is>
      </c>
      <c r="B971" s="1" t="n">
        <v>45567.68003472222</v>
      </c>
      <c r="C971" s="1" t="n">
        <v>46169</v>
      </c>
      <c r="D971" t="inlineStr">
        <is>
          <t>ÖREBRO LÄN</t>
        </is>
      </c>
      <c r="E971" t="inlineStr">
        <is>
          <t>LINDESBERG</t>
        </is>
      </c>
      <c r="G971" t="n">
        <v>27.8</v>
      </c>
      <c r="H971" t="n">
        <v>0</v>
      </c>
      <c r="I971" t="n">
        <v>0</v>
      </c>
      <c r="J971" t="n">
        <v>0</v>
      </c>
      <c r="K971" t="n">
        <v>0</v>
      </c>
      <c r="L971" t="n">
        <v>0</v>
      </c>
      <c r="M971" t="n">
        <v>0</v>
      </c>
      <c r="N971" t="n">
        <v>0</v>
      </c>
      <c r="O971" t="n">
        <v>0</v>
      </c>
      <c r="P971" t="n">
        <v>0</v>
      </c>
      <c r="Q971" t="n">
        <v>0</v>
      </c>
      <c r="R971" s="2" t="inlineStr"/>
    </row>
    <row r="972" ht="15" customHeight="1">
      <c r="A972" t="inlineStr">
        <is>
          <t>A 31861-2024</t>
        </is>
      </c>
      <c r="B972" s="1" t="n">
        <v>45509.73383101852</v>
      </c>
      <c r="C972" s="1" t="n">
        <v>46169</v>
      </c>
      <c r="D972" t="inlineStr">
        <is>
          <t>ÖREBRO LÄN</t>
        </is>
      </c>
      <c r="E972" t="inlineStr">
        <is>
          <t>LINDESBERG</t>
        </is>
      </c>
      <c r="G972" t="n">
        <v>8.300000000000001</v>
      </c>
      <c r="H972" t="n">
        <v>0</v>
      </c>
      <c r="I972" t="n">
        <v>0</v>
      </c>
      <c r="J972" t="n">
        <v>0</v>
      </c>
      <c r="K972" t="n">
        <v>0</v>
      </c>
      <c r="L972" t="n">
        <v>0</v>
      </c>
      <c r="M972" t="n">
        <v>0</v>
      </c>
      <c r="N972" t="n">
        <v>0</v>
      </c>
      <c r="O972" t="n">
        <v>0</v>
      </c>
      <c r="P972" t="n">
        <v>0</v>
      </c>
      <c r="Q972" t="n">
        <v>0</v>
      </c>
      <c r="R972" s="2" t="inlineStr"/>
    </row>
    <row r="973">
      <c r="A973" t="inlineStr">
        <is>
          <t>A 24583-2024</t>
        </is>
      </c>
      <c r="B973" s="1" t="n">
        <v>45460.46358796296</v>
      </c>
      <c r="C973" s="1" t="n">
        <v>46169</v>
      </c>
      <c r="D973" t="inlineStr">
        <is>
          <t>ÖREBRO LÄN</t>
        </is>
      </c>
      <c r="E973" t="inlineStr">
        <is>
          <t>LINDESBERG</t>
        </is>
      </c>
      <c r="G973" t="n">
        <v>13.7</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2026-05-27T10:54:35Z</dcterms:created>
  <dcterms:modified xmlns:dcterms="http://purl.org/dc/terms/" xmlns:xsi="http://www.w3.org/2001/XMLSchema-instance" xsi:type="dcterms:W3CDTF">2026-05-27T10:54:36Z</dcterms:modified>
</cp:coreProperties>
</file>