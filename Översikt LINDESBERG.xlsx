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45575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45575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45575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45575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45575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45575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45575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45575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45575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45575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45575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45575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45575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45575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45575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45575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45575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45575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45575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45575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45575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45575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45575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45575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45575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45575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45575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45575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45575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45575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45575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45575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45575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45575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45575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45575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45575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45575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45575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45575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45575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45575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45575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45575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45575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45575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45575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45575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45575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45575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45575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45575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45575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45575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44792-2024</t>
        </is>
      </c>
      <c r="B77" s="1" t="n">
        <v>45574</v>
      </c>
      <c r="C77" s="1" t="n">
        <v>45575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44792-2024 artfynd.xlsx", "A 44792-2024")</f>
        <v/>
      </c>
      <c r="T77">
        <f>HYPERLINK("https://klasma.github.io/Logging_1885/kartor/A 44792-2024 karta.png", "A 44792-2024")</f>
        <v/>
      </c>
      <c r="V77">
        <f>HYPERLINK("https://klasma.github.io/Logging_1885/klagomål/A 44792-2024 FSC-klagomål.docx", "A 44792-2024")</f>
        <v/>
      </c>
      <c r="W77">
        <f>HYPERLINK("https://klasma.github.io/Logging_1885/klagomålsmail/A 44792-2024 FSC-klagomål mail.docx", "A 44792-2024")</f>
        <v/>
      </c>
      <c r="X77">
        <f>HYPERLINK("https://klasma.github.io/Logging_1885/tillsyn/A 44792-2024 tillsynsbegäran.docx", "A 44792-2024")</f>
        <v/>
      </c>
      <c r="Y77">
        <f>HYPERLINK("https://klasma.github.io/Logging_1885/tillsynsmail/A 44792-2024 tillsynsbegäran mail.docx", "A 44792-2024")</f>
        <v/>
      </c>
    </row>
    <row r="78" ht="15" customHeight="1">
      <c r="A78" t="inlineStr">
        <is>
          <t>A 44794-2024</t>
        </is>
      </c>
      <c r="B78" s="1" t="n">
        <v>45574</v>
      </c>
      <c r="C78" s="1" t="n">
        <v>45575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HYPERLINK("https://klasma.github.io/Logging_1885/artfynd/A 44794-2024 artfynd.xlsx", "A 44794-2024")</f>
        <v/>
      </c>
      <c r="T78">
        <f>HYPERLINK("https://klasma.github.io/Logging_1885/kartor/A 44794-2024 karta.png", "A 44794-2024")</f>
        <v/>
      </c>
      <c r="V78">
        <f>HYPERLINK("https://klasma.github.io/Logging_1885/klagomål/A 44794-2024 FSC-klagomål.docx", "A 44794-2024")</f>
        <v/>
      </c>
      <c r="W78">
        <f>HYPERLINK("https://klasma.github.io/Logging_1885/klagomålsmail/A 44794-2024 FSC-klagomål mail.docx", "A 44794-2024")</f>
        <v/>
      </c>
      <c r="X78">
        <f>HYPERLINK("https://klasma.github.io/Logging_1885/tillsyn/A 44794-2024 tillsynsbegäran.docx", "A 44794-2024")</f>
        <v/>
      </c>
      <c r="Y78">
        <f>HYPERLINK("https://klasma.github.io/Logging_1885/tillsynsmail/A 44794-2024 tillsynsbegäran mail.docx", "A 44794-2024")</f>
        <v/>
      </c>
    </row>
    <row r="79" ht="15" customHeight="1">
      <c r="A79" t="inlineStr">
        <is>
          <t>A 18053-2019</t>
        </is>
      </c>
      <c r="B79" s="1" t="n">
        <v>43557</v>
      </c>
      <c r="C79" s="1" t="n">
        <v>45575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18119-2019</t>
        </is>
      </c>
      <c r="B80" s="1" t="n">
        <v>43558</v>
      </c>
      <c r="C80" s="1" t="n">
        <v>45575</v>
      </c>
      <c r="D80" t="inlineStr">
        <is>
          <t>ÖREBRO LÄN</t>
        </is>
      </c>
      <c r="E80" t="inlineStr">
        <is>
          <t>LINDESBERG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18747-2019</t>
        </is>
      </c>
      <c r="B81" s="1" t="n">
        <v>43560</v>
      </c>
      <c r="C81" s="1" t="n">
        <v>45575</v>
      </c>
      <c r="D81" t="inlineStr">
        <is>
          <t>ÖREBRO LÄN</t>
        </is>
      </c>
      <c r="E81" t="inlineStr">
        <is>
          <t>LINDESBERG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18743-2019</t>
        </is>
      </c>
      <c r="B82" s="1" t="n">
        <v>43560</v>
      </c>
      <c r="C82" s="1" t="n">
        <v>45575</v>
      </c>
      <c r="D82" t="inlineStr">
        <is>
          <t>ÖREBRO LÄN</t>
        </is>
      </c>
      <c r="E82" t="inlineStr">
        <is>
          <t>LINDESBERG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18914-2019</t>
        </is>
      </c>
      <c r="B83" s="1" t="n">
        <v>43563</v>
      </c>
      <c r="C83" s="1" t="n">
        <v>45575</v>
      </c>
      <c r="D83" t="inlineStr">
        <is>
          <t>ÖREBRO LÄN</t>
        </is>
      </c>
      <c r="E83" t="inlineStr">
        <is>
          <t>LINDESBERG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19227-2019</t>
        </is>
      </c>
      <c r="B84" s="1" t="n">
        <v>43564</v>
      </c>
      <c r="C84" s="1" t="n">
        <v>45575</v>
      </c>
      <c r="D84" t="inlineStr">
        <is>
          <t>ÖREBRO LÄN</t>
        </is>
      </c>
      <c r="E84" t="inlineStr">
        <is>
          <t>LINDESBERG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19845-2019</t>
        </is>
      </c>
      <c r="B85" s="1" t="n">
        <v>43567</v>
      </c>
      <c r="C85" s="1" t="n">
        <v>45575</v>
      </c>
      <c r="D85" t="inlineStr">
        <is>
          <t>ÖREBRO LÄN</t>
        </is>
      </c>
      <c r="E85" t="inlineStr">
        <is>
          <t>LINDESBERG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20197-2019</t>
        </is>
      </c>
      <c r="B86" s="1" t="n">
        <v>43570</v>
      </c>
      <c r="C86" s="1" t="n">
        <v>45575</v>
      </c>
      <c r="D86" t="inlineStr">
        <is>
          <t>ÖREBRO LÄN</t>
        </is>
      </c>
      <c r="E86" t="inlineStr">
        <is>
          <t>LINDESBERG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20454-2019</t>
        </is>
      </c>
      <c r="B87" s="1" t="n">
        <v>43571</v>
      </c>
      <c r="C87" s="1" t="n">
        <v>45575</v>
      </c>
      <c r="D87" t="inlineStr">
        <is>
          <t>ÖREBRO LÄN</t>
        </is>
      </c>
      <c r="E87" t="inlineStr">
        <is>
          <t>LINDESBERG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20211-2019</t>
        </is>
      </c>
      <c r="B88" s="1" t="n">
        <v>43571</v>
      </c>
      <c r="C88" s="1" t="n">
        <v>45575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20681-2019</t>
        </is>
      </c>
      <c r="B89" s="1" t="n">
        <v>43573</v>
      </c>
      <c r="C89" s="1" t="n">
        <v>45575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20676-2019</t>
        </is>
      </c>
      <c r="B90" s="1" t="n">
        <v>43573</v>
      </c>
      <c r="C90" s="1" t="n">
        <v>45575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20984-2019</t>
        </is>
      </c>
      <c r="B91" s="1" t="n">
        <v>43573</v>
      </c>
      <c r="C91" s="1" t="n">
        <v>45575</v>
      </c>
      <c r="D91" t="inlineStr">
        <is>
          <t>ÖREBRO LÄN</t>
        </is>
      </c>
      <c r="E91" t="inlineStr">
        <is>
          <t>LINDESBERG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21402-2019</t>
        </is>
      </c>
      <c r="B92" s="1" t="n">
        <v>43579</v>
      </c>
      <c r="C92" s="1" t="n">
        <v>45575</v>
      </c>
      <c r="D92" t="inlineStr">
        <is>
          <t>ÖREBRO LÄN</t>
        </is>
      </c>
      <c r="E92" t="inlineStr">
        <is>
          <t>LINDESBERG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21538-2019</t>
        </is>
      </c>
      <c r="B93" s="1" t="n">
        <v>43580</v>
      </c>
      <c r="C93" s="1" t="n">
        <v>45575</v>
      </c>
      <c r="D93" t="inlineStr">
        <is>
          <t>ÖREBRO LÄN</t>
        </is>
      </c>
      <c r="E93" t="inlineStr">
        <is>
          <t>LINDESBERG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21596-2019</t>
        </is>
      </c>
      <c r="B94" s="1" t="n">
        <v>43581</v>
      </c>
      <c r="C94" s="1" t="n">
        <v>45575</v>
      </c>
      <c r="D94" t="inlineStr">
        <is>
          <t>ÖREBRO LÄN</t>
        </is>
      </c>
      <c r="E94" t="inlineStr">
        <is>
          <t>LINDESBERG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22672-2019</t>
        </is>
      </c>
      <c r="B95" s="1" t="n">
        <v>43588</v>
      </c>
      <c r="C95" s="1" t="n">
        <v>45575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22675-2019</t>
        </is>
      </c>
      <c r="B96" s="1" t="n">
        <v>43588</v>
      </c>
      <c r="C96" s="1" t="n">
        <v>45575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22705-2019</t>
        </is>
      </c>
      <c r="B97" s="1" t="n">
        <v>43588</v>
      </c>
      <c r="C97" s="1" t="n">
        <v>45575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22695-2019</t>
        </is>
      </c>
      <c r="B98" s="1" t="n">
        <v>43588</v>
      </c>
      <c r="C98" s="1" t="n">
        <v>45575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22670-2019</t>
        </is>
      </c>
      <c r="B99" s="1" t="n">
        <v>43588</v>
      </c>
      <c r="C99" s="1" t="n">
        <v>45575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23264-2019</t>
        </is>
      </c>
      <c r="B100" s="1" t="n">
        <v>43592</v>
      </c>
      <c r="C100" s="1" t="n">
        <v>45575</v>
      </c>
      <c r="D100" t="inlineStr">
        <is>
          <t>ÖREBRO LÄN</t>
        </is>
      </c>
      <c r="E100" t="inlineStr">
        <is>
          <t>LINDESBERG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23259-2019</t>
        </is>
      </c>
      <c r="B101" s="1" t="n">
        <v>43592</v>
      </c>
      <c r="C101" s="1" t="n">
        <v>45575</v>
      </c>
      <c r="D101" t="inlineStr">
        <is>
          <t>ÖREBRO LÄN</t>
        </is>
      </c>
      <c r="E101" t="inlineStr">
        <is>
          <t>LINDESBERG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23393-2019</t>
        </is>
      </c>
      <c r="B102" s="1" t="n">
        <v>43593</v>
      </c>
      <c r="C102" s="1" t="n">
        <v>45575</v>
      </c>
      <c r="D102" t="inlineStr">
        <is>
          <t>ÖREBRO LÄN</t>
        </is>
      </c>
      <c r="E102" t="inlineStr">
        <is>
          <t>LINDESBERG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23666-2019</t>
        </is>
      </c>
      <c r="B103" s="1" t="n">
        <v>43594</v>
      </c>
      <c r="C103" s="1" t="n">
        <v>45575</v>
      </c>
      <c r="D103" t="inlineStr">
        <is>
          <t>ÖREBRO LÄN</t>
        </is>
      </c>
      <c r="E103" t="inlineStr">
        <is>
          <t>LINDESBERG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23700-2019</t>
        </is>
      </c>
      <c r="B104" s="1" t="n">
        <v>43594</v>
      </c>
      <c r="C104" s="1" t="n">
        <v>45575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23701-2019</t>
        </is>
      </c>
      <c r="B105" s="1" t="n">
        <v>43594</v>
      </c>
      <c r="C105" s="1" t="n">
        <v>45575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24146-2019</t>
        </is>
      </c>
      <c r="B106" s="1" t="n">
        <v>43598</v>
      </c>
      <c r="C106" s="1" t="n">
        <v>45575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24139-2019</t>
        </is>
      </c>
      <c r="B107" s="1" t="n">
        <v>43598</v>
      </c>
      <c r="C107" s="1" t="n">
        <v>45575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24191-2019</t>
        </is>
      </c>
      <c r="B108" s="1" t="n">
        <v>43599</v>
      </c>
      <c r="C108" s="1" t="n">
        <v>45575</v>
      </c>
      <c r="D108" t="inlineStr">
        <is>
          <t>ÖREBRO LÄN</t>
        </is>
      </c>
      <c r="E108" t="inlineStr">
        <is>
          <t>LINDESBERG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24382-2019</t>
        </is>
      </c>
      <c r="B109" s="1" t="n">
        <v>43599</v>
      </c>
      <c r="C109" s="1" t="n">
        <v>45575</v>
      </c>
      <c r="D109" t="inlineStr">
        <is>
          <t>ÖREBRO LÄN</t>
        </is>
      </c>
      <c r="E109" t="inlineStr">
        <is>
          <t>LINDESBERG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24347-2019</t>
        </is>
      </c>
      <c r="B110" s="1" t="n">
        <v>43599</v>
      </c>
      <c r="C110" s="1" t="n">
        <v>45575</v>
      </c>
      <c r="D110" t="inlineStr">
        <is>
          <t>ÖREBRO LÄN</t>
        </is>
      </c>
      <c r="E110" t="inlineStr">
        <is>
          <t>LINDESBERG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24508-2019</t>
        </is>
      </c>
      <c r="B111" s="1" t="n">
        <v>43600</v>
      </c>
      <c r="C111" s="1" t="n">
        <v>45575</v>
      </c>
      <c r="D111" t="inlineStr">
        <is>
          <t>ÖREBRO LÄN</t>
        </is>
      </c>
      <c r="E111" t="inlineStr">
        <is>
          <t>LINDESBERG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24758-2019</t>
        </is>
      </c>
      <c r="B112" s="1" t="n">
        <v>43601</v>
      </c>
      <c r="C112" s="1" t="n">
        <v>45575</v>
      </c>
      <c r="D112" t="inlineStr">
        <is>
          <t>ÖREBRO LÄN</t>
        </is>
      </c>
      <c r="E112" t="inlineStr">
        <is>
          <t>LINDESBERG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25120-2019</t>
        </is>
      </c>
      <c r="B113" s="1" t="n">
        <v>43605</v>
      </c>
      <c r="C113" s="1" t="n">
        <v>45575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25128-2019</t>
        </is>
      </c>
      <c r="B114" s="1" t="n">
        <v>43605</v>
      </c>
      <c r="C114" s="1" t="n">
        <v>45575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25451-2019</t>
        </is>
      </c>
      <c r="B115" s="1" t="n">
        <v>43606</v>
      </c>
      <c r="C115" s="1" t="n">
        <v>45575</v>
      </c>
      <c r="D115" t="inlineStr">
        <is>
          <t>ÖREBRO LÄN</t>
        </is>
      </c>
      <c r="E115" t="inlineStr">
        <is>
          <t>LINDESBERG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25755-2019</t>
        </is>
      </c>
      <c r="B116" s="1" t="n">
        <v>43608</v>
      </c>
      <c r="C116" s="1" t="n">
        <v>45575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26406-2019</t>
        </is>
      </c>
      <c r="B117" s="1" t="n">
        <v>43612</v>
      </c>
      <c r="C117" s="1" t="n">
        <v>45575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26456-2019</t>
        </is>
      </c>
      <c r="B118" s="1" t="n">
        <v>43612</v>
      </c>
      <c r="C118" s="1" t="n">
        <v>45575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28905-2019</t>
        </is>
      </c>
      <c r="B119" s="1" t="n">
        <v>43616</v>
      </c>
      <c r="C119" s="1" t="n">
        <v>45575</v>
      </c>
      <c r="D119" t="inlineStr">
        <is>
          <t>ÖREBRO LÄN</t>
        </is>
      </c>
      <c r="E119" t="inlineStr">
        <is>
          <t>LINDESBERG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27632-2019</t>
        </is>
      </c>
      <c r="B120" s="1" t="n">
        <v>43619</v>
      </c>
      <c r="C120" s="1" t="n">
        <v>45575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28442-2019</t>
        </is>
      </c>
      <c r="B121" s="1" t="n">
        <v>43626</v>
      </c>
      <c r="C121" s="1" t="n">
        <v>45575</v>
      </c>
      <c r="D121" t="inlineStr">
        <is>
          <t>ÖREBRO LÄN</t>
        </is>
      </c>
      <c r="E121" t="inlineStr">
        <is>
          <t>LINDESBERG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29110-2019</t>
        </is>
      </c>
      <c r="B122" s="1" t="n">
        <v>43628</v>
      </c>
      <c r="C122" s="1" t="n">
        <v>45575</v>
      </c>
      <c r="D122" t="inlineStr">
        <is>
          <t>ÖREBRO LÄN</t>
        </is>
      </c>
      <c r="E122" t="inlineStr">
        <is>
          <t>LINDESBERG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29307-2019</t>
        </is>
      </c>
      <c r="B123" s="1" t="n">
        <v>43629</v>
      </c>
      <c r="C123" s="1" t="n">
        <v>45575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29442-2019</t>
        </is>
      </c>
      <c r="B124" s="1" t="n">
        <v>43629</v>
      </c>
      <c r="C124" s="1" t="n">
        <v>45575</v>
      </c>
      <c r="D124" t="inlineStr">
        <is>
          <t>ÖREBRO LÄN</t>
        </is>
      </c>
      <c r="E124" t="inlineStr">
        <is>
          <t>LINDESBERG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29557-2019</t>
        </is>
      </c>
      <c r="B125" s="1" t="n">
        <v>43630</v>
      </c>
      <c r="C125" s="1" t="n">
        <v>45575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29976-2019</t>
        </is>
      </c>
      <c r="B126" s="1" t="n">
        <v>43633</v>
      </c>
      <c r="C126" s="1" t="n">
        <v>45575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29948-2019</t>
        </is>
      </c>
      <c r="B127" s="1" t="n">
        <v>43633</v>
      </c>
      <c r="C127" s="1" t="n">
        <v>45575</v>
      </c>
      <c r="D127" t="inlineStr">
        <is>
          <t>ÖREBRO LÄN</t>
        </is>
      </c>
      <c r="E127" t="inlineStr">
        <is>
          <t>LINDESBERG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30104-2019</t>
        </is>
      </c>
      <c r="B128" s="1" t="n">
        <v>43634</v>
      </c>
      <c r="C128" s="1" t="n">
        <v>45575</v>
      </c>
      <c r="D128" t="inlineStr">
        <is>
          <t>ÖREBRO LÄN</t>
        </is>
      </c>
      <c r="E128" t="inlineStr">
        <is>
          <t>LINDESBERG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30172-2019</t>
        </is>
      </c>
      <c r="B129" s="1" t="n">
        <v>43634</v>
      </c>
      <c r="C129" s="1" t="n">
        <v>45575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30525-2019</t>
        </is>
      </c>
      <c r="B130" s="1" t="n">
        <v>43635</v>
      </c>
      <c r="C130" s="1" t="n">
        <v>45575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30709-2019</t>
        </is>
      </c>
      <c r="B131" s="1" t="n">
        <v>43636</v>
      </c>
      <c r="C131" s="1" t="n">
        <v>45575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31766-2019</t>
        </is>
      </c>
      <c r="B132" s="1" t="n">
        <v>43642</v>
      </c>
      <c r="C132" s="1" t="n">
        <v>45575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31891-2019</t>
        </is>
      </c>
      <c r="B133" s="1" t="n">
        <v>43642</v>
      </c>
      <c r="C133" s="1" t="n">
        <v>45575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31913-2019</t>
        </is>
      </c>
      <c r="B134" s="1" t="n">
        <v>43643</v>
      </c>
      <c r="C134" s="1" t="n">
        <v>45575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32175-2019</t>
        </is>
      </c>
      <c r="B135" s="1" t="n">
        <v>43643</v>
      </c>
      <c r="C135" s="1" t="n">
        <v>45575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32069-2019</t>
        </is>
      </c>
      <c r="B136" s="1" t="n">
        <v>43643</v>
      </c>
      <c r="C136" s="1" t="n">
        <v>45575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32093-2019</t>
        </is>
      </c>
      <c r="B137" s="1" t="n">
        <v>43643</v>
      </c>
      <c r="C137" s="1" t="n">
        <v>45575</v>
      </c>
      <c r="D137" t="inlineStr">
        <is>
          <t>ÖREBRO LÄN</t>
        </is>
      </c>
      <c r="E137" t="inlineStr">
        <is>
          <t>LINDESBERG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32012-2019</t>
        </is>
      </c>
      <c r="B138" s="1" t="n">
        <v>43643</v>
      </c>
      <c r="C138" s="1" t="n">
        <v>45575</v>
      </c>
      <c r="D138" t="inlineStr">
        <is>
          <t>ÖREBRO LÄN</t>
        </is>
      </c>
      <c r="E138" t="inlineStr">
        <is>
          <t>LINDESBERG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32325-2019</t>
        </is>
      </c>
      <c r="B139" s="1" t="n">
        <v>43644</v>
      </c>
      <c r="C139" s="1" t="n">
        <v>45575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32327-2019</t>
        </is>
      </c>
      <c r="B140" s="1" t="n">
        <v>43644</v>
      </c>
      <c r="C140" s="1" t="n">
        <v>45575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32330-2019</t>
        </is>
      </c>
      <c r="B141" s="1" t="n">
        <v>43644</v>
      </c>
      <c r="C141" s="1" t="n">
        <v>45575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34139-2019</t>
        </is>
      </c>
      <c r="B142" s="1" t="n">
        <v>43655</v>
      </c>
      <c r="C142" s="1" t="n">
        <v>45575</v>
      </c>
      <c r="D142" t="inlineStr">
        <is>
          <t>ÖREBRO LÄN</t>
        </is>
      </c>
      <c r="E142" t="inlineStr">
        <is>
          <t>LINDESBERG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34312-2019</t>
        </is>
      </c>
      <c r="B143" s="1" t="n">
        <v>43656</v>
      </c>
      <c r="C143" s="1" t="n">
        <v>45575</v>
      </c>
      <c r="D143" t="inlineStr">
        <is>
          <t>ÖREBRO LÄN</t>
        </is>
      </c>
      <c r="E143" t="inlineStr">
        <is>
          <t>LINDESBERG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35125-2019</t>
        </is>
      </c>
      <c r="B144" s="1" t="n">
        <v>43661</v>
      </c>
      <c r="C144" s="1" t="n">
        <v>45575</v>
      </c>
      <c r="D144" t="inlineStr">
        <is>
          <t>ÖREBRO LÄN</t>
        </is>
      </c>
      <c r="E144" t="inlineStr">
        <is>
          <t>LINDESBERG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35127-2019</t>
        </is>
      </c>
      <c r="B145" s="1" t="n">
        <v>43661</v>
      </c>
      <c r="C145" s="1" t="n">
        <v>45575</v>
      </c>
      <c r="D145" t="inlineStr">
        <is>
          <t>ÖREBRO LÄN</t>
        </is>
      </c>
      <c r="E145" t="inlineStr">
        <is>
          <t>LINDESBERG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35448-2019</t>
        </is>
      </c>
      <c r="B146" s="1" t="n">
        <v>43663</v>
      </c>
      <c r="C146" s="1" t="n">
        <v>45575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35804-2019</t>
        </is>
      </c>
      <c r="B147" s="1" t="n">
        <v>43665</v>
      </c>
      <c r="C147" s="1" t="n">
        <v>45575</v>
      </c>
      <c r="D147" t="inlineStr">
        <is>
          <t>ÖREBRO LÄN</t>
        </is>
      </c>
      <c r="E147" t="inlineStr">
        <is>
          <t>LINDESBERG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36242-2019</t>
        </is>
      </c>
      <c r="B148" s="1" t="n">
        <v>43669</v>
      </c>
      <c r="C148" s="1" t="n">
        <v>45575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36583-2019</t>
        </is>
      </c>
      <c r="B149" s="1" t="n">
        <v>43671</v>
      </c>
      <c r="C149" s="1" t="n">
        <v>45575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36754-2019</t>
        </is>
      </c>
      <c r="B150" s="1" t="n">
        <v>43672</v>
      </c>
      <c r="C150" s="1" t="n">
        <v>45575</v>
      </c>
      <c r="D150" t="inlineStr">
        <is>
          <t>ÖREBRO LÄN</t>
        </is>
      </c>
      <c r="E150" t="inlineStr">
        <is>
          <t>LINDESBERG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37257-2019</t>
        </is>
      </c>
      <c r="B151" s="1" t="n">
        <v>43677</v>
      </c>
      <c r="C151" s="1" t="n">
        <v>45575</v>
      </c>
      <c r="D151" t="inlineStr">
        <is>
          <t>ÖREBRO LÄN</t>
        </is>
      </c>
      <c r="E151" t="inlineStr">
        <is>
          <t>LINDESBERG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37377-2019</t>
        </is>
      </c>
      <c r="B152" s="1" t="n">
        <v>43678</v>
      </c>
      <c r="C152" s="1" t="n">
        <v>45575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37566-2019</t>
        </is>
      </c>
      <c r="B153" s="1" t="n">
        <v>43679</v>
      </c>
      <c r="C153" s="1" t="n">
        <v>45575</v>
      </c>
      <c r="D153" t="inlineStr">
        <is>
          <t>ÖREBRO LÄN</t>
        </is>
      </c>
      <c r="E153" t="inlineStr">
        <is>
          <t>LINDESBERG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37558-2019</t>
        </is>
      </c>
      <c r="B154" s="1" t="n">
        <v>43679</v>
      </c>
      <c r="C154" s="1" t="n">
        <v>45575</v>
      </c>
      <c r="D154" t="inlineStr">
        <is>
          <t>ÖREBRO LÄN</t>
        </is>
      </c>
      <c r="E154" t="inlineStr">
        <is>
          <t>LINDESBERG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37597-2019</t>
        </is>
      </c>
      <c r="B155" s="1" t="n">
        <v>43680</v>
      </c>
      <c r="C155" s="1" t="n">
        <v>45575</v>
      </c>
      <c r="D155" t="inlineStr">
        <is>
          <t>ÖREBRO LÄN</t>
        </is>
      </c>
      <c r="E155" t="inlineStr">
        <is>
          <t>LINDESBERG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37599-2019</t>
        </is>
      </c>
      <c r="B156" s="1" t="n">
        <v>43680</v>
      </c>
      <c r="C156" s="1" t="n">
        <v>45575</v>
      </c>
      <c r="D156" t="inlineStr">
        <is>
          <t>ÖREBRO LÄN</t>
        </is>
      </c>
      <c r="E156" t="inlineStr">
        <is>
          <t>LINDESBERG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38103-2019</t>
        </is>
      </c>
      <c r="B157" s="1" t="n">
        <v>43683</v>
      </c>
      <c r="C157" s="1" t="n">
        <v>45575</v>
      </c>
      <c r="D157" t="inlineStr">
        <is>
          <t>ÖREBRO LÄN</t>
        </is>
      </c>
      <c r="E157" t="inlineStr">
        <is>
          <t>LINDESBERG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38161-2019</t>
        </is>
      </c>
      <c r="B158" s="1" t="n">
        <v>43683</v>
      </c>
      <c r="C158" s="1" t="n">
        <v>45575</v>
      </c>
      <c r="D158" t="inlineStr">
        <is>
          <t>ÖREBRO LÄN</t>
        </is>
      </c>
      <c r="E158" t="inlineStr">
        <is>
          <t>LINDESBERG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38254-2019</t>
        </is>
      </c>
      <c r="B159" s="1" t="n">
        <v>43684</v>
      </c>
      <c r="C159" s="1" t="n">
        <v>45575</v>
      </c>
      <c r="D159" t="inlineStr">
        <is>
          <t>ÖREBRO LÄN</t>
        </is>
      </c>
      <c r="E159" t="inlineStr">
        <is>
          <t>LINDESBERG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38381-2019</t>
        </is>
      </c>
      <c r="B160" s="1" t="n">
        <v>43685</v>
      </c>
      <c r="C160" s="1" t="n">
        <v>45575</v>
      </c>
      <c r="D160" t="inlineStr">
        <is>
          <t>ÖREBRO LÄN</t>
        </is>
      </c>
      <c r="E160" t="inlineStr">
        <is>
          <t>LINDESBERG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38902-2019</t>
        </is>
      </c>
      <c r="B161" s="1" t="n">
        <v>43689</v>
      </c>
      <c r="C161" s="1" t="n">
        <v>45575</v>
      </c>
      <c r="D161" t="inlineStr">
        <is>
          <t>ÖREBRO LÄN</t>
        </is>
      </c>
      <c r="E161" t="inlineStr">
        <is>
          <t>LINDESBERG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39531-2019</t>
        </is>
      </c>
      <c r="B162" s="1" t="n">
        <v>43691</v>
      </c>
      <c r="C162" s="1" t="n">
        <v>45575</v>
      </c>
      <c r="D162" t="inlineStr">
        <is>
          <t>ÖREBRO LÄN</t>
        </is>
      </c>
      <c r="E162" t="inlineStr">
        <is>
          <t>LINDESBERG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40228-2019</t>
        </is>
      </c>
      <c r="B163" s="1" t="n">
        <v>43693</v>
      </c>
      <c r="C163" s="1" t="n">
        <v>45575</v>
      </c>
      <c r="D163" t="inlineStr">
        <is>
          <t>ÖREBRO LÄN</t>
        </is>
      </c>
      <c r="E163" t="inlineStr">
        <is>
          <t>LINDESBERG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41542-2019</t>
        </is>
      </c>
      <c r="B164" s="1" t="n">
        <v>43699</v>
      </c>
      <c r="C164" s="1" t="n">
        <v>45575</v>
      </c>
      <c r="D164" t="inlineStr">
        <is>
          <t>ÖREBRO LÄN</t>
        </is>
      </c>
      <c r="E164" t="inlineStr">
        <is>
          <t>LINDESBERG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41566-2019</t>
        </is>
      </c>
      <c r="B165" s="1" t="n">
        <v>43699</v>
      </c>
      <c r="C165" s="1" t="n">
        <v>45575</v>
      </c>
      <c r="D165" t="inlineStr">
        <is>
          <t>ÖREBRO LÄN</t>
        </is>
      </c>
      <c r="E165" t="inlineStr">
        <is>
          <t>LINDESBERG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41587-2019</t>
        </is>
      </c>
      <c r="B166" s="1" t="n">
        <v>43699</v>
      </c>
      <c r="C166" s="1" t="n">
        <v>45575</v>
      </c>
      <c r="D166" t="inlineStr">
        <is>
          <t>ÖREBRO LÄN</t>
        </is>
      </c>
      <c r="E166" t="inlineStr">
        <is>
          <t>LINDESBERG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41592-2019</t>
        </is>
      </c>
      <c r="B167" s="1" t="n">
        <v>43699</v>
      </c>
      <c r="C167" s="1" t="n">
        <v>45575</v>
      </c>
      <c r="D167" t="inlineStr">
        <is>
          <t>ÖREBRO LÄN</t>
        </is>
      </c>
      <c r="E167" t="inlineStr">
        <is>
          <t>LINDESBERG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44018-2019</t>
        </is>
      </c>
      <c r="B168" s="1" t="n">
        <v>43710</v>
      </c>
      <c r="C168" s="1" t="n">
        <v>45575</v>
      </c>
      <c r="D168" t="inlineStr">
        <is>
          <t>ÖREBRO LÄN</t>
        </is>
      </c>
      <c r="E168" t="inlineStr">
        <is>
          <t>LINDESBERG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44598-2019</t>
        </is>
      </c>
      <c r="B169" s="1" t="n">
        <v>43711</v>
      </c>
      <c r="C169" s="1" t="n">
        <v>45575</v>
      </c>
      <c r="D169" t="inlineStr">
        <is>
          <t>ÖREBRO LÄN</t>
        </is>
      </c>
      <c r="E169" t="inlineStr">
        <is>
          <t>LINDESBERG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44538-2019</t>
        </is>
      </c>
      <c r="B170" s="1" t="n">
        <v>43711</v>
      </c>
      <c r="C170" s="1" t="n">
        <v>45575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45109-2019</t>
        </is>
      </c>
      <c r="B171" s="1" t="n">
        <v>43713</v>
      </c>
      <c r="C171" s="1" t="n">
        <v>45575</v>
      </c>
      <c r="D171" t="inlineStr">
        <is>
          <t>ÖREBRO LÄN</t>
        </is>
      </c>
      <c r="E171" t="inlineStr">
        <is>
          <t>LINDESBERG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45240-2019</t>
        </is>
      </c>
      <c r="B172" s="1" t="n">
        <v>43713</v>
      </c>
      <c r="C172" s="1" t="n">
        <v>45575</v>
      </c>
      <c r="D172" t="inlineStr">
        <is>
          <t>ÖREBRO LÄN</t>
        </is>
      </c>
      <c r="E172" t="inlineStr">
        <is>
          <t>LINDESBERG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45236-2019</t>
        </is>
      </c>
      <c r="B173" s="1" t="n">
        <v>43713</v>
      </c>
      <c r="C173" s="1" t="n">
        <v>45575</v>
      </c>
      <c r="D173" t="inlineStr">
        <is>
          <t>ÖREBRO LÄN</t>
        </is>
      </c>
      <c r="E173" t="inlineStr">
        <is>
          <t>LINDESBERG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45777-2019</t>
        </is>
      </c>
      <c r="B174" s="1" t="n">
        <v>43717</v>
      </c>
      <c r="C174" s="1" t="n">
        <v>45575</v>
      </c>
      <c r="D174" t="inlineStr">
        <is>
          <t>ÖREBRO LÄN</t>
        </is>
      </c>
      <c r="E174" t="inlineStr">
        <is>
          <t>LINDESBERG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46304-2019</t>
        </is>
      </c>
      <c r="B175" s="1" t="n">
        <v>43718</v>
      </c>
      <c r="C175" s="1" t="n">
        <v>45575</v>
      </c>
      <c r="D175" t="inlineStr">
        <is>
          <t>ÖREBRO LÄN</t>
        </is>
      </c>
      <c r="E175" t="inlineStr">
        <is>
          <t>LINDESBERG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46313-2019</t>
        </is>
      </c>
      <c r="B176" s="1" t="n">
        <v>43718</v>
      </c>
      <c r="C176" s="1" t="n">
        <v>45575</v>
      </c>
      <c r="D176" t="inlineStr">
        <is>
          <t>ÖREBRO LÄN</t>
        </is>
      </c>
      <c r="E176" t="inlineStr">
        <is>
          <t>LINDESBERG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46889-2019</t>
        </is>
      </c>
      <c r="B177" s="1" t="n">
        <v>43719</v>
      </c>
      <c r="C177" s="1" t="n">
        <v>45575</v>
      </c>
      <c r="D177" t="inlineStr">
        <is>
          <t>ÖREBRO LÄN</t>
        </is>
      </c>
      <c r="E177" t="inlineStr">
        <is>
          <t>LINDESBERG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47064-2019</t>
        </is>
      </c>
      <c r="B178" s="1" t="n">
        <v>43720</v>
      </c>
      <c r="C178" s="1" t="n">
        <v>45575</v>
      </c>
      <c r="D178" t="inlineStr">
        <is>
          <t>ÖREBRO LÄN</t>
        </is>
      </c>
      <c r="E178" t="inlineStr">
        <is>
          <t>LINDESBERG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47059-2019</t>
        </is>
      </c>
      <c r="B179" s="1" t="n">
        <v>43720</v>
      </c>
      <c r="C179" s="1" t="n">
        <v>45575</v>
      </c>
      <c r="D179" t="inlineStr">
        <is>
          <t>ÖREBRO LÄN</t>
        </is>
      </c>
      <c r="E179" t="inlineStr">
        <is>
          <t>LINDESBERG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47418-2019</t>
        </is>
      </c>
      <c r="B180" s="1" t="n">
        <v>43723</v>
      </c>
      <c r="C180" s="1" t="n">
        <v>45575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48050-2019</t>
        </is>
      </c>
      <c r="B181" s="1" t="n">
        <v>43725</v>
      </c>
      <c r="C181" s="1" t="n">
        <v>45575</v>
      </c>
      <c r="D181" t="inlineStr">
        <is>
          <t>ÖREBRO LÄN</t>
        </is>
      </c>
      <c r="E181" t="inlineStr">
        <is>
          <t>LINDESBERG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48048-2019</t>
        </is>
      </c>
      <c r="B182" s="1" t="n">
        <v>43725</v>
      </c>
      <c r="C182" s="1" t="n">
        <v>45575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49207-2019</t>
        </is>
      </c>
      <c r="B183" s="1" t="n">
        <v>43731</v>
      </c>
      <c r="C183" s="1" t="n">
        <v>45575</v>
      </c>
      <c r="D183" t="inlineStr">
        <is>
          <t>ÖREBRO LÄN</t>
        </is>
      </c>
      <c r="E183" t="inlineStr">
        <is>
          <t>LINDESBERG</t>
        </is>
      </c>
      <c r="F183" t="inlineStr">
        <is>
          <t>Kyrkan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49145-2019</t>
        </is>
      </c>
      <c r="B184" s="1" t="n">
        <v>43731</v>
      </c>
      <c r="C184" s="1" t="n">
        <v>45575</v>
      </c>
      <c r="D184" t="inlineStr">
        <is>
          <t>ÖREBRO LÄN</t>
        </is>
      </c>
      <c r="E184" t="inlineStr">
        <is>
          <t>LINDESBERG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50146-2019</t>
        </is>
      </c>
      <c r="B185" s="1" t="n">
        <v>43734</v>
      </c>
      <c r="C185" s="1" t="n">
        <v>45575</v>
      </c>
      <c r="D185" t="inlineStr">
        <is>
          <t>ÖREBRO LÄN</t>
        </is>
      </c>
      <c r="E185" t="inlineStr">
        <is>
          <t>LINDESBERG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50136-2019</t>
        </is>
      </c>
      <c r="B186" s="1" t="n">
        <v>43734</v>
      </c>
      <c r="C186" s="1" t="n">
        <v>45575</v>
      </c>
      <c r="D186" t="inlineStr">
        <is>
          <t>ÖREBRO LÄN</t>
        </is>
      </c>
      <c r="E186" t="inlineStr">
        <is>
          <t>LINDESBERG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50306-2019</t>
        </is>
      </c>
      <c r="B187" s="1" t="n">
        <v>43734</v>
      </c>
      <c r="C187" s="1" t="n">
        <v>45575</v>
      </c>
      <c r="D187" t="inlineStr">
        <is>
          <t>ÖREBRO LÄN</t>
        </is>
      </c>
      <c r="E187" t="inlineStr">
        <is>
          <t>LINDESBERG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50130-2019</t>
        </is>
      </c>
      <c r="B188" s="1" t="n">
        <v>43734</v>
      </c>
      <c r="C188" s="1" t="n">
        <v>45575</v>
      </c>
      <c r="D188" t="inlineStr">
        <is>
          <t>ÖREBRO LÄN</t>
        </is>
      </c>
      <c r="E188" t="inlineStr">
        <is>
          <t>LINDESBERG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50675-2019</t>
        </is>
      </c>
      <c r="B189" s="1" t="n">
        <v>43738</v>
      </c>
      <c r="C189" s="1" t="n">
        <v>45575</v>
      </c>
      <c r="D189" t="inlineStr">
        <is>
          <t>ÖREBRO LÄN</t>
        </is>
      </c>
      <c r="E189" t="inlineStr">
        <is>
          <t>LINDESBERG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50889-2019</t>
        </is>
      </c>
      <c r="B190" s="1" t="n">
        <v>43738</v>
      </c>
      <c r="C190" s="1" t="n">
        <v>45575</v>
      </c>
      <c r="D190" t="inlineStr">
        <is>
          <t>ÖREBRO LÄN</t>
        </is>
      </c>
      <c r="E190" t="inlineStr">
        <is>
          <t>LINDESBERG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50945-2019</t>
        </is>
      </c>
      <c r="B191" s="1" t="n">
        <v>43738</v>
      </c>
      <c r="C191" s="1" t="n">
        <v>45575</v>
      </c>
      <c r="D191" t="inlineStr">
        <is>
          <t>ÖREBRO LÄN</t>
        </is>
      </c>
      <c r="E191" t="inlineStr">
        <is>
          <t>LINDESBERG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51375-2019</t>
        </is>
      </c>
      <c r="B192" s="1" t="n">
        <v>43740</v>
      </c>
      <c r="C192" s="1" t="n">
        <v>45575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51538-2019</t>
        </is>
      </c>
      <c r="B193" s="1" t="n">
        <v>43740</v>
      </c>
      <c r="C193" s="1" t="n">
        <v>45575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51627-2019</t>
        </is>
      </c>
      <c r="B194" s="1" t="n">
        <v>43740</v>
      </c>
      <c r="C194" s="1" t="n">
        <v>45575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52960-2019</t>
        </is>
      </c>
      <c r="B195" s="1" t="n">
        <v>43740</v>
      </c>
      <c r="C195" s="1" t="n">
        <v>45575</v>
      </c>
      <c r="D195" t="inlineStr">
        <is>
          <t>ÖREBRO LÄN</t>
        </is>
      </c>
      <c r="E195" t="inlineStr">
        <is>
          <t>LINDESBERG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52350-2019</t>
        </is>
      </c>
      <c r="B196" s="1" t="n">
        <v>43745</v>
      </c>
      <c r="C196" s="1" t="n">
        <v>45575</v>
      </c>
      <c r="D196" t="inlineStr">
        <is>
          <t>ÖREBRO LÄN</t>
        </is>
      </c>
      <c r="E196" t="inlineStr">
        <is>
          <t>LINDESBERG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52368-2019</t>
        </is>
      </c>
      <c r="B197" s="1" t="n">
        <v>43745</v>
      </c>
      <c r="C197" s="1" t="n">
        <v>45575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52818-2019</t>
        </is>
      </c>
      <c r="B198" s="1" t="n">
        <v>43746</v>
      </c>
      <c r="C198" s="1" t="n">
        <v>45575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53741-2019</t>
        </is>
      </c>
      <c r="B199" s="1" t="n">
        <v>43749</v>
      </c>
      <c r="C199" s="1" t="n">
        <v>45575</v>
      </c>
      <c r="D199" t="inlineStr">
        <is>
          <t>ÖREBRO LÄN</t>
        </is>
      </c>
      <c r="E199" t="inlineStr">
        <is>
          <t>LINDESBERG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53486-2019</t>
        </is>
      </c>
      <c r="B200" s="1" t="n">
        <v>43749</v>
      </c>
      <c r="C200" s="1" t="n">
        <v>45575</v>
      </c>
      <c r="D200" t="inlineStr">
        <is>
          <t>ÖREBRO LÄN</t>
        </is>
      </c>
      <c r="E200" t="inlineStr">
        <is>
          <t>LINDESBERG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53944-2019</t>
        </is>
      </c>
      <c r="B201" s="1" t="n">
        <v>43752</v>
      </c>
      <c r="C201" s="1" t="n">
        <v>45575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53947-2019</t>
        </is>
      </c>
      <c r="B202" s="1" t="n">
        <v>43752</v>
      </c>
      <c r="C202" s="1" t="n">
        <v>45575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54821-2019</t>
        </is>
      </c>
      <c r="B203" s="1" t="n">
        <v>43755</v>
      </c>
      <c r="C203" s="1" t="n">
        <v>45575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54818-2019</t>
        </is>
      </c>
      <c r="B204" s="1" t="n">
        <v>43755</v>
      </c>
      <c r="C204" s="1" t="n">
        <v>45575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55886-2019</t>
        </is>
      </c>
      <c r="B205" s="1" t="n">
        <v>43761</v>
      </c>
      <c r="C205" s="1" t="n">
        <v>45575</v>
      </c>
      <c r="D205" t="inlineStr">
        <is>
          <t>ÖREBRO LÄN</t>
        </is>
      </c>
      <c r="E205" t="inlineStr">
        <is>
          <t>LINDESBERG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56457-2019</t>
        </is>
      </c>
      <c r="B206" s="1" t="n">
        <v>43762</v>
      </c>
      <c r="C206" s="1" t="n">
        <v>45575</v>
      </c>
      <c r="D206" t="inlineStr">
        <is>
          <t>ÖREBRO LÄN</t>
        </is>
      </c>
      <c r="E206" t="inlineStr">
        <is>
          <t>LINDESBERG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45575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45575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45575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45575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45575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45575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45575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45575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45575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45575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45575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45575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45575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45575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45575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45575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45575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45575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45575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45575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45575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45575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45575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45575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45575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45575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45575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45575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45575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45575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45575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45575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45575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45575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45575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45575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45575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45575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45575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45575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45575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45575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45575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45575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45575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45575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45575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45575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45575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45575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45575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45575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45575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45575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45575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45575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45575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45575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45575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45575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45575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45575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45575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45575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45575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45575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45575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45575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45575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45575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45575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45575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45575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45575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45575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45575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45575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45575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45575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45575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45575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45575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45575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45575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45575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45575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45575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45575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45575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45575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45575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45575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45575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45575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45575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45575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45575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45575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45575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45575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45575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45575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45575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45575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45575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45575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45575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45575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45575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45575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45575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45575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45575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45575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45575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45575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45575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45575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45575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45575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45575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45575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45575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45575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45575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45575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45575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45575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45575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45575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45575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45575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45575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45575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45575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45575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45575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45575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45575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45575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45575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45575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45575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45575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45575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45575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45575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45575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45575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45575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45575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45575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45575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45575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45575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45575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45575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45575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45575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45575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45575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45575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45575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45575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45575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45575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45575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45575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45575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45575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45575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45575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45575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45575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45575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45575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45575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45575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45575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45575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45575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45575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45575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45575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45575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45575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45575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45575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45575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45575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45575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45575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45575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45575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45575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45575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45575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45575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45575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45575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45575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45575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45575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45575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45575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45575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45575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45575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45575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45575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45575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45575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45575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45575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45575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45575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45575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45575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45575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45575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45575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45575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45575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45575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45575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45575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45575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45575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45575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45575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45575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45575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45575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45575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45575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45575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45575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45575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45575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45575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45575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45575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45575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45575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45575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45575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45575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45575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45575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45575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45575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45575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45575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45575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45575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45575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45575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45575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45575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45575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45575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45575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45575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45575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45575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45575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45575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45575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45575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45575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45575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45575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45575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45575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45575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45575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45575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45575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45575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45575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45575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45575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45575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45575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45575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45575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45575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45575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45575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45575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45575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45575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45575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45575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45575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45575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45575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45575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45575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45575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45575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45575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45575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45575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45575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45575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45575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45575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45575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45575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45575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45575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45575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45575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45575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45575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45575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45575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45575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45575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45575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45575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45575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45575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45575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45575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45575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45575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45575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45575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45575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45575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45575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45575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45575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45575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45575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45575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45575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45575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45575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45575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45575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45575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45575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45575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45575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45575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45575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45575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45575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45575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45575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45575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45575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45575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45575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45575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45575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45575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45575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45575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45575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45575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45575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45575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45575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45575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45575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45575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45575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45575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45575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45575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45575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45575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45575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45575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45575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45575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45575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45575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45575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45575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45575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45575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45575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45575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45575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45575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45575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45575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45575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45575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45575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45575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45575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45575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45575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45575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45575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45575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45575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45575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45575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45575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45575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45575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45575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45575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45575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45575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45575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45575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45575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45575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45575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45575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45575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45575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45575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45575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45575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45575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45575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45575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45575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45575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45575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45575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45575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45575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45575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45575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45575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45575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45575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45575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45575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45575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45575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45575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45575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45575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45575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45575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45575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45575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45575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45575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45575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45575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45575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45575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45575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45575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45575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45575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45575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45575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45575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45575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45575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45575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45575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45575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45575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45575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45575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45575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45575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45575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45575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45575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45575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45575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45575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45575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45575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45575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45575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45575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45575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45575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45575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45575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45575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45575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45575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45575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45575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45575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45575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45575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45575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45575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45575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45575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45575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45575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45575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45575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45575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45575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45575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45575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45575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45575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45575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45575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45575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45575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45575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45575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45575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45575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45575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45575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45575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45575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45575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45575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45575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45575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45575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45575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45575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45575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45575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45575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45575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45575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45575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45575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45575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45575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45575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45575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45575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45575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45575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45575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45575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45575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45575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45575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45575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45575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45575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45575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45575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45575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45575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45575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45575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45575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45575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45575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45575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45575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45575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45575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45575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45575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45575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45575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45575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45575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45575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45575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45575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45575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45575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45575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45575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45575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45575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45575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45575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45575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45575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45575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45575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45575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45575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45575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45575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45575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45575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45575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45575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45575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45575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45575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45575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45575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45575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45575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45575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45575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45575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45575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45575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45575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45575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45575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45575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45575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45575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45575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45575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45575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45575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45575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45575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45575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45575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45575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45575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45575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45575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45575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45575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45575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45575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45575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45575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45575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45575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45575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45575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45575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45575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45575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45575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45575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45575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45575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45575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45575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45575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45575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45575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45575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45575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45575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45575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45575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45575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45575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45575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45575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45575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45575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45575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45575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45575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45575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45575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45575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45575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45575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45575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45575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45575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45575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45575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45575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45575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45575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45575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45575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45575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45575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45575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45575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45575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45575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45575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45575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45575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45575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45575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45575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45575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45575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45575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45575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45575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45575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45575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45575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45575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45575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45575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45575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45575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45575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45575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45575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45575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45575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45575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45575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45575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45575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45575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45575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45575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45575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45575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45575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45575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45575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45575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45575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45575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45575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45575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45575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45575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45575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45575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45575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45575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45575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45575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45575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45575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45575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45575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45575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45575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45575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45575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45575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45575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45575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45575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45575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45575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45575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45575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45575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45575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45575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45575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45575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45575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45575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45575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45575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45575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45575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45575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45575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45575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45575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45575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45575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45575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45575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45575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45575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45575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45575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45575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45575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45575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45575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45575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45575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45575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45575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45575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45575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45575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45575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45575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45575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45575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45575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45575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45575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45575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45575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45575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45575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45575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45575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45575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45575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45575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45575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45575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45575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45575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45575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45575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45575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45575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45575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45575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45575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45575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45575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45575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45575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45575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45575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45575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45575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45575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45575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45575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45575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45575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45575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45575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45575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45575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45575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45575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45575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45575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45575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45575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45575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45575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45575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45575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45575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45575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45575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45575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45575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45575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45575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45575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45575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45575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45575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45575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45575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45575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45575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45575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45575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45575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45575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45575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45575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45575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45575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45575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45575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45575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45575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45575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45575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45575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45575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45575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45575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45575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45575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45575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45575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45575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45575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45575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45575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45575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45575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45575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45575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45575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45575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45575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45575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45575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45575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45575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45575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45575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45575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45575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45575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45575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45575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45575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45575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45575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45575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45575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45575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45575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45575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45575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45575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45575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45575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45575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45575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45575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45575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45575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45575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45575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45575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45575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45575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45575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45575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45575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45575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45575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45575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45575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45575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45575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45575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45575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45575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45575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45575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45575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45575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45575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45575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45575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45575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45575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45575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45575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45575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45575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45575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45575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45575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45575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45575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45575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45575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45575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45575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45575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45575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45575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45575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45575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45575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45575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45575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45575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45575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45575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45575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45575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45575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45575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45575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45575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45575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45575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45575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45575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45575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45575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45575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45575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45575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45575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45575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45575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45575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45575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45575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45575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45575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45575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45575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45575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45575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45575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45575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45575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45575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45575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45575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45575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45575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45575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45575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45575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45575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45575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45575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45575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45575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45575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45575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45575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45575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45575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45575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45575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45575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45575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45575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45575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45575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45575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45575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45575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45575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45575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45575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45575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45575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45575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45575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45575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45575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45575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45575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45575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45575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45575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45575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45575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45575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45575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45575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45575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45575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45575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45575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45575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45575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45575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45575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45575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45575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45575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45575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45575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45575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45575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45575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45575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45575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45575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45575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45575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45575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45575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45575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45575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45575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45575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45575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45575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45575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45575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45575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45575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45575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45575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45575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45575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45575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45575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45575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45575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45575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45575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45575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45575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45575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45575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45575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45575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45575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45575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45575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45575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45575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45575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45575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45575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45575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45575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45575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45575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45575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45575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45575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45575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45575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45575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45575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45575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45575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45575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45575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45575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45575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45575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45575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45575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45575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45575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45575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45575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45575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45575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45575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45575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45575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45575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45575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45575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45575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45575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45575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45575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45575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45575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45575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45575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45575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45575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45575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45575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45575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45575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45575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45575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45575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45575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45575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45575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45575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45575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45575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45575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45575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45575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45575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45575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45575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45575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45575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45575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45575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45575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45575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45575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45575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45575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45575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45575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45575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45575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45575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45575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45575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45575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45575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45575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45575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45575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45575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45575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45575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45575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45575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45575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45575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45575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45575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45575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45575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45575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45575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45575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45575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45575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45575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45575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45575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45575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45575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45575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45575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45575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45575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45575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45575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45575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45575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45575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45575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45575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45575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45575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45575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45575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45575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45575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45575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45575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45575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45575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45575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45575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45575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45575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45575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45575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45575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45575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45575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45575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45575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45575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39137-2024</t>
        </is>
      </c>
      <c r="B1434" s="1" t="n">
        <v>45548</v>
      </c>
      <c r="C1434" s="1" t="n">
        <v>45575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39145-2024</t>
        </is>
      </c>
      <c r="B1435" s="1" t="n">
        <v>45548</v>
      </c>
      <c r="C1435" s="1" t="n">
        <v>45575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39140-2024</t>
        </is>
      </c>
      <c r="B1436" s="1" t="n">
        <v>45548</v>
      </c>
      <c r="C1436" s="1" t="n">
        <v>45575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39152-2024</t>
        </is>
      </c>
      <c r="B1437" s="1" t="n">
        <v>45548</v>
      </c>
      <c r="C1437" s="1" t="n">
        <v>45575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39139-2024</t>
        </is>
      </c>
      <c r="B1438" s="1" t="n">
        <v>45548</v>
      </c>
      <c r="C1438" s="1" t="n">
        <v>45575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39151-2024</t>
        </is>
      </c>
      <c r="B1439" s="1" t="n">
        <v>45548</v>
      </c>
      <c r="C1439" s="1" t="n">
        <v>45575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8.300000000000001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39134-2024</t>
        </is>
      </c>
      <c r="B1440" s="1" t="n">
        <v>45548</v>
      </c>
      <c r="C1440" s="1" t="n">
        <v>45575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39231-2024</t>
        </is>
      </c>
      <c r="B1441" s="1" t="n">
        <v>45550</v>
      </c>
      <c r="C1441" s="1" t="n">
        <v>45575</v>
      </c>
      <c r="D1441" t="inlineStr">
        <is>
          <t>ÖREBRO LÄN</t>
        </is>
      </c>
      <c r="E1441" t="inlineStr">
        <is>
          <t>LINDESBERG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39229-2024</t>
        </is>
      </c>
      <c r="B1442" s="1" t="n">
        <v>45550</v>
      </c>
      <c r="C1442" s="1" t="n">
        <v>45575</v>
      </c>
      <c r="D1442" t="inlineStr">
        <is>
          <t>ÖREBRO LÄN</t>
        </is>
      </c>
      <c r="E1442" t="inlineStr">
        <is>
          <t>LINDESBERG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45575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40038-2024</t>
        </is>
      </c>
      <c r="B1444" s="1" t="n">
        <v>45553</v>
      </c>
      <c r="C1444" s="1" t="n">
        <v>45575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45575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45575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45575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45575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45575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40304-2024</t>
        </is>
      </c>
      <c r="B1450" s="1" t="n">
        <v>45554</v>
      </c>
      <c r="C1450" s="1" t="n">
        <v>45575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40306-2024</t>
        </is>
      </c>
      <c r="B1451" s="1" t="n">
        <v>45554</v>
      </c>
      <c r="C1451" s="1" t="n">
        <v>45575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45575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45575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45575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40633-2024</t>
        </is>
      </c>
      <c r="B1455" s="1" t="n">
        <v>45557</v>
      </c>
      <c r="C1455" s="1" t="n">
        <v>45575</v>
      </c>
      <c r="D1455" t="inlineStr">
        <is>
          <t>ÖREBRO LÄN</t>
        </is>
      </c>
      <c r="E1455" t="inlineStr">
        <is>
          <t>LINDESBERG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40634-2024</t>
        </is>
      </c>
      <c r="B1456" s="1" t="n">
        <v>45557</v>
      </c>
      <c r="C1456" s="1" t="n">
        <v>45575</v>
      </c>
      <c r="D1456" t="inlineStr">
        <is>
          <t>ÖREBRO LÄN</t>
        </is>
      </c>
      <c r="E1456" t="inlineStr">
        <is>
          <t>LINDESBERG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45575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45575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45575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42430-2024</t>
        </is>
      </c>
      <c r="B1460" s="1" t="n">
        <v>45565</v>
      </c>
      <c r="C1460" s="1" t="n">
        <v>45575</v>
      </c>
      <c r="D1460" t="inlineStr">
        <is>
          <t>ÖREBRO LÄN</t>
        </is>
      </c>
      <c r="E1460" t="inlineStr">
        <is>
          <t>LINDESBERG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42410-2024</t>
        </is>
      </c>
      <c r="B1461" s="1" t="n">
        <v>45565</v>
      </c>
      <c r="C1461" s="1" t="n">
        <v>45575</v>
      </c>
      <c r="D1461" t="inlineStr">
        <is>
          <t>ÖREBRO LÄN</t>
        </is>
      </c>
      <c r="E1461" t="inlineStr">
        <is>
          <t>LINDESBERG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43195-2024</t>
        </is>
      </c>
      <c r="B1462" s="1" t="n">
        <v>45567</v>
      </c>
      <c r="C1462" s="1" t="n">
        <v>45575</v>
      </c>
      <c r="D1462" t="inlineStr">
        <is>
          <t>ÖREBRO LÄN</t>
        </is>
      </c>
      <c r="E1462" t="inlineStr">
        <is>
          <t>LINDESBERG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45575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45575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43423-2024</t>
        </is>
      </c>
      <c r="B1465" s="1" t="n">
        <v>45568</v>
      </c>
      <c r="C1465" s="1" t="n">
        <v>45575</v>
      </c>
      <c r="D1465" t="inlineStr">
        <is>
          <t>ÖREBRO LÄN</t>
        </is>
      </c>
      <c r="E1465" t="inlineStr">
        <is>
          <t>LINDESBERG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43418-2024</t>
        </is>
      </c>
      <c r="B1466" s="1" t="n">
        <v>45568</v>
      </c>
      <c r="C1466" s="1" t="n">
        <v>45575</v>
      </c>
      <c r="D1466" t="inlineStr">
        <is>
          <t>ÖREBRO LÄN</t>
        </is>
      </c>
      <c r="E1466" t="inlineStr">
        <is>
          <t>LINDESBERG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43433-2024</t>
        </is>
      </c>
      <c r="B1467" s="1" t="n">
        <v>45568</v>
      </c>
      <c r="C1467" s="1" t="n">
        <v>45575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45575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45575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45575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43803-2024</t>
        </is>
      </c>
      <c r="B1471" s="1" t="n">
        <v>45571</v>
      </c>
      <c r="C1471" s="1" t="n">
        <v>45575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43802-2024</t>
        </is>
      </c>
      <c r="B1472" s="1" t="n">
        <v>45571</v>
      </c>
      <c r="C1472" s="1" t="n">
        <v>45575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45575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44785-2024</t>
        </is>
      </c>
      <c r="B1474" s="1" t="n">
        <v>45574</v>
      </c>
      <c r="C1474" s="1" t="n">
        <v>45575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44789-2024</t>
        </is>
      </c>
      <c r="B1475" s="1" t="n">
        <v>45574</v>
      </c>
      <c r="C1475" s="1" t="n">
        <v>45575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44801-2024</t>
        </is>
      </c>
      <c r="B1476" s="1" t="n">
        <v>45574</v>
      </c>
      <c r="C1476" s="1" t="n">
        <v>45575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44803-2024</t>
        </is>
      </c>
      <c r="B1477" s="1" t="n">
        <v>45574</v>
      </c>
      <c r="C1477" s="1" t="n">
        <v>45575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45575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45575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44804-2024</t>
        </is>
      </c>
      <c r="B1480" s="1" t="n">
        <v>45574</v>
      </c>
      <c r="C1480" s="1" t="n">
        <v>45575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2024-10-10T12:24:06Z</dcterms:created>
  <dcterms:modified xmlns:dcterms="http://purl.org/dc/terms/" xmlns:xsi="http://www.w3.org/2001/XMLSchema-instance" xsi:type="dcterms:W3CDTF">2024-10-10T12:24:07Z</dcterms:modified>
</cp:coreProperties>
</file>