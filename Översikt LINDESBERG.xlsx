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46176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46176</v>
      </c>
      <c r="D7" t="inlineStr">
        <is>
          <t>ÖREBRO LÄN</t>
        </is>
      </c>
      <c r="E7" t="inlineStr">
        <is>
          <t>LINDESBERG</t>
        </is>
      </c>
      <c r="G7" t="n">
        <v>1.3</v>
      </c>
      <c r="H7" t="n">
        <v>6</v>
      </c>
      <c r="I7" t="n">
        <v>3</v>
      </c>
      <c r="J7" t="n">
        <v>5</v>
      </c>
      <c r="K7" t="n">
        <v>0</v>
      </c>
      <c r="L7" t="n">
        <v>1</v>
      </c>
      <c r="M7" t="n">
        <v>0</v>
      </c>
      <c r="N7" t="n">
        <v>0</v>
      </c>
      <c r="O7" t="n">
        <v>6</v>
      </c>
      <c r="P7" t="n">
        <v>1</v>
      </c>
      <c r="Q7" t="n">
        <v>11</v>
      </c>
      <c r="R7" s="2" t="inlineStr">
        <is>
          <t>Ask
Entita
Fyrflikig jordstjärna
Grönsångare
Spillkråka
Svartvit flugsnappare
Thomsons trägnagare
Tibast
Västlig hakmossa
Kungsfågel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8178-2026</t>
        </is>
      </c>
      <c r="B8" s="1" t="n">
        <v>46064.41263888889</v>
      </c>
      <c r="C8" s="1" t="n">
        <v>46176</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46176</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46176</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46176</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46176</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46176</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46176</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46176</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46176</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46176</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46176</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46176</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46176</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46176</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46176</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46176</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34266-2025</t>
        </is>
      </c>
      <c r="B24" s="1" t="n">
        <v>45845.75751157408</v>
      </c>
      <c r="C24" s="1" t="n">
        <v>46176</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39193-2025</t>
        </is>
      </c>
      <c r="B25" s="1" t="n">
        <v>45888.67765046296</v>
      </c>
      <c r="C25" s="1" t="n">
        <v>46176</v>
      </c>
      <c r="D25" t="inlineStr">
        <is>
          <t>ÖREBRO LÄN</t>
        </is>
      </c>
      <c r="E25" t="inlineStr">
        <is>
          <t>LINDESBERG</t>
        </is>
      </c>
      <c r="G25" t="n">
        <v>1.6</v>
      </c>
      <c r="H25" t="n">
        <v>0</v>
      </c>
      <c r="I25" t="n">
        <v>1</v>
      </c>
      <c r="J25" t="n">
        <v>2</v>
      </c>
      <c r="K25" t="n">
        <v>0</v>
      </c>
      <c r="L25" t="n">
        <v>0</v>
      </c>
      <c r="M25" t="n">
        <v>0</v>
      </c>
      <c r="N25" t="n">
        <v>0</v>
      </c>
      <c r="O25" t="n">
        <v>2</v>
      </c>
      <c r="P25" t="n">
        <v>0</v>
      </c>
      <c r="Q25" t="n">
        <v>3</v>
      </c>
      <c r="R25" s="2" t="inlineStr">
        <is>
          <t>Motaggsvamp
Ullticka
Grönpyrola</t>
        </is>
      </c>
      <c r="S25">
        <f>HYPERLINK("https://klasma.github.io/Logging_1885/artfynd/A 39193-2025 artfynd.xlsx", "A 39193-2025")</f>
        <v/>
      </c>
      <c r="T25">
        <f>HYPERLINK("https://klasma.github.io/Logging_1885/kartor/A 39193-2025 karta.png", "A 39193-2025")</f>
        <v/>
      </c>
      <c r="U25">
        <f>HYPERLINK("https://klasma.github.io/Logging_1885/knärot/A 39193-2025 karta knärot.png", "A 39193-2025")</f>
        <v/>
      </c>
      <c r="V25">
        <f>HYPERLINK("https://klasma.github.io/Logging_1885/klagomål/A 39193-2025 FSC-klagomål.docx", "A 39193-2025")</f>
        <v/>
      </c>
      <c r="W25">
        <f>HYPERLINK("https://klasma.github.io/Logging_1885/klagomålsmail/A 39193-2025 FSC-klagomål mail.docx", "A 39193-2025")</f>
        <v/>
      </c>
      <c r="X25">
        <f>HYPERLINK("https://klasma.github.io/Logging_1885/tillsyn/A 39193-2025 tillsynsbegäran.docx", "A 39193-2025")</f>
        <v/>
      </c>
      <c r="Y25">
        <f>HYPERLINK("https://klasma.github.io/Logging_1885/tillsynsmail/A 39193-2025 tillsynsbegäran mail.docx", "A 39193-2025")</f>
        <v/>
      </c>
    </row>
    <row r="26" ht="15" customHeight="1">
      <c r="A26" t="inlineStr">
        <is>
          <t>A 20364-2026</t>
        </is>
      </c>
      <c r="B26" s="1" t="n">
        <v>46139.67759259259</v>
      </c>
      <c r="C26" s="1" t="n">
        <v>46176</v>
      </c>
      <c r="D26" t="inlineStr">
        <is>
          <t>ÖREBRO LÄN</t>
        </is>
      </c>
      <c r="E26" t="inlineStr">
        <is>
          <t>LINDESBERG</t>
        </is>
      </c>
      <c r="G26" t="n">
        <v>8.199999999999999</v>
      </c>
      <c r="H26" t="n">
        <v>2</v>
      </c>
      <c r="I26" t="n">
        <v>1</v>
      </c>
      <c r="J26" t="n">
        <v>2</v>
      </c>
      <c r="K26" t="n">
        <v>0</v>
      </c>
      <c r="L26" t="n">
        <v>0</v>
      </c>
      <c r="M26" t="n">
        <v>0</v>
      </c>
      <c r="N26" t="n">
        <v>0</v>
      </c>
      <c r="O26" t="n">
        <v>2</v>
      </c>
      <c r="P26" t="n">
        <v>0</v>
      </c>
      <c r="Q26" t="n">
        <v>3</v>
      </c>
      <c r="R26" s="2" t="inlineStr">
        <is>
          <t>Spillkråka
Tretåig hackspett
Bronshjon</t>
        </is>
      </c>
      <c r="S26">
        <f>HYPERLINK("https://klasma.github.io/Logging_1885/artfynd/A 20364-2026 artfynd.xlsx", "A 20364-2026")</f>
        <v/>
      </c>
      <c r="T26">
        <f>HYPERLINK("https://klasma.github.io/Logging_1885/kartor/A 20364-2026 karta.png", "A 20364-2026")</f>
        <v/>
      </c>
      <c r="V26">
        <f>HYPERLINK("https://klasma.github.io/Logging_1885/klagomål/A 20364-2026 FSC-klagomål.docx", "A 20364-2026")</f>
        <v/>
      </c>
      <c r="W26">
        <f>HYPERLINK("https://klasma.github.io/Logging_1885/klagomålsmail/A 20364-2026 FSC-klagomål mail.docx", "A 20364-2026")</f>
        <v/>
      </c>
      <c r="X26">
        <f>HYPERLINK("https://klasma.github.io/Logging_1885/tillsyn/A 20364-2026 tillsynsbegäran.docx", "A 20364-2026")</f>
        <v/>
      </c>
      <c r="Y26">
        <f>HYPERLINK("https://klasma.github.io/Logging_1885/tillsynsmail/A 20364-2026 tillsynsbegäran mail.docx", "A 20364-2026")</f>
        <v/>
      </c>
      <c r="Z26">
        <f>HYPERLINK("https://klasma.github.io/Logging_1885/fåglar/A 20364-2026 prioriterade fågelarter.docx", "A 20364-2026")</f>
        <v/>
      </c>
    </row>
    <row r="27" ht="15" customHeight="1">
      <c r="A27" t="inlineStr">
        <is>
          <t>A 20744-2026</t>
        </is>
      </c>
      <c r="B27" s="1" t="n">
        <v>46141.58104166666</v>
      </c>
      <c r="C27" s="1" t="n">
        <v>46176</v>
      </c>
      <c r="D27" t="inlineStr">
        <is>
          <t>ÖREBRO LÄN</t>
        </is>
      </c>
      <c r="E27" t="inlineStr">
        <is>
          <t>LINDESBERG</t>
        </is>
      </c>
      <c r="G27" t="n">
        <v>3</v>
      </c>
      <c r="H27" t="n">
        <v>3</v>
      </c>
      <c r="I27" t="n">
        <v>0</v>
      </c>
      <c r="J27" t="n">
        <v>1</v>
      </c>
      <c r="K27" t="n">
        <v>0</v>
      </c>
      <c r="L27" t="n">
        <v>1</v>
      </c>
      <c r="M27" t="n">
        <v>0</v>
      </c>
      <c r="N27" t="n">
        <v>0</v>
      </c>
      <c r="O27" t="n">
        <v>2</v>
      </c>
      <c r="P27" t="n">
        <v>1</v>
      </c>
      <c r="Q27" t="n">
        <v>3</v>
      </c>
      <c r="R27" s="2" t="inlineStr">
        <is>
          <t>Asknätfjäril
Spillkråka
Grönsiska</t>
        </is>
      </c>
      <c r="S27">
        <f>HYPERLINK("https://klasma.github.io/Logging_1885/artfynd/A 20744-2026 artfynd.xlsx", "A 20744-2026")</f>
        <v/>
      </c>
      <c r="T27">
        <f>HYPERLINK("https://klasma.github.io/Logging_1885/kartor/A 20744-2026 karta.png", "A 20744-2026")</f>
        <v/>
      </c>
      <c r="V27">
        <f>HYPERLINK("https://klasma.github.io/Logging_1885/klagomål/A 20744-2026 FSC-klagomål.docx", "A 20744-2026")</f>
        <v/>
      </c>
      <c r="W27">
        <f>HYPERLINK("https://klasma.github.io/Logging_1885/klagomålsmail/A 20744-2026 FSC-klagomål mail.docx", "A 20744-2026")</f>
        <v/>
      </c>
      <c r="X27">
        <f>HYPERLINK("https://klasma.github.io/Logging_1885/tillsyn/A 20744-2026 tillsynsbegäran.docx", "A 20744-2026")</f>
        <v/>
      </c>
      <c r="Y27">
        <f>HYPERLINK("https://klasma.github.io/Logging_1885/tillsynsmail/A 20744-2026 tillsynsbegäran mail.docx", "A 20744-2026")</f>
        <v/>
      </c>
      <c r="Z27">
        <f>HYPERLINK("https://klasma.github.io/Logging_1885/fåglar/A 20744-2026 prioriterade fågelarter.docx", "A 20744-2026")</f>
        <v/>
      </c>
    </row>
    <row r="28" ht="15" customHeight="1">
      <c r="A28" t="inlineStr">
        <is>
          <t>A 42636-2025</t>
        </is>
      </c>
      <c r="B28" s="1" t="n">
        <v>45905.90789351852</v>
      </c>
      <c r="C28" s="1" t="n">
        <v>46176</v>
      </c>
      <c r="D28" t="inlineStr">
        <is>
          <t>ÖREBRO LÄN</t>
        </is>
      </c>
      <c r="E28" t="inlineStr">
        <is>
          <t>LINDESBERG</t>
        </is>
      </c>
      <c r="F28" t="inlineStr">
        <is>
          <t>Sveaskog</t>
        </is>
      </c>
      <c r="G28" t="n">
        <v>1.9</v>
      </c>
      <c r="H28" t="n">
        <v>1</v>
      </c>
      <c r="I28" t="n">
        <v>0</v>
      </c>
      <c r="J28" t="n">
        <v>2</v>
      </c>
      <c r="K28" t="n">
        <v>0</v>
      </c>
      <c r="L28" t="n">
        <v>0</v>
      </c>
      <c r="M28" t="n">
        <v>0</v>
      </c>
      <c r="N28" t="n">
        <v>0</v>
      </c>
      <c r="O28" t="n">
        <v>2</v>
      </c>
      <c r="P28" t="n">
        <v>0</v>
      </c>
      <c r="Q28" t="n">
        <v>3</v>
      </c>
      <c r="R28" s="2" t="inlineStr">
        <is>
          <t>Motaggsvamp
Ullticka
Revlummer</t>
        </is>
      </c>
      <c r="S28">
        <f>HYPERLINK("https://klasma.github.io/Logging_1885/artfynd/A 42636-2025 artfynd.xlsx", "A 42636-2025")</f>
        <v/>
      </c>
      <c r="T28">
        <f>HYPERLINK("https://klasma.github.io/Logging_1885/kartor/A 42636-2025 karta.png", "A 42636-2025")</f>
        <v/>
      </c>
      <c r="U28">
        <f>HYPERLINK("https://klasma.github.io/Logging_1885/knärot/A 42636-2025 karta knärot.png", "A 42636-2025")</f>
        <v/>
      </c>
      <c r="V28">
        <f>HYPERLINK("https://klasma.github.io/Logging_1885/klagomål/A 42636-2025 FSC-klagomål.docx", "A 42636-2025")</f>
        <v/>
      </c>
      <c r="W28">
        <f>HYPERLINK("https://klasma.github.io/Logging_1885/klagomålsmail/A 42636-2025 FSC-klagomål mail.docx", "A 42636-2025")</f>
        <v/>
      </c>
      <c r="X28">
        <f>HYPERLINK("https://klasma.github.io/Logging_1885/tillsyn/A 42636-2025 tillsynsbegäran.docx", "A 42636-2025")</f>
        <v/>
      </c>
      <c r="Y28">
        <f>HYPERLINK("https://klasma.github.io/Logging_1885/tillsynsmail/A 42636-2025 tillsynsbegäran mail.docx", "A 42636-2025")</f>
        <v/>
      </c>
    </row>
    <row r="29" ht="15" customHeight="1">
      <c r="A29" t="inlineStr">
        <is>
          <t>A 42628-2025</t>
        </is>
      </c>
      <c r="B29" s="1" t="n">
        <v>45905.83755787037</v>
      </c>
      <c r="C29" s="1" t="n">
        <v>46176</v>
      </c>
      <c r="D29" t="inlineStr">
        <is>
          <t>ÖREBRO LÄN</t>
        </is>
      </c>
      <c r="E29" t="inlineStr">
        <is>
          <t>LINDESBERG</t>
        </is>
      </c>
      <c r="F29" t="inlineStr">
        <is>
          <t>Sveaskog</t>
        </is>
      </c>
      <c r="G29" t="n">
        <v>3.7</v>
      </c>
      <c r="H29" t="n">
        <v>0</v>
      </c>
      <c r="I29" t="n">
        <v>0</v>
      </c>
      <c r="J29" t="n">
        <v>2</v>
      </c>
      <c r="K29" t="n">
        <v>1</v>
      </c>
      <c r="L29" t="n">
        <v>0</v>
      </c>
      <c r="M29" t="n">
        <v>0</v>
      </c>
      <c r="N29" t="n">
        <v>0</v>
      </c>
      <c r="O29" t="n">
        <v>3</v>
      </c>
      <c r="P29" t="n">
        <v>1</v>
      </c>
      <c r="Q29" t="n">
        <v>3</v>
      </c>
      <c r="R29" s="2" t="inlineStr">
        <is>
          <t>Jättemusseron
Backtimjan
Tallticka</t>
        </is>
      </c>
      <c r="S29">
        <f>HYPERLINK("https://klasma.github.io/Logging_1885/artfynd/A 42628-2025 artfynd.xlsx", "A 42628-2025")</f>
        <v/>
      </c>
      <c r="T29">
        <f>HYPERLINK("https://klasma.github.io/Logging_1885/kartor/A 42628-2025 karta.png", "A 42628-2025")</f>
        <v/>
      </c>
      <c r="V29">
        <f>HYPERLINK("https://klasma.github.io/Logging_1885/klagomål/A 42628-2025 FSC-klagomål.docx", "A 42628-2025")</f>
        <v/>
      </c>
      <c r="W29">
        <f>HYPERLINK("https://klasma.github.io/Logging_1885/klagomålsmail/A 42628-2025 FSC-klagomål mail.docx", "A 42628-2025")</f>
        <v/>
      </c>
      <c r="X29">
        <f>HYPERLINK("https://klasma.github.io/Logging_1885/tillsyn/A 42628-2025 tillsynsbegäran.docx", "A 42628-2025")</f>
        <v/>
      </c>
      <c r="Y29">
        <f>HYPERLINK("https://klasma.github.io/Logging_1885/tillsynsmail/A 42628-2025 tillsynsbegäran mail.docx", "A 42628-2025")</f>
        <v/>
      </c>
    </row>
    <row r="30" ht="15" customHeight="1">
      <c r="A30" t="inlineStr">
        <is>
          <t>A 50989-2023</t>
        </is>
      </c>
      <c r="B30" s="1" t="n">
        <v>45218</v>
      </c>
      <c r="C30" s="1" t="n">
        <v>46176</v>
      </c>
      <c r="D30" t="inlineStr">
        <is>
          <t>ÖREBRO LÄN</t>
        </is>
      </c>
      <c r="E30" t="inlineStr">
        <is>
          <t>LINDESBERG</t>
        </is>
      </c>
      <c r="F30" t="inlineStr">
        <is>
          <t>Sveaskog</t>
        </is>
      </c>
      <c r="G30" t="n">
        <v>3.4</v>
      </c>
      <c r="H30" t="n">
        <v>0</v>
      </c>
      <c r="I30" t="n">
        <v>1</v>
      </c>
      <c r="J30" t="n">
        <v>2</v>
      </c>
      <c r="K30" t="n">
        <v>0</v>
      </c>
      <c r="L30" t="n">
        <v>0</v>
      </c>
      <c r="M30" t="n">
        <v>0</v>
      </c>
      <c r="N30" t="n">
        <v>0</v>
      </c>
      <c r="O30" t="n">
        <v>2</v>
      </c>
      <c r="P30" t="n">
        <v>0</v>
      </c>
      <c r="Q30" t="n">
        <v>3</v>
      </c>
      <c r="R30" s="2" t="inlineStr">
        <is>
          <t>Grantaggsvamp
Svartvit taggsvamp
Dropptaggsvamp</t>
        </is>
      </c>
      <c r="S30">
        <f>HYPERLINK("https://klasma.github.io/Logging_1885/artfynd/A 50989-2023 artfynd.xlsx", "A 50989-2023")</f>
        <v/>
      </c>
      <c r="T30">
        <f>HYPERLINK("https://klasma.github.io/Logging_1885/kartor/A 50989-2023 karta.png", "A 50989-2023")</f>
        <v/>
      </c>
      <c r="V30">
        <f>HYPERLINK("https://klasma.github.io/Logging_1885/klagomål/A 50989-2023 FSC-klagomål.docx", "A 50989-2023")</f>
        <v/>
      </c>
      <c r="W30">
        <f>HYPERLINK("https://klasma.github.io/Logging_1885/klagomålsmail/A 50989-2023 FSC-klagomål mail.docx", "A 50989-2023")</f>
        <v/>
      </c>
      <c r="X30">
        <f>HYPERLINK("https://klasma.github.io/Logging_1885/tillsyn/A 50989-2023 tillsynsbegäran.docx", "A 50989-2023")</f>
        <v/>
      </c>
      <c r="Y30">
        <f>HYPERLINK("https://klasma.github.io/Logging_1885/tillsynsmail/A 50989-2023 tillsynsbegäran mail.docx", "A 50989-2023")</f>
        <v/>
      </c>
    </row>
    <row r="31" ht="15" customHeight="1">
      <c r="A31" t="inlineStr">
        <is>
          <t>A 49945-2025</t>
        </is>
      </c>
      <c r="B31" s="1" t="n">
        <v>45940.69754629629</v>
      </c>
      <c r="C31" s="1" t="n">
        <v>46176</v>
      </c>
      <c r="D31" t="inlineStr">
        <is>
          <t>ÖREBRO LÄN</t>
        </is>
      </c>
      <c r="E31" t="inlineStr">
        <is>
          <t>LINDESBERG</t>
        </is>
      </c>
      <c r="F31" t="inlineStr">
        <is>
          <t>Sveaskog</t>
        </is>
      </c>
      <c r="G31" t="n">
        <v>2.4</v>
      </c>
      <c r="H31" t="n">
        <v>1</v>
      </c>
      <c r="I31" t="n">
        <v>1</v>
      </c>
      <c r="J31" t="n">
        <v>1</v>
      </c>
      <c r="K31" t="n">
        <v>0</v>
      </c>
      <c r="L31" t="n">
        <v>0</v>
      </c>
      <c r="M31" t="n">
        <v>0</v>
      </c>
      <c r="N31" t="n">
        <v>0</v>
      </c>
      <c r="O31" t="n">
        <v>1</v>
      </c>
      <c r="P31" t="n">
        <v>0</v>
      </c>
      <c r="Q31" t="n">
        <v>3</v>
      </c>
      <c r="R31" s="2" t="inlineStr">
        <is>
          <t>Motaggsvamp
Zontaggsvamp
Mattlummer</t>
        </is>
      </c>
      <c r="S31">
        <f>HYPERLINK("https://klasma.github.io/Logging_1885/artfynd/A 49945-2025 artfynd.xlsx", "A 49945-2025")</f>
        <v/>
      </c>
      <c r="T31">
        <f>HYPERLINK("https://klasma.github.io/Logging_1885/kartor/A 49945-2025 karta.png", "A 49945-2025")</f>
        <v/>
      </c>
      <c r="V31">
        <f>HYPERLINK("https://klasma.github.io/Logging_1885/klagomål/A 49945-2025 FSC-klagomål.docx", "A 49945-2025")</f>
        <v/>
      </c>
      <c r="W31">
        <f>HYPERLINK("https://klasma.github.io/Logging_1885/klagomålsmail/A 49945-2025 FSC-klagomål mail.docx", "A 49945-2025")</f>
        <v/>
      </c>
      <c r="X31">
        <f>HYPERLINK("https://klasma.github.io/Logging_1885/tillsyn/A 49945-2025 tillsynsbegäran.docx", "A 49945-2025")</f>
        <v/>
      </c>
      <c r="Y31">
        <f>HYPERLINK("https://klasma.github.io/Logging_1885/tillsynsmail/A 49945-2025 tillsynsbegäran mail.docx", "A 49945-2025")</f>
        <v/>
      </c>
    </row>
    <row r="32" ht="15" customHeight="1">
      <c r="A32" t="inlineStr">
        <is>
          <t>A 54020-2024</t>
        </is>
      </c>
      <c r="B32" s="1" t="n">
        <v>45616.38605324074</v>
      </c>
      <c r="C32" s="1" t="n">
        <v>46176</v>
      </c>
      <c r="D32" t="inlineStr">
        <is>
          <t>ÖREBRO LÄN</t>
        </is>
      </c>
      <c r="E32" t="inlineStr">
        <is>
          <t>LINDESBERG</t>
        </is>
      </c>
      <c r="G32" t="n">
        <v>2.8</v>
      </c>
      <c r="H32" t="n">
        <v>1</v>
      </c>
      <c r="I32" t="n">
        <v>1</v>
      </c>
      <c r="J32" t="n">
        <v>2</v>
      </c>
      <c r="K32" t="n">
        <v>0</v>
      </c>
      <c r="L32" t="n">
        <v>0</v>
      </c>
      <c r="M32" t="n">
        <v>0</v>
      </c>
      <c r="N32" t="n">
        <v>0</v>
      </c>
      <c r="O32" t="n">
        <v>2</v>
      </c>
      <c r="P32" t="n">
        <v>0</v>
      </c>
      <c r="Q32" t="n">
        <v>3</v>
      </c>
      <c r="R32" s="2" t="inlineStr">
        <is>
          <t>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54332-2021</t>
        </is>
      </c>
      <c r="B33" s="1" t="n">
        <v>44472</v>
      </c>
      <c r="C33" s="1" t="n">
        <v>46176</v>
      </c>
      <c r="D33" t="inlineStr">
        <is>
          <t>ÖREBRO LÄN</t>
        </is>
      </c>
      <c r="E33" t="inlineStr">
        <is>
          <t>LINDESBERG</t>
        </is>
      </c>
      <c r="G33" t="n">
        <v>1.4</v>
      </c>
      <c r="H33" t="n">
        <v>1</v>
      </c>
      <c r="I33" t="n">
        <v>0</v>
      </c>
      <c r="J33" t="n">
        <v>1</v>
      </c>
      <c r="K33" t="n">
        <v>0</v>
      </c>
      <c r="L33" t="n">
        <v>1</v>
      </c>
      <c r="M33" t="n">
        <v>0</v>
      </c>
      <c r="N33" t="n">
        <v>0</v>
      </c>
      <c r="O33" t="n">
        <v>2</v>
      </c>
      <c r="P33" t="n">
        <v>1</v>
      </c>
      <c r="Q33" t="n">
        <v>2</v>
      </c>
      <c r="R33" s="2" t="inlineStr">
        <is>
          <t>Asknätfjäril
Blek fingersvamp</t>
        </is>
      </c>
      <c r="S33">
        <f>HYPERLINK("https://klasma.github.io/Logging_1885/artfynd/A 54332-2021 artfynd.xlsx", "A 54332-2021")</f>
        <v/>
      </c>
      <c r="T33">
        <f>HYPERLINK("https://klasma.github.io/Logging_1885/kartor/A 54332-2021 karta.png", "A 54332-2021")</f>
        <v/>
      </c>
      <c r="V33">
        <f>HYPERLINK("https://klasma.github.io/Logging_1885/klagomål/A 54332-2021 FSC-klagomål.docx", "A 54332-2021")</f>
        <v/>
      </c>
      <c r="W33">
        <f>HYPERLINK("https://klasma.github.io/Logging_1885/klagomålsmail/A 54332-2021 FSC-klagomål mail.docx", "A 54332-2021")</f>
        <v/>
      </c>
      <c r="X33">
        <f>HYPERLINK("https://klasma.github.io/Logging_1885/tillsyn/A 54332-2021 tillsynsbegäran.docx", "A 54332-2021")</f>
        <v/>
      </c>
      <c r="Y33">
        <f>HYPERLINK("https://klasma.github.io/Logging_1885/tillsynsmail/A 54332-2021 tillsynsbegäran mail.docx", "A 54332-2021")</f>
        <v/>
      </c>
    </row>
    <row r="34" ht="15" customHeight="1">
      <c r="A34" t="inlineStr">
        <is>
          <t>A 34292-2023</t>
        </is>
      </c>
      <c r="B34" s="1" t="n">
        <v>45138</v>
      </c>
      <c r="C34" s="1" t="n">
        <v>46176</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1475-2025</t>
        </is>
      </c>
      <c r="B35" s="1" t="n">
        <v>45670</v>
      </c>
      <c r="C35" s="1" t="n">
        <v>46176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42629-2025</t>
        </is>
      </c>
      <c r="B36" s="1" t="n">
        <v>45905.88938657408</v>
      </c>
      <c r="C36" s="1" t="n">
        <v>46176</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16103-2026</t>
        </is>
      </c>
      <c r="B37" s="1" t="n">
        <v>46108.59048611111</v>
      </c>
      <c r="C37" s="1" t="n">
        <v>46176</v>
      </c>
      <c r="D37" t="inlineStr">
        <is>
          <t>ÖREBRO LÄN</t>
        </is>
      </c>
      <c r="E37" t="inlineStr">
        <is>
          <t>LINDESBERG</t>
        </is>
      </c>
      <c r="G37" t="n">
        <v>5.5</v>
      </c>
      <c r="H37" t="n">
        <v>1</v>
      </c>
      <c r="I37" t="n">
        <v>0</v>
      </c>
      <c r="J37" t="n">
        <v>2</v>
      </c>
      <c r="K37" t="n">
        <v>0</v>
      </c>
      <c r="L37" t="n">
        <v>0</v>
      </c>
      <c r="M37" t="n">
        <v>0</v>
      </c>
      <c r="N37" t="n">
        <v>0</v>
      </c>
      <c r="O37" t="n">
        <v>2</v>
      </c>
      <c r="P37" t="n">
        <v>0</v>
      </c>
      <c r="Q37" t="n">
        <v>2</v>
      </c>
      <c r="R37" s="2" t="inlineStr">
        <is>
          <t>Garnlav
Spillkråka</t>
        </is>
      </c>
      <c r="S37">
        <f>HYPERLINK("https://klasma.github.io/Logging_1885/artfynd/A 16103-2026 artfynd.xlsx", "A 16103-2026")</f>
        <v/>
      </c>
      <c r="T37">
        <f>HYPERLINK("https://klasma.github.io/Logging_1885/kartor/A 16103-2026 karta.png", "A 16103-2026")</f>
        <v/>
      </c>
      <c r="V37">
        <f>HYPERLINK("https://klasma.github.io/Logging_1885/klagomål/A 16103-2026 FSC-klagomål.docx", "A 16103-2026")</f>
        <v/>
      </c>
      <c r="W37">
        <f>HYPERLINK("https://klasma.github.io/Logging_1885/klagomålsmail/A 16103-2026 FSC-klagomål mail.docx", "A 16103-2026")</f>
        <v/>
      </c>
      <c r="X37">
        <f>HYPERLINK("https://klasma.github.io/Logging_1885/tillsyn/A 16103-2026 tillsynsbegäran.docx", "A 16103-2026")</f>
        <v/>
      </c>
      <c r="Y37">
        <f>HYPERLINK("https://klasma.github.io/Logging_1885/tillsynsmail/A 16103-2026 tillsynsbegäran mail.docx", "A 16103-2026")</f>
        <v/>
      </c>
      <c r="Z37">
        <f>HYPERLINK("https://klasma.github.io/Logging_1885/fåglar/A 16103-2026 prioriterade fågelarter.docx", "A 16103-2026")</f>
        <v/>
      </c>
    </row>
    <row r="38" ht="15" customHeight="1">
      <c r="A38" t="inlineStr">
        <is>
          <t>A 25096-2026</t>
        </is>
      </c>
      <c r="B38" s="1" t="n">
        <v>46175.33916666666</v>
      </c>
      <c r="C38" s="1" t="n">
        <v>46176</v>
      </c>
      <c r="D38" t="inlineStr">
        <is>
          <t>ÖREBRO LÄN</t>
        </is>
      </c>
      <c r="E38" t="inlineStr">
        <is>
          <t>LINDESBERG</t>
        </is>
      </c>
      <c r="F38" t="inlineStr">
        <is>
          <t>Sveaskog</t>
        </is>
      </c>
      <c r="G38" t="n">
        <v>6.7</v>
      </c>
      <c r="H38" t="n">
        <v>1</v>
      </c>
      <c r="I38" t="n">
        <v>0</v>
      </c>
      <c r="J38" t="n">
        <v>1</v>
      </c>
      <c r="K38" t="n">
        <v>0</v>
      </c>
      <c r="L38" t="n">
        <v>0</v>
      </c>
      <c r="M38" t="n">
        <v>0</v>
      </c>
      <c r="N38" t="n">
        <v>0</v>
      </c>
      <c r="O38" t="n">
        <v>1</v>
      </c>
      <c r="P38" t="n">
        <v>0</v>
      </c>
      <c r="Q38" t="n">
        <v>2</v>
      </c>
      <c r="R38" s="2" t="inlineStr">
        <is>
          <t>Lunglav
Revlummer</t>
        </is>
      </c>
      <c r="S38">
        <f>HYPERLINK("https://klasma.github.io/Logging_1885/artfynd/A 25096-2026 artfynd.xlsx", "A 25096-2026")</f>
        <v/>
      </c>
      <c r="T38">
        <f>HYPERLINK("https://klasma.github.io/Logging_1885/kartor/A 25096-2026 karta.png", "A 25096-2026")</f>
        <v/>
      </c>
      <c r="V38">
        <f>HYPERLINK("https://klasma.github.io/Logging_1885/klagomål/A 25096-2026 FSC-klagomål.docx", "A 25096-2026")</f>
        <v/>
      </c>
      <c r="W38">
        <f>HYPERLINK("https://klasma.github.io/Logging_1885/klagomålsmail/A 25096-2026 FSC-klagomål mail.docx", "A 25096-2026")</f>
        <v/>
      </c>
      <c r="X38">
        <f>HYPERLINK("https://klasma.github.io/Logging_1885/tillsyn/A 25096-2026 tillsynsbegäran.docx", "A 25096-2026")</f>
        <v/>
      </c>
      <c r="Y38">
        <f>HYPERLINK("https://klasma.github.io/Logging_1885/tillsynsmail/A 25096-2026 tillsynsbegäran mail.docx", "A 25096-2026")</f>
        <v/>
      </c>
    </row>
    <row r="39" ht="15" customHeight="1">
      <c r="A39" t="inlineStr">
        <is>
          <t>A 51851-2025</t>
        </is>
      </c>
      <c r="B39" s="1" t="n">
        <v>45952.35611111111</v>
      </c>
      <c r="C39" s="1" t="n">
        <v>46176</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54239-2025</t>
        </is>
      </c>
      <c r="B40" s="1" t="n">
        <v>45964.62771990741</v>
      </c>
      <c r="C40" s="1" t="n">
        <v>46176</v>
      </c>
      <c r="D40" t="inlineStr">
        <is>
          <t>ÖREBRO LÄN</t>
        </is>
      </c>
      <c r="E40" t="inlineStr">
        <is>
          <t>LINDESBERG</t>
        </is>
      </c>
      <c r="G40" t="n">
        <v>4.9</v>
      </c>
      <c r="H40" t="n">
        <v>1</v>
      </c>
      <c r="I40" t="n">
        <v>0</v>
      </c>
      <c r="J40" t="n">
        <v>1</v>
      </c>
      <c r="K40" t="n">
        <v>1</v>
      </c>
      <c r="L40" t="n">
        <v>0</v>
      </c>
      <c r="M40" t="n">
        <v>0</v>
      </c>
      <c r="N40" t="n">
        <v>0</v>
      </c>
      <c r="O40" t="n">
        <v>2</v>
      </c>
      <c r="P40" t="n">
        <v>1</v>
      </c>
      <c r="Q40" t="n">
        <v>2</v>
      </c>
      <c r="R40" s="2" t="inlineStr">
        <is>
          <t>Rynkskinn
Spillkråka</t>
        </is>
      </c>
      <c r="S40">
        <f>HYPERLINK("https://klasma.github.io/Logging_1885/artfynd/A 54239-2025 artfynd.xlsx", "A 54239-2025")</f>
        <v/>
      </c>
      <c r="T40">
        <f>HYPERLINK("https://klasma.github.io/Logging_1885/kartor/A 54239-2025 karta.png", "A 54239-2025")</f>
        <v/>
      </c>
      <c r="V40">
        <f>HYPERLINK("https://klasma.github.io/Logging_1885/klagomål/A 54239-2025 FSC-klagomål.docx", "A 54239-2025")</f>
        <v/>
      </c>
      <c r="W40">
        <f>HYPERLINK("https://klasma.github.io/Logging_1885/klagomålsmail/A 54239-2025 FSC-klagomål mail.docx", "A 54239-2025")</f>
        <v/>
      </c>
      <c r="X40">
        <f>HYPERLINK("https://klasma.github.io/Logging_1885/tillsyn/A 54239-2025 tillsynsbegäran.docx", "A 54239-2025")</f>
        <v/>
      </c>
      <c r="Y40">
        <f>HYPERLINK("https://klasma.github.io/Logging_1885/tillsynsmail/A 54239-2025 tillsynsbegäran mail.docx", "A 54239-2025")</f>
        <v/>
      </c>
      <c r="Z40">
        <f>HYPERLINK("https://klasma.github.io/Logging_1885/fåglar/A 54239-2025 prioriterade fågelarter.docx", "A 54239-2025")</f>
        <v/>
      </c>
    </row>
    <row r="41" ht="15" customHeight="1">
      <c r="A41" t="inlineStr">
        <is>
          <t>A 54093-2025</t>
        </is>
      </c>
      <c r="B41" s="1" t="n">
        <v>45964.40112268519</v>
      </c>
      <c r="C41" s="1" t="n">
        <v>46176</v>
      </c>
      <c r="D41" t="inlineStr">
        <is>
          <t>ÖREBRO LÄN</t>
        </is>
      </c>
      <c r="E41" t="inlineStr">
        <is>
          <t>LINDESBERG</t>
        </is>
      </c>
      <c r="G41" t="n">
        <v>2.6</v>
      </c>
      <c r="H41" t="n">
        <v>0</v>
      </c>
      <c r="I41" t="n">
        <v>2</v>
      </c>
      <c r="J41" t="n">
        <v>0</v>
      </c>
      <c r="K41" t="n">
        <v>0</v>
      </c>
      <c r="L41" t="n">
        <v>0</v>
      </c>
      <c r="M41" t="n">
        <v>0</v>
      </c>
      <c r="N41" t="n">
        <v>0</v>
      </c>
      <c r="O41" t="n">
        <v>0</v>
      </c>
      <c r="P41" t="n">
        <v>0</v>
      </c>
      <c r="Q41" t="n">
        <v>2</v>
      </c>
      <c r="R41" s="2" t="inlineStr">
        <is>
          <t>Gulvaxing
Vitvaxing agg.</t>
        </is>
      </c>
      <c r="S41">
        <f>HYPERLINK("https://klasma.github.io/Logging_1885/artfynd/A 54093-2025 artfynd.xlsx", "A 54093-2025")</f>
        <v/>
      </c>
      <c r="T41">
        <f>HYPERLINK("https://klasma.github.io/Logging_1885/kartor/A 54093-2025 karta.png", "A 54093-2025")</f>
        <v/>
      </c>
      <c r="V41">
        <f>HYPERLINK("https://klasma.github.io/Logging_1885/klagomål/A 54093-2025 FSC-klagomål.docx", "A 54093-2025")</f>
        <v/>
      </c>
      <c r="W41">
        <f>HYPERLINK("https://klasma.github.io/Logging_1885/klagomålsmail/A 54093-2025 FSC-klagomål mail.docx", "A 54093-2025")</f>
        <v/>
      </c>
      <c r="X41">
        <f>HYPERLINK("https://klasma.github.io/Logging_1885/tillsyn/A 54093-2025 tillsynsbegäran.docx", "A 54093-2025")</f>
        <v/>
      </c>
      <c r="Y41">
        <f>HYPERLINK("https://klasma.github.io/Logging_1885/tillsynsmail/A 54093-2025 tillsynsbegäran mail.docx", "A 54093-2025")</f>
        <v/>
      </c>
    </row>
    <row r="42" ht="15" customHeight="1">
      <c r="A42" t="inlineStr">
        <is>
          <t>A 57319-2025</t>
        </is>
      </c>
      <c r="B42" s="1" t="n">
        <v>45980.01497685185</v>
      </c>
      <c r="C42" s="1" t="n">
        <v>46176</v>
      </c>
      <c r="D42" t="inlineStr">
        <is>
          <t>ÖREBRO LÄN</t>
        </is>
      </c>
      <c r="E42" t="inlineStr">
        <is>
          <t>LINDESBERG</t>
        </is>
      </c>
      <c r="F42" t="inlineStr">
        <is>
          <t>Sveaskog</t>
        </is>
      </c>
      <c r="G42" t="n">
        <v>15.3</v>
      </c>
      <c r="H42" t="n">
        <v>1</v>
      </c>
      <c r="I42" t="n">
        <v>2</v>
      </c>
      <c r="J42" t="n">
        <v>0</v>
      </c>
      <c r="K42" t="n">
        <v>0</v>
      </c>
      <c r="L42" t="n">
        <v>0</v>
      </c>
      <c r="M42" t="n">
        <v>0</v>
      </c>
      <c r="N42" t="n">
        <v>0</v>
      </c>
      <c r="O42" t="n">
        <v>0</v>
      </c>
      <c r="P42" t="n">
        <v>0</v>
      </c>
      <c r="Q42" t="n">
        <v>2</v>
      </c>
      <c r="R42" s="2" t="inlineStr">
        <is>
          <t>Dropptaggsvamp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15687-2023</t>
        </is>
      </c>
      <c r="B43" s="1" t="n">
        <v>45021</v>
      </c>
      <c r="C43" s="1" t="n">
        <v>46176</v>
      </c>
      <c r="D43" t="inlineStr">
        <is>
          <t>ÖREBRO LÄN</t>
        </is>
      </c>
      <c r="E43" t="inlineStr">
        <is>
          <t>LINDESBERG</t>
        </is>
      </c>
      <c r="G43" t="n">
        <v>1.4</v>
      </c>
      <c r="H43" t="n">
        <v>1</v>
      </c>
      <c r="I43" t="n">
        <v>2</v>
      </c>
      <c r="J43" t="n">
        <v>0</v>
      </c>
      <c r="K43" t="n">
        <v>0</v>
      </c>
      <c r="L43" t="n">
        <v>0</v>
      </c>
      <c r="M43" t="n">
        <v>0</v>
      </c>
      <c r="N43" t="n">
        <v>0</v>
      </c>
      <c r="O43" t="n">
        <v>0</v>
      </c>
      <c r="P43" t="n">
        <v>0</v>
      </c>
      <c r="Q43" t="n">
        <v>2</v>
      </c>
      <c r="R43" s="2" t="inlineStr">
        <is>
          <t>Rödgul trumpetsvamp
Tvåblad</t>
        </is>
      </c>
      <c r="S43">
        <f>HYPERLINK("https://klasma.github.io/Logging_1885/artfynd/A 15687-2023 artfynd.xlsx", "A 15687-2023")</f>
        <v/>
      </c>
      <c r="T43">
        <f>HYPERLINK("https://klasma.github.io/Logging_1885/kartor/A 15687-2023 karta.png", "A 15687-2023")</f>
        <v/>
      </c>
      <c r="V43">
        <f>HYPERLINK("https://klasma.github.io/Logging_1885/klagomål/A 15687-2023 FSC-klagomål.docx", "A 15687-2023")</f>
        <v/>
      </c>
      <c r="W43">
        <f>HYPERLINK("https://klasma.github.io/Logging_1885/klagomålsmail/A 15687-2023 FSC-klagomål mail.docx", "A 15687-2023")</f>
        <v/>
      </c>
      <c r="X43">
        <f>HYPERLINK("https://klasma.github.io/Logging_1885/tillsyn/A 15687-2023 tillsynsbegäran.docx", "A 15687-2023")</f>
        <v/>
      </c>
      <c r="Y43">
        <f>HYPERLINK("https://klasma.github.io/Logging_1885/tillsynsmail/A 15687-2023 tillsynsbegäran mail.docx", "A 15687-2023")</f>
        <v/>
      </c>
    </row>
    <row r="44" ht="15" customHeight="1">
      <c r="A44" t="inlineStr">
        <is>
          <t>A 33574-2022</t>
        </is>
      </c>
      <c r="B44" s="1" t="n">
        <v>44789</v>
      </c>
      <c r="C44" s="1" t="n">
        <v>46176</v>
      </c>
      <c r="D44" t="inlineStr">
        <is>
          <t>ÖREBRO LÄN</t>
        </is>
      </c>
      <c r="E44" t="inlineStr">
        <is>
          <t>LINDESBERG</t>
        </is>
      </c>
      <c r="G44" t="n">
        <v>11.5</v>
      </c>
      <c r="H44" t="n">
        <v>1</v>
      </c>
      <c r="I44" t="n">
        <v>1</v>
      </c>
      <c r="J44" t="n">
        <v>0</v>
      </c>
      <c r="K44" t="n">
        <v>1</v>
      </c>
      <c r="L44" t="n">
        <v>0</v>
      </c>
      <c r="M44" t="n">
        <v>0</v>
      </c>
      <c r="N44" t="n">
        <v>0</v>
      </c>
      <c r="O44" t="n">
        <v>1</v>
      </c>
      <c r="P44" t="n">
        <v>1</v>
      </c>
      <c r="Q44" t="n">
        <v>2</v>
      </c>
      <c r="R44" s="2" t="inlineStr">
        <is>
          <t>Knärot
Vedticka</t>
        </is>
      </c>
      <c r="S44">
        <f>HYPERLINK("https://klasma.github.io/Logging_1885/artfynd/A 33574-2022 artfynd.xlsx", "A 33574-2022")</f>
        <v/>
      </c>
      <c r="T44">
        <f>HYPERLINK("https://klasma.github.io/Logging_1885/kartor/A 33574-2022 karta.png", "A 33574-2022")</f>
        <v/>
      </c>
      <c r="U44">
        <f>HYPERLINK("https://klasma.github.io/Logging_1885/knärot/A 33574-2022 karta knärot.png", "A 33574-2022")</f>
        <v/>
      </c>
      <c r="V44">
        <f>HYPERLINK("https://klasma.github.io/Logging_1885/klagomål/A 33574-2022 FSC-klagomål.docx", "A 33574-2022")</f>
        <v/>
      </c>
      <c r="W44">
        <f>HYPERLINK("https://klasma.github.io/Logging_1885/klagomålsmail/A 33574-2022 FSC-klagomål mail.docx", "A 33574-2022")</f>
        <v/>
      </c>
      <c r="X44">
        <f>HYPERLINK("https://klasma.github.io/Logging_1885/tillsyn/A 33574-2022 tillsynsbegäran.docx", "A 33574-2022")</f>
        <v/>
      </c>
      <c r="Y44">
        <f>HYPERLINK("https://klasma.github.io/Logging_1885/tillsynsmail/A 33574-2022 tillsynsbegäran mail.docx", "A 33574-2022")</f>
        <v/>
      </c>
    </row>
    <row r="45" ht="15" customHeight="1">
      <c r="A45" t="inlineStr">
        <is>
          <t>A 9567-2026</t>
        </is>
      </c>
      <c r="B45" s="1" t="n">
        <v>46071.65692129629</v>
      </c>
      <c r="C45" s="1" t="n">
        <v>46176</v>
      </c>
      <c r="D45" t="inlineStr">
        <is>
          <t>ÖREBRO LÄN</t>
        </is>
      </c>
      <c r="E45" t="inlineStr">
        <is>
          <t>LINDESBERG</t>
        </is>
      </c>
      <c r="F45" t="inlineStr">
        <is>
          <t>Kommuner</t>
        </is>
      </c>
      <c r="G45" t="n">
        <v>1.4</v>
      </c>
      <c r="H45" t="n">
        <v>0</v>
      </c>
      <c r="I45" t="n">
        <v>1</v>
      </c>
      <c r="J45" t="n">
        <v>1</v>
      </c>
      <c r="K45" t="n">
        <v>0</v>
      </c>
      <c r="L45" t="n">
        <v>0</v>
      </c>
      <c r="M45" t="n">
        <v>0</v>
      </c>
      <c r="N45" t="n">
        <v>0</v>
      </c>
      <c r="O45" t="n">
        <v>1</v>
      </c>
      <c r="P45" t="n">
        <v>0</v>
      </c>
      <c r="Q45" t="n">
        <v>2</v>
      </c>
      <c r="R45" s="2" t="inlineStr">
        <is>
          <t>Ullticka
Thomsons trägnagare</t>
        </is>
      </c>
      <c r="S45">
        <f>HYPERLINK("https://klasma.github.io/Logging_1885/artfynd/A 9567-2026 artfynd.xlsx", "A 9567-2026")</f>
        <v/>
      </c>
      <c r="T45">
        <f>HYPERLINK("https://klasma.github.io/Logging_1885/kartor/A 9567-2026 karta.png", "A 9567-2026")</f>
        <v/>
      </c>
      <c r="V45">
        <f>HYPERLINK("https://klasma.github.io/Logging_1885/klagomål/A 9567-2026 FSC-klagomål.docx", "A 9567-2026")</f>
        <v/>
      </c>
      <c r="W45">
        <f>HYPERLINK("https://klasma.github.io/Logging_1885/klagomålsmail/A 9567-2026 FSC-klagomål mail.docx", "A 9567-2026")</f>
        <v/>
      </c>
      <c r="X45">
        <f>HYPERLINK("https://klasma.github.io/Logging_1885/tillsyn/A 9567-2026 tillsynsbegäran.docx", "A 9567-2026")</f>
        <v/>
      </c>
      <c r="Y45">
        <f>HYPERLINK("https://klasma.github.io/Logging_1885/tillsynsmail/A 9567-2026 tillsynsbegäran mail.docx", "A 9567-2026")</f>
        <v/>
      </c>
    </row>
    <row r="46" ht="15" customHeight="1">
      <c r="A46" t="inlineStr">
        <is>
          <t>A 53686-2024</t>
        </is>
      </c>
      <c r="B46" s="1" t="n">
        <v>45615</v>
      </c>
      <c r="C46" s="1" t="n">
        <v>46176</v>
      </c>
      <c r="D46" t="inlineStr">
        <is>
          <t>ÖREBRO LÄN</t>
        </is>
      </c>
      <c r="E46" t="inlineStr">
        <is>
          <t>LINDESBERG</t>
        </is>
      </c>
      <c r="G46" t="n">
        <v>9.1</v>
      </c>
      <c r="H46" t="n">
        <v>0</v>
      </c>
      <c r="I46" t="n">
        <v>1</v>
      </c>
      <c r="J46" t="n">
        <v>1</v>
      </c>
      <c r="K46" t="n">
        <v>0</v>
      </c>
      <c r="L46" t="n">
        <v>0</v>
      </c>
      <c r="M46" t="n">
        <v>0</v>
      </c>
      <c r="N46" t="n">
        <v>0</v>
      </c>
      <c r="O46" t="n">
        <v>1</v>
      </c>
      <c r="P46" t="n">
        <v>0</v>
      </c>
      <c r="Q46" t="n">
        <v>2</v>
      </c>
      <c r="R46" s="2" t="inlineStr">
        <is>
          <t>Dofttaggsvamp
Vedticka</t>
        </is>
      </c>
      <c r="S46">
        <f>HYPERLINK("https://klasma.github.io/Logging_1885/artfynd/A 53686-2024 artfynd.xlsx", "A 53686-2024")</f>
        <v/>
      </c>
      <c r="T46">
        <f>HYPERLINK("https://klasma.github.io/Logging_1885/kartor/A 53686-2024 karta.png", "A 53686-2024")</f>
        <v/>
      </c>
      <c r="V46">
        <f>HYPERLINK("https://klasma.github.io/Logging_1885/klagomål/A 53686-2024 FSC-klagomål.docx", "A 53686-2024")</f>
        <v/>
      </c>
      <c r="W46">
        <f>HYPERLINK("https://klasma.github.io/Logging_1885/klagomålsmail/A 53686-2024 FSC-klagomål mail.docx", "A 53686-2024")</f>
        <v/>
      </c>
      <c r="X46">
        <f>HYPERLINK("https://klasma.github.io/Logging_1885/tillsyn/A 53686-2024 tillsynsbegäran.docx", "A 53686-2024")</f>
        <v/>
      </c>
      <c r="Y46">
        <f>HYPERLINK("https://klasma.github.io/Logging_1885/tillsynsmail/A 53686-2024 tillsynsbegäran mail.docx", "A 53686-2024")</f>
        <v/>
      </c>
    </row>
    <row r="47" ht="15" customHeight="1">
      <c r="A47" t="inlineStr">
        <is>
          <t>A 38380-2024</t>
        </is>
      </c>
      <c r="B47" s="1" t="n">
        <v>45546.28121527778</v>
      </c>
      <c r="C47" s="1" t="n">
        <v>46176</v>
      </c>
      <c r="D47" t="inlineStr">
        <is>
          <t>ÖREBRO LÄN</t>
        </is>
      </c>
      <c r="E47" t="inlineStr">
        <is>
          <t>LINDESBERG</t>
        </is>
      </c>
      <c r="G47" t="n">
        <v>6.8</v>
      </c>
      <c r="H47" t="n">
        <v>2</v>
      </c>
      <c r="I47" t="n">
        <v>0</v>
      </c>
      <c r="J47" t="n">
        <v>0</v>
      </c>
      <c r="K47" t="n">
        <v>0</v>
      </c>
      <c r="L47" t="n">
        <v>0</v>
      </c>
      <c r="M47" t="n">
        <v>0</v>
      </c>
      <c r="N47" t="n">
        <v>0</v>
      </c>
      <c r="O47" t="n">
        <v>0</v>
      </c>
      <c r="P47" t="n">
        <v>0</v>
      </c>
      <c r="Q47" t="n">
        <v>2</v>
      </c>
      <c r="R47" s="2" t="inlineStr">
        <is>
          <t>Blåsippa
Gullviva</t>
        </is>
      </c>
      <c r="S47">
        <f>HYPERLINK("https://klasma.github.io/Logging_1885/artfynd/A 38380-2024 artfynd.xlsx", "A 38380-2024")</f>
        <v/>
      </c>
      <c r="T47">
        <f>HYPERLINK("https://klasma.github.io/Logging_1885/kartor/A 38380-2024 karta.png", "A 38380-2024")</f>
        <v/>
      </c>
      <c r="V47">
        <f>HYPERLINK("https://klasma.github.io/Logging_1885/klagomål/A 38380-2024 FSC-klagomål.docx", "A 38380-2024")</f>
        <v/>
      </c>
      <c r="W47">
        <f>HYPERLINK("https://klasma.github.io/Logging_1885/klagomålsmail/A 38380-2024 FSC-klagomål mail.docx", "A 38380-2024")</f>
        <v/>
      </c>
      <c r="X47">
        <f>HYPERLINK("https://klasma.github.io/Logging_1885/tillsyn/A 38380-2024 tillsynsbegäran.docx", "A 38380-2024")</f>
        <v/>
      </c>
      <c r="Y47">
        <f>HYPERLINK("https://klasma.github.io/Logging_1885/tillsynsmail/A 38380-2024 tillsynsbegäran mail.docx", "A 38380-2024")</f>
        <v/>
      </c>
    </row>
    <row r="48" ht="15" customHeight="1">
      <c r="A48" t="inlineStr">
        <is>
          <t>A 32713-2021</t>
        </is>
      </c>
      <c r="B48" s="1" t="n">
        <v>44375</v>
      </c>
      <c r="C48" s="1" t="n">
        <v>46176</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64874-2021</t>
        </is>
      </c>
      <c r="B49" s="1" t="n">
        <v>44512</v>
      </c>
      <c r="C49" s="1" t="n">
        <v>46176</v>
      </c>
      <c r="D49" t="inlineStr">
        <is>
          <t>ÖREBRO LÄN</t>
        </is>
      </c>
      <c r="E49" t="inlineStr">
        <is>
          <t>LINDESBERG</t>
        </is>
      </c>
      <c r="G49" t="n">
        <v>5.4</v>
      </c>
      <c r="H49" t="n">
        <v>1</v>
      </c>
      <c r="I49" t="n">
        <v>0</v>
      </c>
      <c r="J49" t="n">
        <v>0</v>
      </c>
      <c r="K49" t="n">
        <v>1</v>
      </c>
      <c r="L49" t="n">
        <v>0</v>
      </c>
      <c r="M49" t="n">
        <v>0</v>
      </c>
      <c r="N49" t="n">
        <v>0</v>
      </c>
      <c r="O49" t="n">
        <v>1</v>
      </c>
      <c r="P49" t="n">
        <v>1</v>
      </c>
      <c r="Q49" t="n">
        <v>1</v>
      </c>
      <c r="R49" s="2" t="inlineStr">
        <is>
          <t>Bombmurkla</t>
        </is>
      </c>
      <c r="S49">
        <f>HYPERLINK("https://klasma.github.io/Logging_1885/artfynd/A 64874-2021 artfynd.xlsx", "A 64874-2021")</f>
        <v/>
      </c>
      <c r="T49">
        <f>HYPERLINK("https://klasma.github.io/Logging_1885/kartor/A 64874-2021 karta.png", "A 64874-2021")</f>
        <v/>
      </c>
      <c r="V49">
        <f>HYPERLINK("https://klasma.github.io/Logging_1885/klagomål/A 64874-2021 FSC-klagomål.docx", "A 64874-2021")</f>
        <v/>
      </c>
      <c r="W49">
        <f>HYPERLINK("https://klasma.github.io/Logging_1885/klagomålsmail/A 64874-2021 FSC-klagomål mail.docx", "A 64874-2021")</f>
        <v/>
      </c>
      <c r="X49">
        <f>HYPERLINK("https://klasma.github.io/Logging_1885/tillsyn/A 64874-2021 tillsynsbegäran.docx", "A 64874-2021")</f>
        <v/>
      </c>
      <c r="Y49">
        <f>HYPERLINK("https://klasma.github.io/Logging_1885/tillsynsmail/A 64874-2021 tillsynsbegäran mail.docx", "A 64874-2021")</f>
        <v/>
      </c>
    </row>
    <row r="50" ht="15" customHeight="1">
      <c r="A50" t="inlineStr">
        <is>
          <t>A 22472-2022</t>
        </is>
      </c>
      <c r="B50" s="1" t="n">
        <v>44713.59363425926</v>
      </c>
      <c r="C50" s="1" t="n">
        <v>46176</v>
      </c>
      <c r="D50" t="inlineStr">
        <is>
          <t>ÖREBRO LÄN</t>
        </is>
      </c>
      <c r="E50" t="inlineStr">
        <is>
          <t>LINDESBERG</t>
        </is>
      </c>
      <c r="F50" t="inlineStr">
        <is>
          <t>Sveaskog</t>
        </is>
      </c>
      <c r="G50" t="n">
        <v>9.199999999999999</v>
      </c>
      <c r="H50" t="n">
        <v>1</v>
      </c>
      <c r="I50" t="n">
        <v>0</v>
      </c>
      <c r="J50" t="n">
        <v>0</v>
      </c>
      <c r="K50" t="n">
        <v>0</v>
      </c>
      <c r="L50" t="n">
        <v>0</v>
      </c>
      <c r="M50" t="n">
        <v>0</v>
      </c>
      <c r="N50" t="n">
        <v>0</v>
      </c>
      <c r="O50" t="n">
        <v>0</v>
      </c>
      <c r="P50" t="n">
        <v>0</v>
      </c>
      <c r="Q50" t="n">
        <v>1</v>
      </c>
      <c r="R50" s="2" t="inlineStr">
        <is>
          <t>Fläcknycklar</t>
        </is>
      </c>
      <c r="S50">
        <f>HYPERLINK("https://klasma.github.io/Logging_1885/artfynd/A 22472-2022 artfynd.xlsx", "A 22472-2022")</f>
        <v/>
      </c>
      <c r="T50">
        <f>HYPERLINK("https://klasma.github.io/Logging_1885/kartor/A 22472-2022 karta.png", "A 22472-2022")</f>
        <v/>
      </c>
      <c r="V50">
        <f>HYPERLINK("https://klasma.github.io/Logging_1885/klagomål/A 22472-2022 FSC-klagomål.docx", "A 22472-2022")</f>
        <v/>
      </c>
      <c r="W50">
        <f>HYPERLINK("https://klasma.github.io/Logging_1885/klagomålsmail/A 22472-2022 FSC-klagomål mail.docx", "A 22472-2022")</f>
        <v/>
      </c>
      <c r="X50">
        <f>HYPERLINK("https://klasma.github.io/Logging_1885/tillsyn/A 22472-2022 tillsynsbegäran.docx", "A 22472-2022")</f>
        <v/>
      </c>
      <c r="Y50">
        <f>HYPERLINK("https://klasma.github.io/Logging_1885/tillsynsmail/A 22472-2022 tillsynsbegäran mail.docx", "A 22472-2022")</f>
        <v/>
      </c>
    </row>
    <row r="51" ht="15" customHeight="1">
      <c r="A51" t="inlineStr">
        <is>
          <t>A 17563-2022</t>
        </is>
      </c>
      <c r="B51" s="1" t="n">
        <v>44679</v>
      </c>
      <c r="C51" s="1" t="n">
        <v>46176</v>
      </c>
      <c r="D51" t="inlineStr">
        <is>
          <t>ÖREBRO LÄN</t>
        </is>
      </c>
      <c r="E51" t="inlineStr">
        <is>
          <t>LINDESBERG</t>
        </is>
      </c>
      <c r="G51" t="n">
        <v>1.4</v>
      </c>
      <c r="H51" t="n">
        <v>1</v>
      </c>
      <c r="I51" t="n">
        <v>0</v>
      </c>
      <c r="J51" t="n">
        <v>1</v>
      </c>
      <c r="K51" t="n">
        <v>0</v>
      </c>
      <c r="L51" t="n">
        <v>0</v>
      </c>
      <c r="M51" t="n">
        <v>0</v>
      </c>
      <c r="N51" t="n">
        <v>0</v>
      </c>
      <c r="O51" t="n">
        <v>1</v>
      </c>
      <c r="P51" t="n">
        <v>0</v>
      </c>
      <c r="Q51" t="n">
        <v>1</v>
      </c>
      <c r="R51" s="2" t="inlineStr">
        <is>
          <t>Fjällvråk</t>
        </is>
      </c>
      <c r="S51">
        <f>HYPERLINK("https://klasma.github.io/Logging_1885/artfynd/A 17563-2022 artfynd.xlsx", "A 17563-2022")</f>
        <v/>
      </c>
      <c r="T51">
        <f>HYPERLINK("https://klasma.github.io/Logging_1885/kartor/A 17563-2022 karta.png", "A 17563-2022")</f>
        <v/>
      </c>
      <c r="V51">
        <f>HYPERLINK("https://klasma.github.io/Logging_1885/klagomål/A 17563-2022 FSC-klagomål.docx", "A 17563-2022")</f>
        <v/>
      </c>
      <c r="W51">
        <f>HYPERLINK("https://klasma.github.io/Logging_1885/klagomålsmail/A 17563-2022 FSC-klagomål mail.docx", "A 17563-2022")</f>
        <v/>
      </c>
      <c r="X51">
        <f>HYPERLINK("https://klasma.github.io/Logging_1885/tillsyn/A 17563-2022 tillsynsbegäran.docx", "A 17563-2022")</f>
        <v/>
      </c>
      <c r="Y51">
        <f>HYPERLINK("https://klasma.github.io/Logging_1885/tillsynsmail/A 17563-2022 tillsynsbegäran mail.docx", "A 17563-2022")</f>
        <v/>
      </c>
      <c r="Z51">
        <f>HYPERLINK("https://klasma.github.io/Logging_1885/fåglar/A 17563-2022 prioriterade fågelarter.docx", "A 17563-2022")</f>
        <v/>
      </c>
    </row>
    <row r="52" ht="15" customHeight="1">
      <c r="A52" t="inlineStr">
        <is>
          <t>A 45051-2024</t>
        </is>
      </c>
      <c r="B52" s="1" t="n">
        <v>45575.54934027778</v>
      </c>
      <c r="C52" s="1" t="n">
        <v>46176</v>
      </c>
      <c r="D52" t="inlineStr">
        <is>
          <t>ÖREBRO LÄN</t>
        </is>
      </c>
      <c r="E52" t="inlineStr">
        <is>
          <t>LINDESBERG</t>
        </is>
      </c>
      <c r="F52" t="inlineStr">
        <is>
          <t>Sveaskog</t>
        </is>
      </c>
      <c r="G52" t="n">
        <v>2.2</v>
      </c>
      <c r="H52" t="n">
        <v>1</v>
      </c>
      <c r="I52" t="n">
        <v>0</v>
      </c>
      <c r="J52" t="n">
        <v>1</v>
      </c>
      <c r="K52" t="n">
        <v>0</v>
      </c>
      <c r="L52" t="n">
        <v>0</v>
      </c>
      <c r="M52" t="n">
        <v>0</v>
      </c>
      <c r="N52" t="n">
        <v>0</v>
      </c>
      <c r="O52" t="n">
        <v>1</v>
      </c>
      <c r="P52" t="n">
        <v>0</v>
      </c>
      <c r="Q52" t="n">
        <v>1</v>
      </c>
      <c r="R52" s="2" t="inlineStr">
        <is>
          <t>Spillkråka</t>
        </is>
      </c>
      <c r="S52">
        <f>HYPERLINK("https://klasma.github.io/Logging_1885/artfynd/A 45051-2024 artfynd.xlsx", "A 45051-2024")</f>
        <v/>
      </c>
      <c r="T52">
        <f>HYPERLINK("https://klasma.github.io/Logging_1885/kartor/A 45051-2024 karta.png", "A 45051-2024")</f>
        <v/>
      </c>
      <c r="V52">
        <f>HYPERLINK("https://klasma.github.io/Logging_1885/klagomål/A 45051-2024 FSC-klagomål.docx", "A 45051-2024")</f>
        <v/>
      </c>
      <c r="W52">
        <f>HYPERLINK("https://klasma.github.io/Logging_1885/klagomålsmail/A 45051-2024 FSC-klagomål mail.docx", "A 45051-2024")</f>
        <v/>
      </c>
      <c r="X52">
        <f>HYPERLINK("https://klasma.github.io/Logging_1885/tillsyn/A 45051-2024 tillsynsbegäran.docx", "A 45051-2024")</f>
        <v/>
      </c>
      <c r="Y52">
        <f>HYPERLINK("https://klasma.github.io/Logging_1885/tillsynsmail/A 45051-2024 tillsynsbegäran mail.docx", "A 45051-2024")</f>
        <v/>
      </c>
      <c r="Z52">
        <f>HYPERLINK("https://klasma.github.io/Logging_1885/fåglar/A 45051-2024 prioriterade fågelarter.docx", "A 45051-2024")</f>
        <v/>
      </c>
    </row>
    <row r="53" ht="15" customHeight="1">
      <c r="A53" t="inlineStr">
        <is>
          <t>A 33286-2024</t>
        </is>
      </c>
      <c r="B53" s="1" t="n">
        <v>45518</v>
      </c>
      <c r="C53" s="1" t="n">
        <v>46176</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61129-2024</t>
        </is>
      </c>
      <c r="B54" s="1" t="n">
        <v>45645</v>
      </c>
      <c r="C54" s="1" t="n">
        <v>46176</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3729-2023</t>
        </is>
      </c>
      <c r="B55" s="1" t="n">
        <v>44949</v>
      </c>
      <c r="C55" s="1" t="n">
        <v>46176</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36669-2024</t>
        </is>
      </c>
      <c r="B56" s="1" t="n">
        <v>45537.64484953704</v>
      </c>
      <c r="C56" s="1" t="n">
        <v>46176</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30347-2025</t>
        </is>
      </c>
      <c r="B57" s="1" t="n">
        <v>45827.53077546296</v>
      </c>
      <c r="C57" s="1" t="n">
        <v>46176</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8175-2026</t>
        </is>
      </c>
      <c r="B58" s="1" t="n">
        <v>46064</v>
      </c>
      <c r="C58" s="1" t="n">
        <v>46176</v>
      </c>
      <c r="D58" t="inlineStr">
        <is>
          <t>ÖREBRO LÄN</t>
        </is>
      </c>
      <c r="E58" t="inlineStr">
        <is>
          <t>LINDESBERG</t>
        </is>
      </c>
      <c r="G58" t="n">
        <v>2.4</v>
      </c>
      <c r="H58" t="n">
        <v>0</v>
      </c>
      <c r="I58" t="n">
        <v>1</v>
      </c>
      <c r="J58" t="n">
        <v>0</v>
      </c>
      <c r="K58" t="n">
        <v>0</v>
      </c>
      <c r="L58" t="n">
        <v>0</v>
      </c>
      <c r="M58" t="n">
        <v>0</v>
      </c>
      <c r="N58" t="n">
        <v>0</v>
      </c>
      <c r="O58" t="n">
        <v>0</v>
      </c>
      <c r="P58" t="n">
        <v>0</v>
      </c>
      <c r="Q58" t="n">
        <v>1</v>
      </c>
      <c r="R58" s="2" t="inlineStr">
        <is>
          <t>Svart trolldruva</t>
        </is>
      </c>
      <c r="S58">
        <f>HYPERLINK("https://klasma.github.io/Logging_1885/artfynd/A 8175-2026 artfynd.xlsx", "A 8175-2026")</f>
        <v/>
      </c>
      <c r="T58">
        <f>HYPERLINK("https://klasma.github.io/Logging_1885/kartor/A 8175-2026 karta.png", "A 8175-2026")</f>
        <v/>
      </c>
      <c r="V58">
        <f>HYPERLINK("https://klasma.github.io/Logging_1885/klagomål/A 8175-2026 FSC-klagomål.docx", "A 8175-2026")</f>
        <v/>
      </c>
      <c r="W58">
        <f>HYPERLINK("https://klasma.github.io/Logging_1885/klagomålsmail/A 8175-2026 FSC-klagomål mail.docx", "A 8175-2026")</f>
        <v/>
      </c>
      <c r="X58">
        <f>HYPERLINK("https://klasma.github.io/Logging_1885/tillsyn/A 8175-2026 tillsynsbegäran.docx", "A 8175-2026")</f>
        <v/>
      </c>
      <c r="Y58">
        <f>HYPERLINK("https://klasma.github.io/Logging_1885/tillsynsmail/A 8175-2026 tillsynsbegäran mail.docx", "A 8175-2026")</f>
        <v/>
      </c>
    </row>
    <row r="59" ht="15" customHeight="1">
      <c r="A59" t="inlineStr">
        <is>
          <t>A 37834-2025</t>
        </is>
      </c>
      <c r="B59" s="1" t="n">
        <v>45881.42446759259</v>
      </c>
      <c r="C59" s="1" t="n">
        <v>46176</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 agg.</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64513-2023</t>
        </is>
      </c>
      <c r="B60" s="1" t="n">
        <v>45281</v>
      </c>
      <c r="C60" s="1" t="n">
        <v>46176</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61132-2024</t>
        </is>
      </c>
      <c r="B61" s="1" t="n">
        <v>45645</v>
      </c>
      <c r="C61" s="1" t="n">
        <v>46176</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16692-2026</t>
        </is>
      </c>
      <c r="B62" s="1" t="n">
        <v>46112.82201388889</v>
      </c>
      <c r="C62" s="1" t="n">
        <v>46176</v>
      </c>
      <c r="D62" t="inlineStr">
        <is>
          <t>ÖREBRO LÄN</t>
        </is>
      </c>
      <c r="E62" t="inlineStr">
        <is>
          <t>LINDESBERG</t>
        </is>
      </c>
      <c r="G62" t="n">
        <v>4.9</v>
      </c>
      <c r="H62" t="n">
        <v>1</v>
      </c>
      <c r="I62" t="n">
        <v>0</v>
      </c>
      <c r="J62" t="n">
        <v>1</v>
      </c>
      <c r="K62" t="n">
        <v>0</v>
      </c>
      <c r="L62" t="n">
        <v>0</v>
      </c>
      <c r="M62" t="n">
        <v>0</v>
      </c>
      <c r="N62" t="n">
        <v>0</v>
      </c>
      <c r="O62" t="n">
        <v>1</v>
      </c>
      <c r="P62" t="n">
        <v>0</v>
      </c>
      <c r="Q62" t="n">
        <v>1</v>
      </c>
      <c r="R62" s="2" t="inlineStr">
        <is>
          <t>Spillkråka</t>
        </is>
      </c>
      <c r="S62">
        <f>HYPERLINK("https://klasma.github.io/Logging_1885/artfynd/A 16692-2026 artfynd.xlsx", "A 16692-2026")</f>
        <v/>
      </c>
      <c r="T62">
        <f>HYPERLINK("https://klasma.github.io/Logging_1885/kartor/A 16692-2026 karta.png", "A 16692-2026")</f>
        <v/>
      </c>
      <c r="V62">
        <f>HYPERLINK("https://klasma.github.io/Logging_1885/klagomål/A 16692-2026 FSC-klagomål.docx", "A 16692-2026")</f>
        <v/>
      </c>
      <c r="W62">
        <f>HYPERLINK("https://klasma.github.io/Logging_1885/klagomålsmail/A 16692-2026 FSC-klagomål mail.docx", "A 16692-2026")</f>
        <v/>
      </c>
      <c r="X62">
        <f>HYPERLINK("https://klasma.github.io/Logging_1885/tillsyn/A 16692-2026 tillsynsbegäran.docx", "A 16692-2026")</f>
        <v/>
      </c>
      <c r="Y62">
        <f>HYPERLINK("https://klasma.github.io/Logging_1885/tillsynsmail/A 16692-2026 tillsynsbegäran mail.docx", "A 16692-2026")</f>
        <v/>
      </c>
      <c r="Z62">
        <f>HYPERLINK("https://klasma.github.io/Logging_1885/fåglar/A 16692-2026 prioriterade fågelarter.docx", "A 16692-2026")</f>
        <v/>
      </c>
    </row>
    <row r="63" ht="15" customHeight="1">
      <c r="A63" t="inlineStr">
        <is>
          <t>A 16693-2026</t>
        </is>
      </c>
      <c r="B63" s="1" t="n">
        <v>46112.83422453704</v>
      </c>
      <c r="C63" s="1" t="n">
        <v>46176</v>
      </c>
      <c r="D63" t="inlineStr">
        <is>
          <t>ÖREBRO LÄN</t>
        </is>
      </c>
      <c r="E63" t="inlineStr">
        <is>
          <t>LINDESBERG</t>
        </is>
      </c>
      <c r="G63" t="n">
        <v>2.1</v>
      </c>
      <c r="H63" t="n">
        <v>1</v>
      </c>
      <c r="I63" t="n">
        <v>0</v>
      </c>
      <c r="J63" t="n">
        <v>0</v>
      </c>
      <c r="K63" t="n">
        <v>0</v>
      </c>
      <c r="L63" t="n">
        <v>0</v>
      </c>
      <c r="M63" t="n">
        <v>0</v>
      </c>
      <c r="N63" t="n">
        <v>0</v>
      </c>
      <c r="O63" t="n">
        <v>0</v>
      </c>
      <c r="P63" t="n">
        <v>0</v>
      </c>
      <c r="Q63" t="n">
        <v>1</v>
      </c>
      <c r="R63" s="2" t="inlineStr">
        <is>
          <t>Tjäder</t>
        </is>
      </c>
      <c r="S63">
        <f>HYPERLINK("https://klasma.github.io/Logging_1885/artfynd/A 16693-2026 artfynd.xlsx", "A 16693-2026")</f>
        <v/>
      </c>
      <c r="T63">
        <f>HYPERLINK("https://klasma.github.io/Logging_1885/kartor/A 16693-2026 karta.png", "A 16693-2026")</f>
        <v/>
      </c>
      <c r="V63">
        <f>HYPERLINK("https://klasma.github.io/Logging_1885/klagomål/A 16693-2026 FSC-klagomål.docx", "A 16693-2026")</f>
        <v/>
      </c>
      <c r="W63">
        <f>HYPERLINK("https://klasma.github.io/Logging_1885/klagomålsmail/A 16693-2026 FSC-klagomål mail.docx", "A 16693-2026")</f>
        <v/>
      </c>
      <c r="X63">
        <f>HYPERLINK("https://klasma.github.io/Logging_1885/tillsyn/A 16693-2026 tillsynsbegäran.docx", "A 16693-2026")</f>
        <v/>
      </c>
      <c r="Y63">
        <f>HYPERLINK("https://klasma.github.io/Logging_1885/tillsynsmail/A 16693-2026 tillsynsbegäran mail.docx", "A 16693-2026")</f>
        <v/>
      </c>
      <c r="Z63">
        <f>HYPERLINK("https://klasma.github.io/Logging_1885/fåglar/A 16693-2026 prioriterade fågelarter.docx", "A 16693-2026")</f>
        <v/>
      </c>
    </row>
    <row r="64" ht="15" customHeight="1">
      <c r="A64" t="inlineStr">
        <is>
          <t>A 23337-2026</t>
        </is>
      </c>
      <c r="B64" s="1" t="n">
        <v>46162.56237268518</v>
      </c>
      <c r="C64" s="1" t="n">
        <v>46176</v>
      </c>
      <c r="D64" t="inlineStr">
        <is>
          <t>ÖREBRO LÄN</t>
        </is>
      </c>
      <c r="E64" t="inlineStr">
        <is>
          <t>LINDESBERG</t>
        </is>
      </c>
      <c r="F64" t="inlineStr">
        <is>
          <t>Naturvårdsverket</t>
        </is>
      </c>
      <c r="G64" t="n">
        <v>1.4</v>
      </c>
      <c r="H64" t="n">
        <v>1</v>
      </c>
      <c r="I64" t="n">
        <v>0</v>
      </c>
      <c r="J64" t="n">
        <v>1</v>
      </c>
      <c r="K64" t="n">
        <v>0</v>
      </c>
      <c r="L64" t="n">
        <v>0</v>
      </c>
      <c r="M64" t="n">
        <v>0</v>
      </c>
      <c r="N64" t="n">
        <v>0</v>
      </c>
      <c r="O64" t="n">
        <v>1</v>
      </c>
      <c r="P64" t="n">
        <v>0</v>
      </c>
      <c r="Q64" t="n">
        <v>1</v>
      </c>
      <c r="R64" s="2" t="inlineStr">
        <is>
          <t>Spillkråka</t>
        </is>
      </c>
      <c r="S64">
        <f>HYPERLINK("https://klasma.github.io/Logging_1885/artfynd/A 23337-2026 artfynd.xlsx", "A 23337-2026")</f>
        <v/>
      </c>
      <c r="T64">
        <f>HYPERLINK("https://klasma.github.io/Logging_1885/kartor/A 23337-2026 karta.png", "A 23337-2026")</f>
        <v/>
      </c>
      <c r="V64">
        <f>HYPERLINK("https://klasma.github.io/Logging_1885/klagomål/A 23337-2026 FSC-klagomål.docx", "A 23337-2026")</f>
        <v/>
      </c>
      <c r="W64">
        <f>HYPERLINK("https://klasma.github.io/Logging_1885/klagomålsmail/A 23337-2026 FSC-klagomål mail.docx", "A 23337-2026")</f>
        <v/>
      </c>
      <c r="X64">
        <f>HYPERLINK("https://klasma.github.io/Logging_1885/tillsyn/A 23337-2026 tillsynsbegäran.docx", "A 23337-2026")</f>
        <v/>
      </c>
      <c r="Y64">
        <f>HYPERLINK("https://klasma.github.io/Logging_1885/tillsynsmail/A 23337-2026 tillsynsbegäran mail.docx", "A 23337-2026")</f>
        <v/>
      </c>
      <c r="Z64">
        <f>HYPERLINK("https://klasma.github.io/Logging_1885/fåglar/A 23337-2026 prioriterade fågelarter.docx", "A 23337-2026")</f>
        <v/>
      </c>
    </row>
    <row r="65" ht="15" customHeight="1">
      <c r="A65" t="inlineStr">
        <is>
          <t>A 45467-2025</t>
        </is>
      </c>
      <c r="B65" s="1" t="n">
        <v>45922.49990740741</v>
      </c>
      <c r="C65" s="1" t="n">
        <v>46176</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Svartvit taggsvamp</t>
        </is>
      </c>
      <c r="S65">
        <f>HYPERLINK("https://klasma.github.io/Logging_1885/artfynd/A 45467-2025 artfynd.xlsx", "A 45467-2025")</f>
        <v/>
      </c>
      <c r="T65">
        <f>HYPERLINK("https://klasma.github.io/Logging_1885/kartor/A 45467-2025 karta.png", "A 45467-2025")</f>
        <v/>
      </c>
      <c r="V65">
        <f>HYPERLINK("https://klasma.github.io/Logging_1885/klagomål/A 45467-2025 FSC-klagomål.docx", "A 45467-2025")</f>
        <v/>
      </c>
      <c r="W65">
        <f>HYPERLINK("https://klasma.github.io/Logging_1885/klagomålsmail/A 45467-2025 FSC-klagomål mail.docx", "A 45467-2025")</f>
        <v/>
      </c>
      <c r="X65">
        <f>HYPERLINK("https://klasma.github.io/Logging_1885/tillsyn/A 45467-2025 tillsynsbegäran.docx", "A 45467-2025")</f>
        <v/>
      </c>
      <c r="Y65">
        <f>HYPERLINK("https://klasma.github.io/Logging_1885/tillsynsmail/A 45467-2025 tillsynsbegäran mail.docx", "A 45467-2025")</f>
        <v/>
      </c>
    </row>
    <row r="66" ht="15" customHeight="1">
      <c r="A66" t="inlineStr">
        <is>
          <t>A 18180-2026</t>
        </is>
      </c>
      <c r="B66" s="1" t="n">
        <v>46125.67597222222</v>
      </c>
      <c r="C66" s="1" t="n">
        <v>46176</v>
      </c>
      <c r="D66" t="inlineStr">
        <is>
          <t>ÖREBRO LÄN</t>
        </is>
      </c>
      <c r="E66" t="inlineStr">
        <is>
          <t>LINDESBERG</t>
        </is>
      </c>
      <c r="F66" t="inlineStr">
        <is>
          <t>Sveaskog</t>
        </is>
      </c>
      <c r="G66" t="n">
        <v>2.1</v>
      </c>
      <c r="H66" t="n">
        <v>0</v>
      </c>
      <c r="I66" t="n">
        <v>1</v>
      </c>
      <c r="J66" t="n">
        <v>0</v>
      </c>
      <c r="K66" t="n">
        <v>0</v>
      </c>
      <c r="L66" t="n">
        <v>0</v>
      </c>
      <c r="M66" t="n">
        <v>0</v>
      </c>
      <c r="N66" t="n">
        <v>0</v>
      </c>
      <c r="O66" t="n">
        <v>0</v>
      </c>
      <c r="P66" t="n">
        <v>0</v>
      </c>
      <c r="Q66" t="n">
        <v>1</v>
      </c>
      <c r="R66" s="2" t="inlineStr">
        <is>
          <t>Dropptaggsvamp</t>
        </is>
      </c>
      <c r="S66">
        <f>HYPERLINK("https://klasma.github.io/Logging_1885/artfynd/A 18180-2026 artfynd.xlsx", "A 18180-2026")</f>
        <v/>
      </c>
      <c r="T66">
        <f>HYPERLINK("https://klasma.github.io/Logging_1885/kartor/A 18180-2026 karta.png", "A 18180-2026")</f>
        <v/>
      </c>
      <c r="V66">
        <f>HYPERLINK("https://klasma.github.io/Logging_1885/klagomål/A 18180-2026 FSC-klagomål.docx", "A 18180-2026")</f>
        <v/>
      </c>
      <c r="W66">
        <f>HYPERLINK("https://klasma.github.io/Logging_1885/klagomålsmail/A 18180-2026 FSC-klagomål mail.docx", "A 18180-2026")</f>
        <v/>
      </c>
      <c r="X66">
        <f>HYPERLINK("https://klasma.github.io/Logging_1885/tillsyn/A 18180-2026 tillsynsbegäran.docx", "A 18180-2026")</f>
        <v/>
      </c>
      <c r="Y66">
        <f>HYPERLINK("https://klasma.github.io/Logging_1885/tillsynsmail/A 18180-2026 tillsynsbegäran mail.docx", "A 18180-2026")</f>
        <v/>
      </c>
    </row>
    <row r="67" ht="15" customHeight="1">
      <c r="A67" t="inlineStr">
        <is>
          <t>A 21467-2026</t>
        </is>
      </c>
      <c r="B67" s="1" t="n">
        <v>46148.46989583333</v>
      </c>
      <c r="C67" s="1" t="n">
        <v>46176</v>
      </c>
      <c r="D67" t="inlineStr">
        <is>
          <t>ÖREBRO LÄN</t>
        </is>
      </c>
      <c r="E67" t="inlineStr">
        <is>
          <t>LINDESBERG</t>
        </is>
      </c>
      <c r="G67" t="n">
        <v>1.5</v>
      </c>
      <c r="H67" t="n">
        <v>1</v>
      </c>
      <c r="I67" t="n">
        <v>0</v>
      </c>
      <c r="J67" t="n">
        <v>1</v>
      </c>
      <c r="K67" t="n">
        <v>0</v>
      </c>
      <c r="L67" t="n">
        <v>0</v>
      </c>
      <c r="M67" t="n">
        <v>0</v>
      </c>
      <c r="N67" t="n">
        <v>0</v>
      </c>
      <c r="O67" t="n">
        <v>1</v>
      </c>
      <c r="P67" t="n">
        <v>0</v>
      </c>
      <c r="Q67" t="n">
        <v>1</v>
      </c>
      <c r="R67" s="2" t="inlineStr">
        <is>
          <t>Spillkråka</t>
        </is>
      </c>
      <c r="S67">
        <f>HYPERLINK("https://klasma.github.io/Logging_1885/artfynd/A 21467-2026 artfynd.xlsx", "A 21467-2026")</f>
        <v/>
      </c>
      <c r="T67">
        <f>HYPERLINK("https://klasma.github.io/Logging_1885/kartor/A 21467-2026 karta.png", "A 21467-2026")</f>
        <v/>
      </c>
      <c r="U67">
        <f>HYPERLINK("https://klasma.github.io/Logging_1885/knärot/A 21467-2026 karta knärot.png", "A 21467-2026")</f>
        <v/>
      </c>
      <c r="V67">
        <f>HYPERLINK("https://klasma.github.io/Logging_1885/klagomål/A 21467-2026 FSC-klagomål.docx", "A 21467-2026")</f>
        <v/>
      </c>
      <c r="W67">
        <f>HYPERLINK("https://klasma.github.io/Logging_1885/klagomålsmail/A 21467-2026 FSC-klagomål mail.docx", "A 21467-2026")</f>
        <v/>
      </c>
      <c r="X67">
        <f>HYPERLINK("https://klasma.github.io/Logging_1885/tillsyn/A 21467-2026 tillsynsbegäran.docx", "A 21467-2026")</f>
        <v/>
      </c>
      <c r="Y67">
        <f>HYPERLINK("https://klasma.github.io/Logging_1885/tillsynsmail/A 21467-2026 tillsynsbegäran mail.docx", "A 21467-2026")</f>
        <v/>
      </c>
      <c r="Z67">
        <f>HYPERLINK("https://klasma.github.io/Logging_1885/fåglar/A 21467-2026 prioriterade fågelarter.docx", "A 21467-2026")</f>
        <v/>
      </c>
    </row>
    <row r="68" ht="15" customHeight="1">
      <c r="A68" t="inlineStr">
        <is>
          <t>A 18178-2026</t>
        </is>
      </c>
      <c r="B68" s="1" t="n">
        <v>46125.67452546296</v>
      </c>
      <c r="C68" s="1" t="n">
        <v>46176</v>
      </c>
      <c r="D68" t="inlineStr">
        <is>
          <t>ÖREBRO LÄN</t>
        </is>
      </c>
      <c r="E68" t="inlineStr">
        <is>
          <t>LINDESBERG</t>
        </is>
      </c>
      <c r="F68" t="inlineStr">
        <is>
          <t>Sveaskog</t>
        </is>
      </c>
      <c r="G68" t="n">
        <v>4.4</v>
      </c>
      <c r="H68" t="n">
        <v>0</v>
      </c>
      <c r="I68" t="n">
        <v>0</v>
      </c>
      <c r="J68" t="n">
        <v>1</v>
      </c>
      <c r="K68" t="n">
        <v>0</v>
      </c>
      <c r="L68" t="n">
        <v>0</v>
      </c>
      <c r="M68" t="n">
        <v>0</v>
      </c>
      <c r="N68" t="n">
        <v>0</v>
      </c>
      <c r="O68" t="n">
        <v>1</v>
      </c>
      <c r="P68" t="n">
        <v>0</v>
      </c>
      <c r="Q68" t="n">
        <v>1</v>
      </c>
      <c r="R68" s="2" t="inlineStr">
        <is>
          <t>Svartvit taggsvamp</t>
        </is>
      </c>
      <c r="S68">
        <f>HYPERLINK("https://klasma.github.io/Logging_1885/artfynd/A 18178-2026 artfynd.xlsx", "A 18178-2026")</f>
        <v/>
      </c>
      <c r="T68">
        <f>HYPERLINK("https://klasma.github.io/Logging_1885/kartor/A 18178-2026 karta.png", "A 18178-2026")</f>
        <v/>
      </c>
      <c r="V68">
        <f>HYPERLINK("https://klasma.github.io/Logging_1885/klagomål/A 18178-2026 FSC-klagomål.docx", "A 18178-2026")</f>
        <v/>
      </c>
      <c r="W68">
        <f>HYPERLINK("https://klasma.github.io/Logging_1885/klagomålsmail/A 18178-2026 FSC-klagomål mail.docx", "A 18178-2026")</f>
        <v/>
      </c>
      <c r="X68">
        <f>HYPERLINK("https://klasma.github.io/Logging_1885/tillsyn/A 18178-2026 tillsynsbegäran.docx", "A 18178-2026")</f>
        <v/>
      </c>
      <c r="Y68">
        <f>HYPERLINK("https://klasma.github.io/Logging_1885/tillsynsmail/A 18178-2026 tillsynsbegäran mail.docx", "A 18178-2026")</f>
        <v/>
      </c>
    </row>
    <row r="69" ht="15" customHeight="1">
      <c r="A69" t="inlineStr">
        <is>
          <t>A 18639-2026</t>
        </is>
      </c>
      <c r="B69" s="1" t="n">
        <v>46128.32203703704</v>
      </c>
      <c r="C69" s="1" t="n">
        <v>46176</v>
      </c>
      <c r="D69" t="inlineStr">
        <is>
          <t>ÖREBRO LÄN</t>
        </is>
      </c>
      <c r="E69" t="inlineStr">
        <is>
          <t>LINDESBERG</t>
        </is>
      </c>
      <c r="F69" t="inlineStr">
        <is>
          <t>Sveaskog</t>
        </is>
      </c>
      <c r="G69" t="n">
        <v>6</v>
      </c>
      <c r="H69" t="n">
        <v>1</v>
      </c>
      <c r="I69" t="n">
        <v>1</v>
      </c>
      <c r="J69" t="n">
        <v>0</v>
      </c>
      <c r="K69" t="n">
        <v>0</v>
      </c>
      <c r="L69" t="n">
        <v>0</v>
      </c>
      <c r="M69" t="n">
        <v>0</v>
      </c>
      <c r="N69" t="n">
        <v>0</v>
      </c>
      <c r="O69" t="n">
        <v>0</v>
      </c>
      <c r="P69" t="n">
        <v>0</v>
      </c>
      <c r="Q69" t="n">
        <v>1</v>
      </c>
      <c r="R69" s="2" t="inlineStr">
        <is>
          <t>Plattlummer</t>
        </is>
      </c>
      <c r="S69">
        <f>HYPERLINK("https://klasma.github.io/Logging_1885/artfynd/A 18639-2026 artfynd.xlsx", "A 18639-2026")</f>
        <v/>
      </c>
      <c r="T69">
        <f>HYPERLINK("https://klasma.github.io/Logging_1885/kartor/A 18639-2026 karta.png", "A 18639-2026")</f>
        <v/>
      </c>
      <c r="V69">
        <f>HYPERLINK("https://klasma.github.io/Logging_1885/klagomål/A 18639-2026 FSC-klagomål.docx", "A 18639-2026")</f>
        <v/>
      </c>
      <c r="W69">
        <f>HYPERLINK("https://klasma.github.io/Logging_1885/klagomålsmail/A 18639-2026 FSC-klagomål mail.docx", "A 18639-2026")</f>
        <v/>
      </c>
      <c r="X69">
        <f>HYPERLINK("https://klasma.github.io/Logging_1885/tillsyn/A 18639-2026 tillsynsbegäran.docx", "A 18639-2026")</f>
        <v/>
      </c>
      <c r="Y69">
        <f>HYPERLINK("https://klasma.github.io/Logging_1885/tillsynsmail/A 18639-2026 tillsynsbegäran mail.docx", "A 18639-2026")</f>
        <v/>
      </c>
    </row>
    <row r="70" ht="15" customHeight="1">
      <c r="A70" t="inlineStr">
        <is>
          <t>A 48956-2025</t>
        </is>
      </c>
      <c r="B70" s="1" t="n">
        <v>45937.54982638889</v>
      </c>
      <c r="C70" s="1" t="n">
        <v>46176</v>
      </c>
      <c r="D70" t="inlineStr">
        <is>
          <t>ÖREBRO LÄN</t>
        </is>
      </c>
      <c r="E70" t="inlineStr">
        <is>
          <t>LINDESBERG</t>
        </is>
      </c>
      <c r="F70" t="inlineStr">
        <is>
          <t>Sveaskog</t>
        </is>
      </c>
      <c r="G70" t="n">
        <v>2.7</v>
      </c>
      <c r="H70" t="n">
        <v>1</v>
      </c>
      <c r="I70" t="n">
        <v>0</v>
      </c>
      <c r="J70" t="n">
        <v>0</v>
      </c>
      <c r="K70" t="n">
        <v>0</v>
      </c>
      <c r="L70" t="n">
        <v>0</v>
      </c>
      <c r="M70" t="n">
        <v>0</v>
      </c>
      <c r="N70" t="n">
        <v>0</v>
      </c>
      <c r="O70" t="n">
        <v>0</v>
      </c>
      <c r="P70" t="n">
        <v>0</v>
      </c>
      <c r="Q70" t="n">
        <v>1</v>
      </c>
      <c r="R70" s="2" t="inlineStr">
        <is>
          <t>Mattlummer</t>
        </is>
      </c>
      <c r="S70">
        <f>HYPERLINK("https://klasma.github.io/Logging_1885/artfynd/A 48956-2025 artfynd.xlsx", "A 48956-2025")</f>
        <v/>
      </c>
      <c r="T70">
        <f>HYPERLINK("https://klasma.github.io/Logging_1885/kartor/A 48956-2025 karta.png", "A 48956-2025")</f>
        <v/>
      </c>
      <c r="V70">
        <f>HYPERLINK("https://klasma.github.io/Logging_1885/klagomål/A 48956-2025 FSC-klagomål.docx", "A 48956-2025")</f>
        <v/>
      </c>
      <c r="W70">
        <f>HYPERLINK("https://klasma.github.io/Logging_1885/klagomålsmail/A 48956-2025 FSC-klagomål mail.docx", "A 48956-2025")</f>
        <v/>
      </c>
      <c r="X70">
        <f>HYPERLINK("https://klasma.github.io/Logging_1885/tillsyn/A 48956-2025 tillsynsbegäran.docx", "A 48956-2025")</f>
        <v/>
      </c>
      <c r="Y70">
        <f>HYPERLINK("https://klasma.github.io/Logging_1885/tillsynsmail/A 48956-2025 tillsynsbegäran mail.docx", "A 48956-2025")</f>
        <v/>
      </c>
    </row>
    <row r="71" ht="15" customHeight="1">
      <c r="A71" t="inlineStr">
        <is>
          <t>A 25097-2026</t>
        </is>
      </c>
      <c r="B71" s="1" t="n">
        <v>46175.34005787037</v>
      </c>
      <c r="C71" s="1" t="n">
        <v>46176</v>
      </c>
      <c r="D71" t="inlineStr">
        <is>
          <t>ÖREBRO LÄN</t>
        </is>
      </c>
      <c r="E71" t="inlineStr">
        <is>
          <t>LINDESBERG</t>
        </is>
      </c>
      <c r="F71" t="inlineStr">
        <is>
          <t>Sveaskog</t>
        </is>
      </c>
      <c r="G71" t="n">
        <v>23</v>
      </c>
      <c r="H71" t="n">
        <v>1</v>
      </c>
      <c r="I71" t="n">
        <v>0</v>
      </c>
      <c r="J71" t="n">
        <v>0</v>
      </c>
      <c r="K71" t="n">
        <v>0</v>
      </c>
      <c r="L71" t="n">
        <v>0</v>
      </c>
      <c r="M71" t="n">
        <v>0</v>
      </c>
      <c r="N71" t="n">
        <v>0</v>
      </c>
      <c r="O71" t="n">
        <v>0</v>
      </c>
      <c r="P71" t="n">
        <v>0</v>
      </c>
      <c r="Q71" t="n">
        <v>1</v>
      </c>
      <c r="R71" s="2" t="inlineStr">
        <is>
          <t>Fläcknycklar</t>
        </is>
      </c>
      <c r="S71">
        <f>HYPERLINK("https://klasma.github.io/Logging_1885/artfynd/A 25097-2026 artfynd.xlsx", "A 25097-2026")</f>
        <v/>
      </c>
      <c r="T71">
        <f>HYPERLINK("https://klasma.github.io/Logging_1885/kartor/A 25097-2026 karta.png", "A 25097-2026")</f>
        <v/>
      </c>
      <c r="V71">
        <f>HYPERLINK("https://klasma.github.io/Logging_1885/klagomål/A 25097-2026 FSC-klagomål.docx", "A 25097-2026")</f>
        <v/>
      </c>
      <c r="W71">
        <f>HYPERLINK("https://klasma.github.io/Logging_1885/klagomålsmail/A 25097-2026 FSC-klagomål mail.docx", "A 25097-2026")</f>
        <v/>
      </c>
      <c r="X71">
        <f>HYPERLINK("https://klasma.github.io/Logging_1885/tillsyn/A 25097-2026 tillsynsbegäran.docx", "A 25097-2026")</f>
        <v/>
      </c>
      <c r="Y71">
        <f>HYPERLINK("https://klasma.github.io/Logging_1885/tillsynsmail/A 25097-2026 tillsynsbegäran mail.docx", "A 25097-2026")</f>
        <v/>
      </c>
    </row>
    <row r="72" ht="15" customHeight="1">
      <c r="A72" t="inlineStr">
        <is>
          <t>A 50777-2025</t>
        </is>
      </c>
      <c r="B72" s="1" t="n">
        <v>45946.45171296296</v>
      </c>
      <c r="C72" s="1" t="n">
        <v>46176</v>
      </c>
      <c r="D72" t="inlineStr">
        <is>
          <t>ÖREBRO LÄN</t>
        </is>
      </c>
      <c r="E72" t="inlineStr">
        <is>
          <t>LINDESBERG</t>
        </is>
      </c>
      <c r="F72" t="inlineStr">
        <is>
          <t>Sveaskog</t>
        </is>
      </c>
      <c r="G72" t="n">
        <v>5.3</v>
      </c>
      <c r="H72" t="n">
        <v>0</v>
      </c>
      <c r="I72" t="n">
        <v>1</v>
      </c>
      <c r="J72" t="n">
        <v>0</v>
      </c>
      <c r="K72" t="n">
        <v>0</v>
      </c>
      <c r="L72" t="n">
        <v>0</v>
      </c>
      <c r="M72" t="n">
        <v>0</v>
      </c>
      <c r="N72" t="n">
        <v>0</v>
      </c>
      <c r="O72" t="n">
        <v>0</v>
      </c>
      <c r="P72" t="n">
        <v>0</v>
      </c>
      <c r="Q72" t="n">
        <v>1</v>
      </c>
      <c r="R72" s="2" t="inlineStr">
        <is>
          <t>Zontaggsvamp</t>
        </is>
      </c>
      <c r="S72">
        <f>HYPERLINK("https://klasma.github.io/Logging_1885/artfynd/A 50777-2025 artfynd.xlsx", "A 50777-2025")</f>
        <v/>
      </c>
      <c r="T72">
        <f>HYPERLINK("https://klasma.github.io/Logging_1885/kartor/A 50777-2025 karta.png", "A 50777-2025")</f>
        <v/>
      </c>
      <c r="V72">
        <f>HYPERLINK("https://klasma.github.io/Logging_1885/klagomål/A 50777-2025 FSC-klagomål.docx", "A 50777-2025")</f>
        <v/>
      </c>
      <c r="W72">
        <f>HYPERLINK("https://klasma.github.io/Logging_1885/klagomålsmail/A 50777-2025 FSC-klagomål mail.docx", "A 50777-2025")</f>
        <v/>
      </c>
      <c r="X72">
        <f>HYPERLINK("https://klasma.github.io/Logging_1885/tillsyn/A 50777-2025 tillsynsbegäran.docx", "A 50777-2025")</f>
        <v/>
      </c>
      <c r="Y72">
        <f>HYPERLINK("https://klasma.github.io/Logging_1885/tillsynsmail/A 50777-2025 tillsynsbegäran mail.docx", "A 50777-2025")</f>
        <v/>
      </c>
    </row>
    <row r="73" ht="15" customHeight="1">
      <c r="A73" t="inlineStr">
        <is>
          <t>A 50766-2025</t>
        </is>
      </c>
      <c r="B73" s="1" t="n">
        <v>45946.44423611111</v>
      </c>
      <c r="C73" s="1" t="n">
        <v>46176</v>
      </c>
      <c r="D73" t="inlineStr">
        <is>
          <t>ÖREBRO LÄN</t>
        </is>
      </c>
      <c r="E73" t="inlineStr">
        <is>
          <t>LINDESBERG</t>
        </is>
      </c>
      <c r="F73" t="inlineStr">
        <is>
          <t>Sveaskog</t>
        </is>
      </c>
      <c r="G73" t="n">
        <v>2.4</v>
      </c>
      <c r="H73" t="n">
        <v>0</v>
      </c>
      <c r="I73" t="n">
        <v>0</v>
      </c>
      <c r="J73" t="n">
        <v>0</v>
      </c>
      <c r="K73" t="n">
        <v>1</v>
      </c>
      <c r="L73" t="n">
        <v>0</v>
      </c>
      <c r="M73" t="n">
        <v>0</v>
      </c>
      <c r="N73" t="n">
        <v>0</v>
      </c>
      <c r="O73" t="n">
        <v>1</v>
      </c>
      <c r="P73" t="n">
        <v>1</v>
      </c>
      <c r="Q73" t="n">
        <v>1</v>
      </c>
      <c r="R73" s="2" t="inlineStr">
        <is>
          <t>Rotfingersvamp</t>
        </is>
      </c>
      <c r="S73">
        <f>HYPERLINK("https://klasma.github.io/Logging_1885/artfynd/A 50766-2025 artfynd.xlsx", "A 50766-2025")</f>
        <v/>
      </c>
      <c r="T73">
        <f>HYPERLINK("https://klasma.github.io/Logging_1885/kartor/A 50766-2025 karta.png", "A 50766-2025")</f>
        <v/>
      </c>
      <c r="V73">
        <f>HYPERLINK("https://klasma.github.io/Logging_1885/klagomål/A 50766-2025 FSC-klagomål.docx", "A 50766-2025")</f>
        <v/>
      </c>
      <c r="W73">
        <f>HYPERLINK("https://klasma.github.io/Logging_1885/klagomålsmail/A 50766-2025 FSC-klagomål mail.docx", "A 50766-2025")</f>
        <v/>
      </c>
      <c r="X73">
        <f>HYPERLINK("https://klasma.github.io/Logging_1885/tillsyn/A 50766-2025 tillsynsbegäran.docx", "A 50766-2025")</f>
        <v/>
      </c>
      <c r="Y73">
        <f>HYPERLINK("https://klasma.github.io/Logging_1885/tillsynsmail/A 50766-2025 tillsynsbegäran mail.docx", "A 50766-2025")</f>
        <v/>
      </c>
    </row>
    <row r="74" ht="15" customHeight="1">
      <c r="A74" t="inlineStr">
        <is>
          <t>A 50768-2025</t>
        </is>
      </c>
      <c r="B74" s="1" t="n">
        <v>45946.44790509259</v>
      </c>
      <c r="C74" s="1" t="n">
        <v>46176</v>
      </c>
      <c r="D74" t="inlineStr">
        <is>
          <t>ÖREBRO LÄN</t>
        </is>
      </c>
      <c r="E74" t="inlineStr">
        <is>
          <t>LINDESBERG</t>
        </is>
      </c>
      <c r="F74" t="inlineStr">
        <is>
          <t>Sveaskog</t>
        </is>
      </c>
      <c r="G74" t="n">
        <v>3.1</v>
      </c>
      <c r="H74" t="n">
        <v>1</v>
      </c>
      <c r="I74" t="n">
        <v>1</v>
      </c>
      <c r="J74" t="n">
        <v>0</v>
      </c>
      <c r="K74" t="n">
        <v>0</v>
      </c>
      <c r="L74" t="n">
        <v>0</v>
      </c>
      <c r="M74" t="n">
        <v>0</v>
      </c>
      <c r="N74" t="n">
        <v>0</v>
      </c>
      <c r="O74" t="n">
        <v>0</v>
      </c>
      <c r="P74" t="n">
        <v>0</v>
      </c>
      <c r="Q74" t="n">
        <v>1</v>
      </c>
      <c r="R74" s="2" t="inlineStr">
        <is>
          <t>Plattlummer</t>
        </is>
      </c>
      <c r="S74">
        <f>HYPERLINK("https://klasma.github.io/Logging_1885/artfynd/A 50768-2025 artfynd.xlsx", "A 50768-2025")</f>
        <v/>
      </c>
      <c r="T74">
        <f>HYPERLINK("https://klasma.github.io/Logging_1885/kartor/A 50768-2025 karta.png", "A 50768-2025")</f>
        <v/>
      </c>
      <c r="V74">
        <f>HYPERLINK("https://klasma.github.io/Logging_1885/klagomål/A 50768-2025 FSC-klagomål.docx", "A 50768-2025")</f>
        <v/>
      </c>
      <c r="W74">
        <f>HYPERLINK("https://klasma.github.io/Logging_1885/klagomålsmail/A 50768-2025 FSC-klagomål mail.docx", "A 50768-2025")</f>
        <v/>
      </c>
      <c r="X74">
        <f>HYPERLINK("https://klasma.github.io/Logging_1885/tillsyn/A 50768-2025 tillsynsbegäran.docx", "A 50768-2025")</f>
        <v/>
      </c>
      <c r="Y74">
        <f>HYPERLINK("https://klasma.github.io/Logging_1885/tillsynsmail/A 50768-2025 tillsynsbegäran mail.docx", "A 50768-2025")</f>
        <v/>
      </c>
    </row>
    <row r="75" ht="15" customHeight="1">
      <c r="A75" t="inlineStr">
        <is>
          <t>A 52105-2025</t>
        </is>
      </c>
      <c r="B75" s="1" t="n">
        <v>45952.68596064814</v>
      </c>
      <c r="C75" s="1" t="n">
        <v>46176</v>
      </c>
      <c r="D75" t="inlineStr">
        <is>
          <t>ÖREBRO LÄN</t>
        </is>
      </c>
      <c r="E75" t="inlineStr">
        <is>
          <t>LINDESBERG</t>
        </is>
      </c>
      <c r="F75" t="inlineStr">
        <is>
          <t>Sveaskog</t>
        </is>
      </c>
      <c r="G75" t="n">
        <v>3.8</v>
      </c>
      <c r="H75" t="n">
        <v>1</v>
      </c>
      <c r="I75" t="n">
        <v>0</v>
      </c>
      <c r="J75" t="n">
        <v>0</v>
      </c>
      <c r="K75" t="n">
        <v>0</v>
      </c>
      <c r="L75" t="n">
        <v>0</v>
      </c>
      <c r="M75" t="n">
        <v>0</v>
      </c>
      <c r="N75" t="n">
        <v>0</v>
      </c>
      <c r="O75" t="n">
        <v>0</v>
      </c>
      <c r="P75" t="n">
        <v>0</v>
      </c>
      <c r="Q75" t="n">
        <v>1</v>
      </c>
      <c r="R75" s="2" t="inlineStr">
        <is>
          <t>Revlummer</t>
        </is>
      </c>
      <c r="S75">
        <f>HYPERLINK("https://klasma.github.io/Logging_1885/artfynd/A 52105-2025 artfynd.xlsx", "A 52105-2025")</f>
        <v/>
      </c>
      <c r="T75">
        <f>HYPERLINK("https://klasma.github.io/Logging_1885/kartor/A 52105-2025 karta.png", "A 52105-2025")</f>
        <v/>
      </c>
      <c r="V75">
        <f>HYPERLINK("https://klasma.github.io/Logging_1885/klagomål/A 52105-2025 FSC-klagomål.docx", "A 52105-2025")</f>
        <v/>
      </c>
      <c r="W75">
        <f>HYPERLINK("https://klasma.github.io/Logging_1885/klagomålsmail/A 52105-2025 FSC-klagomål mail.docx", "A 52105-2025")</f>
        <v/>
      </c>
      <c r="X75">
        <f>HYPERLINK("https://klasma.github.io/Logging_1885/tillsyn/A 52105-2025 tillsynsbegäran.docx", "A 52105-2025")</f>
        <v/>
      </c>
      <c r="Y75">
        <f>HYPERLINK("https://klasma.github.io/Logging_1885/tillsynsmail/A 52105-2025 tillsynsbegäran mail.docx", "A 52105-2025")</f>
        <v/>
      </c>
    </row>
    <row r="76" ht="15" customHeight="1">
      <c r="A76" t="inlineStr">
        <is>
          <t>A 67013-2021</t>
        </is>
      </c>
      <c r="B76" s="1" t="n">
        <v>44522</v>
      </c>
      <c r="C76" s="1" t="n">
        <v>46176</v>
      </c>
      <c r="D76" t="inlineStr">
        <is>
          <t>ÖREBRO LÄN</t>
        </is>
      </c>
      <c r="E76" t="inlineStr">
        <is>
          <t>LINDESBERG</t>
        </is>
      </c>
      <c r="G76" t="n">
        <v>0.5</v>
      </c>
      <c r="H76" t="n">
        <v>0</v>
      </c>
      <c r="I76" t="n">
        <v>0</v>
      </c>
      <c r="J76" t="n">
        <v>1</v>
      </c>
      <c r="K76" t="n">
        <v>0</v>
      </c>
      <c r="L76" t="n">
        <v>0</v>
      </c>
      <c r="M76" t="n">
        <v>0</v>
      </c>
      <c r="N76" t="n">
        <v>0</v>
      </c>
      <c r="O76" t="n">
        <v>1</v>
      </c>
      <c r="P76" t="n">
        <v>0</v>
      </c>
      <c r="Q76" t="n">
        <v>1</v>
      </c>
      <c r="R76" s="2" t="inlineStr">
        <is>
          <t>Skogsklocka</t>
        </is>
      </c>
      <c r="S76">
        <f>HYPERLINK("https://klasma.github.io/Logging_1885/artfynd/A 67013-2021 artfynd.xlsx", "A 67013-2021")</f>
        <v/>
      </c>
      <c r="T76">
        <f>HYPERLINK("https://klasma.github.io/Logging_1885/kartor/A 67013-2021 karta.png", "A 67013-2021")</f>
        <v/>
      </c>
      <c r="V76">
        <f>HYPERLINK("https://klasma.github.io/Logging_1885/klagomål/A 67013-2021 FSC-klagomål.docx", "A 67013-2021")</f>
        <v/>
      </c>
      <c r="W76">
        <f>HYPERLINK("https://klasma.github.io/Logging_1885/klagomålsmail/A 67013-2021 FSC-klagomål mail.docx", "A 67013-2021")</f>
        <v/>
      </c>
      <c r="X76">
        <f>HYPERLINK("https://klasma.github.io/Logging_1885/tillsyn/A 67013-2021 tillsynsbegäran.docx", "A 67013-2021")</f>
        <v/>
      </c>
      <c r="Y76">
        <f>HYPERLINK("https://klasma.github.io/Logging_1885/tillsynsmail/A 67013-2021 tillsynsbegäran mail.docx", "A 67013-2021")</f>
        <v/>
      </c>
    </row>
    <row r="77" ht="15" customHeight="1">
      <c r="A77" t="inlineStr">
        <is>
          <t>A 52337-2025</t>
        </is>
      </c>
      <c r="B77" s="1" t="n">
        <v>45953.69287037037</v>
      </c>
      <c r="C77" s="1" t="n">
        <v>46176</v>
      </c>
      <c r="D77" t="inlineStr">
        <is>
          <t>ÖREBRO LÄN</t>
        </is>
      </c>
      <c r="E77" t="inlineStr">
        <is>
          <t>LINDESBERG</t>
        </is>
      </c>
      <c r="F77" t="inlineStr">
        <is>
          <t>Sveaskog</t>
        </is>
      </c>
      <c r="G77" t="n">
        <v>3.3</v>
      </c>
      <c r="H77" t="n">
        <v>1</v>
      </c>
      <c r="I77" t="n">
        <v>0</v>
      </c>
      <c r="J77" t="n">
        <v>0</v>
      </c>
      <c r="K77" t="n">
        <v>0</v>
      </c>
      <c r="L77" t="n">
        <v>0</v>
      </c>
      <c r="M77" t="n">
        <v>0</v>
      </c>
      <c r="N77" t="n">
        <v>0</v>
      </c>
      <c r="O77" t="n">
        <v>0</v>
      </c>
      <c r="P77" t="n">
        <v>0</v>
      </c>
      <c r="Q77" t="n">
        <v>1</v>
      </c>
      <c r="R77" s="2" t="inlineStr">
        <is>
          <t>Fläcknycklar</t>
        </is>
      </c>
      <c r="S77">
        <f>HYPERLINK("https://klasma.github.io/Logging_1885/artfynd/A 52337-2025 artfynd.xlsx", "A 52337-2025")</f>
        <v/>
      </c>
      <c r="T77">
        <f>HYPERLINK("https://klasma.github.io/Logging_1885/kartor/A 52337-2025 karta.png", "A 52337-2025")</f>
        <v/>
      </c>
      <c r="V77">
        <f>HYPERLINK("https://klasma.github.io/Logging_1885/klagomål/A 52337-2025 FSC-klagomål.docx", "A 52337-2025")</f>
        <v/>
      </c>
      <c r="W77">
        <f>HYPERLINK("https://klasma.github.io/Logging_1885/klagomålsmail/A 52337-2025 FSC-klagomål mail.docx", "A 52337-2025")</f>
        <v/>
      </c>
      <c r="X77">
        <f>HYPERLINK("https://klasma.github.io/Logging_1885/tillsyn/A 52337-2025 tillsynsbegäran.docx", "A 52337-2025")</f>
        <v/>
      </c>
      <c r="Y77">
        <f>HYPERLINK("https://klasma.github.io/Logging_1885/tillsynsmail/A 52337-2025 tillsynsbegäran mail.docx", "A 52337-2025")</f>
        <v/>
      </c>
    </row>
    <row r="78" ht="15" customHeight="1">
      <c r="A78" t="inlineStr">
        <is>
          <t>A 54092-2025</t>
        </is>
      </c>
      <c r="B78" s="1" t="n">
        <v>45964.3965625</v>
      </c>
      <c r="C78" s="1" t="n">
        <v>46176</v>
      </c>
      <c r="D78" t="inlineStr">
        <is>
          <t>ÖREBRO LÄN</t>
        </is>
      </c>
      <c r="E78" t="inlineStr">
        <is>
          <t>LINDESBERG</t>
        </is>
      </c>
      <c r="G78" t="n">
        <v>2.4</v>
      </c>
      <c r="H78" t="n">
        <v>0</v>
      </c>
      <c r="I78" t="n">
        <v>1</v>
      </c>
      <c r="J78" t="n">
        <v>0</v>
      </c>
      <c r="K78" t="n">
        <v>0</v>
      </c>
      <c r="L78" t="n">
        <v>0</v>
      </c>
      <c r="M78" t="n">
        <v>0</v>
      </c>
      <c r="N78" t="n">
        <v>0</v>
      </c>
      <c r="O78" t="n">
        <v>0</v>
      </c>
      <c r="P78" t="n">
        <v>0</v>
      </c>
      <c r="Q78" t="n">
        <v>1</v>
      </c>
      <c r="R78" s="2" t="inlineStr">
        <is>
          <t>Hagfingersvamp</t>
        </is>
      </c>
      <c r="S78">
        <f>HYPERLINK("https://klasma.github.io/Logging_1885/artfynd/A 54092-2025 artfynd.xlsx", "A 54092-2025")</f>
        <v/>
      </c>
      <c r="T78">
        <f>HYPERLINK("https://klasma.github.io/Logging_1885/kartor/A 54092-2025 karta.png", "A 54092-2025")</f>
        <v/>
      </c>
      <c r="V78">
        <f>HYPERLINK("https://klasma.github.io/Logging_1885/klagomål/A 54092-2025 FSC-klagomål.docx", "A 54092-2025")</f>
        <v/>
      </c>
      <c r="W78">
        <f>HYPERLINK("https://klasma.github.io/Logging_1885/klagomålsmail/A 54092-2025 FSC-klagomål mail.docx", "A 54092-2025")</f>
        <v/>
      </c>
      <c r="X78">
        <f>HYPERLINK("https://klasma.github.io/Logging_1885/tillsyn/A 54092-2025 tillsynsbegäran.docx", "A 54092-2025")</f>
        <v/>
      </c>
      <c r="Y78">
        <f>HYPERLINK("https://klasma.github.io/Logging_1885/tillsynsmail/A 54092-2025 tillsynsbegäran mail.docx", "A 54092-2025")</f>
        <v/>
      </c>
    </row>
    <row r="79" ht="15" customHeight="1">
      <c r="A79" t="inlineStr">
        <is>
          <t>A 57362-2025</t>
        </is>
      </c>
      <c r="B79" s="1" t="n">
        <v>45980.37108796297</v>
      </c>
      <c r="C79" s="1" t="n">
        <v>46176</v>
      </c>
      <c r="D79" t="inlineStr">
        <is>
          <t>ÖREBRO LÄN</t>
        </is>
      </c>
      <c r="E79" t="inlineStr">
        <is>
          <t>LINDESBERG</t>
        </is>
      </c>
      <c r="F79" t="inlineStr">
        <is>
          <t>Sveaskog</t>
        </is>
      </c>
      <c r="G79" t="n">
        <v>1.2</v>
      </c>
      <c r="H79" t="n">
        <v>0</v>
      </c>
      <c r="I79" t="n">
        <v>1</v>
      </c>
      <c r="J79" t="n">
        <v>0</v>
      </c>
      <c r="K79" t="n">
        <v>0</v>
      </c>
      <c r="L79" t="n">
        <v>0</v>
      </c>
      <c r="M79" t="n">
        <v>0</v>
      </c>
      <c r="N79" t="n">
        <v>0</v>
      </c>
      <c r="O79" t="n">
        <v>0</v>
      </c>
      <c r="P79" t="n">
        <v>0</v>
      </c>
      <c r="Q79" t="n">
        <v>1</v>
      </c>
      <c r="R79" s="2" t="inlineStr">
        <is>
          <t>Svart trolldruva</t>
        </is>
      </c>
      <c r="S79">
        <f>HYPERLINK("https://klasma.github.io/Logging_1885/artfynd/A 57362-2025 artfynd.xlsx", "A 57362-2025")</f>
        <v/>
      </c>
      <c r="T79">
        <f>HYPERLINK("https://klasma.github.io/Logging_1885/kartor/A 57362-2025 karta.png", "A 57362-2025")</f>
        <v/>
      </c>
      <c r="V79">
        <f>HYPERLINK("https://klasma.github.io/Logging_1885/klagomål/A 57362-2025 FSC-klagomål.docx", "A 57362-2025")</f>
        <v/>
      </c>
      <c r="W79">
        <f>HYPERLINK("https://klasma.github.io/Logging_1885/klagomålsmail/A 57362-2025 FSC-klagomål mail.docx", "A 57362-2025")</f>
        <v/>
      </c>
      <c r="X79">
        <f>HYPERLINK("https://klasma.github.io/Logging_1885/tillsyn/A 57362-2025 tillsynsbegäran.docx", "A 57362-2025")</f>
        <v/>
      </c>
      <c r="Y79">
        <f>HYPERLINK("https://klasma.github.io/Logging_1885/tillsynsmail/A 57362-2025 tillsynsbegäran mail.docx", "A 57362-2025")</f>
        <v/>
      </c>
    </row>
    <row r="80" ht="15" customHeight="1">
      <c r="A80" t="inlineStr">
        <is>
          <t>A 57355-2025</t>
        </is>
      </c>
      <c r="B80" s="1" t="n">
        <v>45980.3659375</v>
      </c>
      <c r="C80" s="1" t="n">
        <v>46176</v>
      </c>
      <c r="D80" t="inlineStr">
        <is>
          <t>ÖREBRO LÄN</t>
        </is>
      </c>
      <c r="E80" t="inlineStr">
        <is>
          <t>LINDESBERG</t>
        </is>
      </c>
      <c r="F80" t="inlineStr">
        <is>
          <t>Sveaskog</t>
        </is>
      </c>
      <c r="G80" t="n">
        <v>2.7</v>
      </c>
      <c r="H80" t="n">
        <v>0</v>
      </c>
      <c r="I80" t="n">
        <v>0</v>
      </c>
      <c r="J80" t="n">
        <v>1</v>
      </c>
      <c r="K80" t="n">
        <v>0</v>
      </c>
      <c r="L80" t="n">
        <v>0</v>
      </c>
      <c r="M80" t="n">
        <v>0</v>
      </c>
      <c r="N80" t="n">
        <v>0</v>
      </c>
      <c r="O80" t="n">
        <v>1</v>
      </c>
      <c r="P80" t="n">
        <v>0</v>
      </c>
      <c r="Q80" t="n">
        <v>1</v>
      </c>
      <c r="R80" s="2" t="inlineStr">
        <is>
          <t>Orange taggsvamp</t>
        </is>
      </c>
      <c r="S80">
        <f>HYPERLINK("https://klasma.github.io/Logging_1885/artfynd/A 57355-2025 artfynd.xlsx", "A 57355-2025")</f>
        <v/>
      </c>
      <c r="T80">
        <f>HYPERLINK("https://klasma.github.io/Logging_1885/kartor/A 57355-2025 karta.png", "A 57355-2025")</f>
        <v/>
      </c>
      <c r="V80">
        <f>HYPERLINK("https://klasma.github.io/Logging_1885/klagomål/A 57355-2025 FSC-klagomål.docx", "A 57355-2025")</f>
        <v/>
      </c>
      <c r="W80">
        <f>HYPERLINK("https://klasma.github.io/Logging_1885/klagomålsmail/A 57355-2025 FSC-klagomål mail.docx", "A 57355-2025")</f>
        <v/>
      </c>
      <c r="X80">
        <f>HYPERLINK("https://klasma.github.io/Logging_1885/tillsyn/A 57355-2025 tillsynsbegäran.docx", "A 57355-2025")</f>
        <v/>
      </c>
      <c r="Y80">
        <f>HYPERLINK("https://klasma.github.io/Logging_1885/tillsynsmail/A 57355-2025 tillsynsbegäran mail.docx", "A 57355-2025")</f>
        <v/>
      </c>
    </row>
    <row r="81" ht="15" customHeight="1">
      <c r="A81" t="inlineStr">
        <is>
          <t>A 54857-2024</t>
        </is>
      </c>
      <c r="B81" s="1" t="n">
        <v>45618.58876157407</v>
      </c>
      <c r="C81" s="1" t="n">
        <v>46176</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6192-2025</t>
        </is>
      </c>
      <c r="B82" s="1" t="n">
        <v>45698.46697916667</v>
      </c>
      <c r="C82" s="1" t="n">
        <v>46176</v>
      </c>
      <c r="D82" t="inlineStr">
        <is>
          <t>ÖREBRO LÄN</t>
        </is>
      </c>
      <c r="E82" t="inlineStr">
        <is>
          <t>LINDESBERG</t>
        </is>
      </c>
      <c r="F82" t="inlineStr">
        <is>
          <t>BillerudKorsnäs AB</t>
        </is>
      </c>
      <c r="G82" t="n">
        <v>1.8</v>
      </c>
      <c r="H82" t="n">
        <v>1</v>
      </c>
      <c r="I82" t="n">
        <v>0</v>
      </c>
      <c r="J82" t="n">
        <v>0</v>
      </c>
      <c r="K82" t="n">
        <v>0</v>
      </c>
      <c r="L82" t="n">
        <v>0</v>
      </c>
      <c r="M82" t="n">
        <v>0</v>
      </c>
      <c r="N82" t="n">
        <v>0</v>
      </c>
      <c r="O82" t="n">
        <v>0</v>
      </c>
      <c r="P82" t="n">
        <v>0</v>
      </c>
      <c r="Q82" t="n">
        <v>1</v>
      </c>
      <c r="R82" s="2" t="inlineStr">
        <is>
          <t>Blåsippa</t>
        </is>
      </c>
      <c r="S82">
        <f>HYPERLINK("https://klasma.github.io/Logging_1885/artfynd/A 6192-2025 artfynd.xlsx", "A 6192-2025")</f>
        <v/>
      </c>
      <c r="T82">
        <f>HYPERLINK("https://klasma.github.io/Logging_1885/kartor/A 6192-2025 karta.png", "A 6192-2025")</f>
        <v/>
      </c>
      <c r="V82">
        <f>HYPERLINK("https://klasma.github.io/Logging_1885/klagomål/A 6192-2025 FSC-klagomål.docx", "A 6192-2025")</f>
        <v/>
      </c>
      <c r="W82">
        <f>HYPERLINK("https://klasma.github.io/Logging_1885/klagomålsmail/A 6192-2025 FSC-klagomål mail.docx", "A 6192-2025")</f>
        <v/>
      </c>
      <c r="X82">
        <f>HYPERLINK("https://klasma.github.io/Logging_1885/tillsyn/A 6192-2025 tillsynsbegäran.docx", "A 6192-2025")</f>
        <v/>
      </c>
      <c r="Y82">
        <f>HYPERLINK("https://klasma.github.io/Logging_1885/tillsynsmail/A 6192-2025 tillsynsbegäran mail.docx", "A 6192-2025")</f>
        <v/>
      </c>
    </row>
    <row r="83" ht="15" customHeight="1">
      <c r="A83" t="inlineStr">
        <is>
          <t>A 2829-2026</t>
        </is>
      </c>
      <c r="B83" s="1" t="n">
        <v>46038.45296296296</v>
      </c>
      <c r="C83" s="1" t="n">
        <v>46176</v>
      </c>
      <c r="D83" t="inlineStr">
        <is>
          <t>ÖREBRO LÄN</t>
        </is>
      </c>
      <c r="E83" t="inlineStr">
        <is>
          <t>LINDESBERG</t>
        </is>
      </c>
      <c r="G83" t="n">
        <v>6.3</v>
      </c>
      <c r="H83" t="n">
        <v>0</v>
      </c>
      <c r="I83" t="n">
        <v>1</v>
      </c>
      <c r="J83" t="n">
        <v>0</v>
      </c>
      <c r="K83" t="n">
        <v>0</v>
      </c>
      <c r="L83" t="n">
        <v>0</v>
      </c>
      <c r="M83" t="n">
        <v>0</v>
      </c>
      <c r="N83" t="n">
        <v>0</v>
      </c>
      <c r="O83" t="n">
        <v>0</v>
      </c>
      <c r="P83" t="n">
        <v>0</v>
      </c>
      <c r="Q83" t="n">
        <v>1</v>
      </c>
      <c r="R83" s="2" t="inlineStr">
        <is>
          <t>Vedticka</t>
        </is>
      </c>
      <c r="S83">
        <f>HYPERLINK("https://klasma.github.io/Logging_1885/artfynd/A 2829-2026 artfynd.xlsx", "A 2829-2026")</f>
        <v/>
      </c>
      <c r="T83">
        <f>HYPERLINK("https://klasma.github.io/Logging_1885/kartor/A 2829-2026 karta.png", "A 2829-2026")</f>
        <v/>
      </c>
      <c r="U83">
        <f>HYPERLINK("https://klasma.github.io/Logging_1885/knärot/A 2829-2026 karta knärot.png", "A 2829-2026")</f>
        <v/>
      </c>
      <c r="V83">
        <f>HYPERLINK("https://klasma.github.io/Logging_1885/klagomål/A 2829-2026 FSC-klagomål.docx", "A 2829-2026")</f>
        <v/>
      </c>
      <c r="W83">
        <f>HYPERLINK("https://klasma.github.io/Logging_1885/klagomålsmail/A 2829-2026 FSC-klagomål mail.docx", "A 2829-2026")</f>
        <v/>
      </c>
      <c r="X83">
        <f>HYPERLINK("https://klasma.github.io/Logging_1885/tillsyn/A 2829-2026 tillsynsbegäran.docx", "A 2829-2026")</f>
        <v/>
      </c>
      <c r="Y83">
        <f>HYPERLINK("https://klasma.github.io/Logging_1885/tillsynsmail/A 2829-2026 tillsynsbegäran mail.docx", "A 2829-2026")</f>
        <v/>
      </c>
    </row>
    <row r="84" ht="15" customHeight="1">
      <c r="A84" t="inlineStr">
        <is>
          <t>A 28569-2024</t>
        </is>
      </c>
      <c r="B84" s="1" t="n">
        <v>45478.39592592593</v>
      </c>
      <c r="C84" s="1" t="n">
        <v>46176</v>
      </c>
      <c r="D84" t="inlineStr">
        <is>
          <t>ÖREBRO LÄN</t>
        </is>
      </c>
      <c r="E84" t="inlineStr">
        <is>
          <t>LINDESBERG</t>
        </is>
      </c>
      <c r="F84" t="inlineStr">
        <is>
          <t>Sveaskog</t>
        </is>
      </c>
      <c r="G84" t="n">
        <v>2.6</v>
      </c>
      <c r="H84" t="n">
        <v>0</v>
      </c>
      <c r="I84" t="n">
        <v>0</v>
      </c>
      <c r="J84" t="n">
        <v>1</v>
      </c>
      <c r="K84" t="n">
        <v>0</v>
      </c>
      <c r="L84" t="n">
        <v>0</v>
      </c>
      <c r="M84" t="n">
        <v>0</v>
      </c>
      <c r="N84" t="n">
        <v>0</v>
      </c>
      <c r="O84" t="n">
        <v>1</v>
      </c>
      <c r="P84" t="n">
        <v>0</v>
      </c>
      <c r="Q84" t="n">
        <v>1</v>
      </c>
      <c r="R84" s="2" t="inlineStr">
        <is>
          <t>Granticka</t>
        </is>
      </c>
      <c r="S84">
        <f>HYPERLINK("https://klasma.github.io/Logging_1885/artfynd/A 28569-2024 artfynd.xlsx", "A 28569-2024")</f>
        <v/>
      </c>
      <c r="T84">
        <f>HYPERLINK("https://klasma.github.io/Logging_1885/kartor/A 28569-2024 karta.png", "A 28569-2024")</f>
        <v/>
      </c>
      <c r="V84">
        <f>HYPERLINK("https://klasma.github.io/Logging_1885/klagomål/A 28569-2024 FSC-klagomål.docx", "A 28569-2024")</f>
        <v/>
      </c>
      <c r="W84">
        <f>HYPERLINK("https://klasma.github.io/Logging_1885/klagomålsmail/A 28569-2024 FSC-klagomål mail.docx", "A 28569-2024")</f>
        <v/>
      </c>
      <c r="X84">
        <f>HYPERLINK("https://klasma.github.io/Logging_1885/tillsyn/A 28569-2024 tillsynsbegäran.docx", "A 28569-2024")</f>
        <v/>
      </c>
      <c r="Y84">
        <f>HYPERLINK("https://klasma.github.io/Logging_1885/tillsynsmail/A 28569-2024 tillsynsbegäran mail.docx", "A 28569-2024")</f>
        <v/>
      </c>
    </row>
    <row r="85" ht="15" customHeight="1">
      <c r="A85" t="inlineStr">
        <is>
          <t>A 8172-2026</t>
        </is>
      </c>
      <c r="B85" s="1" t="n">
        <v>46064</v>
      </c>
      <c r="C85" s="1" t="n">
        <v>46176</v>
      </c>
      <c r="D85" t="inlineStr">
        <is>
          <t>ÖREBRO LÄN</t>
        </is>
      </c>
      <c r="E85" t="inlineStr">
        <is>
          <t>LINDESBERG</t>
        </is>
      </c>
      <c r="G85" t="n">
        <v>2.9</v>
      </c>
      <c r="H85" t="n">
        <v>0</v>
      </c>
      <c r="I85" t="n">
        <v>0</v>
      </c>
      <c r="J85" t="n">
        <v>0</v>
      </c>
      <c r="K85" t="n">
        <v>0</v>
      </c>
      <c r="L85" t="n">
        <v>1</v>
      </c>
      <c r="M85" t="n">
        <v>0</v>
      </c>
      <c r="N85" t="n">
        <v>0</v>
      </c>
      <c r="O85" t="n">
        <v>1</v>
      </c>
      <c r="P85" t="n">
        <v>1</v>
      </c>
      <c r="Q85" t="n">
        <v>1</v>
      </c>
      <c r="R85" s="2" t="inlineStr">
        <is>
          <t>Bågtuss</t>
        </is>
      </c>
      <c r="S85">
        <f>HYPERLINK("https://klasma.github.io/Logging_1885/artfynd/A 8172-2026 artfynd.xlsx", "A 8172-2026")</f>
        <v/>
      </c>
      <c r="T85">
        <f>HYPERLINK("https://klasma.github.io/Logging_1885/kartor/A 8172-2026 karta.png", "A 8172-2026")</f>
        <v/>
      </c>
      <c r="U85">
        <f>HYPERLINK("https://klasma.github.io/Logging_1885/knärot/A 8172-2026 karta knärot.png", "A 8172-2026")</f>
        <v/>
      </c>
      <c r="V85">
        <f>HYPERLINK("https://klasma.github.io/Logging_1885/klagomål/A 8172-2026 FSC-klagomål.docx", "A 8172-2026")</f>
        <v/>
      </c>
      <c r="W85">
        <f>HYPERLINK("https://klasma.github.io/Logging_1885/klagomålsmail/A 8172-2026 FSC-klagomål mail.docx", "A 8172-2026")</f>
        <v/>
      </c>
      <c r="X85">
        <f>HYPERLINK("https://klasma.github.io/Logging_1885/tillsyn/A 8172-2026 tillsynsbegäran.docx", "A 8172-2026")</f>
        <v/>
      </c>
      <c r="Y85">
        <f>HYPERLINK("https://klasma.github.io/Logging_1885/tillsynsmail/A 8172-2026 tillsynsbegäran mail.docx", "A 8172-2026")</f>
        <v/>
      </c>
    </row>
    <row r="86" ht="15" customHeight="1">
      <c r="A86" t="inlineStr">
        <is>
          <t>A 16791-2024</t>
        </is>
      </c>
      <c r="B86" s="1" t="n">
        <v>45411.42858796296</v>
      </c>
      <c r="C86" s="1" t="n">
        <v>46176</v>
      </c>
      <c r="D86" t="inlineStr">
        <is>
          <t>ÖREBRO LÄN</t>
        </is>
      </c>
      <c r="E86" t="inlineStr">
        <is>
          <t>LINDESBERG</t>
        </is>
      </c>
      <c r="G86" t="n">
        <v>16.1</v>
      </c>
      <c r="H86" t="n">
        <v>1</v>
      </c>
      <c r="I86" t="n">
        <v>0</v>
      </c>
      <c r="J86" t="n">
        <v>1</v>
      </c>
      <c r="K86" t="n">
        <v>0</v>
      </c>
      <c r="L86" t="n">
        <v>0</v>
      </c>
      <c r="M86" t="n">
        <v>0</v>
      </c>
      <c r="N86" t="n">
        <v>0</v>
      </c>
      <c r="O86" t="n">
        <v>1</v>
      </c>
      <c r="P86" t="n">
        <v>0</v>
      </c>
      <c r="Q86" t="n">
        <v>1</v>
      </c>
      <c r="R86" s="2" t="inlineStr">
        <is>
          <t>Spillkråka</t>
        </is>
      </c>
      <c r="S86">
        <f>HYPERLINK("https://klasma.github.io/Logging_1885/artfynd/A 16791-2024 artfynd.xlsx", "A 16791-2024")</f>
        <v/>
      </c>
      <c r="T86">
        <f>HYPERLINK("https://klasma.github.io/Logging_1885/kartor/A 16791-2024 karta.png", "A 16791-2024")</f>
        <v/>
      </c>
      <c r="V86">
        <f>HYPERLINK("https://klasma.github.io/Logging_1885/klagomål/A 16791-2024 FSC-klagomål.docx", "A 16791-2024")</f>
        <v/>
      </c>
      <c r="W86">
        <f>HYPERLINK("https://klasma.github.io/Logging_1885/klagomålsmail/A 16791-2024 FSC-klagomål mail.docx", "A 16791-2024")</f>
        <v/>
      </c>
      <c r="X86">
        <f>HYPERLINK("https://klasma.github.io/Logging_1885/tillsyn/A 16791-2024 tillsynsbegäran.docx", "A 16791-2024")</f>
        <v/>
      </c>
      <c r="Y86">
        <f>HYPERLINK("https://klasma.github.io/Logging_1885/tillsynsmail/A 16791-2024 tillsynsbegäran mail.docx", "A 16791-2024")</f>
        <v/>
      </c>
      <c r="Z86">
        <f>HYPERLINK("https://klasma.github.io/Logging_1885/fåglar/A 16791-2024 prioriterade fågelarter.docx", "A 16791-2024")</f>
        <v/>
      </c>
    </row>
    <row r="87" ht="15" customHeight="1">
      <c r="A87" t="inlineStr">
        <is>
          <t>A 53600-2024</t>
        </is>
      </c>
      <c r="B87" s="1" t="n">
        <v>45614.68596064814</v>
      </c>
      <c r="C87" s="1" t="n">
        <v>46176</v>
      </c>
      <c r="D87" t="inlineStr">
        <is>
          <t>ÖREBRO LÄN</t>
        </is>
      </c>
      <c r="E87" t="inlineStr">
        <is>
          <t>LINDESBERG</t>
        </is>
      </c>
      <c r="G87" t="n">
        <v>2.2</v>
      </c>
      <c r="H87" t="n">
        <v>1</v>
      </c>
      <c r="I87" t="n">
        <v>0</v>
      </c>
      <c r="J87" t="n">
        <v>0</v>
      </c>
      <c r="K87" t="n">
        <v>0</v>
      </c>
      <c r="L87" t="n">
        <v>1</v>
      </c>
      <c r="M87" t="n">
        <v>0</v>
      </c>
      <c r="N87" t="n">
        <v>0</v>
      </c>
      <c r="O87" t="n">
        <v>1</v>
      </c>
      <c r="P87" t="n">
        <v>1</v>
      </c>
      <c r="Q87" t="n">
        <v>1</v>
      </c>
      <c r="R87" s="2" t="inlineStr">
        <is>
          <t>Asknätfjäril</t>
        </is>
      </c>
      <c r="S87">
        <f>HYPERLINK("https://klasma.github.io/Logging_1885/artfynd/A 53600-2024 artfynd.xlsx", "A 53600-2024")</f>
        <v/>
      </c>
      <c r="T87">
        <f>HYPERLINK("https://klasma.github.io/Logging_1885/kartor/A 53600-2024 karta.png", "A 53600-2024")</f>
        <v/>
      </c>
      <c r="V87">
        <f>HYPERLINK("https://klasma.github.io/Logging_1885/klagomål/A 53600-2024 FSC-klagomål.docx", "A 53600-2024")</f>
        <v/>
      </c>
      <c r="W87">
        <f>HYPERLINK("https://klasma.github.io/Logging_1885/klagomålsmail/A 53600-2024 FSC-klagomål mail.docx", "A 53600-2024")</f>
        <v/>
      </c>
      <c r="X87">
        <f>HYPERLINK("https://klasma.github.io/Logging_1885/tillsyn/A 53600-2024 tillsynsbegäran.docx", "A 53600-2024")</f>
        <v/>
      </c>
      <c r="Y87">
        <f>HYPERLINK("https://klasma.github.io/Logging_1885/tillsynsmail/A 53600-2024 tillsynsbegäran mail.docx", "A 53600-2024")</f>
        <v/>
      </c>
    </row>
    <row r="88" ht="15" customHeight="1">
      <c r="A88" t="inlineStr">
        <is>
          <t>A 70466-2021</t>
        </is>
      </c>
      <c r="B88" s="1" t="n">
        <v>44536</v>
      </c>
      <c r="C88" s="1" t="n">
        <v>46176</v>
      </c>
      <c r="D88" t="inlineStr">
        <is>
          <t>ÖREBRO LÄN</t>
        </is>
      </c>
      <c r="E88" t="inlineStr">
        <is>
          <t>LINDESBERG</t>
        </is>
      </c>
      <c r="G88" t="n">
        <v>4.4</v>
      </c>
      <c r="H88" t="n">
        <v>1</v>
      </c>
      <c r="I88" t="n">
        <v>0</v>
      </c>
      <c r="J88" t="n">
        <v>0</v>
      </c>
      <c r="K88" t="n">
        <v>1</v>
      </c>
      <c r="L88" t="n">
        <v>0</v>
      </c>
      <c r="M88" t="n">
        <v>0</v>
      </c>
      <c r="N88" t="n">
        <v>0</v>
      </c>
      <c r="O88" t="n">
        <v>1</v>
      </c>
      <c r="P88" t="n">
        <v>1</v>
      </c>
      <c r="Q88" t="n">
        <v>1</v>
      </c>
      <c r="R88" s="2" t="inlineStr">
        <is>
          <t>Knärot</t>
        </is>
      </c>
      <c r="S88">
        <f>HYPERLINK("https://klasma.github.io/Logging_1885/artfynd/A 70466-2021 artfynd.xlsx", "A 70466-2021")</f>
        <v/>
      </c>
      <c r="T88">
        <f>HYPERLINK("https://klasma.github.io/Logging_1885/kartor/A 70466-2021 karta.png", "A 70466-2021")</f>
        <v/>
      </c>
      <c r="U88">
        <f>HYPERLINK("https://klasma.github.io/Logging_1885/knärot/A 70466-2021 karta knärot.png", "A 70466-2021")</f>
        <v/>
      </c>
      <c r="V88">
        <f>HYPERLINK("https://klasma.github.io/Logging_1885/klagomål/A 70466-2021 FSC-klagomål.docx", "A 70466-2021")</f>
        <v/>
      </c>
      <c r="W88">
        <f>HYPERLINK("https://klasma.github.io/Logging_1885/klagomålsmail/A 70466-2021 FSC-klagomål mail.docx", "A 70466-2021")</f>
        <v/>
      </c>
      <c r="X88">
        <f>HYPERLINK("https://klasma.github.io/Logging_1885/tillsyn/A 70466-2021 tillsynsbegäran.docx", "A 70466-2021")</f>
        <v/>
      </c>
      <c r="Y88">
        <f>HYPERLINK("https://klasma.github.io/Logging_1885/tillsynsmail/A 70466-2021 tillsynsbegäran mail.docx", "A 70466-2021")</f>
        <v/>
      </c>
    </row>
    <row r="89" ht="15" customHeight="1">
      <c r="A89" t="inlineStr">
        <is>
          <t>A 58206-2023</t>
        </is>
      </c>
      <c r="B89" s="1" t="n">
        <v>45250</v>
      </c>
      <c r="C89" s="1" t="n">
        <v>46176</v>
      </c>
      <c r="D89" t="inlineStr">
        <is>
          <t>ÖREBRO LÄN</t>
        </is>
      </c>
      <c r="E89" t="inlineStr">
        <is>
          <t>LINDESBERG</t>
        </is>
      </c>
      <c r="F89" t="inlineStr">
        <is>
          <t>Sveaskog</t>
        </is>
      </c>
      <c r="G89" t="n">
        <v>1.4</v>
      </c>
      <c r="H89" t="n">
        <v>1</v>
      </c>
      <c r="I89" t="n">
        <v>0</v>
      </c>
      <c r="J89" t="n">
        <v>0</v>
      </c>
      <c r="K89" t="n">
        <v>0</v>
      </c>
      <c r="L89" t="n">
        <v>0</v>
      </c>
      <c r="M89" t="n">
        <v>0</v>
      </c>
      <c r="N89" t="n">
        <v>0</v>
      </c>
      <c r="O89" t="n">
        <v>0</v>
      </c>
      <c r="P89" t="n">
        <v>0</v>
      </c>
      <c r="Q89" t="n">
        <v>1</v>
      </c>
      <c r="R89" s="2" t="inlineStr">
        <is>
          <t>Fläcknycklar</t>
        </is>
      </c>
      <c r="S89">
        <f>HYPERLINK("https://klasma.github.io/Logging_1885/artfynd/A 58206-2023 artfynd.xlsx", "A 58206-2023")</f>
        <v/>
      </c>
      <c r="T89">
        <f>HYPERLINK("https://klasma.github.io/Logging_1885/kartor/A 58206-2023 karta.png", "A 58206-2023")</f>
        <v/>
      </c>
      <c r="V89">
        <f>HYPERLINK("https://klasma.github.io/Logging_1885/klagomål/A 58206-2023 FSC-klagomål.docx", "A 58206-2023")</f>
        <v/>
      </c>
      <c r="W89">
        <f>HYPERLINK("https://klasma.github.io/Logging_1885/klagomålsmail/A 58206-2023 FSC-klagomål mail.docx", "A 58206-2023")</f>
        <v/>
      </c>
      <c r="X89">
        <f>HYPERLINK("https://klasma.github.io/Logging_1885/tillsyn/A 58206-2023 tillsynsbegäran.docx", "A 58206-2023")</f>
        <v/>
      </c>
      <c r="Y89">
        <f>HYPERLINK("https://klasma.github.io/Logging_1885/tillsynsmail/A 58206-2023 tillsynsbegäran mail.docx", "A 58206-2023")</f>
        <v/>
      </c>
    </row>
    <row r="90" ht="15" customHeight="1">
      <c r="A90" t="inlineStr">
        <is>
          <t>A 28787-2023</t>
        </is>
      </c>
      <c r="B90" s="1" t="n">
        <v>45104.3483912037</v>
      </c>
      <c r="C90" s="1" t="n">
        <v>46176</v>
      </c>
      <c r="D90" t="inlineStr">
        <is>
          <t>ÖREBRO LÄN</t>
        </is>
      </c>
      <c r="E90" t="inlineStr">
        <is>
          <t>LINDESBERG</t>
        </is>
      </c>
      <c r="F90" t="inlineStr">
        <is>
          <t>Sveaskog</t>
        </is>
      </c>
      <c r="G90" t="n">
        <v>0.5</v>
      </c>
      <c r="H90" t="n">
        <v>1</v>
      </c>
      <c r="I90" t="n">
        <v>0</v>
      </c>
      <c r="J90" t="n">
        <v>0</v>
      </c>
      <c r="K90" t="n">
        <v>0</v>
      </c>
      <c r="L90" t="n">
        <v>0</v>
      </c>
      <c r="M90" t="n">
        <v>0</v>
      </c>
      <c r="N90" t="n">
        <v>0</v>
      </c>
      <c r="O90" t="n">
        <v>0</v>
      </c>
      <c r="P90" t="n">
        <v>0</v>
      </c>
      <c r="Q90" t="n">
        <v>1</v>
      </c>
      <c r="R90" s="2" t="inlineStr">
        <is>
          <t>Fläcknycklar</t>
        </is>
      </c>
      <c r="S90">
        <f>HYPERLINK("https://klasma.github.io/Logging_1885/artfynd/A 28787-2023 artfynd.xlsx", "A 28787-2023")</f>
        <v/>
      </c>
      <c r="T90">
        <f>HYPERLINK("https://klasma.github.io/Logging_1885/kartor/A 28787-2023 karta.png", "A 28787-2023")</f>
        <v/>
      </c>
      <c r="V90">
        <f>HYPERLINK("https://klasma.github.io/Logging_1885/klagomål/A 28787-2023 FSC-klagomål.docx", "A 28787-2023")</f>
        <v/>
      </c>
      <c r="W90">
        <f>HYPERLINK("https://klasma.github.io/Logging_1885/klagomålsmail/A 28787-2023 FSC-klagomål mail.docx", "A 28787-2023")</f>
        <v/>
      </c>
      <c r="X90">
        <f>HYPERLINK("https://klasma.github.io/Logging_1885/tillsyn/A 28787-2023 tillsynsbegäran.docx", "A 28787-2023")</f>
        <v/>
      </c>
      <c r="Y90">
        <f>HYPERLINK("https://klasma.github.io/Logging_1885/tillsynsmail/A 28787-2023 tillsynsbegäran mail.docx", "A 28787-2023")</f>
        <v/>
      </c>
    </row>
    <row r="91" ht="15" customHeight="1">
      <c r="A91" t="inlineStr">
        <is>
          <t>A 27900-2024</t>
        </is>
      </c>
      <c r="B91" s="1" t="n">
        <v>45475.92849537037</v>
      </c>
      <c r="C91" s="1" t="n">
        <v>46176</v>
      </c>
      <c r="D91" t="inlineStr">
        <is>
          <t>ÖREBRO LÄN</t>
        </is>
      </c>
      <c r="E91" t="inlineStr">
        <is>
          <t>LINDESBERG</t>
        </is>
      </c>
      <c r="F91" t="inlineStr">
        <is>
          <t>Sveaskog</t>
        </is>
      </c>
      <c r="G91" t="n">
        <v>4.1</v>
      </c>
      <c r="H91" t="n">
        <v>1</v>
      </c>
      <c r="I91" t="n">
        <v>0</v>
      </c>
      <c r="J91" t="n">
        <v>0</v>
      </c>
      <c r="K91" t="n">
        <v>0</v>
      </c>
      <c r="L91" t="n">
        <v>0</v>
      </c>
      <c r="M91" t="n">
        <v>0</v>
      </c>
      <c r="N91" t="n">
        <v>0</v>
      </c>
      <c r="O91" t="n">
        <v>0</v>
      </c>
      <c r="P91" t="n">
        <v>0</v>
      </c>
      <c r="Q91" t="n">
        <v>1</v>
      </c>
      <c r="R91" s="2" t="inlineStr">
        <is>
          <t>Fläcknycklar</t>
        </is>
      </c>
      <c r="S91">
        <f>HYPERLINK("https://klasma.github.io/Logging_1885/artfynd/A 27900-2024 artfynd.xlsx", "A 27900-2024")</f>
        <v/>
      </c>
      <c r="T91">
        <f>HYPERLINK("https://klasma.github.io/Logging_1885/kartor/A 27900-2024 karta.png", "A 27900-2024")</f>
        <v/>
      </c>
      <c r="V91">
        <f>HYPERLINK("https://klasma.github.io/Logging_1885/klagomål/A 27900-2024 FSC-klagomål.docx", "A 27900-2024")</f>
        <v/>
      </c>
      <c r="W91">
        <f>HYPERLINK("https://klasma.github.io/Logging_1885/klagomålsmail/A 27900-2024 FSC-klagomål mail.docx", "A 27900-2024")</f>
        <v/>
      </c>
      <c r="X91">
        <f>HYPERLINK("https://klasma.github.io/Logging_1885/tillsyn/A 27900-2024 tillsynsbegäran.docx", "A 27900-2024")</f>
        <v/>
      </c>
      <c r="Y91">
        <f>HYPERLINK("https://klasma.github.io/Logging_1885/tillsynsmail/A 27900-2024 tillsynsbegäran mail.docx", "A 27900-2024")</f>
        <v/>
      </c>
    </row>
    <row r="92" ht="15" customHeight="1">
      <c r="A92" t="inlineStr">
        <is>
          <t>A 53598-2024</t>
        </is>
      </c>
      <c r="B92" s="1" t="n">
        <v>45614.68287037037</v>
      </c>
      <c r="C92" s="1" t="n">
        <v>46176</v>
      </c>
      <c r="D92" t="inlineStr">
        <is>
          <t>ÖREBRO LÄN</t>
        </is>
      </c>
      <c r="E92" t="inlineStr">
        <is>
          <t>LINDESBERG</t>
        </is>
      </c>
      <c r="G92" t="n">
        <v>3.1</v>
      </c>
      <c r="H92" t="n">
        <v>1</v>
      </c>
      <c r="I92" t="n">
        <v>0</v>
      </c>
      <c r="J92" t="n">
        <v>0</v>
      </c>
      <c r="K92" t="n">
        <v>0</v>
      </c>
      <c r="L92" t="n">
        <v>1</v>
      </c>
      <c r="M92" t="n">
        <v>0</v>
      </c>
      <c r="N92" t="n">
        <v>0</v>
      </c>
      <c r="O92" t="n">
        <v>1</v>
      </c>
      <c r="P92" t="n">
        <v>1</v>
      </c>
      <c r="Q92" t="n">
        <v>1</v>
      </c>
      <c r="R92" s="2" t="inlineStr">
        <is>
          <t>Asknätfjäril</t>
        </is>
      </c>
      <c r="S92">
        <f>HYPERLINK("https://klasma.github.io/Logging_1885/artfynd/A 53598-2024 artfynd.xlsx", "A 53598-2024")</f>
        <v/>
      </c>
      <c r="T92">
        <f>HYPERLINK("https://klasma.github.io/Logging_1885/kartor/A 53598-2024 karta.png", "A 53598-2024")</f>
        <v/>
      </c>
      <c r="V92">
        <f>HYPERLINK("https://klasma.github.io/Logging_1885/klagomål/A 53598-2024 FSC-klagomål.docx", "A 53598-2024")</f>
        <v/>
      </c>
      <c r="W92">
        <f>HYPERLINK("https://klasma.github.io/Logging_1885/klagomålsmail/A 53598-2024 FSC-klagomål mail.docx", "A 53598-2024")</f>
        <v/>
      </c>
      <c r="X92">
        <f>HYPERLINK("https://klasma.github.io/Logging_1885/tillsyn/A 53598-2024 tillsynsbegäran.docx", "A 53598-2024")</f>
        <v/>
      </c>
      <c r="Y92">
        <f>HYPERLINK("https://klasma.github.io/Logging_1885/tillsynsmail/A 53598-2024 tillsynsbegäran mail.docx", "A 53598-2024")</f>
        <v/>
      </c>
    </row>
    <row r="93" ht="15" customHeight="1">
      <c r="A93" t="inlineStr">
        <is>
          <t>A 21440-2025</t>
        </is>
      </c>
      <c r="B93" s="1" t="n">
        <v>45782.5300462963</v>
      </c>
      <c r="C93" s="1" t="n">
        <v>46176</v>
      </c>
      <c r="D93" t="inlineStr">
        <is>
          <t>ÖREBRO LÄN</t>
        </is>
      </c>
      <c r="E93" t="inlineStr">
        <is>
          <t>LINDESBERG</t>
        </is>
      </c>
      <c r="F93" t="inlineStr">
        <is>
          <t>Sveaskog</t>
        </is>
      </c>
      <c r="G93" t="n">
        <v>1.3</v>
      </c>
      <c r="H93" t="n">
        <v>0</v>
      </c>
      <c r="I93" t="n">
        <v>0</v>
      </c>
      <c r="J93" t="n">
        <v>1</v>
      </c>
      <c r="K93" t="n">
        <v>0</v>
      </c>
      <c r="L93" t="n">
        <v>0</v>
      </c>
      <c r="M93" t="n">
        <v>0</v>
      </c>
      <c r="N93" t="n">
        <v>0</v>
      </c>
      <c r="O93" t="n">
        <v>1</v>
      </c>
      <c r="P93" t="n">
        <v>0</v>
      </c>
      <c r="Q93" t="n">
        <v>1</v>
      </c>
      <c r="R93" s="2" t="inlineStr">
        <is>
          <t>Motaggsvamp</t>
        </is>
      </c>
      <c r="S93">
        <f>HYPERLINK("https://klasma.github.io/Logging_1885/artfynd/A 21440-2025 artfynd.xlsx", "A 21440-2025")</f>
        <v/>
      </c>
      <c r="T93">
        <f>HYPERLINK("https://klasma.github.io/Logging_1885/kartor/A 21440-2025 karta.png", "A 21440-2025")</f>
        <v/>
      </c>
      <c r="V93">
        <f>HYPERLINK("https://klasma.github.io/Logging_1885/klagomål/A 21440-2025 FSC-klagomål.docx", "A 21440-2025")</f>
        <v/>
      </c>
      <c r="W93">
        <f>HYPERLINK("https://klasma.github.io/Logging_1885/klagomålsmail/A 21440-2025 FSC-klagomål mail.docx", "A 21440-2025")</f>
        <v/>
      </c>
      <c r="X93">
        <f>HYPERLINK("https://klasma.github.io/Logging_1885/tillsyn/A 21440-2025 tillsynsbegäran.docx", "A 21440-2025")</f>
        <v/>
      </c>
      <c r="Y93">
        <f>HYPERLINK("https://klasma.github.io/Logging_1885/tillsynsmail/A 21440-2025 tillsynsbegäran mail.docx", "A 21440-2025")</f>
        <v/>
      </c>
    </row>
    <row r="94" ht="15" customHeight="1">
      <c r="A94" t="inlineStr">
        <is>
          <t>A 21779-2025</t>
        </is>
      </c>
      <c r="B94" s="1" t="n">
        <v>45783.66537037037</v>
      </c>
      <c r="C94" s="1" t="n">
        <v>46176</v>
      </c>
      <c r="D94" t="inlineStr">
        <is>
          <t>ÖREBRO LÄN</t>
        </is>
      </c>
      <c r="E94" t="inlineStr">
        <is>
          <t>LINDESBERG</t>
        </is>
      </c>
      <c r="G94" t="n">
        <v>8.5</v>
      </c>
      <c r="H94" t="n">
        <v>1</v>
      </c>
      <c r="I94" t="n">
        <v>0</v>
      </c>
      <c r="J94" t="n">
        <v>0</v>
      </c>
      <c r="K94" t="n">
        <v>0</v>
      </c>
      <c r="L94" t="n">
        <v>0</v>
      </c>
      <c r="M94" t="n">
        <v>0</v>
      </c>
      <c r="N94" t="n">
        <v>0</v>
      </c>
      <c r="O94" t="n">
        <v>0</v>
      </c>
      <c r="P94" t="n">
        <v>0</v>
      </c>
      <c r="Q94" t="n">
        <v>1</v>
      </c>
      <c r="R94" s="2" t="inlineStr">
        <is>
          <t>Mindre vattensalamander</t>
        </is>
      </c>
      <c r="S94">
        <f>HYPERLINK("https://klasma.github.io/Logging_1885/artfynd/A 21779-2025 artfynd.xlsx", "A 21779-2025")</f>
        <v/>
      </c>
      <c r="T94">
        <f>HYPERLINK("https://klasma.github.io/Logging_1885/kartor/A 21779-2025 karta.png", "A 21779-2025")</f>
        <v/>
      </c>
      <c r="V94">
        <f>HYPERLINK("https://klasma.github.io/Logging_1885/klagomål/A 21779-2025 FSC-klagomål.docx", "A 21779-2025")</f>
        <v/>
      </c>
      <c r="W94">
        <f>HYPERLINK("https://klasma.github.io/Logging_1885/klagomålsmail/A 21779-2025 FSC-klagomål mail.docx", "A 21779-2025")</f>
        <v/>
      </c>
      <c r="X94">
        <f>HYPERLINK("https://klasma.github.io/Logging_1885/tillsyn/A 21779-2025 tillsynsbegäran.docx", "A 21779-2025")</f>
        <v/>
      </c>
      <c r="Y94">
        <f>HYPERLINK("https://klasma.github.io/Logging_1885/tillsynsmail/A 21779-2025 tillsynsbegäran mail.docx", "A 21779-2025")</f>
        <v/>
      </c>
    </row>
    <row r="95" ht="15" customHeight="1">
      <c r="A95" t="inlineStr">
        <is>
          <t>A 31052-2025</t>
        </is>
      </c>
      <c r="B95" s="1" t="n">
        <v>45832.56153935185</v>
      </c>
      <c r="C95" s="1" t="n">
        <v>46176</v>
      </c>
      <c r="D95" t="inlineStr">
        <is>
          <t>ÖREBRO LÄN</t>
        </is>
      </c>
      <c r="E95" t="inlineStr">
        <is>
          <t>LINDESBERG</t>
        </is>
      </c>
      <c r="F95" t="inlineStr">
        <is>
          <t>Sveaskog</t>
        </is>
      </c>
      <c r="G95" t="n">
        <v>1.1</v>
      </c>
      <c r="H95" t="n">
        <v>1</v>
      </c>
      <c r="I95" t="n">
        <v>0</v>
      </c>
      <c r="J95" t="n">
        <v>0</v>
      </c>
      <c r="K95" t="n">
        <v>0</v>
      </c>
      <c r="L95" t="n">
        <v>0</v>
      </c>
      <c r="M95" t="n">
        <v>0</v>
      </c>
      <c r="N95" t="n">
        <v>0</v>
      </c>
      <c r="O95" t="n">
        <v>0</v>
      </c>
      <c r="P95" t="n">
        <v>0</v>
      </c>
      <c r="Q95" t="n">
        <v>1</v>
      </c>
      <c r="R95" s="2" t="inlineStr">
        <is>
          <t>Fläcknycklar</t>
        </is>
      </c>
      <c r="S95">
        <f>HYPERLINK("https://klasma.github.io/Logging_1885/artfynd/A 31052-2025 artfynd.xlsx", "A 31052-2025")</f>
        <v/>
      </c>
      <c r="T95">
        <f>HYPERLINK("https://klasma.github.io/Logging_1885/kartor/A 31052-2025 karta.png", "A 31052-2025")</f>
        <v/>
      </c>
      <c r="V95">
        <f>HYPERLINK("https://klasma.github.io/Logging_1885/klagomål/A 31052-2025 FSC-klagomål.docx", "A 31052-2025")</f>
        <v/>
      </c>
      <c r="W95">
        <f>HYPERLINK("https://klasma.github.io/Logging_1885/klagomålsmail/A 31052-2025 FSC-klagomål mail.docx", "A 31052-2025")</f>
        <v/>
      </c>
      <c r="X95">
        <f>HYPERLINK("https://klasma.github.io/Logging_1885/tillsyn/A 31052-2025 tillsynsbegäran.docx", "A 31052-2025")</f>
        <v/>
      </c>
      <c r="Y95">
        <f>HYPERLINK("https://klasma.github.io/Logging_1885/tillsynsmail/A 31052-2025 tillsynsbegäran mail.docx", "A 31052-2025")</f>
        <v/>
      </c>
    </row>
    <row r="96" ht="15" customHeight="1">
      <c r="A96" t="inlineStr">
        <is>
          <t>A 56049-2022</t>
        </is>
      </c>
      <c r="B96" s="1" t="n">
        <v>44889.5746875</v>
      </c>
      <c r="C96" s="1" t="n">
        <v>46176</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43154-2021</t>
        </is>
      </c>
      <c r="B97" s="1" t="n">
        <v>44431.69783564815</v>
      </c>
      <c r="C97" s="1" t="n">
        <v>46176</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47457-2022</t>
        </is>
      </c>
      <c r="B98" s="1" t="n">
        <v>44853.61925925926</v>
      </c>
      <c r="C98" s="1" t="n">
        <v>46176</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60302-2021</t>
        </is>
      </c>
      <c r="B99" s="1" t="n">
        <v>44495.87667824074</v>
      </c>
      <c r="C99" s="1" t="n">
        <v>46176</v>
      </c>
      <c r="D99" t="inlineStr">
        <is>
          <t>ÖREBRO LÄN</t>
        </is>
      </c>
      <c r="E99" t="inlineStr">
        <is>
          <t>LINDESBERG</t>
        </is>
      </c>
      <c r="G99" t="n">
        <v>3.2</v>
      </c>
      <c r="H99" t="n">
        <v>0</v>
      </c>
      <c r="I99" t="n">
        <v>0</v>
      </c>
      <c r="J99" t="n">
        <v>0</v>
      </c>
      <c r="K99" t="n">
        <v>0</v>
      </c>
      <c r="L99" t="n">
        <v>0</v>
      </c>
      <c r="M99" t="n">
        <v>0</v>
      </c>
      <c r="N99" t="n">
        <v>0</v>
      </c>
      <c r="O99" t="n">
        <v>0</v>
      </c>
      <c r="P99" t="n">
        <v>0</v>
      </c>
      <c r="Q99" t="n">
        <v>0</v>
      </c>
      <c r="R99" s="2" t="inlineStr"/>
    </row>
    <row r="100" ht="15" customHeight="1">
      <c r="A100" t="inlineStr">
        <is>
          <t>A 48986-2021</t>
        </is>
      </c>
      <c r="B100" s="1" t="n">
        <v>44453</v>
      </c>
      <c r="C100" s="1" t="n">
        <v>46176</v>
      </c>
      <c r="D100" t="inlineStr">
        <is>
          <t>ÖREBRO LÄN</t>
        </is>
      </c>
      <c r="E100" t="inlineStr">
        <is>
          <t>LINDESBERG</t>
        </is>
      </c>
      <c r="G100" t="n">
        <v>1.5</v>
      </c>
      <c r="H100" t="n">
        <v>0</v>
      </c>
      <c r="I100" t="n">
        <v>0</v>
      </c>
      <c r="J100" t="n">
        <v>0</v>
      </c>
      <c r="K100" t="n">
        <v>0</v>
      </c>
      <c r="L100" t="n">
        <v>0</v>
      </c>
      <c r="M100" t="n">
        <v>0</v>
      </c>
      <c r="N100" t="n">
        <v>0</v>
      </c>
      <c r="O100" t="n">
        <v>0</v>
      </c>
      <c r="P100" t="n">
        <v>0</v>
      </c>
      <c r="Q100" t="n">
        <v>0</v>
      </c>
      <c r="R100" s="2" t="inlineStr"/>
    </row>
    <row r="101" ht="15" customHeight="1">
      <c r="A101" t="inlineStr">
        <is>
          <t>A 47336-2021</t>
        </is>
      </c>
      <c r="B101" s="1" t="n">
        <v>44447.51184027778</v>
      </c>
      <c r="C101" s="1" t="n">
        <v>46176</v>
      </c>
      <c r="D101" t="inlineStr">
        <is>
          <t>ÖREBRO LÄN</t>
        </is>
      </c>
      <c r="E101" t="inlineStr">
        <is>
          <t>LINDESBERG</t>
        </is>
      </c>
      <c r="F101" t="inlineStr">
        <is>
          <t>Kommuner</t>
        </is>
      </c>
      <c r="G101" t="n">
        <v>3.6</v>
      </c>
      <c r="H101" t="n">
        <v>0</v>
      </c>
      <c r="I101" t="n">
        <v>0</v>
      </c>
      <c r="J101" t="n">
        <v>0</v>
      </c>
      <c r="K101" t="n">
        <v>0</v>
      </c>
      <c r="L101" t="n">
        <v>0</v>
      </c>
      <c r="M101" t="n">
        <v>0</v>
      </c>
      <c r="N101" t="n">
        <v>0</v>
      </c>
      <c r="O101" t="n">
        <v>0</v>
      </c>
      <c r="P101" t="n">
        <v>0</v>
      </c>
      <c r="Q101" t="n">
        <v>0</v>
      </c>
      <c r="R101" s="2" t="inlineStr"/>
    </row>
    <row r="102" ht="15" customHeight="1">
      <c r="A102" t="inlineStr">
        <is>
          <t>A 57817-2021</t>
        </is>
      </c>
      <c r="B102" s="1" t="n">
        <v>44484</v>
      </c>
      <c r="C102" s="1" t="n">
        <v>46176</v>
      </c>
      <c r="D102" t="inlineStr">
        <is>
          <t>ÖREBRO LÄN</t>
        </is>
      </c>
      <c r="E102" t="inlineStr">
        <is>
          <t>LINDESBERG</t>
        </is>
      </c>
      <c r="G102" t="n">
        <v>2.3</v>
      </c>
      <c r="H102" t="n">
        <v>0</v>
      </c>
      <c r="I102" t="n">
        <v>0</v>
      </c>
      <c r="J102" t="n">
        <v>0</v>
      </c>
      <c r="K102" t="n">
        <v>0</v>
      </c>
      <c r="L102" t="n">
        <v>0</v>
      </c>
      <c r="M102" t="n">
        <v>0</v>
      </c>
      <c r="N102" t="n">
        <v>0</v>
      </c>
      <c r="O102" t="n">
        <v>0</v>
      </c>
      <c r="P102" t="n">
        <v>0</v>
      </c>
      <c r="Q102" t="n">
        <v>0</v>
      </c>
      <c r="R102" s="2" t="inlineStr"/>
    </row>
    <row r="103" ht="15" customHeight="1">
      <c r="A103" t="inlineStr">
        <is>
          <t>A 46570-2021</t>
        </is>
      </c>
      <c r="B103" s="1" t="n">
        <v>44445.4953587963</v>
      </c>
      <c r="C103" s="1" t="n">
        <v>46176</v>
      </c>
      <c r="D103" t="inlineStr">
        <is>
          <t>ÖREBRO LÄN</t>
        </is>
      </c>
      <c r="E103" t="inlineStr">
        <is>
          <t>LINDESBERG</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63285-2021</t>
        </is>
      </c>
      <c r="B104" s="1" t="n">
        <v>44508</v>
      </c>
      <c r="C104" s="1" t="n">
        <v>46176</v>
      </c>
      <c r="D104" t="inlineStr">
        <is>
          <t>ÖREBRO LÄN</t>
        </is>
      </c>
      <c r="E104" t="inlineStr">
        <is>
          <t>LINDESBERG</t>
        </is>
      </c>
      <c r="G104" t="n">
        <v>0.9</v>
      </c>
      <c r="H104" t="n">
        <v>0</v>
      </c>
      <c r="I104" t="n">
        <v>0</v>
      </c>
      <c r="J104" t="n">
        <v>0</v>
      </c>
      <c r="K104" t="n">
        <v>0</v>
      </c>
      <c r="L104" t="n">
        <v>0</v>
      </c>
      <c r="M104" t="n">
        <v>0</v>
      </c>
      <c r="N104" t="n">
        <v>0</v>
      </c>
      <c r="O104" t="n">
        <v>0</v>
      </c>
      <c r="P104" t="n">
        <v>0</v>
      </c>
      <c r="Q104" t="n">
        <v>0</v>
      </c>
      <c r="R104" s="2" t="inlineStr"/>
    </row>
    <row r="105" ht="15" customHeight="1">
      <c r="A105" t="inlineStr">
        <is>
          <t>A 62586-2021</t>
        </is>
      </c>
      <c r="B105" s="1" t="n">
        <v>44503</v>
      </c>
      <c r="C105" s="1" t="n">
        <v>46176</v>
      </c>
      <c r="D105" t="inlineStr">
        <is>
          <t>ÖREBRO LÄN</t>
        </is>
      </c>
      <c r="E105" t="inlineStr">
        <is>
          <t>LINDESBERG</t>
        </is>
      </c>
      <c r="G105" t="n">
        <v>3.9</v>
      </c>
      <c r="H105" t="n">
        <v>0</v>
      </c>
      <c r="I105" t="n">
        <v>0</v>
      </c>
      <c r="J105" t="n">
        <v>0</v>
      </c>
      <c r="K105" t="n">
        <v>0</v>
      </c>
      <c r="L105" t="n">
        <v>0</v>
      </c>
      <c r="M105" t="n">
        <v>0</v>
      </c>
      <c r="N105" t="n">
        <v>0</v>
      </c>
      <c r="O105" t="n">
        <v>0</v>
      </c>
      <c r="P105" t="n">
        <v>0</v>
      </c>
      <c r="Q105" t="n">
        <v>0</v>
      </c>
      <c r="R105" s="2" t="inlineStr"/>
    </row>
    <row r="106" ht="15" customHeight="1">
      <c r="A106" t="inlineStr">
        <is>
          <t>A 8555-2022</t>
        </is>
      </c>
      <c r="B106" s="1" t="n">
        <v>44613</v>
      </c>
      <c r="C106" s="1" t="n">
        <v>46176</v>
      </c>
      <c r="D106" t="inlineStr">
        <is>
          <t>ÖREBRO LÄN</t>
        </is>
      </c>
      <c r="E106" t="inlineStr">
        <is>
          <t>LINDESBERG</t>
        </is>
      </c>
      <c r="G106" t="n">
        <v>8.1</v>
      </c>
      <c r="H106" t="n">
        <v>0</v>
      </c>
      <c r="I106" t="n">
        <v>0</v>
      </c>
      <c r="J106" t="n">
        <v>0</v>
      </c>
      <c r="K106" t="n">
        <v>0</v>
      </c>
      <c r="L106" t="n">
        <v>0</v>
      </c>
      <c r="M106" t="n">
        <v>0</v>
      </c>
      <c r="N106" t="n">
        <v>0</v>
      </c>
      <c r="O106" t="n">
        <v>0</v>
      </c>
      <c r="P106" t="n">
        <v>0</v>
      </c>
      <c r="Q106" t="n">
        <v>0</v>
      </c>
      <c r="R106" s="2" t="inlineStr"/>
    </row>
    <row r="107" ht="15" customHeight="1">
      <c r="A107" t="inlineStr">
        <is>
          <t>A 35739-2021</t>
        </is>
      </c>
      <c r="B107" s="1" t="n">
        <v>44386</v>
      </c>
      <c r="C107" s="1" t="n">
        <v>46176</v>
      </c>
      <c r="D107" t="inlineStr">
        <is>
          <t>ÖREBRO LÄN</t>
        </is>
      </c>
      <c r="E107" t="inlineStr">
        <is>
          <t>LINDESBERG</t>
        </is>
      </c>
      <c r="G107" t="n">
        <v>5.5</v>
      </c>
      <c r="H107" t="n">
        <v>0</v>
      </c>
      <c r="I107" t="n">
        <v>0</v>
      </c>
      <c r="J107" t="n">
        <v>0</v>
      </c>
      <c r="K107" t="n">
        <v>0</v>
      </c>
      <c r="L107" t="n">
        <v>0</v>
      </c>
      <c r="M107" t="n">
        <v>0</v>
      </c>
      <c r="N107" t="n">
        <v>0</v>
      </c>
      <c r="O107" t="n">
        <v>0</v>
      </c>
      <c r="P107" t="n">
        <v>0</v>
      </c>
      <c r="Q107" t="n">
        <v>0</v>
      </c>
      <c r="R107" s="2" t="inlineStr"/>
    </row>
    <row r="108" ht="15" customHeight="1">
      <c r="A108" t="inlineStr">
        <is>
          <t>A 51468-2021</t>
        </is>
      </c>
      <c r="B108" s="1" t="n">
        <v>44462</v>
      </c>
      <c r="C108" s="1" t="n">
        <v>46176</v>
      </c>
      <c r="D108" t="inlineStr">
        <is>
          <t>ÖREBRO LÄN</t>
        </is>
      </c>
      <c r="E108" t="inlineStr">
        <is>
          <t>LINDESBERG</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42511-2021</t>
        </is>
      </c>
      <c r="B109" s="1" t="n">
        <v>44427.75243055556</v>
      </c>
      <c r="C109" s="1" t="n">
        <v>46176</v>
      </c>
      <c r="D109" t="inlineStr">
        <is>
          <t>ÖREBRO LÄN</t>
        </is>
      </c>
      <c r="E109" t="inlineStr">
        <is>
          <t>LINDESBERG</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43153-2021</t>
        </is>
      </c>
      <c r="B110" s="1" t="n">
        <v>44431.69723379629</v>
      </c>
      <c r="C110" s="1" t="n">
        <v>46176</v>
      </c>
      <c r="D110" t="inlineStr">
        <is>
          <t>ÖREBRO LÄN</t>
        </is>
      </c>
      <c r="E110" t="inlineStr">
        <is>
          <t>LINDESBERG</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45961-2021</t>
        </is>
      </c>
      <c r="B111" s="1" t="n">
        <v>44441.66886574074</v>
      </c>
      <c r="C111" s="1" t="n">
        <v>46176</v>
      </c>
      <c r="D111" t="inlineStr">
        <is>
          <t>ÖREBRO LÄN</t>
        </is>
      </c>
      <c r="E111" t="inlineStr">
        <is>
          <t>LINDESBERG</t>
        </is>
      </c>
      <c r="G111" t="n">
        <v>1</v>
      </c>
      <c r="H111" t="n">
        <v>0</v>
      </c>
      <c r="I111" t="n">
        <v>0</v>
      </c>
      <c r="J111" t="n">
        <v>0</v>
      </c>
      <c r="K111" t="n">
        <v>0</v>
      </c>
      <c r="L111" t="n">
        <v>0</v>
      </c>
      <c r="M111" t="n">
        <v>0</v>
      </c>
      <c r="N111" t="n">
        <v>0</v>
      </c>
      <c r="O111" t="n">
        <v>0</v>
      </c>
      <c r="P111" t="n">
        <v>0</v>
      </c>
      <c r="Q111" t="n">
        <v>0</v>
      </c>
      <c r="R111" s="2" t="inlineStr"/>
    </row>
    <row r="112" ht="15" customHeight="1">
      <c r="A112" t="inlineStr">
        <is>
          <t>A 23583-2022</t>
        </is>
      </c>
      <c r="B112" s="1" t="n">
        <v>44721.53951388889</v>
      </c>
      <c r="C112" s="1" t="n">
        <v>46176</v>
      </c>
      <c r="D112" t="inlineStr">
        <is>
          <t>ÖREBRO LÄN</t>
        </is>
      </c>
      <c r="E112" t="inlineStr">
        <is>
          <t>LINDESBERG</t>
        </is>
      </c>
      <c r="G112" t="n">
        <v>3.7</v>
      </c>
      <c r="H112" t="n">
        <v>0</v>
      </c>
      <c r="I112" t="n">
        <v>0</v>
      </c>
      <c r="J112" t="n">
        <v>0</v>
      </c>
      <c r="K112" t="n">
        <v>0</v>
      </c>
      <c r="L112" t="n">
        <v>0</v>
      </c>
      <c r="M112" t="n">
        <v>0</v>
      </c>
      <c r="N112" t="n">
        <v>0</v>
      </c>
      <c r="O112" t="n">
        <v>0</v>
      </c>
      <c r="P112" t="n">
        <v>0</v>
      </c>
      <c r="Q112" t="n">
        <v>0</v>
      </c>
      <c r="R112" s="2" t="inlineStr"/>
    </row>
    <row r="113" ht="15" customHeight="1">
      <c r="A113" t="inlineStr">
        <is>
          <t>A 23971-2022</t>
        </is>
      </c>
      <c r="B113" s="1" t="n">
        <v>44722.78552083333</v>
      </c>
      <c r="C113" s="1" t="n">
        <v>46176</v>
      </c>
      <c r="D113" t="inlineStr">
        <is>
          <t>ÖREBRO LÄN</t>
        </is>
      </c>
      <c r="E113" t="inlineStr">
        <is>
          <t>LINDESBERG</t>
        </is>
      </c>
      <c r="G113" t="n">
        <v>6.1</v>
      </c>
      <c r="H113" t="n">
        <v>0</v>
      </c>
      <c r="I113" t="n">
        <v>0</v>
      </c>
      <c r="J113" t="n">
        <v>0</v>
      </c>
      <c r="K113" t="n">
        <v>0</v>
      </c>
      <c r="L113" t="n">
        <v>0</v>
      </c>
      <c r="M113" t="n">
        <v>0</v>
      </c>
      <c r="N113" t="n">
        <v>0</v>
      </c>
      <c r="O113" t="n">
        <v>0</v>
      </c>
      <c r="P113" t="n">
        <v>0</v>
      </c>
      <c r="Q113" t="n">
        <v>0</v>
      </c>
      <c r="R113" s="2" t="inlineStr"/>
    </row>
    <row r="114" ht="15" customHeight="1">
      <c r="A114" t="inlineStr">
        <is>
          <t>A 2106-2022</t>
        </is>
      </c>
      <c r="B114" s="1" t="n">
        <v>44577.82805555555</v>
      </c>
      <c r="C114" s="1" t="n">
        <v>46176</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49743-2022</t>
        </is>
      </c>
      <c r="B115" s="1" t="n">
        <v>44862</v>
      </c>
      <c r="C115" s="1" t="n">
        <v>46176</v>
      </c>
      <c r="D115" t="inlineStr">
        <is>
          <t>ÖREBRO LÄN</t>
        </is>
      </c>
      <c r="E115" t="inlineStr">
        <is>
          <t>LINDESBERG</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51122-2021</t>
        </is>
      </c>
      <c r="B116" s="1" t="n">
        <v>44460</v>
      </c>
      <c r="C116" s="1" t="n">
        <v>46176</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46176</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56695-2021</t>
        </is>
      </c>
      <c r="B118" s="1" t="n">
        <v>44481</v>
      </c>
      <c r="C118" s="1" t="n">
        <v>46176</v>
      </c>
      <c r="D118" t="inlineStr">
        <is>
          <t>ÖREBRO LÄN</t>
        </is>
      </c>
      <c r="E118" t="inlineStr">
        <is>
          <t>LINDESBERG</t>
        </is>
      </c>
      <c r="G118" t="n">
        <v>1.9</v>
      </c>
      <c r="H118" t="n">
        <v>0</v>
      </c>
      <c r="I118" t="n">
        <v>0</v>
      </c>
      <c r="J118" t="n">
        <v>0</v>
      </c>
      <c r="K118" t="n">
        <v>0</v>
      </c>
      <c r="L118" t="n">
        <v>0</v>
      </c>
      <c r="M118" t="n">
        <v>0</v>
      </c>
      <c r="N118" t="n">
        <v>0</v>
      </c>
      <c r="O118" t="n">
        <v>0</v>
      </c>
      <c r="P118" t="n">
        <v>0</v>
      </c>
      <c r="Q118" t="n">
        <v>0</v>
      </c>
      <c r="R118" s="2" t="inlineStr"/>
    </row>
    <row r="119" ht="15" customHeight="1">
      <c r="A119" t="inlineStr">
        <is>
          <t>A 29623-2022</t>
        </is>
      </c>
      <c r="B119" s="1" t="n">
        <v>44754</v>
      </c>
      <c r="C119" s="1" t="n">
        <v>46176</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22738-2022</t>
        </is>
      </c>
      <c r="B120" s="1" t="n">
        <v>44714</v>
      </c>
      <c r="C120" s="1" t="n">
        <v>46176</v>
      </c>
      <c r="D120" t="inlineStr">
        <is>
          <t>ÖREBRO LÄN</t>
        </is>
      </c>
      <c r="E120" t="inlineStr">
        <is>
          <t>LINDESBERG</t>
        </is>
      </c>
      <c r="G120" t="n">
        <v>2.4</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46176</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33760-2022</t>
        </is>
      </c>
      <c r="B122" s="1" t="n">
        <v>44790</v>
      </c>
      <c r="C122" s="1" t="n">
        <v>46176</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16939-2022</t>
        </is>
      </c>
      <c r="B123" s="1" t="n">
        <v>44676</v>
      </c>
      <c r="C123" s="1" t="n">
        <v>46176</v>
      </c>
      <c r="D123" t="inlineStr">
        <is>
          <t>ÖREBRO LÄN</t>
        </is>
      </c>
      <c r="E123" t="inlineStr">
        <is>
          <t>LINDESBERG</t>
        </is>
      </c>
      <c r="G123" t="n">
        <v>1.7</v>
      </c>
      <c r="H123" t="n">
        <v>0</v>
      </c>
      <c r="I123" t="n">
        <v>0</v>
      </c>
      <c r="J123" t="n">
        <v>0</v>
      </c>
      <c r="K123" t="n">
        <v>0</v>
      </c>
      <c r="L123" t="n">
        <v>0</v>
      </c>
      <c r="M123" t="n">
        <v>0</v>
      </c>
      <c r="N123" t="n">
        <v>0</v>
      </c>
      <c r="O123" t="n">
        <v>0</v>
      </c>
      <c r="P123" t="n">
        <v>0</v>
      </c>
      <c r="Q123" t="n">
        <v>0</v>
      </c>
      <c r="R123" s="2" t="inlineStr"/>
    </row>
    <row r="124" ht="15" customHeight="1">
      <c r="A124" t="inlineStr">
        <is>
          <t>A 33309-2021</t>
        </is>
      </c>
      <c r="B124" s="1" t="n">
        <v>44377</v>
      </c>
      <c r="C124" s="1" t="n">
        <v>46176</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33322-2021</t>
        </is>
      </c>
      <c r="B125" s="1" t="n">
        <v>44377.44943287037</v>
      </c>
      <c r="C125" s="1" t="n">
        <v>46176</v>
      </c>
      <c r="D125" t="inlineStr">
        <is>
          <t>ÖREBRO LÄN</t>
        </is>
      </c>
      <c r="E125" t="inlineStr">
        <is>
          <t>LINDESBERG</t>
        </is>
      </c>
      <c r="G125" t="n">
        <v>2.2</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46176</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11361-2022</t>
        </is>
      </c>
      <c r="B127" s="1" t="n">
        <v>44630</v>
      </c>
      <c r="C127" s="1" t="n">
        <v>46176</v>
      </c>
      <c r="D127" t="inlineStr">
        <is>
          <t>ÖREBRO LÄN</t>
        </is>
      </c>
      <c r="E127" t="inlineStr">
        <is>
          <t>LINDESBERG</t>
        </is>
      </c>
      <c r="G127" t="n">
        <v>2.9</v>
      </c>
      <c r="H127" t="n">
        <v>0</v>
      </c>
      <c r="I127" t="n">
        <v>0</v>
      </c>
      <c r="J127" t="n">
        <v>0</v>
      </c>
      <c r="K127" t="n">
        <v>0</v>
      </c>
      <c r="L127" t="n">
        <v>0</v>
      </c>
      <c r="M127" t="n">
        <v>0</v>
      </c>
      <c r="N127" t="n">
        <v>0</v>
      </c>
      <c r="O127" t="n">
        <v>0</v>
      </c>
      <c r="P127" t="n">
        <v>0</v>
      </c>
      <c r="Q127" t="n">
        <v>0</v>
      </c>
      <c r="R127" s="2" t="inlineStr"/>
    </row>
    <row r="128" ht="15" customHeight="1">
      <c r="A128" t="inlineStr">
        <is>
          <t>A 49745-2022</t>
        </is>
      </c>
      <c r="B128" s="1" t="n">
        <v>44862</v>
      </c>
      <c r="C128" s="1" t="n">
        <v>46176</v>
      </c>
      <c r="D128" t="inlineStr">
        <is>
          <t>ÖREBRO LÄN</t>
        </is>
      </c>
      <c r="E128" t="inlineStr">
        <is>
          <t>LINDESBERG</t>
        </is>
      </c>
      <c r="F128" t="inlineStr">
        <is>
          <t>Sveaskog</t>
        </is>
      </c>
      <c r="G128" t="n">
        <v>3.1</v>
      </c>
      <c r="H128" t="n">
        <v>0</v>
      </c>
      <c r="I128" t="n">
        <v>0</v>
      </c>
      <c r="J128" t="n">
        <v>0</v>
      </c>
      <c r="K128" t="n">
        <v>0</v>
      </c>
      <c r="L128" t="n">
        <v>0</v>
      </c>
      <c r="M128" t="n">
        <v>0</v>
      </c>
      <c r="N128" t="n">
        <v>0</v>
      </c>
      <c r="O128" t="n">
        <v>0</v>
      </c>
      <c r="P128" t="n">
        <v>0</v>
      </c>
      <c r="Q128" t="n">
        <v>0</v>
      </c>
      <c r="R128" s="2" t="inlineStr"/>
    </row>
    <row r="129" ht="15" customHeight="1">
      <c r="A129" t="inlineStr">
        <is>
          <t>A 11164-2022</t>
        </is>
      </c>
      <c r="B129" s="1" t="n">
        <v>44629</v>
      </c>
      <c r="C129" s="1" t="n">
        <v>46176</v>
      </c>
      <c r="D129" t="inlineStr">
        <is>
          <t>ÖREBRO LÄN</t>
        </is>
      </c>
      <c r="E129" t="inlineStr">
        <is>
          <t>LINDESBERG</t>
        </is>
      </c>
      <c r="G129" t="n">
        <v>6.7</v>
      </c>
      <c r="H129" t="n">
        <v>0</v>
      </c>
      <c r="I129" t="n">
        <v>0</v>
      </c>
      <c r="J129" t="n">
        <v>0</v>
      </c>
      <c r="K129" t="n">
        <v>0</v>
      </c>
      <c r="L129" t="n">
        <v>0</v>
      </c>
      <c r="M129" t="n">
        <v>0</v>
      </c>
      <c r="N129" t="n">
        <v>0</v>
      </c>
      <c r="O129" t="n">
        <v>0</v>
      </c>
      <c r="P129" t="n">
        <v>0</v>
      </c>
      <c r="Q129" t="n">
        <v>0</v>
      </c>
      <c r="R129" s="2" t="inlineStr"/>
    </row>
    <row r="130" ht="15" customHeight="1">
      <c r="A130" t="inlineStr">
        <is>
          <t>A 22481-2022</t>
        </is>
      </c>
      <c r="B130" s="1" t="n">
        <v>44713.61145833333</v>
      </c>
      <c r="C130" s="1" t="n">
        <v>46176</v>
      </c>
      <c r="D130" t="inlineStr">
        <is>
          <t>ÖREBRO LÄN</t>
        </is>
      </c>
      <c r="E130" t="inlineStr">
        <is>
          <t>LINDESBERG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16435-2022</t>
        </is>
      </c>
      <c r="B131" s="1" t="n">
        <v>44671</v>
      </c>
      <c r="C131" s="1" t="n">
        <v>46176</v>
      </c>
      <c r="D131" t="inlineStr">
        <is>
          <t>ÖREBRO LÄN</t>
        </is>
      </c>
      <c r="E131" t="inlineStr">
        <is>
          <t>LINDESBERG</t>
        </is>
      </c>
      <c r="G131" t="n">
        <v>3.2</v>
      </c>
      <c r="H131" t="n">
        <v>0</v>
      </c>
      <c r="I131" t="n">
        <v>0</v>
      </c>
      <c r="J131" t="n">
        <v>0</v>
      </c>
      <c r="K131" t="n">
        <v>0</v>
      </c>
      <c r="L131" t="n">
        <v>0</v>
      </c>
      <c r="M131" t="n">
        <v>0</v>
      </c>
      <c r="N131" t="n">
        <v>0</v>
      </c>
      <c r="O131" t="n">
        <v>0</v>
      </c>
      <c r="P131" t="n">
        <v>0</v>
      </c>
      <c r="Q131" t="n">
        <v>0</v>
      </c>
      <c r="R131" s="2" t="inlineStr"/>
    </row>
    <row r="132" ht="15" customHeight="1">
      <c r="A132" t="inlineStr">
        <is>
          <t>A 32615-2021</t>
        </is>
      </c>
      <c r="B132" s="1" t="n">
        <v>44375</v>
      </c>
      <c r="C132" s="1" t="n">
        <v>46176</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21606-2022</t>
        </is>
      </c>
      <c r="B133" s="1" t="n">
        <v>44706.65927083333</v>
      </c>
      <c r="C133" s="1" t="n">
        <v>46176</v>
      </c>
      <c r="D133" t="inlineStr">
        <is>
          <t>ÖREBRO LÄN</t>
        </is>
      </c>
      <c r="E133" t="inlineStr">
        <is>
          <t>LINDESBERG</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53153-2021</t>
        </is>
      </c>
      <c r="B134" s="1" t="n">
        <v>44468.34099537037</v>
      </c>
      <c r="C134" s="1" t="n">
        <v>46176</v>
      </c>
      <c r="D134" t="inlineStr">
        <is>
          <t>ÖREBRO LÄN</t>
        </is>
      </c>
      <c r="E134" t="inlineStr">
        <is>
          <t>LINDESBERG</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46176</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46176</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46176</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16424-2022</t>
        </is>
      </c>
      <c r="B138" s="1" t="n">
        <v>44671</v>
      </c>
      <c r="C138" s="1" t="n">
        <v>46176</v>
      </c>
      <c r="D138" t="inlineStr">
        <is>
          <t>ÖREBRO LÄN</t>
        </is>
      </c>
      <c r="E138" t="inlineStr">
        <is>
          <t>LINDESBERG</t>
        </is>
      </c>
      <c r="G138" t="n">
        <v>5</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46176</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46176</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46176</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46176</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46176</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46176</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46176</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46176</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46176</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46176</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46176</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46176</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46176</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46176</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46176</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46176</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46176</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46176</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46176</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46176</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46176</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46176</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46176</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46176</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46176</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46176</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46176</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46176</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46176</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46176</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46176</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46176</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46176</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46176</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46176</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46176</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46176</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46176</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46176</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46176</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46176</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46176</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46176</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46176</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46176</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46176</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46176</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46176</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46176</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46176</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46176</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46176</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46176</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46176</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46176</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46176</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46176</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46176</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46176</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46176</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46176</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46176</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46176</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46176</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46176</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46176</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46176</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46176</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46176</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46176</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46176</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46176</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46176</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46176</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46176</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46176</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46176</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46176</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6962-2023</t>
        </is>
      </c>
      <c r="B217" s="1" t="n">
        <v>44967.60165509259</v>
      </c>
      <c r="C217" s="1" t="n">
        <v>46176</v>
      </c>
      <c r="D217" t="inlineStr">
        <is>
          <t>ÖREBRO LÄN</t>
        </is>
      </c>
      <c r="E217" t="inlineStr">
        <is>
          <t>LINDESBERG</t>
        </is>
      </c>
      <c r="G217" t="n">
        <v>11.4</v>
      </c>
      <c r="H217" t="n">
        <v>0</v>
      </c>
      <c r="I217" t="n">
        <v>0</v>
      </c>
      <c r="J217" t="n">
        <v>0</v>
      </c>
      <c r="K217" t="n">
        <v>0</v>
      </c>
      <c r="L217" t="n">
        <v>0</v>
      </c>
      <c r="M217" t="n">
        <v>0</v>
      </c>
      <c r="N217" t="n">
        <v>0</v>
      </c>
      <c r="O217" t="n">
        <v>0</v>
      </c>
      <c r="P217" t="n">
        <v>0</v>
      </c>
      <c r="Q217" t="n">
        <v>0</v>
      </c>
      <c r="R217" s="2" t="inlineStr"/>
    </row>
    <row r="218" ht="15" customHeight="1">
      <c r="A218" t="inlineStr">
        <is>
          <t>A 36015-2021</t>
        </is>
      </c>
      <c r="B218" s="1" t="n">
        <v>44389</v>
      </c>
      <c r="C218" s="1" t="n">
        <v>46176</v>
      </c>
      <c r="D218" t="inlineStr">
        <is>
          <t>ÖREBRO LÄN</t>
        </is>
      </c>
      <c r="E218" t="inlineStr">
        <is>
          <t>LINDESBERG</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46176</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46176</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46176</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35739-2024</t>
        </is>
      </c>
      <c r="B222" s="1" t="n">
        <v>45532</v>
      </c>
      <c r="C222" s="1" t="n">
        <v>46176</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46176</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46176</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8213-2023</t>
        </is>
      </c>
      <c r="B225" s="1" t="n">
        <v>44974.55693287037</v>
      </c>
      <c r="C225" s="1" t="n">
        <v>46176</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17895-2022</t>
        </is>
      </c>
      <c r="B226" s="1" t="n">
        <v>44683</v>
      </c>
      <c r="C226" s="1" t="n">
        <v>46176</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16618-2023</t>
        </is>
      </c>
      <c r="B227" s="1" t="n">
        <v>45030</v>
      </c>
      <c r="C227" s="1" t="n">
        <v>46176</v>
      </c>
      <c r="D227" t="inlineStr">
        <is>
          <t>ÖREBRO LÄN</t>
        </is>
      </c>
      <c r="E227" t="inlineStr">
        <is>
          <t>LINDESBERG</t>
        </is>
      </c>
      <c r="F227" t="inlineStr">
        <is>
          <t>Kommuner</t>
        </is>
      </c>
      <c r="G227" t="n">
        <v>4.6</v>
      </c>
      <c r="H227" t="n">
        <v>0</v>
      </c>
      <c r="I227" t="n">
        <v>0</v>
      </c>
      <c r="J227" t="n">
        <v>0</v>
      </c>
      <c r="K227" t="n">
        <v>0</v>
      </c>
      <c r="L227" t="n">
        <v>0</v>
      </c>
      <c r="M227" t="n">
        <v>0</v>
      </c>
      <c r="N227" t="n">
        <v>0</v>
      </c>
      <c r="O227" t="n">
        <v>0</v>
      </c>
      <c r="P227" t="n">
        <v>0</v>
      </c>
      <c r="Q227" t="n">
        <v>0</v>
      </c>
      <c r="R227" s="2" t="inlineStr"/>
    </row>
    <row r="228" ht="15" customHeight="1">
      <c r="A228" t="inlineStr">
        <is>
          <t>A 15752-2024</t>
        </is>
      </c>
      <c r="B228" s="1" t="n">
        <v>45404.55681712963</v>
      </c>
      <c r="C228" s="1" t="n">
        <v>46176</v>
      </c>
      <c r="D228" t="inlineStr">
        <is>
          <t>ÖREBRO LÄN</t>
        </is>
      </c>
      <c r="E228" t="inlineStr">
        <is>
          <t>LINDESBERG</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46176</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46176</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2569-2023</t>
        </is>
      </c>
      <c r="B231" s="1" t="n">
        <v>44943.73792824074</v>
      </c>
      <c r="C231" s="1" t="n">
        <v>46176</v>
      </c>
      <c r="D231" t="inlineStr">
        <is>
          <t>ÖREBRO LÄN</t>
        </is>
      </c>
      <c r="E231" t="inlineStr">
        <is>
          <t>LINDESBERG</t>
        </is>
      </c>
      <c r="G231" t="n">
        <v>2.3</v>
      </c>
      <c r="H231" t="n">
        <v>0</v>
      </c>
      <c r="I231" t="n">
        <v>0</v>
      </c>
      <c r="J231" t="n">
        <v>0</v>
      </c>
      <c r="K231" t="n">
        <v>0</v>
      </c>
      <c r="L231" t="n">
        <v>0</v>
      </c>
      <c r="M231" t="n">
        <v>0</v>
      </c>
      <c r="N231" t="n">
        <v>0</v>
      </c>
      <c r="O231" t="n">
        <v>0</v>
      </c>
      <c r="P231" t="n">
        <v>0</v>
      </c>
      <c r="Q231" t="n">
        <v>0</v>
      </c>
      <c r="R231" s="2" t="inlineStr"/>
    </row>
    <row r="232" ht="15" customHeight="1">
      <c r="A232" t="inlineStr">
        <is>
          <t>A 12692-2024</t>
        </is>
      </c>
      <c r="B232" s="1" t="n">
        <v>45384.43418981481</v>
      </c>
      <c r="C232" s="1" t="n">
        <v>46176</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19960-2023</t>
        </is>
      </c>
      <c r="B233" s="1" t="n">
        <v>45054</v>
      </c>
      <c r="C233" s="1" t="n">
        <v>46176</v>
      </c>
      <c r="D233" t="inlineStr">
        <is>
          <t>ÖREBRO LÄN</t>
        </is>
      </c>
      <c r="E233" t="inlineStr">
        <is>
          <t>LINDESBERG</t>
        </is>
      </c>
      <c r="G233" t="n">
        <v>6.2</v>
      </c>
      <c r="H233" t="n">
        <v>0</v>
      </c>
      <c r="I233" t="n">
        <v>0</v>
      </c>
      <c r="J233" t="n">
        <v>0</v>
      </c>
      <c r="K233" t="n">
        <v>0</v>
      </c>
      <c r="L233" t="n">
        <v>0</v>
      </c>
      <c r="M233" t="n">
        <v>0</v>
      </c>
      <c r="N233" t="n">
        <v>0</v>
      </c>
      <c r="O233" t="n">
        <v>0</v>
      </c>
      <c r="P233" t="n">
        <v>0</v>
      </c>
      <c r="Q233" t="n">
        <v>0</v>
      </c>
      <c r="R233" s="2" t="inlineStr"/>
    </row>
    <row r="234" ht="15" customHeight="1">
      <c r="A234" t="inlineStr">
        <is>
          <t>A 61594-2024</t>
        </is>
      </c>
      <c r="B234" s="1" t="n">
        <v>45646.63482638889</v>
      </c>
      <c r="C234" s="1" t="n">
        <v>46176</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17115-2025</t>
        </is>
      </c>
      <c r="B235" s="1" t="n">
        <v>45755.68247685185</v>
      </c>
      <c r="C235" s="1" t="n">
        <v>46176</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46039-2024</t>
        </is>
      </c>
      <c r="B236" s="1" t="n">
        <v>45580.73525462963</v>
      </c>
      <c r="C236" s="1" t="n">
        <v>46176</v>
      </c>
      <c r="D236" t="inlineStr">
        <is>
          <t>ÖREBRO LÄN</t>
        </is>
      </c>
      <c r="E236" t="inlineStr">
        <is>
          <t>LINDESBERG</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46647-2024</t>
        </is>
      </c>
      <c r="B237" s="1" t="n">
        <v>45583</v>
      </c>
      <c r="C237" s="1" t="n">
        <v>46176</v>
      </c>
      <c r="D237" t="inlineStr">
        <is>
          <t>ÖREBRO LÄN</t>
        </is>
      </c>
      <c r="E237" t="inlineStr">
        <is>
          <t>LINDESBERG</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37507-2023</t>
        </is>
      </c>
      <c r="B238" s="1" t="n">
        <v>45158.41768518519</v>
      </c>
      <c r="C238" s="1" t="n">
        <v>46176</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34676-2023</t>
        </is>
      </c>
      <c r="B239" s="1" t="n">
        <v>45140</v>
      </c>
      <c r="C239" s="1" t="n">
        <v>46176</v>
      </c>
      <c r="D239" t="inlineStr">
        <is>
          <t>ÖREBRO LÄN</t>
        </is>
      </c>
      <c r="E239" t="inlineStr">
        <is>
          <t>LINDESBERG</t>
        </is>
      </c>
      <c r="G239" t="n">
        <v>2.4</v>
      </c>
      <c r="H239" t="n">
        <v>0</v>
      </c>
      <c r="I239" t="n">
        <v>0</v>
      </c>
      <c r="J239" t="n">
        <v>0</v>
      </c>
      <c r="K239" t="n">
        <v>0</v>
      </c>
      <c r="L239" t="n">
        <v>0</v>
      </c>
      <c r="M239" t="n">
        <v>0</v>
      </c>
      <c r="N239" t="n">
        <v>0</v>
      </c>
      <c r="O239" t="n">
        <v>0</v>
      </c>
      <c r="P239" t="n">
        <v>0</v>
      </c>
      <c r="Q239" t="n">
        <v>0</v>
      </c>
      <c r="R239" s="2" t="inlineStr"/>
    </row>
    <row r="240" ht="15" customHeight="1">
      <c r="A240" t="inlineStr">
        <is>
          <t>A 16447-2025</t>
        </is>
      </c>
      <c r="B240" s="1" t="n">
        <v>45751.50498842593</v>
      </c>
      <c r="C240" s="1" t="n">
        <v>46176</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46176</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53189-2023</t>
        </is>
      </c>
      <c r="B242" s="1" t="n">
        <v>45194</v>
      </c>
      <c r="C242" s="1" t="n">
        <v>46176</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47535-2022</t>
        </is>
      </c>
      <c r="B243" s="1" t="n">
        <v>44853.79818287037</v>
      </c>
      <c r="C243" s="1" t="n">
        <v>46176</v>
      </c>
      <c r="D243" t="inlineStr">
        <is>
          <t>ÖREBRO LÄN</t>
        </is>
      </c>
      <c r="E243" t="inlineStr">
        <is>
          <t>LINDESBERG</t>
        </is>
      </c>
      <c r="G243" t="n">
        <v>3</v>
      </c>
      <c r="H243" t="n">
        <v>0</v>
      </c>
      <c r="I243" t="n">
        <v>0</v>
      </c>
      <c r="J243" t="n">
        <v>0</v>
      </c>
      <c r="K243" t="n">
        <v>0</v>
      </c>
      <c r="L243" t="n">
        <v>0</v>
      </c>
      <c r="M243" t="n">
        <v>0</v>
      </c>
      <c r="N243" t="n">
        <v>0</v>
      </c>
      <c r="O243" t="n">
        <v>0</v>
      </c>
      <c r="P243" t="n">
        <v>0</v>
      </c>
      <c r="Q243" t="n">
        <v>0</v>
      </c>
      <c r="R243" s="2" t="inlineStr"/>
    </row>
    <row r="244" ht="15" customHeight="1">
      <c r="A244" t="inlineStr">
        <is>
          <t>A 43433-2024</t>
        </is>
      </c>
      <c r="B244" s="1" t="n">
        <v>45568.64523148148</v>
      </c>
      <c r="C244" s="1" t="n">
        <v>46176</v>
      </c>
      <c r="D244" t="inlineStr">
        <is>
          <t>ÖREBRO LÄN</t>
        </is>
      </c>
      <c r="E244" t="inlineStr">
        <is>
          <t>LINDESBERG</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23649-2023</t>
        </is>
      </c>
      <c r="B245" s="1" t="n">
        <v>45074</v>
      </c>
      <c r="C245" s="1" t="n">
        <v>46176</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45041-2024</t>
        </is>
      </c>
      <c r="B246" s="1" t="n">
        <v>45575.53690972222</v>
      </c>
      <c r="C246" s="1" t="n">
        <v>46176</v>
      </c>
      <c r="D246" t="inlineStr">
        <is>
          <t>ÖREBRO LÄN</t>
        </is>
      </c>
      <c r="E246" t="inlineStr">
        <is>
          <t>LINDESBERG</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45068-2024</t>
        </is>
      </c>
      <c r="B247" s="1" t="n">
        <v>45575.56256944445</v>
      </c>
      <c r="C247" s="1" t="n">
        <v>46176</v>
      </c>
      <c r="D247" t="inlineStr">
        <is>
          <t>ÖREBRO LÄN</t>
        </is>
      </c>
      <c r="E247" t="inlineStr">
        <is>
          <t>LINDESBERG</t>
        </is>
      </c>
      <c r="F247" t="inlineStr">
        <is>
          <t>Sveaskog</t>
        </is>
      </c>
      <c r="G247" t="n">
        <v>16.5</v>
      </c>
      <c r="H247" t="n">
        <v>0</v>
      </c>
      <c r="I247" t="n">
        <v>0</v>
      </c>
      <c r="J247" t="n">
        <v>0</v>
      </c>
      <c r="K247" t="n">
        <v>0</v>
      </c>
      <c r="L247" t="n">
        <v>0</v>
      </c>
      <c r="M247" t="n">
        <v>0</v>
      </c>
      <c r="N247" t="n">
        <v>0</v>
      </c>
      <c r="O247" t="n">
        <v>0</v>
      </c>
      <c r="P247" t="n">
        <v>0</v>
      </c>
      <c r="Q247" t="n">
        <v>0</v>
      </c>
      <c r="R247" s="2" t="inlineStr"/>
    </row>
    <row r="248" ht="15" customHeight="1">
      <c r="A248" t="inlineStr">
        <is>
          <t>A 29938-2024</t>
        </is>
      </c>
      <c r="B248" s="1" t="n">
        <v>45488.41480324074</v>
      </c>
      <c r="C248" s="1" t="n">
        <v>46176</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33282-2024</t>
        </is>
      </c>
      <c r="B249" s="1" t="n">
        <v>45518.71482638889</v>
      </c>
      <c r="C249" s="1" t="n">
        <v>46176</v>
      </c>
      <c r="D249" t="inlineStr">
        <is>
          <t>ÖREBRO LÄN</t>
        </is>
      </c>
      <c r="E249" t="inlineStr">
        <is>
          <t>LINDESBERG</t>
        </is>
      </c>
      <c r="G249" t="n">
        <v>7.5</v>
      </c>
      <c r="H249" t="n">
        <v>0</v>
      </c>
      <c r="I249" t="n">
        <v>0</v>
      </c>
      <c r="J249" t="n">
        <v>0</v>
      </c>
      <c r="K249" t="n">
        <v>0</v>
      </c>
      <c r="L249" t="n">
        <v>0</v>
      </c>
      <c r="M249" t="n">
        <v>0</v>
      </c>
      <c r="N249" t="n">
        <v>0</v>
      </c>
      <c r="O249" t="n">
        <v>0</v>
      </c>
      <c r="P249" t="n">
        <v>0</v>
      </c>
      <c r="Q249" t="n">
        <v>0</v>
      </c>
      <c r="R249" s="2" t="inlineStr"/>
    </row>
    <row r="250" ht="15" customHeight="1">
      <c r="A250" t="inlineStr">
        <is>
          <t>A 1490-2024</t>
        </is>
      </c>
      <c r="B250" s="1" t="n">
        <v>45305</v>
      </c>
      <c r="C250" s="1" t="n">
        <v>46176</v>
      </c>
      <c r="D250" t="inlineStr">
        <is>
          <t>ÖREBRO LÄN</t>
        </is>
      </c>
      <c r="E250" t="inlineStr">
        <is>
          <t>LINDESBERG</t>
        </is>
      </c>
      <c r="G250" t="n">
        <v>17.6</v>
      </c>
      <c r="H250" t="n">
        <v>0</v>
      </c>
      <c r="I250" t="n">
        <v>0</v>
      </c>
      <c r="J250" t="n">
        <v>0</v>
      </c>
      <c r="K250" t="n">
        <v>0</v>
      </c>
      <c r="L250" t="n">
        <v>0</v>
      </c>
      <c r="M250" t="n">
        <v>0</v>
      </c>
      <c r="N250" t="n">
        <v>0</v>
      </c>
      <c r="O250" t="n">
        <v>0</v>
      </c>
      <c r="P250" t="n">
        <v>0</v>
      </c>
      <c r="Q250" t="n">
        <v>0</v>
      </c>
      <c r="R250" s="2" t="inlineStr"/>
    </row>
    <row r="251" ht="15" customHeight="1">
      <c r="A251" t="inlineStr">
        <is>
          <t>A 23102-2023</t>
        </is>
      </c>
      <c r="B251" s="1" t="n">
        <v>45075.44152777778</v>
      </c>
      <c r="C251" s="1" t="n">
        <v>46176</v>
      </c>
      <c r="D251" t="inlineStr">
        <is>
          <t>ÖREBRO LÄN</t>
        </is>
      </c>
      <c r="E251" t="inlineStr">
        <is>
          <t>LINDESBERG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7201-2024</t>
        </is>
      </c>
      <c r="B252" s="1" t="n">
        <v>45344.6027662037</v>
      </c>
      <c r="C252" s="1" t="n">
        <v>46176</v>
      </c>
      <c r="D252" t="inlineStr">
        <is>
          <t>ÖREBRO LÄN</t>
        </is>
      </c>
      <c r="E252" t="inlineStr">
        <is>
          <t>LINDESBERG</t>
        </is>
      </c>
      <c r="G252" t="n">
        <v>4.7</v>
      </c>
      <c r="H252" t="n">
        <v>0</v>
      </c>
      <c r="I252" t="n">
        <v>0</v>
      </c>
      <c r="J252" t="n">
        <v>0</v>
      </c>
      <c r="K252" t="n">
        <v>0</v>
      </c>
      <c r="L252" t="n">
        <v>0</v>
      </c>
      <c r="M252" t="n">
        <v>0</v>
      </c>
      <c r="N252" t="n">
        <v>0</v>
      </c>
      <c r="O252" t="n">
        <v>0</v>
      </c>
      <c r="P252" t="n">
        <v>0</v>
      </c>
      <c r="Q252" t="n">
        <v>0</v>
      </c>
      <c r="R252" s="2" t="inlineStr"/>
    </row>
    <row r="253" ht="15" customHeight="1">
      <c r="A253" t="inlineStr">
        <is>
          <t>A 2414-2024</t>
        </is>
      </c>
      <c r="B253" s="1" t="n">
        <v>45310.87931712963</v>
      </c>
      <c r="C253" s="1" t="n">
        <v>46176</v>
      </c>
      <c r="D253" t="inlineStr">
        <is>
          <t>ÖREBRO LÄN</t>
        </is>
      </c>
      <c r="E253" t="inlineStr">
        <is>
          <t>LINDESBERG</t>
        </is>
      </c>
      <c r="G253" t="n">
        <v>7.2</v>
      </c>
      <c r="H253" t="n">
        <v>0</v>
      </c>
      <c r="I253" t="n">
        <v>0</v>
      </c>
      <c r="J253" t="n">
        <v>0</v>
      </c>
      <c r="K253" t="n">
        <v>0</v>
      </c>
      <c r="L253" t="n">
        <v>0</v>
      </c>
      <c r="M253" t="n">
        <v>0</v>
      </c>
      <c r="N253" t="n">
        <v>0</v>
      </c>
      <c r="O253" t="n">
        <v>0</v>
      </c>
      <c r="P253" t="n">
        <v>0</v>
      </c>
      <c r="Q253" t="n">
        <v>0</v>
      </c>
      <c r="R253" s="2" t="inlineStr"/>
    </row>
    <row r="254" ht="15" customHeight="1">
      <c r="A254" t="inlineStr">
        <is>
          <t>A 5080-2024</t>
        </is>
      </c>
      <c r="B254" s="1" t="n">
        <v>45330</v>
      </c>
      <c r="C254" s="1" t="n">
        <v>46176</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27434-2023</t>
        </is>
      </c>
      <c r="B255" s="1" t="n">
        <v>45097.38688657407</v>
      </c>
      <c r="C255" s="1" t="n">
        <v>46176</v>
      </c>
      <c r="D255" t="inlineStr">
        <is>
          <t>ÖREBRO LÄN</t>
        </is>
      </c>
      <c r="E255" t="inlineStr">
        <is>
          <t>LINDESBERG</t>
        </is>
      </c>
      <c r="G255" t="n">
        <v>10.7</v>
      </c>
      <c r="H255" t="n">
        <v>0</v>
      </c>
      <c r="I255" t="n">
        <v>0</v>
      </c>
      <c r="J255" t="n">
        <v>0</v>
      </c>
      <c r="K255" t="n">
        <v>0</v>
      </c>
      <c r="L255" t="n">
        <v>0</v>
      </c>
      <c r="M255" t="n">
        <v>0</v>
      </c>
      <c r="N255" t="n">
        <v>0</v>
      </c>
      <c r="O255" t="n">
        <v>0</v>
      </c>
      <c r="P255" t="n">
        <v>0</v>
      </c>
      <c r="Q255" t="n">
        <v>0</v>
      </c>
      <c r="R255" s="2" t="inlineStr"/>
    </row>
    <row r="256" ht="15" customHeight="1">
      <c r="A256" t="inlineStr">
        <is>
          <t>A 52284-2024</t>
        </is>
      </c>
      <c r="B256" s="1" t="n">
        <v>45608</v>
      </c>
      <c r="C256" s="1" t="n">
        <v>46176</v>
      </c>
      <c r="D256" t="inlineStr">
        <is>
          <t>ÖREBRO LÄN</t>
        </is>
      </c>
      <c r="E256" t="inlineStr">
        <is>
          <t>LINDESBERG</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15895-2025</t>
        </is>
      </c>
      <c r="B257" s="1" t="n">
        <v>45749</v>
      </c>
      <c r="C257" s="1" t="n">
        <v>46176</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4440-2024</t>
        </is>
      </c>
      <c r="B258" s="1" t="n">
        <v>45327</v>
      </c>
      <c r="C258" s="1" t="n">
        <v>46176</v>
      </c>
      <c r="D258" t="inlineStr">
        <is>
          <t>ÖREBRO LÄN</t>
        </is>
      </c>
      <c r="E258" t="inlineStr">
        <is>
          <t>LINDESBERG</t>
        </is>
      </c>
      <c r="F258" t="inlineStr">
        <is>
          <t>BillerudKorsnäs AB</t>
        </is>
      </c>
      <c r="G258" t="n">
        <v>2</v>
      </c>
      <c r="H258" t="n">
        <v>0</v>
      </c>
      <c r="I258" t="n">
        <v>0</v>
      </c>
      <c r="J258" t="n">
        <v>0</v>
      </c>
      <c r="K258" t="n">
        <v>0</v>
      </c>
      <c r="L258" t="n">
        <v>0</v>
      </c>
      <c r="M258" t="n">
        <v>0</v>
      </c>
      <c r="N258" t="n">
        <v>0</v>
      </c>
      <c r="O258" t="n">
        <v>0</v>
      </c>
      <c r="P258" t="n">
        <v>0</v>
      </c>
      <c r="Q258" t="n">
        <v>0</v>
      </c>
      <c r="R258" s="2" t="inlineStr"/>
    </row>
    <row r="259" ht="15" customHeight="1">
      <c r="A259" t="inlineStr">
        <is>
          <t>A 52930-2024</t>
        </is>
      </c>
      <c r="B259" s="1" t="n">
        <v>45610.7466087963</v>
      </c>
      <c r="C259" s="1" t="n">
        <v>46176</v>
      </c>
      <c r="D259" t="inlineStr">
        <is>
          <t>ÖREBRO LÄN</t>
        </is>
      </c>
      <c r="E259" t="inlineStr">
        <is>
          <t>LINDESBERG</t>
        </is>
      </c>
      <c r="G259" t="n">
        <v>2.8</v>
      </c>
      <c r="H259" t="n">
        <v>0</v>
      </c>
      <c r="I259" t="n">
        <v>0</v>
      </c>
      <c r="J259" t="n">
        <v>0</v>
      </c>
      <c r="K259" t="n">
        <v>0</v>
      </c>
      <c r="L259" t="n">
        <v>0</v>
      </c>
      <c r="M259" t="n">
        <v>0</v>
      </c>
      <c r="N259" t="n">
        <v>0</v>
      </c>
      <c r="O259" t="n">
        <v>0</v>
      </c>
      <c r="P259" t="n">
        <v>0</v>
      </c>
      <c r="Q259" t="n">
        <v>0</v>
      </c>
      <c r="R259" s="2" t="inlineStr"/>
    </row>
    <row r="260" ht="15" customHeight="1">
      <c r="A260" t="inlineStr">
        <is>
          <t>A 56579-2023</t>
        </is>
      </c>
      <c r="B260" s="1" t="n">
        <v>45243.62420138889</v>
      </c>
      <c r="C260" s="1" t="n">
        <v>46176</v>
      </c>
      <c r="D260" t="inlineStr">
        <is>
          <t>ÖREBRO LÄN</t>
        </is>
      </c>
      <c r="E260" t="inlineStr">
        <is>
          <t>LINDESBERG</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56582-2023</t>
        </is>
      </c>
      <c r="B261" s="1" t="n">
        <v>45243</v>
      </c>
      <c r="C261" s="1" t="n">
        <v>46176</v>
      </c>
      <c r="D261" t="inlineStr">
        <is>
          <t>ÖREBRO LÄN</t>
        </is>
      </c>
      <c r="E261" t="inlineStr">
        <is>
          <t>LINDESBERG</t>
        </is>
      </c>
      <c r="F261" t="inlineStr">
        <is>
          <t>Naturvårdsverket</t>
        </is>
      </c>
      <c r="G261" t="n">
        <v>2.3</v>
      </c>
      <c r="H261" t="n">
        <v>0</v>
      </c>
      <c r="I261" t="n">
        <v>0</v>
      </c>
      <c r="J261" t="n">
        <v>0</v>
      </c>
      <c r="K261" t="n">
        <v>0</v>
      </c>
      <c r="L261" t="n">
        <v>0</v>
      </c>
      <c r="M261" t="n">
        <v>0</v>
      </c>
      <c r="N261" t="n">
        <v>0</v>
      </c>
      <c r="O261" t="n">
        <v>0</v>
      </c>
      <c r="P261" t="n">
        <v>0</v>
      </c>
      <c r="Q261" t="n">
        <v>0</v>
      </c>
      <c r="R261" s="2" t="inlineStr"/>
    </row>
    <row r="262" ht="15" customHeight="1">
      <c r="A262" t="inlineStr">
        <is>
          <t>A 41947-2023</t>
        </is>
      </c>
      <c r="B262" s="1" t="n">
        <v>45177.31795138889</v>
      </c>
      <c r="C262" s="1" t="n">
        <v>46176</v>
      </c>
      <c r="D262" t="inlineStr">
        <is>
          <t>ÖREBRO LÄN</t>
        </is>
      </c>
      <c r="E262" t="inlineStr">
        <is>
          <t>LINDESBERG</t>
        </is>
      </c>
      <c r="F262" t="inlineStr">
        <is>
          <t>Kyrkan</t>
        </is>
      </c>
      <c r="G262" t="n">
        <v>0.7</v>
      </c>
      <c r="H262" t="n">
        <v>0</v>
      </c>
      <c r="I262" t="n">
        <v>0</v>
      </c>
      <c r="J262" t="n">
        <v>0</v>
      </c>
      <c r="K262" t="n">
        <v>0</v>
      </c>
      <c r="L262" t="n">
        <v>0</v>
      </c>
      <c r="M262" t="n">
        <v>0</v>
      </c>
      <c r="N262" t="n">
        <v>0</v>
      </c>
      <c r="O262" t="n">
        <v>0</v>
      </c>
      <c r="P262" t="n">
        <v>0</v>
      </c>
      <c r="Q262" t="n">
        <v>0</v>
      </c>
      <c r="R262" s="2" t="inlineStr"/>
    </row>
    <row r="263" ht="15" customHeight="1">
      <c r="A263" t="inlineStr">
        <is>
          <t>A 15899-2025</t>
        </is>
      </c>
      <c r="B263" s="1" t="n">
        <v>45749.42258101852</v>
      </c>
      <c r="C263" s="1" t="n">
        <v>46176</v>
      </c>
      <c r="D263" t="inlineStr">
        <is>
          <t>ÖREBRO LÄN</t>
        </is>
      </c>
      <c r="E263" t="inlineStr">
        <is>
          <t>LINDESBERG</t>
        </is>
      </c>
      <c r="G263" t="n">
        <v>6.6</v>
      </c>
      <c r="H263" t="n">
        <v>0</v>
      </c>
      <c r="I263" t="n">
        <v>0</v>
      </c>
      <c r="J263" t="n">
        <v>0</v>
      </c>
      <c r="K263" t="n">
        <v>0</v>
      </c>
      <c r="L263" t="n">
        <v>0</v>
      </c>
      <c r="M263" t="n">
        <v>0</v>
      </c>
      <c r="N263" t="n">
        <v>0</v>
      </c>
      <c r="O263" t="n">
        <v>0</v>
      </c>
      <c r="P263" t="n">
        <v>0</v>
      </c>
      <c r="Q263" t="n">
        <v>0</v>
      </c>
      <c r="R263" s="2" t="inlineStr"/>
    </row>
    <row r="264" ht="15" customHeight="1">
      <c r="A264" t="inlineStr">
        <is>
          <t>A 56561-2023</t>
        </is>
      </c>
      <c r="B264" s="1" t="n">
        <v>45243</v>
      </c>
      <c r="C264" s="1" t="n">
        <v>46176</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37738-2024</t>
        </is>
      </c>
      <c r="B265" s="1" t="n">
        <v>45541.66916666667</v>
      </c>
      <c r="C265" s="1" t="n">
        <v>46176</v>
      </c>
      <c r="D265" t="inlineStr">
        <is>
          <t>ÖREBRO LÄN</t>
        </is>
      </c>
      <c r="E265" t="inlineStr">
        <is>
          <t>LINDESBERG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15933-2025</t>
        </is>
      </c>
      <c r="B266" s="1" t="n">
        <v>45749.47251157407</v>
      </c>
      <c r="C266" s="1" t="n">
        <v>46176</v>
      </c>
      <c r="D266" t="inlineStr">
        <is>
          <t>ÖREBRO LÄN</t>
        </is>
      </c>
      <c r="E266" t="inlineStr">
        <is>
          <t>LINDESBERG</t>
        </is>
      </c>
      <c r="G266" t="n">
        <v>6.1</v>
      </c>
      <c r="H266" t="n">
        <v>0</v>
      </c>
      <c r="I266" t="n">
        <v>0</v>
      </c>
      <c r="J266" t="n">
        <v>0</v>
      </c>
      <c r="K266" t="n">
        <v>0</v>
      </c>
      <c r="L266" t="n">
        <v>0</v>
      </c>
      <c r="M266" t="n">
        <v>0</v>
      </c>
      <c r="N266" t="n">
        <v>0</v>
      </c>
      <c r="O266" t="n">
        <v>0</v>
      </c>
      <c r="P266" t="n">
        <v>0</v>
      </c>
      <c r="Q266" t="n">
        <v>0</v>
      </c>
      <c r="R266" s="2" t="inlineStr"/>
    </row>
    <row r="267" ht="15" customHeight="1">
      <c r="A267" t="inlineStr">
        <is>
          <t>A 62968-2023</t>
        </is>
      </c>
      <c r="B267" s="1" t="n">
        <v>45272.57385416667</v>
      </c>
      <c r="C267" s="1" t="n">
        <v>46176</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15936-2025</t>
        </is>
      </c>
      <c r="B268" s="1" t="n">
        <v>45749.4737962963</v>
      </c>
      <c r="C268" s="1" t="n">
        <v>46176</v>
      </c>
      <c r="D268" t="inlineStr">
        <is>
          <t>ÖREBRO LÄN</t>
        </is>
      </c>
      <c r="E268" t="inlineStr">
        <is>
          <t>LINDESBERG</t>
        </is>
      </c>
      <c r="G268" t="n">
        <v>22.3</v>
      </c>
      <c r="H268" t="n">
        <v>0</v>
      </c>
      <c r="I268" t="n">
        <v>0</v>
      </c>
      <c r="J268" t="n">
        <v>0</v>
      </c>
      <c r="K268" t="n">
        <v>0</v>
      </c>
      <c r="L268" t="n">
        <v>0</v>
      </c>
      <c r="M268" t="n">
        <v>0</v>
      </c>
      <c r="N268" t="n">
        <v>0</v>
      </c>
      <c r="O268" t="n">
        <v>0</v>
      </c>
      <c r="P268" t="n">
        <v>0</v>
      </c>
      <c r="Q268" t="n">
        <v>0</v>
      </c>
      <c r="R268" s="2" t="inlineStr"/>
    </row>
    <row r="269" ht="15" customHeight="1">
      <c r="A269" t="inlineStr">
        <is>
          <t>A 10836-2024</t>
        </is>
      </c>
      <c r="B269" s="1" t="n">
        <v>45369</v>
      </c>
      <c r="C269" s="1" t="n">
        <v>46176</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23536-2023</t>
        </is>
      </c>
      <c r="B270" s="1" t="n">
        <v>45077</v>
      </c>
      <c r="C270" s="1" t="n">
        <v>46176</v>
      </c>
      <c r="D270" t="inlineStr">
        <is>
          <t>ÖREBRO LÄN</t>
        </is>
      </c>
      <c r="E270" t="inlineStr">
        <is>
          <t>LINDESBERG</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24944-2024</t>
        </is>
      </c>
      <c r="B271" s="1" t="n">
        <v>45461.62924768519</v>
      </c>
      <c r="C271" s="1" t="n">
        <v>46176</v>
      </c>
      <c r="D271" t="inlineStr">
        <is>
          <t>ÖREBRO LÄN</t>
        </is>
      </c>
      <c r="E271" t="inlineStr">
        <is>
          <t>LINDESBERG</t>
        </is>
      </c>
      <c r="F271" t="inlineStr">
        <is>
          <t>Kyrkan</t>
        </is>
      </c>
      <c r="G271" t="n">
        <v>13.7</v>
      </c>
      <c r="H271" t="n">
        <v>0</v>
      </c>
      <c r="I271" t="n">
        <v>0</v>
      </c>
      <c r="J271" t="n">
        <v>0</v>
      </c>
      <c r="K271" t="n">
        <v>0</v>
      </c>
      <c r="L271" t="n">
        <v>0</v>
      </c>
      <c r="M271" t="n">
        <v>0</v>
      </c>
      <c r="N271" t="n">
        <v>0</v>
      </c>
      <c r="O271" t="n">
        <v>0</v>
      </c>
      <c r="P271" t="n">
        <v>0</v>
      </c>
      <c r="Q271" t="n">
        <v>0</v>
      </c>
      <c r="R271" s="2" t="inlineStr"/>
    </row>
    <row r="272" ht="15" customHeight="1">
      <c r="A272" t="inlineStr">
        <is>
          <t>A 38552-2023</t>
        </is>
      </c>
      <c r="B272" s="1" t="n">
        <v>45162.5978125</v>
      </c>
      <c r="C272" s="1" t="n">
        <v>46176</v>
      </c>
      <c r="D272" t="inlineStr">
        <is>
          <t>ÖREBRO LÄN</t>
        </is>
      </c>
      <c r="E272" t="inlineStr">
        <is>
          <t>LINDESBERG</t>
        </is>
      </c>
      <c r="G272" t="n">
        <v>10.4</v>
      </c>
      <c r="H272" t="n">
        <v>0</v>
      </c>
      <c r="I272" t="n">
        <v>0</v>
      </c>
      <c r="J272" t="n">
        <v>0</v>
      </c>
      <c r="K272" t="n">
        <v>0</v>
      </c>
      <c r="L272" t="n">
        <v>0</v>
      </c>
      <c r="M272" t="n">
        <v>0</v>
      </c>
      <c r="N272" t="n">
        <v>0</v>
      </c>
      <c r="O272" t="n">
        <v>0</v>
      </c>
      <c r="P272" t="n">
        <v>0</v>
      </c>
      <c r="Q272" t="n">
        <v>0</v>
      </c>
      <c r="R272" s="2" t="inlineStr"/>
    </row>
    <row r="273" ht="15" customHeight="1">
      <c r="A273" t="inlineStr">
        <is>
          <t>A 33716-2021</t>
        </is>
      </c>
      <c r="B273" s="1" t="n">
        <v>44378.46857638889</v>
      </c>
      <c r="C273" s="1" t="n">
        <v>46176</v>
      </c>
      <c r="D273" t="inlineStr">
        <is>
          <t>ÖREBRO LÄN</t>
        </is>
      </c>
      <c r="E273" t="inlineStr">
        <is>
          <t>LINDESBERG</t>
        </is>
      </c>
      <c r="G273" t="n">
        <v>4.6</v>
      </c>
      <c r="H273" t="n">
        <v>0</v>
      </c>
      <c r="I273" t="n">
        <v>0</v>
      </c>
      <c r="J273" t="n">
        <v>0</v>
      </c>
      <c r="K273" t="n">
        <v>0</v>
      </c>
      <c r="L273" t="n">
        <v>0</v>
      </c>
      <c r="M273" t="n">
        <v>0</v>
      </c>
      <c r="N273" t="n">
        <v>0</v>
      </c>
      <c r="O273" t="n">
        <v>0</v>
      </c>
      <c r="P273" t="n">
        <v>0</v>
      </c>
      <c r="Q273" t="n">
        <v>0</v>
      </c>
      <c r="R273" s="2" t="inlineStr"/>
    </row>
    <row r="274" ht="15" customHeight="1">
      <c r="A274" t="inlineStr">
        <is>
          <t>A 10564-2023</t>
        </is>
      </c>
      <c r="B274" s="1" t="n">
        <v>44988</v>
      </c>
      <c r="C274" s="1" t="n">
        <v>46176</v>
      </c>
      <c r="D274" t="inlineStr">
        <is>
          <t>ÖREBRO LÄN</t>
        </is>
      </c>
      <c r="E274" t="inlineStr">
        <is>
          <t>LINDESBERG</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15213-2025</t>
        </is>
      </c>
      <c r="B275" s="1" t="n">
        <v>45744.57851851852</v>
      </c>
      <c r="C275" s="1" t="n">
        <v>46176</v>
      </c>
      <c r="D275" t="inlineStr">
        <is>
          <t>ÖREBRO LÄN</t>
        </is>
      </c>
      <c r="E275" t="inlineStr">
        <is>
          <t>LINDESBERG</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4999-2025</t>
        </is>
      </c>
      <c r="B276" s="1" t="n">
        <v>45691.36253472222</v>
      </c>
      <c r="C276" s="1" t="n">
        <v>46176</v>
      </c>
      <c r="D276" t="inlineStr">
        <is>
          <t>ÖREBRO LÄN</t>
        </is>
      </c>
      <c r="E276" t="inlineStr">
        <is>
          <t>LINDESBERG</t>
        </is>
      </c>
      <c r="G276" t="n">
        <v>4.7</v>
      </c>
      <c r="H276" t="n">
        <v>0</v>
      </c>
      <c r="I276" t="n">
        <v>0</v>
      </c>
      <c r="J276" t="n">
        <v>0</v>
      </c>
      <c r="K276" t="n">
        <v>0</v>
      </c>
      <c r="L276" t="n">
        <v>0</v>
      </c>
      <c r="M276" t="n">
        <v>0</v>
      </c>
      <c r="N276" t="n">
        <v>0</v>
      </c>
      <c r="O276" t="n">
        <v>0</v>
      </c>
      <c r="P276" t="n">
        <v>0</v>
      </c>
      <c r="Q276" t="n">
        <v>0</v>
      </c>
      <c r="R276" s="2" t="inlineStr"/>
    </row>
    <row r="277" ht="15" customHeight="1">
      <c r="A277" t="inlineStr">
        <is>
          <t>A 19914-2024</t>
        </is>
      </c>
      <c r="B277" s="1" t="n">
        <v>45433.58099537037</v>
      </c>
      <c r="C277" s="1" t="n">
        <v>46176</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15941-2025</t>
        </is>
      </c>
      <c r="B278" s="1" t="n">
        <v>45749</v>
      </c>
      <c r="C278" s="1" t="n">
        <v>46176</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55631-2022</t>
        </is>
      </c>
      <c r="B279" s="1" t="n">
        <v>44888.4577662037</v>
      </c>
      <c r="C279" s="1" t="n">
        <v>46176</v>
      </c>
      <c r="D279" t="inlineStr">
        <is>
          <t>ÖREBRO LÄN</t>
        </is>
      </c>
      <c r="E279" t="inlineStr">
        <is>
          <t>LINDESBERG</t>
        </is>
      </c>
      <c r="G279" t="n">
        <v>4.4</v>
      </c>
      <c r="H279" t="n">
        <v>0</v>
      </c>
      <c r="I279" t="n">
        <v>0</v>
      </c>
      <c r="J279" t="n">
        <v>0</v>
      </c>
      <c r="K279" t="n">
        <v>0</v>
      </c>
      <c r="L279" t="n">
        <v>0</v>
      </c>
      <c r="M279" t="n">
        <v>0</v>
      </c>
      <c r="N279" t="n">
        <v>0</v>
      </c>
      <c r="O279" t="n">
        <v>0</v>
      </c>
      <c r="P279" t="n">
        <v>0</v>
      </c>
      <c r="Q279" t="n">
        <v>0</v>
      </c>
      <c r="R279" s="2" t="inlineStr"/>
    </row>
    <row r="280" ht="15" customHeight="1">
      <c r="A280" t="inlineStr">
        <is>
          <t>A 29975-2023</t>
        </is>
      </c>
      <c r="B280" s="1" t="n">
        <v>45108.7553587963</v>
      </c>
      <c r="C280" s="1" t="n">
        <v>46176</v>
      </c>
      <c r="D280" t="inlineStr">
        <is>
          <t>ÖREBRO LÄN</t>
        </is>
      </c>
      <c r="E280" t="inlineStr">
        <is>
          <t>LINDESBERG</t>
        </is>
      </c>
      <c r="G280" t="n">
        <v>6.4</v>
      </c>
      <c r="H280" t="n">
        <v>0</v>
      </c>
      <c r="I280" t="n">
        <v>0</v>
      </c>
      <c r="J280" t="n">
        <v>0</v>
      </c>
      <c r="K280" t="n">
        <v>0</v>
      </c>
      <c r="L280" t="n">
        <v>0</v>
      </c>
      <c r="M280" t="n">
        <v>0</v>
      </c>
      <c r="N280" t="n">
        <v>0</v>
      </c>
      <c r="O280" t="n">
        <v>0</v>
      </c>
      <c r="P280" t="n">
        <v>0</v>
      </c>
      <c r="Q280" t="n">
        <v>0</v>
      </c>
      <c r="R280" s="2" t="inlineStr"/>
    </row>
    <row r="281" ht="15" customHeight="1">
      <c r="A281" t="inlineStr">
        <is>
          <t>A 265-2023</t>
        </is>
      </c>
      <c r="B281" s="1" t="n">
        <v>44928</v>
      </c>
      <c r="C281" s="1" t="n">
        <v>46176</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60115-2022</t>
        </is>
      </c>
      <c r="B282" s="1" t="n">
        <v>44902</v>
      </c>
      <c r="C282" s="1" t="n">
        <v>46176</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30830-2024</t>
        </is>
      </c>
      <c r="B283" s="1" t="n">
        <v>45497</v>
      </c>
      <c r="C283" s="1" t="n">
        <v>46176</v>
      </c>
      <c r="D283" t="inlineStr">
        <is>
          <t>ÖREBRO LÄN</t>
        </is>
      </c>
      <c r="E283" t="inlineStr">
        <is>
          <t>LINDESBERG</t>
        </is>
      </c>
      <c r="G283" t="n">
        <v>2.8</v>
      </c>
      <c r="H283" t="n">
        <v>0</v>
      </c>
      <c r="I283" t="n">
        <v>0</v>
      </c>
      <c r="J283" t="n">
        <v>0</v>
      </c>
      <c r="K283" t="n">
        <v>0</v>
      </c>
      <c r="L283" t="n">
        <v>0</v>
      </c>
      <c r="M283" t="n">
        <v>0</v>
      </c>
      <c r="N283" t="n">
        <v>0</v>
      </c>
      <c r="O283" t="n">
        <v>0</v>
      </c>
      <c r="P283" t="n">
        <v>0</v>
      </c>
      <c r="Q283" t="n">
        <v>0</v>
      </c>
      <c r="R283" s="2" t="inlineStr"/>
    </row>
    <row r="284" ht="15" customHeight="1">
      <c r="A284" t="inlineStr">
        <is>
          <t>A 15212-2025</t>
        </is>
      </c>
      <c r="B284" s="1" t="n">
        <v>45744.57673611111</v>
      </c>
      <c r="C284" s="1" t="n">
        <v>46176</v>
      </c>
      <c r="D284" t="inlineStr">
        <is>
          <t>ÖREBRO LÄN</t>
        </is>
      </c>
      <c r="E284" t="inlineStr">
        <is>
          <t>LINDESBERG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40905-2023</t>
        </is>
      </c>
      <c r="B285" s="1" t="n">
        <v>45173.39315972223</v>
      </c>
      <c r="C285" s="1" t="n">
        <v>46176</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40085-2023</t>
        </is>
      </c>
      <c r="B286" s="1" t="n">
        <v>45168.92155092592</v>
      </c>
      <c r="C286" s="1" t="n">
        <v>46176</v>
      </c>
      <c r="D286" t="inlineStr">
        <is>
          <t>ÖREBRO LÄN</t>
        </is>
      </c>
      <c r="E286" t="inlineStr">
        <is>
          <t>LINDESBERG</t>
        </is>
      </c>
      <c r="G286" t="n">
        <v>6.1</v>
      </c>
      <c r="H286" t="n">
        <v>0</v>
      </c>
      <c r="I286" t="n">
        <v>0</v>
      </c>
      <c r="J286" t="n">
        <v>0</v>
      </c>
      <c r="K286" t="n">
        <v>0</v>
      </c>
      <c r="L286" t="n">
        <v>0</v>
      </c>
      <c r="M286" t="n">
        <v>0</v>
      </c>
      <c r="N286" t="n">
        <v>0</v>
      </c>
      <c r="O286" t="n">
        <v>0</v>
      </c>
      <c r="P286" t="n">
        <v>0</v>
      </c>
      <c r="Q286" t="n">
        <v>0</v>
      </c>
      <c r="R286" s="2" t="inlineStr"/>
    </row>
    <row r="287" ht="15" customHeight="1">
      <c r="A287" t="inlineStr">
        <is>
          <t>A 40117-2023</t>
        </is>
      </c>
      <c r="B287" s="1" t="n">
        <v>45168.94197916667</v>
      </c>
      <c r="C287" s="1" t="n">
        <v>46176</v>
      </c>
      <c r="D287" t="inlineStr">
        <is>
          <t>ÖREBRO LÄN</t>
        </is>
      </c>
      <c r="E287" t="inlineStr">
        <is>
          <t>LINDESBERG</t>
        </is>
      </c>
      <c r="G287" t="n">
        <v>2.3</v>
      </c>
      <c r="H287" t="n">
        <v>0</v>
      </c>
      <c r="I287" t="n">
        <v>0</v>
      </c>
      <c r="J287" t="n">
        <v>0</v>
      </c>
      <c r="K287" t="n">
        <v>0</v>
      </c>
      <c r="L287" t="n">
        <v>0</v>
      </c>
      <c r="M287" t="n">
        <v>0</v>
      </c>
      <c r="N287" t="n">
        <v>0</v>
      </c>
      <c r="O287" t="n">
        <v>0</v>
      </c>
      <c r="P287" t="n">
        <v>0</v>
      </c>
      <c r="Q287" t="n">
        <v>0</v>
      </c>
      <c r="R287" s="2" t="inlineStr"/>
    </row>
    <row r="288" ht="15" customHeight="1">
      <c r="A288" t="inlineStr">
        <is>
          <t>A 9966-2023</t>
        </is>
      </c>
      <c r="B288" s="1" t="n">
        <v>44979</v>
      </c>
      <c r="C288" s="1" t="n">
        <v>46176</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21390-2024</t>
        </is>
      </c>
      <c r="B289" s="1" t="n">
        <v>45441.30899305556</v>
      </c>
      <c r="C289" s="1" t="n">
        <v>46176</v>
      </c>
      <c r="D289" t="inlineStr">
        <is>
          <t>ÖREBRO LÄN</t>
        </is>
      </c>
      <c r="E289" t="inlineStr">
        <is>
          <t>LINDESBERG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21392-2024</t>
        </is>
      </c>
      <c r="B290" s="1" t="n">
        <v>45441.30998842593</v>
      </c>
      <c r="C290" s="1" t="n">
        <v>46176</v>
      </c>
      <c r="D290" t="inlineStr">
        <is>
          <t>ÖREBRO LÄN</t>
        </is>
      </c>
      <c r="E290" t="inlineStr">
        <is>
          <t>LINDESBERG</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60941-2024</t>
        </is>
      </c>
      <c r="B291" s="1" t="n">
        <v>45645.3712037037</v>
      </c>
      <c r="C291" s="1" t="n">
        <v>46176</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56507-2021</t>
        </is>
      </c>
      <c r="B292" s="1" t="n">
        <v>44480.58034722223</v>
      </c>
      <c r="C292" s="1" t="n">
        <v>46176</v>
      </c>
      <c r="D292" t="inlineStr">
        <is>
          <t>ÖREBRO LÄN</t>
        </is>
      </c>
      <c r="E292" t="inlineStr">
        <is>
          <t>LINDESBERG</t>
        </is>
      </c>
      <c r="G292" t="n">
        <v>2.3</v>
      </c>
      <c r="H292" t="n">
        <v>0</v>
      </c>
      <c r="I292" t="n">
        <v>0</v>
      </c>
      <c r="J292" t="n">
        <v>0</v>
      </c>
      <c r="K292" t="n">
        <v>0</v>
      </c>
      <c r="L292" t="n">
        <v>0</v>
      </c>
      <c r="M292" t="n">
        <v>0</v>
      </c>
      <c r="N292" t="n">
        <v>0</v>
      </c>
      <c r="O292" t="n">
        <v>0</v>
      </c>
      <c r="P292" t="n">
        <v>0</v>
      </c>
      <c r="Q292" t="n">
        <v>0</v>
      </c>
      <c r="R292" s="2" t="inlineStr"/>
    </row>
    <row r="293" ht="15" customHeight="1">
      <c r="A293" t="inlineStr">
        <is>
          <t>A 38696-2024</t>
        </is>
      </c>
      <c r="B293" s="1" t="n">
        <v>45547.36590277778</v>
      </c>
      <c r="C293" s="1" t="n">
        <v>46176</v>
      </c>
      <c r="D293" t="inlineStr">
        <is>
          <t>ÖREBRO LÄN</t>
        </is>
      </c>
      <c r="E293" t="inlineStr">
        <is>
          <t>LINDESBERG</t>
        </is>
      </c>
      <c r="G293" t="n">
        <v>2</v>
      </c>
      <c r="H293" t="n">
        <v>0</v>
      </c>
      <c r="I293" t="n">
        <v>0</v>
      </c>
      <c r="J293" t="n">
        <v>0</v>
      </c>
      <c r="K293" t="n">
        <v>0</v>
      </c>
      <c r="L293" t="n">
        <v>0</v>
      </c>
      <c r="M293" t="n">
        <v>0</v>
      </c>
      <c r="N293" t="n">
        <v>0</v>
      </c>
      <c r="O293" t="n">
        <v>0</v>
      </c>
      <c r="P293" t="n">
        <v>0</v>
      </c>
      <c r="Q293" t="n">
        <v>0</v>
      </c>
      <c r="R293" s="2" t="inlineStr"/>
    </row>
    <row r="294" ht="15" customHeight="1">
      <c r="A294" t="inlineStr">
        <is>
          <t>A 52928-2024</t>
        </is>
      </c>
      <c r="B294" s="1" t="n">
        <v>45610</v>
      </c>
      <c r="C294" s="1" t="n">
        <v>46176</v>
      </c>
      <c r="D294" t="inlineStr">
        <is>
          <t>ÖREBRO LÄN</t>
        </is>
      </c>
      <c r="E294" t="inlineStr">
        <is>
          <t>LINDESBERG</t>
        </is>
      </c>
      <c r="G294" t="n">
        <v>8.6</v>
      </c>
      <c r="H294" t="n">
        <v>0</v>
      </c>
      <c r="I294" t="n">
        <v>0</v>
      </c>
      <c r="J294" t="n">
        <v>0</v>
      </c>
      <c r="K294" t="n">
        <v>0</v>
      </c>
      <c r="L294" t="n">
        <v>0</v>
      </c>
      <c r="M294" t="n">
        <v>0</v>
      </c>
      <c r="N294" t="n">
        <v>0</v>
      </c>
      <c r="O294" t="n">
        <v>0</v>
      </c>
      <c r="P294" t="n">
        <v>0</v>
      </c>
      <c r="Q294" t="n">
        <v>0</v>
      </c>
      <c r="R294" s="2" t="inlineStr"/>
    </row>
    <row r="295" ht="15" customHeight="1">
      <c r="A295" t="inlineStr">
        <is>
          <t>A 47069-2023</t>
        </is>
      </c>
      <c r="B295" s="1" t="n">
        <v>45201</v>
      </c>
      <c r="C295" s="1" t="n">
        <v>46176</v>
      </c>
      <c r="D295" t="inlineStr">
        <is>
          <t>ÖREBRO LÄN</t>
        </is>
      </c>
      <c r="E295" t="inlineStr">
        <is>
          <t>LINDESBERG</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47074-2023</t>
        </is>
      </c>
      <c r="B296" s="1" t="n">
        <v>45201.60283564815</v>
      </c>
      <c r="C296" s="1" t="n">
        <v>46176</v>
      </c>
      <c r="D296" t="inlineStr">
        <is>
          <t>ÖREBRO LÄN</t>
        </is>
      </c>
      <c r="E296" t="inlineStr">
        <is>
          <t>LINDESBERG</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4997-2024</t>
        </is>
      </c>
      <c r="B297" s="1" t="n">
        <v>45329</v>
      </c>
      <c r="C297" s="1" t="n">
        <v>46176</v>
      </c>
      <c r="D297" t="inlineStr">
        <is>
          <t>ÖREBRO LÄN</t>
        </is>
      </c>
      <c r="E297" t="inlineStr">
        <is>
          <t>LINDESBERG</t>
        </is>
      </c>
      <c r="F297" t="inlineStr">
        <is>
          <t>BillerudKorsnäs AB</t>
        </is>
      </c>
      <c r="G297" t="n">
        <v>3</v>
      </c>
      <c r="H297" t="n">
        <v>0</v>
      </c>
      <c r="I297" t="n">
        <v>0</v>
      </c>
      <c r="J297" t="n">
        <v>0</v>
      </c>
      <c r="K297" t="n">
        <v>0</v>
      </c>
      <c r="L297" t="n">
        <v>0</v>
      </c>
      <c r="M297" t="n">
        <v>0</v>
      </c>
      <c r="N297" t="n">
        <v>0</v>
      </c>
      <c r="O297" t="n">
        <v>0</v>
      </c>
      <c r="P297" t="n">
        <v>0</v>
      </c>
      <c r="Q297" t="n">
        <v>0</v>
      </c>
      <c r="R297" s="2" t="inlineStr"/>
    </row>
    <row r="298" ht="15" customHeight="1">
      <c r="A298" t="inlineStr">
        <is>
          <t>A 33284-2024</t>
        </is>
      </c>
      <c r="B298" s="1" t="n">
        <v>45518.71721064814</v>
      </c>
      <c r="C298" s="1" t="n">
        <v>46176</v>
      </c>
      <c r="D298" t="inlineStr">
        <is>
          <t>ÖREBRO LÄN</t>
        </is>
      </c>
      <c r="E298" t="inlineStr">
        <is>
          <t>LINDESBERG</t>
        </is>
      </c>
      <c r="G298" t="n">
        <v>1.7</v>
      </c>
      <c r="H298" t="n">
        <v>0</v>
      </c>
      <c r="I298" t="n">
        <v>0</v>
      </c>
      <c r="J298" t="n">
        <v>0</v>
      </c>
      <c r="K298" t="n">
        <v>0</v>
      </c>
      <c r="L298" t="n">
        <v>0</v>
      </c>
      <c r="M298" t="n">
        <v>0</v>
      </c>
      <c r="N298" t="n">
        <v>0</v>
      </c>
      <c r="O298" t="n">
        <v>0</v>
      </c>
      <c r="P298" t="n">
        <v>0</v>
      </c>
      <c r="Q298" t="n">
        <v>0</v>
      </c>
      <c r="R298" s="2" t="inlineStr"/>
    </row>
    <row r="299" ht="15" customHeight="1">
      <c r="A299" t="inlineStr">
        <is>
          <t>A 73500-2021</t>
        </is>
      </c>
      <c r="B299" s="1" t="n">
        <v>44551</v>
      </c>
      <c r="C299" s="1" t="n">
        <v>46176</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19219-2023</t>
        </is>
      </c>
      <c r="B300" s="1" t="n">
        <v>45048</v>
      </c>
      <c r="C300" s="1" t="n">
        <v>46176</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1742-2022</t>
        </is>
      </c>
      <c r="B301" s="1" t="n">
        <v>44574.50425925926</v>
      </c>
      <c r="C301" s="1" t="n">
        <v>46176</v>
      </c>
      <c r="D301" t="inlineStr">
        <is>
          <t>ÖREBRO LÄN</t>
        </is>
      </c>
      <c r="E301" t="inlineStr">
        <is>
          <t>LINDESBERG</t>
        </is>
      </c>
      <c r="G301" t="n">
        <v>0.9</v>
      </c>
      <c r="H301" t="n">
        <v>0</v>
      </c>
      <c r="I301" t="n">
        <v>0</v>
      </c>
      <c r="J301" t="n">
        <v>0</v>
      </c>
      <c r="K301" t="n">
        <v>0</v>
      </c>
      <c r="L301" t="n">
        <v>0</v>
      </c>
      <c r="M301" t="n">
        <v>0</v>
      </c>
      <c r="N301" t="n">
        <v>0</v>
      </c>
      <c r="O301" t="n">
        <v>0</v>
      </c>
      <c r="P301" t="n">
        <v>0</v>
      </c>
      <c r="Q301" t="n">
        <v>0</v>
      </c>
      <c r="R301" s="2" t="inlineStr"/>
    </row>
    <row r="302" ht="15" customHeight="1">
      <c r="A302" t="inlineStr">
        <is>
          <t>A 16864-2022</t>
        </is>
      </c>
      <c r="B302" s="1" t="n">
        <v>44675</v>
      </c>
      <c r="C302" s="1" t="n">
        <v>46176</v>
      </c>
      <c r="D302" t="inlineStr">
        <is>
          <t>ÖREBRO LÄN</t>
        </is>
      </c>
      <c r="E302" t="inlineStr">
        <is>
          <t>LINDESBERG</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36291-2022</t>
        </is>
      </c>
      <c r="B303" s="1" t="n">
        <v>44803.64361111111</v>
      </c>
      <c r="C303" s="1" t="n">
        <v>46176</v>
      </c>
      <c r="D303" t="inlineStr">
        <is>
          <t>ÖREBRO LÄN</t>
        </is>
      </c>
      <c r="E303" t="inlineStr">
        <is>
          <t>LINDESBERG</t>
        </is>
      </c>
      <c r="G303" t="n">
        <v>3.8</v>
      </c>
      <c r="H303" t="n">
        <v>0</v>
      </c>
      <c r="I303" t="n">
        <v>0</v>
      </c>
      <c r="J303" t="n">
        <v>0</v>
      </c>
      <c r="K303" t="n">
        <v>0</v>
      </c>
      <c r="L303" t="n">
        <v>0</v>
      </c>
      <c r="M303" t="n">
        <v>0</v>
      </c>
      <c r="N303" t="n">
        <v>0</v>
      </c>
      <c r="O303" t="n">
        <v>0</v>
      </c>
      <c r="P303" t="n">
        <v>0</v>
      </c>
      <c r="Q303" t="n">
        <v>0</v>
      </c>
      <c r="R303" s="2" t="inlineStr"/>
    </row>
    <row r="304" ht="15" customHeight="1">
      <c r="A304" t="inlineStr">
        <is>
          <t>A 11953-2024</t>
        </is>
      </c>
      <c r="B304" s="1" t="n">
        <v>45376.70292824074</v>
      </c>
      <c r="C304" s="1" t="n">
        <v>46176</v>
      </c>
      <c r="D304" t="inlineStr">
        <is>
          <t>ÖREBRO LÄN</t>
        </is>
      </c>
      <c r="E304" t="inlineStr">
        <is>
          <t>LINDESBERG</t>
        </is>
      </c>
      <c r="G304" t="n">
        <v>5.7</v>
      </c>
      <c r="H304" t="n">
        <v>0</v>
      </c>
      <c r="I304" t="n">
        <v>0</v>
      </c>
      <c r="J304" t="n">
        <v>0</v>
      </c>
      <c r="K304" t="n">
        <v>0</v>
      </c>
      <c r="L304" t="n">
        <v>0</v>
      </c>
      <c r="M304" t="n">
        <v>0</v>
      </c>
      <c r="N304" t="n">
        <v>0</v>
      </c>
      <c r="O304" t="n">
        <v>0</v>
      </c>
      <c r="P304" t="n">
        <v>0</v>
      </c>
      <c r="Q304" t="n">
        <v>0</v>
      </c>
      <c r="R304" s="2" t="inlineStr"/>
    </row>
    <row r="305" ht="15" customHeight="1">
      <c r="A305" t="inlineStr">
        <is>
          <t>A 50170-2022</t>
        </is>
      </c>
      <c r="B305" s="1" t="n">
        <v>44865.600625</v>
      </c>
      <c r="C305" s="1" t="n">
        <v>46176</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32504-2025</t>
        </is>
      </c>
      <c r="B306" s="1" t="n">
        <v>45838.46456018519</v>
      </c>
      <c r="C306" s="1" t="n">
        <v>46176</v>
      </c>
      <c r="D306" t="inlineStr">
        <is>
          <t>ÖREBRO LÄN</t>
        </is>
      </c>
      <c r="E306" t="inlineStr">
        <is>
          <t>LINDESBERG</t>
        </is>
      </c>
      <c r="F306" t="inlineStr">
        <is>
          <t>Sveaskog</t>
        </is>
      </c>
      <c r="G306" t="n">
        <v>16.9</v>
      </c>
      <c r="H306" t="n">
        <v>0</v>
      </c>
      <c r="I306" t="n">
        <v>0</v>
      </c>
      <c r="J306" t="n">
        <v>0</v>
      </c>
      <c r="K306" t="n">
        <v>0</v>
      </c>
      <c r="L306" t="n">
        <v>0</v>
      </c>
      <c r="M306" t="n">
        <v>0</v>
      </c>
      <c r="N306" t="n">
        <v>0</v>
      </c>
      <c r="O306" t="n">
        <v>0</v>
      </c>
      <c r="P306" t="n">
        <v>0</v>
      </c>
      <c r="Q306" t="n">
        <v>0</v>
      </c>
      <c r="R306" s="2" t="inlineStr"/>
    </row>
    <row r="307" ht="15" customHeight="1">
      <c r="A307" t="inlineStr">
        <is>
          <t>A 32502-2025</t>
        </is>
      </c>
      <c r="B307" s="1" t="n">
        <v>45838.46408564815</v>
      </c>
      <c r="C307" s="1" t="n">
        <v>46176</v>
      </c>
      <c r="D307" t="inlineStr">
        <is>
          <t>ÖREBRO LÄN</t>
        </is>
      </c>
      <c r="E307" t="inlineStr">
        <is>
          <t>LINDESBERG</t>
        </is>
      </c>
      <c r="F307" t="inlineStr">
        <is>
          <t>Sveaskog</t>
        </is>
      </c>
      <c r="G307" t="n">
        <v>17.7</v>
      </c>
      <c r="H307" t="n">
        <v>0</v>
      </c>
      <c r="I307" t="n">
        <v>0</v>
      </c>
      <c r="J307" t="n">
        <v>0</v>
      </c>
      <c r="K307" t="n">
        <v>0</v>
      </c>
      <c r="L307" t="n">
        <v>0</v>
      </c>
      <c r="M307" t="n">
        <v>0</v>
      </c>
      <c r="N307" t="n">
        <v>0</v>
      </c>
      <c r="O307" t="n">
        <v>0</v>
      </c>
      <c r="P307" t="n">
        <v>0</v>
      </c>
      <c r="Q307" t="n">
        <v>0</v>
      </c>
      <c r="R307" s="2" t="inlineStr"/>
    </row>
    <row r="308" ht="15" customHeight="1">
      <c r="A308" t="inlineStr">
        <is>
          <t>A 32727-2024</t>
        </is>
      </c>
      <c r="B308" s="1" t="n">
        <v>45516.4221412037</v>
      </c>
      <c r="C308" s="1" t="n">
        <v>46176</v>
      </c>
      <c r="D308" t="inlineStr">
        <is>
          <t>ÖREBRO LÄN</t>
        </is>
      </c>
      <c r="E308" t="inlineStr">
        <is>
          <t>LINDESBERG</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28469-2023</t>
        </is>
      </c>
      <c r="B309" s="1" t="n">
        <v>45103</v>
      </c>
      <c r="C309" s="1" t="n">
        <v>46176</v>
      </c>
      <c r="D309" t="inlineStr">
        <is>
          <t>ÖREBRO LÄN</t>
        </is>
      </c>
      <c r="E309" t="inlineStr">
        <is>
          <t>LINDESBERG</t>
        </is>
      </c>
      <c r="G309" t="n">
        <v>0.3</v>
      </c>
      <c r="H309" t="n">
        <v>0</v>
      </c>
      <c r="I309" t="n">
        <v>0</v>
      </c>
      <c r="J309" t="n">
        <v>0</v>
      </c>
      <c r="K309" t="n">
        <v>0</v>
      </c>
      <c r="L309" t="n">
        <v>0</v>
      </c>
      <c r="M309" t="n">
        <v>0</v>
      </c>
      <c r="N309" t="n">
        <v>0</v>
      </c>
      <c r="O309" t="n">
        <v>0</v>
      </c>
      <c r="P309" t="n">
        <v>0</v>
      </c>
      <c r="Q309" t="n">
        <v>0</v>
      </c>
      <c r="R309" s="2" t="inlineStr"/>
    </row>
    <row r="310" ht="15" customHeight="1">
      <c r="A310" t="inlineStr">
        <is>
          <t>A 72706-2021</t>
        </is>
      </c>
      <c r="B310" s="1" t="n">
        <v>44546.67222222222</v>
      </c>
      <c r="C310" s="1" t="n">
        <v>46176</v>
      </c>
      <c r="D310" t="inlineStr">
        <is>
          <t>ÖREBRO LÄN</t>
        </is>
      </c>
      <c r="E310" t="inlineStr">
        <is>
          <t>LINDESBERG</t>
        </is>
      </c>
      <c r="G310" t="n">
        <v>1.7</v>
      </c>
      <c r="H310" t="n">
        <v>0</v>
      </c>
      <c r="I310" t="n">
        <v>0</v>
      </c>
      <c r="J310" t="n">
        <v>0</v>
      </c>
      <c r="K310" t="n">
        <v>0</v>
      </c>
      <c r="L310" t="n">
        <v>0</v>
      </c>
      <c r="M310" t="n">
        <v>0</v>
      </c>
      <c r="N310" t="n">
        <v>0</v>
      </c>
      <c r="O310" t="n">
        <v>0</v>
      </c>
      <c r="P310" t="n">
        <v>0</v>
      </c>
      <c r="Q310" t="n">
        <v>0</v>
      </c>
      <c r="R310" s="2" t="inlineStr"/>
    </row>
    <row r="311" ht="15" customHeight="1">
      <c r="A311" t="inlineStr">
        <is>
          <t>A 33046-2025</t>
        </is>
      </c>
      <c r="B311" s="1" t="n">
        <v>45840</v>
      </c>
      <c r="C311" s="1" t="n">
        <v>46176</v>
      </c>
      <c r="D311" t="inlineStr">
        <is>
          <t>ÖREBRO LÄN</t>
        </is>
      </c>
      <c r="E311" t="inlineStr">
        <is>
          <t>LINDESBERG</t>
        </is>
      </c>
      <c r="G311" t="n">
        <v>6.1</v>
      </c>
      <c r="H311" t="n">
        <v>0</v>
      </c>
      <c r="I311" t="n">
        <v>0</v>
      </c>
      <c r="J311" t="n">
        <v>0</v>
      </c>
      <c r="K311" t="n">
        <v>0</v>
      </c>
      <c r="L311" t="n">
        <v>0</v>
      </c>
      <c r="M311" t="n">
        <v>0</v>
      </c>
      <c r="N311" t="n">
        <v>0</v>
      </c>
      <c r="O311" t="n">
        <v>0</v>
      </c>
      <c r="P311" t="n">
        <v>0</v>
      </c>
      <c r="Q311" t="n">
        <v>0</v>
      </c>
      <c r="R311" s="2" t="inlineStr"/>
    </row>
    <row r="312" ht="15" customHeight="1">
      <c r="A312" t="inlineStr">
        <is>
          <t>A 34004-2025</t>
        </is>
      </c>
      <c r="B312" s="1" t="n">
        <v>45844.5775</v>
      </c>
      <c r="C312" s="1" t="n">
        <v>46176</v>
      </c>
      <c r="D312" t="inlineStr">
        <is>
          <t>ÖREBRO LÄN</t>
        </is>
      </c>
      <c r="E312" t="inlineStr">
        <is>
          <t>LINDESBERG</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45481-2023</t>
        </is>
      </c>
      <c r="B313" s="1" t="n">
        <v>45194</v>
      </c>
      <c r="C313" s="1" t="n">
        <v>46176</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34104-2025</t>
        </is>
      </c>
      <c r="B314" s="1" t="n">
        <v>45845.49216435185</v>
      </c>
      <c r="C314" s="1" t="n">
        <v>46176</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59766-2022</t>
        </is>
      </c>
      <c r="B315" s="1" t="n">
        <v>44908.49152777778</v>
      </c>
      <c r="C315" s="1" t="n">
        <v>46176</v>
      </c>
      <c r="D315" t="inlineStr">
        <is>
          <t>ÖREBRO LÄN</t>
        </is>
      </c>
      <c r="E315" t="inlineStr">
        <is>
          <t>LINDESBERG</t>
        </is>
      </c>
      <c r="G315" t="n">
        <v>1.1</v>
      </c>
      <c r="H315" t="n">
        <v>0</v>
      </c>
      <c r="I315" t="n">
        <v>0</v>
      </c>
      <c r="J315" t="n">
        <v>0</v>
      </c>
      <c r="K315" t="n">
        <v>0</v>
      </c>
      <c r="L315" t="n">
        <v>0</v>
      </c>
      <c r="M315" t="n">
        <v>0</v>
      </c>
      <c r="N315" t="n">
        <v>0</v>
      </c>
      <c r="O315" t="n">
        <v>0</v>
      </c>
      <c r="P315" t="n">
        <v>0</v>
      </c>
      <c r="Q315" t="n">
        <v>0</v>
      </c>
      <c r="R315" s="2" t="inlineStr"/>
    </row>
    <row r="316" ht="15" customHeight="1">
      <c r="A316" t="inlineStr">
        <is>
          <t>A 27013-2024</t>
        </is>
      </c>
      <c r="B316" s="1" t="n">
        <v>45471.40384259259</v>
      </c>
      <c r="C316" s="1" t="n">
        <v>46176</v>
      </c>
      <c r="D316" t="inlineStr">
        <is>
          <t>ÖREBRO LÄN</t>
        </is>
      </c>
      <c r="E316" t="inlineStr">
        <is>
          <t>LINDESBERG</t>
        </is>
      </c>
      <c r="G316" t="n">
        <v>5.2</v>
      </c>
      <c r="H316" t="n">
        <v>0</v>
      </c>
      <c r="I316" t="n">
        <v>0</v>
      </c>
      <c r="J316" t="n">
        <v>0</v>
      </c>
      <c r="K316" t="n">
        <v>0</v>
      </c>
      <c r="L316" t="n">
        <v>0</v>
      </c>
      <c r="M316" t="n">
        <v>0</v>
      </c>
      <c r="N316" t="n">
        <v>0</v>
      </c>
      <c r="O316" t="n">
        <v>0</v>
      </c>
      <c r="P316" t="n">
        <v>0</v>
      </c>
      <c r="Q316" t="n">
        <v>0</v>
      </c>
      <c r="R316" s="2" t="inlineStr"/>
    </row>
    <row r="317" ht="15" customHeight="1">
      <c r="A317" t="inlineStr">
        <is>
          <t>A 33574-2024</t>
        </is>
      </c>
      <c r="B317" s="1" t="n">
        <v>45520.32887731482</v>
      </c>
      <c r="C317" s="1" t="n">
        <v>46176</v>
      </c>
      <c r="D317" t="inlineStr">
        <is>
          <t>ÖREBRO LÄN</t>
        </is>
      </c>
      <c r="E317" t="inlineStr">
        <is>
          <t>LINDESBERG</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38861-2025</t>
        </is>
      </c>
      <c r="B318" s="1" t="n">
        <v>45887.56101851852</v>
      </c>
      <c r="C318" s="1" t="n">
        <v>46176</v>
      </c>
      <c r="D318" t="inlineStr">
        <is>
          <t>ÖREBRO LÄN</t>
        </is>
      </c>
      <c r="E318" t="inlineStr">
        <is>
          <t>LINDESBERG</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34002-2025</t>
        </is>
      </c>
      <c r="B319" s="1" t="n">
        <v>45844.57328703703</v>
      </c>
      <c r="C319" s="1" t="n">
        <v>46176</v>
      </c>
      <c r="D319" t="inlineStr">
        <is>
          <t>ÖREBRO LÄN</t>
        </is>
      </c>
      <c r="E319" t="inlineStr">
        <is>
          <t>LINDESBERG</t>
        </is>
      </c>
      <c r="F319" t="inlineStr">
        <is>
          <t>Sveaskog</t>
        </is>
      </c>
      <c r="G319" t="n">
        <v>4.6</v>
      </c>
      <c r="H319" t="n">
        <v>0</v>
      </c>
      <c r="I319" t="n">
        <v>0</v>
      </c>
      <c r="J319" t="n">
        <v>0</v>
      </c>
      <c r="K319" t="n">
        <v>0</v>
      </c>
      <c r="L319" t="n">
        <v>0</v>
      </c>
      <c r="M319" t="n">
        <v>0</v>
      </c>
      <c r="N319" t="n">
        <v>0</v>
      </c>
      <c r="O319" t="n">
        <v>0</v>
      </c>
      <c r="P319" t="n">
        <v>0</v>
      </c>
      <c r="Q319" t="n">
        <v>0</v>
      </c>
      <c r="R319" s="2" t="inlineStr"/>
    </row>
    <row r="320" ht="15" customHeight="1">
      <c r="A320" t="inlineStr">
        <is>
          <t>A 34003-2025</t>
        </is>
      </c>
      <c r="B320" s="1" t="n">
        <v>45844.57527777777</v>
      </c>
      <c r="C320" s="1" t="n">
        <v>46176</v>
      </c>
      <c r="D320" t="inlineStr">
        <is>
          <t>ÖREBRO LÄN</t>
        </is>
      </c>
      <c r="E320" t="inlineStr">
        <is>
          <t>LINDESBERG</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34097-2025</t>
        </is>
      </c>
      <c r="B321" s="1" t="n">
        <v>45845.4855787037</v>
      </c>
      <c r="C321" s="1" t="n">
        <v>46176</v>
      </c>
      <c r="D321" t="inlineStr">
        <is>
          <t>ÖREBRO LÄN</t>
        </is>
      </c>
      <c r="E321" t="inlineStr">
        <is>
          <t>LINDESBERG</t>
        </is>
      </c>
      <c r="G321" t="n">
        <v>1.2</v>
      </c>
      <c r="H321" t="n">
        <v>0</v>
      </c>
      <c r="I321" t="n">
        <v>0</v>
      </c>
      <c r="J321" t="n">
        <v>0</v>
      </c>
      <c r="K321" t="n">
        <v>0</v>
      </c>
      <c r="L321" t="n">
        <v>0</v>
      </c>
      <c r="M321" t="n">
        <v>0</v>
      </c>
      <c r="N321" t="n">
        <v>0</v>
      </c>
      <c r="O321" t="n">
        <v>0</v>
      </c>
      <c r="P321" t="n">
        <v>0</v>
      </c>
      <c r="Q321" t="n">
        <v>0</v>
      </c>
      <c r="R321" s="2" t="inlineStr"/>
    </row>
    <row r="322" ht="15" customHeight="1">
      <c r="A322" t="inlineStr">
        <is>
          <t>A 34267-2025</t>
        </is>
      </c>
      <c r="B322" s="1" t="n">
        <v>45845.76005787037</v>
      </c>
      <c r="C322" s="1" t="n">
        <v>46176</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7990-2025</t>
        </is>
      </c>
      <c r="B323" s="1" t="n">
        <v>45707</v>
      </c>
      <c r="C323" s="1" t="n">
        <v>46176</v>
      </c>
      <c r="D323" t="inlineStr">
        <is>
          <t>ÖREBRO LÄN</t>
        </is>
      </c>
      <c r="E323" t="inlineStr">
        <is>
          <t>LINDESBERG</t>
        </is>
      </c>
      <c r="G323" t="n">
        <v>4.4</v>
      </c>
      <c r="H323" t="n">
        <v>0</v>
      </c>
      <c r="I323" t="n">
        <v>0</v>
      </c>
      <c r="J323" t="n">
        <v>0</v>
      </c>
      <c r="K323" t="n">
        <v>0</v>
      </c>
      <c r="L323" t="n">
        <v>0</v>
      </c>
      <c r="M323" t="n">
        <v>0</v>
      </c>
      <c r="N323" t="n">
        <v>0</v>
      </c>
      <c r="O323" t="n">
        <v>0</v>
      </c>
      <c r="P323" t="n">
        <v>0</v>
      </c>
      <c r="Q323" t="n">
        <v>0</v>
      </c>
      <c r="R323" s="2" t="inlineStr"/>
    </row>
    <row r="324" ht="15" customHeight="1">
      <c r="A324" t="inlineStr">
        <is>
          <t>A 34264-2025</t>
        </is>
      </c>
      <c r="B324" s="1" t="n">
        <v>45845.75200231482</v>
      </c>
      <c r="C324" s="1" t="n">
        <v>46176</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39429-2025</t>
        </is>
      </c>
      <c r="B325" s="1" t="n">
        <v>45889.67577546297</v>
      </c>
      <c r="C325" s="1" t="n">
        <v>46176</v>
      </c>
      <c r="D325" t="inlineStr">
        <is>
          <t>ÖREBRO LÄN</t>
        </is>
      </c>
      <c r="E325" t="inlineStr">
        <is>
          <t>LINDESBERG</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39421-2025</t>
        </is>
      </c>
      <c r="B326" s="1" t="n">
        <v>45889.66935185185</v>
      </c>
      <c r="C326" s="1" t="n">
        <v>46176</v>
      </c>
      <c r="D326" t="inlineStr">
        <is>
          <t>ÖREBRO LÄN</t>
        </is>
      </c>
      <c r="E326" t="inlineStr">
        <is>
          <t>LINDESBERG</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39424-2025</t>
        </is>
      </c>
      <c r="B327" s="1" t="n">
        <v>45889.67290509259</v>
      </c>
      <c r="C327" s="1" t="n">
        <v>46176</v>
      </c>
      <c r="D327" t="inlineStr">
        <is>
          <t>ÖREBRO LÄN</t>
        </is>
      </c>
      <c r="E327" t="inlineStr">
        <is>
          <t>LINDESBERG</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24916-2022</t>
        </is>
      </c>
      <c r="B328" s="1" t="n">
        <v>44728</v>
      </c>
      <c r="C328" s="1" t="n">
        <v>46176</v>
      </c>
      <c r="D328" t="inlineStr">
        <is>
          <t>ÖREBRO LÄN</t>
        </is>
      </c>
      <c r="E328" t="inlineStr">
        <is>
          <t>LINDESBERG</t>
        </is>
      </c>
      <c r="G328" t="n">
        <v>8.1</v>
      </c>
      <c r="H328" t="n">
        <v>0</v>
      </c>
      <c r="I328" t="n">
        <v>0</v>
      </c>
      <c r="J328" t="n">
        <v>0</v>
      </c>
      <c r="K328" t="n">
        <v>0</v>
      </c>
      <c r="L328" t="n">
        <v>0</v>
      </c>
      <c r="M328" t="n">
        <v>0</v>
      </c>
      <c r="N328" t="n">
        <v>0</v>
      </c>
      <c r="O328" t="n">
        <v>0</v>
      </c>
      <c r="P328" t="n">
        <v>0</v>
      </c>
      <c r="Q328" t="n">
        <v>0</v>
      </c>
      <c r="R328" s="2" t="inlineStr"/>
    </row>
    <row r="329" ht="15" customHeight="1">
      <c r="A329" t="inlineStr">
        <is>
          <t>A 5677-2025</t>
        </is>
      </c>
      <c r="B329" s="1" t="n">
        <v>45694</v>
      </c>
      <c r="C329" s="1" t="n">
        <v>46176</v>
      </c>
      <c r="D329" t="inlineStr">
        <is>
          <t>ÖREBRO LÄN</t>
        </is>
      </c>
      <c r="E329" t="inlineStr">
        <is>
          <t>LINDESBERG</t>
        </is>
      </c>
      <c r="G329" t="n">
        <v>1.6</v>
      </c>
      <c r="H329" t="n">
        <v>0</v>
      </c>
      <c r="I329" t="n">
        <v>0</v>
      </c>
      <c r="J329" t="n">
        <v>0</v>
      </c>
      <c r="K329" t="n">
        <v>0</v>
      </c>
      <c r="L329" t="n">
        <v>0</v>
      </c>
      <c r="M329" t="n">
        <v>0</v>
      </c>
      <c r="N329" t="n">
        <v>0</v>
      </c>
      <c r="O329" t="n">
        <v>0</v>
      </c>
      <c r="P329" t="n">
        <v>0</v>
      </c>
      <c r="Q329" t="n">
        <v>0</v>
      </c>
      <c r="R329" s="2" t="inlineStr"/>
    </row>
    <row r="330" ht="15" customHeight="1">
      <c r="A330" t="inlineStr">
        <is>
          <t>A 27134-2024</t>
        </is>
      </c>
      <c r="B330" s="1" t="n">
        <v>45471.52878472222</v>
      </c>
      <c r="C330" s="1" t="n">
        <v>46176</v>
      </c>
      <c r="D330" t="inlineStr">
        <is>
          <t>ÖREBRO LÄN</t>
        </is>
      </c>
      <c r="E330" t="inlineStr">
        <is>
          <t>LINDESBERG</t>
        </is>
      </c>
      <c r="G330" t="n">
        <v>0.7</v>
      </c>
      <c r="H330" t="n">
        <v>0</v>
      </c>
      <c r="I330" t="n">
        <v>0</v>
      </c>
      <c r="J330" t="n">
        <v>0</v>
      </c>
      <c r="K330" t="n">
        <v>0</v>
      </c>
      <c r="L330" t="n">
        <v>0</v>
      </c>
      <c r="M330" t="n">
        <v>0</v>
      </c>
      <c r="N330" t="n">
        <v>0</v>
      </c>
      <c r="O330" t="n">
        <v>0</v>
      </c>
      <c r="P330" t="n">
        <v>0</v>
      </c>
      <c r="Q330" t="n">
        <v>0</v>
      </c>
      <c r="R330" s="2" t="inlineStr"/>
    </row>
    <row r="331" ht="15" customHeight="1">
      <c r="A331" t="inlineStr">
        <is>
          <t>A 1681-2025</t>
        </is>
      </c>
      <c r="B331" s="1" t="n">
        <v>45670.69458333333</v>
      </c>
      <c r="C331" s="1" t="n">
        <v>46176</v>
      </c>
      <c r="D331" t="inlineStr">
        <is>
          <t>ÖREBRO LÄN</t>
        </is>
      </c>
      <c r="E331" t="inlineStr">
        <is>
          <t>LINDESBERG</t>
        </is>
      </c>
      <c r="G331" t="n">
        <v>1.9</v>
      </c>
      <c r="H331" t="n">
        <v>0</v>
      </c>
      <c r="I331" t="n">
        <v>0</v>
      </c>
      <c r="J331" t="n">
        <v>0</v>
      </c>
      <c r="K331" t="n">
        <v>0</v>
      </c>
      <c r="L331" t="n">
        <v>0</v>
      </c>
      <c r="M331" t="n">
        <v>0</v>
      </c>
      <c r="N331" t="n">
        <v>0</v>
      </c>
      <c r="O331" t="n">
        <v>0</v>
      </c>
      <c r="P331" t="n">
        <v>0</v>
      </c>
      <c r="Q331" t="n">
        <v>0</v>
      </c>
      <c r="R331" s="2" t="inlineStr"/>
    </row>
    <row r="332" ht="15" customHeight="1">
      <c r="A332" t="inlineStr">
        <is>
          <t>A 36670-2024</t>
        </is>
      </c>
      <c r="B332" s="1" t="n">
        <v>45537.64621527777</v>
      </c>
      <c r="C332" s="1" t="n">
        <v>46176</v>
      </c>
      <c r="D332" t="inlineStr">
        <is>
          <t>ÖREBRO LÄN</t>
        </is>
      </c>
      <c r="E332" t="inlineStr">
        <is>
          <t>LINDESBERG</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35366-2025</t>
        </is>
      </c>
      <c r="B333" s="1" t="n">
        <v>45854</v>
      </c>
      <c r="C333" s="1" t="n">
        <v>46176</v>
      </c>
      <c r="D333" t="inlineStr">
        <is>
          <t>ÖREBRO LÄN</t>
        </is>
      </c>
      <c r="E333" t="inlineStr">
        <is>
          <t>LINDESBERG</t>
        </is>
      </c>
      <c r="G333" t="n">
        <v>5.5</v>
      </c>
      <c r="H333" t="n">
        <v>0</v>
      </c>
      <c r="I333" t="n">
        <v>0</v>
      </c>
      <c r="J333" t="n">
        <v>0</v>
      </c>
      <c r="K333" t="n">
        <v>0</v>
      </c>
      <c r="L333" t="n">
        <v>0</v>
      </c>
      <c r="M333" t="n">
        <v>0</v>
      </c>
      <c r="N333" t="n">
        <v>0</v>
      </c>
      <c r="O333" t="n">
        <v>0</v>
      </c>
      <c r="P333" t="n">
        <v>0</v>
      </c>
      <c r="Q333" t="n">
        <v>0</v>
      </c>
      <c r="R333" s="2" t="inlineStr"/>
    </row>
    <row r="334" ht="15" customHeight="1">
      <c r="A334" t="inlineStr">
        <is>
          <t>A 36121-2023</t>
        </is>
      </c>
      <c r="B334" s="1" t="n">
        <v>45148</v>
      </c>
      <c r="C334" s="1" t="n">
        <v>46176</v>
      </c>
      <c r="D334" t="inlineStr">
        <is>
          <t>ÖREBRO LÄN</t>
        </is>
      </c>
      <c r="E334" t="inlineStr">
        <is>
          <t>LINDESBERG</t>
        </is>
      </c>
      <c r="G334" t="n">
        <v>7.1</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46176</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35292-2025</t>
        </is>
      </c>
      <c r="B336" s="1" t="n">
        <v>45854</v>
      </c>
      <c r="C336" s="1" t="n">
        <v>46176</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20387-2026</t>
        </is>
      </c>
      <c r="B337" s="1" t="n">
        <v>46139.71047453704</v>
      </c>
      <c r="C337" s="1" t="n">
        <v>46176</v>
      </c>
      <c r="D337" t="inlineStr">
        <is>
          <t>ÖREBRO LÄN</t>
        </is>
      </c>
      <c r="E337" t="inlineStr">
        <is>
          <t>LINDESBERG</t>
        </is>
      </c>
      <c r="G337" t="n">
        <v>1.2</v>
      </c>
      <c r="H337" t="n">
        <v>0</v>
      </c>
      <c r="I337" t="n">
        <v>0</v>
      </c>
      <c r="J337" t="n">
        <v>0</v>
      </c>
      <c r="K337" t="n">
        <v>0</v>
      </c>
      <c r="L337" t="n">
        <v>0</v>
      </c>
      <c r="M337" t="n">
        <v>0</v>
      </c>
      <c r="N337" t="n">
        <v>0</v>
      </c>
      <c r="O337" t="n">
        <v>0</v>
      </c>
      <c r="P337" t="n">
        <v>0</v>
      </c>
      <c r="Q337" t="n">
        <v>0</v>
      </c>
      <c r="R337" s="2" t="inlineStr"/>
    </row>
    <row r="338" ht="15" customHeight="1">
      <c r="A338" t="inlineStr">
        <is>
          <t>A 35710-2025</t>
        </is>
      </c>
      <c r="B338" s="1" t="n">
        <v>45860.3857175926</v>
      </c>
      <c r="C338" s="1" t="n">
        <v>46176</v>
      </c>
      <c r="D338" t="inlineStr">
        <is>
          <t>ÖREBRO LÄN</t>
        </is>
      </c>
      <c r="E338" t="inlineStr">
        <is>
          <t>LINDESBERG</t>
        </is>
      </c>
      <c r="G338" t="n">
        <v>3.2</v>
      </c>
      <c r="H338" t="n">
        <v>0</v>
      </c>
      <c r="I338" t="n">
        <v>0</v>
      </c>
      <c r="J338" t="n">
        <v>0</v>
      </c>
      <c r="K338" t="n">
        <v>0</v>
      </c>
      <c r="L338" t="n">
        <v>0</v>
      </c>
      <c r="M338" t="n">
        <v>0</v>
      </c>
      <c r="N338" t="n">
        <v>0</v>
      </c>
      <c r="O338" t="n">
        <v>0</v>
      </c>
      <c r="P338" t="n">
        <v>0</v>
      </c>
      <c r="Q338" t="n">
        <v>0</v>
      </c>
      <c r="R338" s="2" t="inlineStr"/>
    </row>
    <row r="339" ht="15" customHeight="1">
      <c r="A339" t="inlineStr">
        <is>
          <t>A 40347-2025</t>
        </is>
      </c>
      <c r="B339" s="1" t="n">
        <v>45895.4790625</v>
      </c>
      <c r="C339" s="1" t="n">
        <v>46176</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40346-2025</t>
        </is>
      </c>
      <c r="B340" s="1" t="n">
        <v>45895.47704861111</v>
      </c>
      <c r="C340" s="1" t="n">
        <v>46176</v>
      </c>
      <c r="D340" t="inlineStr">
        <is>
          <t>ÖREBRO LÄN</t>
        </is>
      </c>
      <c r="E340" t="inlineStr">
        <is>
          <t>LINDESBERG</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40351-2025</t>
        </is>
      </c>
      <c r="B341" s="1" t="n">
        <v>45895.48394675926</v>
      </c>
      <c r="C341" s="1" t="n">
        <v>46176</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35702-2025</t>
        </is>
      </c>
      <c r="B342" s="1" t="n">
        <v>45860.36222222223</v>
      </c>
      <c r="C342" s="1" t="n">
        <v>46176</v>
      </c>
      <c r="D342" t="inlineStr">
        <is>
          <t>ÖREBRO LÄN</t>
        </is>
      </c>
      <c r="E342" t="inlineStr">
        <is>
          <t>LINDESBERG</t>
        </is>
      </c>
      <c r="G342" t="n">
        <v>5.3</v>
      </c>
      <c r="H342" t="n">
        <v>0</v>
      </c>
      <c r="I342" t="n">
        <v>0</v>
      </c>
      <c r="J342" t="n">
        <v>0</v>
      </c>
      <c r="K342" t="n">
        <v>0</v>
      </c>
      <c r="L342" t="n">
        <v>0</v>
      </c>
      <c r="M342" t="n">
        <v>0</v>
      </c>
      <c r="N342" t="n">
        <v>0</v>
      </c>
      <c r="O342" t="n">
        <v>0</v>
      </c>
      <c r="P342" t="n">
        <v>0</v>
      </c>
      <c r="Q342" t="n">
        <v>0</v>
      </c>
      <c r="R342" s="2" t="inlineStr"/>
    </row>
    <row r="343" ht="15" customHeight="1">
      <c r="A343" t="inlineStr">
        <is>
          <t>A 40366-2025</t>
        </is>
      </c>
      <c r="B343" s="1" t="n">
        <v>45895.49994212963</v>
      </c>
      <c r="C343" s="1" t="n">
        <v>46176</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47304-2024</t>
        </is>
      </c>
      <c r="B344" s="1" t="n">
        <v>45587</v>
      </c>
      <c r="C344" s="1" t="n">
        <v>46176</v>
      </c>
      <c r="D344" t="inlineStr">
        <is>
          <t>ÖREBRO LÄN</t>
        </is>
      </c>
      <c r="E344" t="inlineStr">
        <is>
          <t>LINDESBERG</t>
        </is>
      </c>
      <c r="G344" t="n">
        <v>1</v>
      </c>
      <c r="H344" t="n">
        <v>0</v>
      </c>
      <c r="I344" t="n">
        <v>0</v>
      </c>
      <c r="J344" t="n">
        <v>0</v>
      </c>
      <c r="K344" t="n">
        <v>0</v>
      </c>
      <c r="L344" t="n">
        <v>0</v>
      </c>
      <c r="M344" t="n">
        <v>0</v>
      </c>
      <c r="N344" t="n">
        <v>0</v>
      </c>
      <c r="O344" t="n">
        <v>0</v>
      </c>
      <c r="P344" t="n">
        <v>0</v>
      </c>
      <c r="Q344" t="n">
        <v>0</v>
      </c>
      <c r="R344" s="2" t="inlineStr"/>
    </row>
    <row r="345" ht="15" customHeight="1">
      <c r="A345" t="inlineStr">
        <is>
          <t>A 40357-2025</t>
        </is>
      </c>
      <c r="B345" s="1" t="n">
        <v>45895.48927083334</v>
      </c>
      <c r="C345" s="1" t="n">
        <v>46176</v>
      </c>
      <c r="D345" t="inlineStr">
        <is>
          <t>ÖREBRO LÄN</t>
        </is>
      </c>
      <c r="E345" t="inlineStr">
        <is>
          <t>LINDESBERG</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44449-2023</t>
        </is>
      </c>
      <c r="B346" s="1" t="n">
        <v>45189.38135416667</v>
      </c>
      <c r="C346" s="1" t="n">
        <v>46176</v>
      </c>
      <c r="D346" t="inlineStr">
        <is>
          <t>ÖREBRO LÄN</t>
        </is>
      </c>
      <c r="E346" t="inlineStr">
        <is>
          <t>LINDESBERG</t>
        </is>
      </c>
      <c r="G346" t="n">
        <v>13.7</v>
      </c>
      <c r="H346" t="n">
        <v>0</v>
      </c>
      <c r="I346" t="n">
        <v>0</v>
      </c>
      <c r="J346" t="n">
        <v>0</v>
      </c>
      <c r="K346" t="n">
        <v>0</v>
      </c>
      <c r="L346" t="n">
        <v>0</v>
      </c>
      <c r="M346" t="n">
        <v>0</v>
      </c>
      <c r="N346" t="n">
        <v>0</v>
      </c>
      <c r="O346" t="n">
        <v>0</v>
      </c>
      <c r="P346" t="n">
        <v>0</v>
      </c>
      <c r="Q346" t="n">
        <v>0</v>
      </c>
      <c r="R346" s="2" t="inlineStr"/>
    </row>
    <row r="347" ht="15" customHeight="1">
      <c r="A347" t="inlineStr">
        <is>
          <t>A 36253-2024</t>
        </is>
      </c>
      <c r="B347" s="1" t="n">
        <v>45534.54032407407</v>
      </c>
      <c r="C347" s="1" t="n">
        <v>46176</v>
      </c>
      <c r="D347" t="inlineStr">
        <is>
          <t>ÖREBRO LÄN</t>
        </is>
      </c>
      <c r="E347" t="inlineStr">
        <is>
          <t>LINDESBERG</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30514-2025</t>
        </is>
      </c>
      <c r="B348" s="1" t="n">
        <v>45831</v>
      </c>
      <c r="C348" s="1" t="n">
        <v>46176</v>
      </c>
      <c r="D348" t="inlineStr">
        <is>
          <t>ÖREBRO LÄN</t>
        </is>
      </c>
      <c r="E348" t="inlineStr">
        <is>
          <t>LINDESBERG</t>
        </is>
      </c>
      <c r="G348" t="n">
        <v>1.6</v>
      </c>
      <c r="H348" t="n">
        <v>0</v>
      </c>
      <c r="I348" t="n">
        <v>0</v>
      </c>
      <c r="J348" t="n">
        <v>0</v>
      </c>
      <c r="K348" t="n">
        <v>0</v>
      </c>
      <c r="L348" t="n">
        <v>0</v>
      </c>
      <c r="M348" t="n">
        <v>0</v>
      </c>
      <c r="N348" t="n">
        <v>0</v>
      </c>
      <c r="O348" t="n">
        <v>0</v>
      </c>
      <c r="P348" t="n">
        <v>0</v>
      </c>
      <c r="Q348" t="n">
        <v>0</v>
      </c>
      <c r="R348" s="2" t="inlineStr"/>
    </row>
    <row r="349" ht="15" customHeight="1">
      <c r="A349" t="inlineStr">
        <is>
          <t>A 45173-2024</t>
        </is>
      </c>
      <c r="B349" s="1" t="n">
        <v>45575.65721064815</v>
      </c>
      <c r="C349" s="1" t="n">
        <v>46176</v>
      </c>
      <c r="D349" t="inlineStr">
        <is>
          <t>ÖREBRO LÄN</t>
        </is>
      </c>
      <c r="E349" t="inlineStr">
        <is>
          <t>LINDESBERG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20970-2026</t>
        </is>
      </c>
      <c r="B350" s="1" t="n">
        <v>46142.56342592592</v>
      </c>
      <c r="C350" s="1" t="n">
        <v>46176</v>
      </c>
      <c r="D350" t="inlineStr">
        <is>
          <t>ÖREBRO LÄN</t>
        </is>
      </c>
      <c r="E350" t="inlineStr">
        <is>
          <t>LINDESBERG</t>
        </is>
      </c>
      <c r="F350" t="inlineStr">
        <is>
          <t>Naturvårdsverket</t>
        </is>
      </c>
      <c r="G350" t="n">
        <v>5</v>
      </c>
      <c r="H350" t="n">
        <v>0</v>
      </c>
      <c r="I350" t="n">
        <v>0</v>
      </c>
      <c r="J350" t="n">
        <v>0</v>
      </c>
      <c r="K350" t="n">
        <v>0</v>
      </c>
      <c r="L350" t="n">
        <v>0</v>
      </c>
      <c r="M350" t="n">
        <v>0</v>
      </c>
      <c r="N350" t="n">
        <v>0</v>
      </c>
      <c r="O350" t="n">
        <v>0</v>
      </c>
      <c r="P350" t="n">
        <v>0</v>
      </c>
      <c r="Q350" t="n">
        <v>0</v>
      </c>
      <c r="R350" s="2" t="inlineStr"/>
    </row>
    <row r="351" ht="15" customHeight="1">
      <c r="A351" t="inlineStr">
        <is>
          <t>A 14034-2026</t>
        </is>
      </c>
      <c r="B351" s="1" t="n">
        <v>46098.79559027778</v>
      </c>
      <c r="C351" s="1" t="n">
        <v>46176</v>
      </c>
      <c r="D351" t="inlineStr">
        <is>
          <t>ÖREBRO LÄN</t>
        </is>
      </c>
      <c r="E351" t="inlineStr">
        <is>
          <t>LINDESBERG</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41340-2025</t>
        </is>
      </c>
      <c r="B352" s="1" t="n">
        <v>45899.38057870371</v>
      </c>
      <c r="C352" s="1" t="n">
        <v>46176</v>
      </c>
      <c r="D352" t="inlineStr">
        <is>
          <t>ÖREBRO LÄN</t>
        </is>
      </c>
      <c r="E352" t="inlineStr">
        <is>
          <t>LINDESBERG</t>
        </is>
      </c>
      <c r="G352" t="n">
        <v>16.5</v>
      </c>
      <c r="H352" t="n">
        <v>0</v>
      </c>
      <c r="I352" t="n">
        <v>0</v>
      </c>
      <c r="J352" t="n">
        <v>0</v>
      </c>
      <c r="K352" t="n">
        <v>0</v>
      </c>
      <c r="L352" t="n">
        <v>0</v>
      </c>
      <c r="M352" t="n">
        <v>0</v>
      </c>
      <c r="N352" t="n">
        <v>0</v>
      </c>
      <c r="O352" t="n">
        <v>0</v>
      </c>
      <c r="P352" t="n">
        <v>0</v>
      </c>
      <c r="Q352" t="n">
        <v>0</v>
      </c>
      <c r="R352" s="2" t="inlineStr"/>
    </row>
    <row r="353" ht="15" customHeight="1">
      <c r="A353" t="inlineStr">
        <is>
          <t>A 41027-2025</t>
        </is>
      </c>
      <c r="B353" s="1" t="n">
        <v>45898.37138888889</v>
      </c>
      <c r="C353" s="1" t="n">
        <v>46176</v>
      </c>
      <c r="D353" t="inlineStr">
        <is>
          <t>ÖREBRO LÄN</t>
        </is>
      </c>
      <c r="E353" t="inlineStr">
        <is>
          <t>LINDESBERG</t>
        </is>
      </c>
      <c r="G353" t="n">
        <v>4.7</v>
      </c>
      <c r="H353" t="n">
        <v>0</v>
      </c>
      <c r="I353" t="n">
        <v>0</v>
      </c>
      <c r="J353" t="n">
        <v>0</v>
      </c>
      <c r="K353" t="n">
        <v>0</v>
      </c>
      <c r="L353" t="n">
        <v>0</v>
      </c>
      <c r="M353" t="n">
        <v>0</v>
      </c>
      <c r="N353" t="n">
        <v>0</v>
      </c>
      <c r="O353" t="n">
        <v>0</v>
      </c>
      <c r="P353" t="n">
        <v>0</v>
      </c>
      <c r="Q353" t="n">
        <v>0</v>
      </c>
      <c r="R353" s="2" t="inlineStr"/>
    </row>
    <row r="354" ht="15" customHeight="1">
      <c r="A354" t="inlineStr">
        <is>
          <t>A 30512-2025</t>
        </is>
      </c>
      <c r="B354" s="1" t="n">
        <v>45831</v>
      </c>
      <c r="C354" s="1" t="n">
        <v>46176</v>
      </c>
      <c r="D354" t="inlineStr">
        <is>
          <t>ÖREBRO LÄN</t>
        </is>
      </c>
      <c r="E354" t="inlineStr">
        <is>
          <t>LINDESBERG</t>
        </is>
      </c>
      <c r="G354" t="n">
        <v>4.5</v>
      </c>
      <c r="H354" t="n">
        <v>0</v>
      </c>
      <c r="I354" t="n">
        <v>0</v>
      </c>
      <c r="J354" t="n">
        <v>0</v>
      </c>
      <c r="K354" t="n">
        <v>0</v>
      </c>
      <c r="L354" t="n">
        <v>0</v>
      </c>
      <c r="M354" t="n">
        <v>0</v>
      </c>
      <c r="N354" t="n">
        <v>0</v>
      </c>
      <c r="O354" t="n">
        <v>0</v>
      </c>
      <c r="P354" t="n">
        <v>0</v>
      </c>
      <c r="Q354" t="n">
        <v>0</v>
      </c>
      <c r="R354" s="2" t="inlineStr"/>
    </row>
    <row r="355" ht="15" customHeight="1">
      <c r="A355" t="inlineStr">
        <is>
          <t>A 36572-2025</t>
        </is>
      </c>
      <c r="B355" s="1" t="n">
        <v>45870</v>
      </c>
      <c r="C355" s="1" t="n">
        <v>46176</v>
      </c>
      <c r="D355" t="inlineStr">
        <is>
          <t>ÖREBRO LÄN</t>
        </is>
      </c>
      <c r="E355" t="inlineStr">
        <is>
          <t>LINDESBERG</t>
        </is>
      </c>
      <c r="G355" t="n">
        <v>11.9</v>
      </c>
      <c r="H355" t="n">
        <v>0</v>
      </c>
      <c r="I355" t="n">
        <v>0</v>
      </c>
      <c r="J355" t="n">
        <v>0</v>
      </c>
      <c r="K355" t="n">
        <v>0</v>
      </c>
      <c r="L355" t="n">
        <v>0</v>
      </c>
      <c r="M355" t="n">
        <v>0</v>
      </c>
      <c r="N355" t="n">
        <v>0</v>
      </c>
      <c r="O355" t="n">
        <v>0</v>
      </c>
      <c r="P355" t="n">
        <v>0</v>
      </c>
      <c r="Q355" t="n">
        <v>0</v>
      </c>
      <c r="R355" s="2" t="inlineStr"/>
    </row>
    <row r="356" ht="15" customHeight="1">
      <c r="A356" t="inlineStr">
        <is>
          <t>A 36574-2025</t>
        </is>
      </c>
      <c r="B356" s="1" t="n">
        <v>45870</v>
      </c>
      <c r="C356" s="1" t="n">
        <v>46176</v>
      </c>
      <c r="D356" t="inlineStr">
        <is>
          <t>ÖREBRO LÄN</t>
        </is>
      </c>
      <c r="E356" t="inlineStr">
        <is>
          <t>LINDESBERG</t>
        </is>
      </c>
      <c r="G356" t="n">
        <v>4</v>
      </c>
      <c r="H356" t="n">
        <v>0</v>
      </c>
      <c r="I356" t="n">
        <v>0</v>
      </c>
      <c r="J356" t="n">
        <v>0</v>
      </c>
      <c r="K356" t="n">
        <v>0</v>
      </c>
      <c r="L356" t="n">
        <v>0</v>
      </c>
      <c r="M356" t="n">
        <v>0</v>
      </c>
      <c r="N356" t="n">
        <v>0</v>
      </c>
      <c r="O356" t="n">
        <v>0</v>
      </c>
      <c r="P356" t="n">
        <v>0</v>
      </c>
      <c r="Q356" t="n">
        <v>0</v>
      </c>
      <c r="R356" s="2" t="inlineStr"/>
    </row>
    <row r="357" ht="15" customHeight="1">
      <c r="A357" t="inlineStr">
        <is>
          <t>A 20971-2026</t>
        </is>
      </c>
      <c r="B357" s="1" t="n">
        <v>46142.56399305556</v>
      </c>
      <c r="C357" s="1" t="n">
        <v>46176</v>
      </c>
      <c r="D357" t="inlineStr">
        <is>
          <t>ÖREBRO LÄN</t>
        </is>
      </c>
      <c r="E357" t="inlineStr">
        <is>
          <t>LINDESBERG</t>
        </is>
      </c>
      <c r="F357" t="inlineStr">
        <is>
          <t>Naturvårdsverket</t>
        </is>
      </c>
      <c r="G357" t="n">
        <v>4.5</v>
      </c>
      <c r="H357" t="n">
        <v>0</v>
      </c>
      <c r="I357" t="n">
        <v>0</v>
      </c>
      <c r="J357" t="n">
        <v>0</v>
      </c>
      <c r="K357" t="n">
        <v>0</v>
      </c>
      <c r="L357" t="n">
        <v>0</v>
      </c>
      <c r="M357" t="n">
        <v>0</v>
      </c>
      <c r="N357" t="n">
        <v>0</v>
      </c>
      <c r="O357" t="n">
        <v>0</v>
      </c>
      <c r="P357" t="n">
        <v>0</v>
      </c>
      <c r="Q357" t="n">
        <v>0</v>
      </c>
      <c r="R357" s="2" t="inlineStr"/>
    </row>
    <row r="358" ht="15" customHeight="1">
      <c r="A358" t="inlineStr">
        <is>
          <t>A 36577-2025</t>
        </is>
      </c>
      <c r="B358" s="1" t="n">
        <v>45870</v>
      </c>
      <c r="C358" s="1" t="n">
        <v>46176</v>
      </c>
      <c r="D358" t="inlineStr">
        <is>
          <t>ÖREBRO LÄN</t>
        </is>
      </c>
      <c r="E358" t="inlineStr">
        <is>
          <t>LINDESBERG</t>
        </is>
      </c>
      <c r="G358" t="n">
        <v>3.7</v>
      </c>
      <c r="H358" t="n">
        <v>0</v>
      </c>
      <c r="I358" t="n">
        <v>0</v>
      </c>
      <c r="J358" t="n">
        <v>0</v>
      </c>
      <c r="K358" t="n">
        <v>0</v>
      </c>
      <c r="L358" t="n">
        <v>0</v>
      </c>
      <c r="M358" t="n">
        <v>0</v>
      </c>
      <c r="N358" t="n">
        <v>0</v>
      </c>
      <c r="O358" t="n">
        <v>0</v>
      </c>
      <c r="P358" t="n">
        <v>0</v>
      </c>
      <c r="Q358" t="n">
        <v>0</v>
      </c>
      <c r="R358" s="2" t="inlineStr"/>
    </row>
    <row r="359" ht="15" customHeight="1">
      <c r="A359" t="inlineStr">
        <is>
          <t>A 2103-2022</t>
        </is>
      </c>
      <c r="B359" s="1" t="n">
        <v>44577.81121527778</v>
      </c>
      <c r="C359" s="1" t="n">
        <v>46176</v>
      </c>
      <c r="D359" t="inlineStr">
        <is>
          <t>ÖREBRO LÄN</t>
        </is>
      </c>
      <c r="E359" t="inlineStr">
        <is>
          <t>LINDESBERG</t>
        </is>
      </c>
      <c r="G359" t="n">
        <v>1.4</v>
      </c>
      <c r="H359" t="n">
        <v>0</v>
      </c>
      <c r="I359" t="n">
        <v>0</v>
      </c>
      <c r="J359" t="n">
        <v>0</v>
      </c>
      <c r="K359" t="n">
        <v>0</v>
      </c>
      <c r="L359" t="n">
        <v>0</v>
      </c>
      <c r="M359" t="n">
        <v>0</v>
      </c>
      <c r="N359" t="n">
        <v>0</v>
      </c>
      <c r="O359" t="n">
        <v>0</v>
      </c>
      <c r="P359" t="n">
        <v>0</v>
      </c>
      <c r="Q359" t="n">
        <v>0</v>
      </c>
      <c r="R359" s="2" t="inlineStr"/>
    </row>
    <row r="360" ht="15" customHeight="1">
      <c r="A360" t="inlineStr">
        <is>
          <t>A 15050-2026</t>
        </is>
      </c>
      <c r="B360" s="1" t="n">
        <v>46104.67331018519</v>
      </c>
      <c r="C360" s="1" t="n">
        <v>46176</v>
      </c>
      <c r="D360" t="inlineStr">
        <is>
          <t>ÖREBRO LÄN</t>
        </is>
      </c>
      <c r="E360" t="inlineStr">
        <is>
          <t>LINDESBERG</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14680-2026</t>
        </is>
      </c>
      <c r="B361" s="1" t="n">
        <v>46101.48212962963</v>
      </c>
      <c r="C361" s="1" t="n">
        <v>46176</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36579-2025</t>
        </is>
      </c>
      <c r="B362" s="1" t="n">
        <v>45870</v>
      </c>
      <c r="C362" s="1" t="n">
        <v>46176</v>
      </c>
      <c r="D362" t="inlineStr">
        <is>
          <t>ÖREBRO LÄN</t>
        </is>
      </c>
      <c r="E362" t="inlineStr">
        <is>
          <t>LINDESBERG</t>
        </is>
      </c>
      <c r="G362" t="n">
        <v>6</v>
      </c>
      <c r="H362" t="n">
        <v>0</v>
      </c>
      <c r="I362" t="n">
        <v>0</v>
      </c>
      <c r="J362" t="n">
        <v>0</v>
      </c>
      <c r="K362" t="n">
        <v>0</v>
      </c>
      <c r="L362" t="n">
        <v>0</v>
      </c>
      <c r="M362" t="n">
        <v>0</v>
      </c>
      <c r="N362" t="n">
        <v>0</v>
      </c>
      <c r="O362" t="n">
        <v>0</v>
      </c>
      <c r="P362" t="n">
        <v>0</v>
      </c>
      <c r="Q362" t="n">
        <v>0</v>
      </c>
      <c r="R362" s="2" t="inlineStr"/>
    </row>
    <row r="363" ht="15" customHeight="1">
      <c r="A363" t="inlineStr">
        <is>
          <t>A 41889-2025</t>
        </is>
      </c>
      <c r="B363" s="1" t="n">
        <v>45903.37475694445</v>
      </c>
      <c r="C363" s="1" t="n">
        <v>46176</v>
      </c>
      <c r="D363" t="inlineStr">
        <is>
          <t>ÖREBRO LÄN</t>
        </is>
      </c>
      <c r="E363" t="inlineStr">
        <is>
          <t>LINDESBERG</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21084-2026</t>
        </is>
      </c>
      <c r="B364" s="1" t="n">
        <v>46146.43534722222</v>
      </c>
      <c r="C364" s="1" t="n">
        <v>46176</v>
      </c>
      <c r="D364" t="inlineStr">
        <is>
          <t>ÖREBRO LÄN</t>
        </is>
      </c>
      <c r="E364" t="inlineStr">
        <is>
          <t>LINDESBERG</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41653-2025</t>
        </is>
      </c>
      <c r="B365" s="1" t="n">
        <v>45902.3406712963</v>
      </c>
      <c r="C365" s="1" t="n">
        <v>46176</v>
      </c>
      <c r="D365" t="inlineStr">
        <is>
          <t>ÖREBRO LÄN</t>
        </is>
      </c>
      <c r="E365" t="inlineStr">
        <is>
          <t>LINDESBERG</t>
        </is>
      </c>
      <c r="G365" t="n">
        <v>1.5</v>
      </c>
      <c r="H365" t="n">
        <v>0</v>
      </c>
      <c r="I365" t="n">
        <v>0</v>
      </c>
      <c r="J365" t="n">
        <v>0</v>
      </c>
      <c r="K365" t="n">
        <v>0</v>
      </c>
      <c r="L365" t="n">
        <v>0</v>
      </c>
      <c r="M365" t="n">
        <v>0</v>
      </c>
      <c r="N365" t="n">
        <v>0</v>
      </c>
      <c r="O365" t="n">
        <v>0</v>
      </c>
      <c r="P365" t="n">
        <v>0</v>
      </c>
      <c r="Q365" t="n">
        <v>0</v>
      </c>
      <c r="R365" s="2" t="inlineStr"/>
    </row>
    <row r="366" ht="15" customHeight="1">
      <c r="A366" t="inlineStr">
        <is>
          <t>A 13968-2025</t>
        </is>
      </c>
      <c r="B366" s="1" t="n">
        <v>45738.42981481482</v>
      </c>
      <c r="C366" s="1" t="n">
        <v>46176</v>
      </c>
      <c r="D366" t="inlineStr">
        <is>
          <t>ÖREBRO LÄN</t>
        </is>
      </c>
      <c r="E366" t="inlineStr">
        <is>
          <t>LINDESBERG</t>
        </is>
      </c>
      <c r="G366" t="n">
        <v>1.5</v>
      </c>
      <c r="H366" t="n">
        <v>0</v>
      </c>
      <c r="I366" t="n">
        <v>0</v>
      </c>
      <c r="J366" t="n">
        <v>0</v>
      </c>
      <c r="K366" t="n">
        <v>0</v>
      </c>
      <c r="L366" t="n">
        <v>0</v>
      </c>
      <c r="M366" t="n">
        <v>0</v>
      </c>
      <c r="N366" t="n">
        <v>0</v>
      </c>
      <c r="O366" t="n">
        <v>0</v>
      </c>
      <c r="P366" t="n">
        <v>0</v>
      </c>
      <c r="Q366" t="n">
        <v>0</v>
      </c>
      <c r="R366" s="2" t="inlineStr"/>
    </row>
    <row r="367" ht="15" customHeight="1">
      <c r="A367" t="inlineStr">
        <is>
          <t>A 36859-2025</t>
        </is>
      </c>
      <c r="B367" s="1" t="n">
        <v>45874.40503472222</v>
      </c>
      <c r="C367" s="1" t="n">
        <v>46176</v>
      </c>
      <c r="D367" t="inlineStr">
        <is>
          <t>ÖREBRO LÄN</t>
        </is>
      </c>
      <c r="E367" t="inlineStr">
        <is>
          <t>LINDESBERG</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33424-2024</t>
        </is>
      </c>
      <c r="B368" s="1" t="n">
        <v>45519.51627314815</v>
      </c>
      <c r="C368" s="1" t="n">
        <v>46176</v>
      </c>
      <c r="D368" t="inlineStr">
        <is>
          <t>ÖREBRO LÄN</t>
        </is>
      </c>
      <c r="E368" t="inlineStr">
        <is>
          <t>LINDESBERG</t>
        </is>
      </c>
      <c r="F368" t="inlineStr">
        <is>
          <t>Sveaskog</t>
        </is>
      </c>
      <c r="G368" t="n">
        <v>0.1</v>
      </c>
      <c r="H368" t="n">
        <v>0</v>
      </c>
      <c r="I368" t="n">
        <v>0</v>
      </c>
      <c r="J368" t="n">
        <v>0</v>
      </c>
      <c r="K368" t="n">
        <v>0</v>
      </c>
      <c r="L368" t="n">
        <v>0</v>
      </c>
      <c r="M368" t="n">
        <v>0</v>
      </c>
      <c r="N368" t="n">
        <v>0</v>
      </c>
      <c r="O368" t="n">
        <v>0</v>
      </c>
      <c r="P368" t="n">
        <v>0</v>
      </c>
      <c r="Q368" t="n">
        <v>0</v>
      </c>
      <c r="R368" s="2" t="inlineStr"/>
    </row>
    <row r="369" ht="15" customHeight="1">
      <c r="A369" t="inlineStr">
        <is>
          <t>A 57911-2022</t>
        </is>
      </c>
      <c r="B369" s="1" t="n">
        <v>44900.36149305556</v>
      </c>
      <c r="C369" s="1" t="n">
        <v>46176</v>
      </c>
      <c r="D369" t="inlineStr">
        <is>
          <t>ÖREBRO LÄN</t>
        </is>
      </c>
      <c r="E369" t="inlineStr">
        <is>
          <t>LINDESBERG</t>
        </is>
      </c>
      <c r="G369" t="n">
        <v>4.9</v>
      </c>
      <c r="H369" t="n">
        <v>0</v>
      </c>
      <c r="I369" t="n">
        <v>0</v>
      </c>
      <c r="J369" t="n">
        <v>0</v>
      </c>
      <c r="K369" t="n">
        <v>0</v>
      </c>
      <c r="L369" t="n">
        <v>0</v>
      </c>
      <c r="M369" t="n">
        <v>0</v>
      </c>
      <c r="N369" t="n">
        <v>0</v>
      </c>
      <c r="O369" t="n">
        <v>0</v>
      </c>
      <c r="P369" t="n">
        <v>0</v>
      </c>
      <c r="Q369" t="n">
        <v>0</v>
      </c>
      <c r="R369" s="2" t="inlineStr"/>
    </row>
    <row r="370" ht="15" customHeight="1">
      <c r="A370" t="inlineStr">
        <is>
          <t>A 37497-2025</t>
        </is>
      </c>
      <c r="B370" s="1" t="n">
        <v>45877.64431712963</v>
      </c>
      <c r="C370" s="1" t="n">
        <v>46176</v>
      </c>
      <c r="D370" t="inlineStr">
        <is>
          <t>ÖREBRO LÄN</t>
        </is>
      </c>
      <c r="E370" t="inlineStr">
        <is>
          <t>LINDESBERG</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37490-2025</t>
        </is>
      </c>
      <c r="B371" s="1" t="n">
        <v>45877.63989583333</v>
      </c>
      <c r="C371" s="1" t="n">
        <v>46176</v>
      </c>
      <c r="D371" t="inlineStr">
        <is>
          <t>ÖREBRO LÄN</t>
        </is>
      </c>
      <c r="E371" t="inlineStr">
        <is>
          <t>LINDESBERG</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37491-2025</t>
        </is>
      </c>
      <c r="B372" s="1" t="n">
        <v>45877.64144675926</v>
      </c>
      <c r="C372" s="1" t="n">
        <v>46176</v>
      </c>
      <c r="D372" t="inlineStr">
        <is>
          <t>ÖREBRO LÄN</t>
        </is>
      </c>
      <c r="E372" t="inlineStr">
        <is>
          <t>LINDESBERG</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37499-2025</t>
        </is>
      </c>
      <c r="B373" s="1" t="n">
        <v>45877.64605324074</v>
      </c>
      <c r="C373" s="1" t="n">
        <v>46176</v>
      </c>
      <c r="D373" t="inlineStr">
        <is>
          <t>ÖREBRO LÄN</t>
        </is>
      </c>
      <c r="E373" t="inlineStr">
        <is>
          <t>LINDESBERG</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37503-2025</t>
        </is>
      </c>
      <c r="B374" s="1" t="n">
        <v>45877.65075231482</v>
      </c>
      <c r="C374" s="1" t="n">
        <v>46176</v>
      </c>
      <c r="D374" t="inlineStr">
        <is>
          <t>ÖREBRO LÄN</t>
        </is>
      </c>
      <c r="E374" t="inlineStr">
        <is>
          <t>LINDESBERG</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37501-2025</t>
        </is>
      </c>
      <c r="B375" s="1" t="n">
        <v>45877.64847222222</v>
      </c>
      <c r="C375" s="1" t="n">
        <v>46176</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28032-2023</t>
        </is>
      </c>
      <c r="B376" s="1" t="n">
        <v>45099</v>
      </c>
      <c r="C376" s="1" t="n">
        <v>46176</v>
      </c>
      <c r="D376" t="inlineStr">
        <is>
          <t>ÖREBRO LÄN</t>
        </is>
      </c>
      <c r="E376" t="inlineStr">
        <is>
          <t>LINDESBERG</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62608-2021</t>
        </is>
      </c>
      <c r="B377" s="1" t="n">
        <v>44503</v>
      </c>
      <c r="C377" s="1" t="n">
        <v>46176</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37500-2025</t>
        </is>
      </c>
      <c r="B378" s="1" t="n">
        <v>45877.64776620371</v>
      </c>
      <c r="C378" s="1" t="n">
        <v>46176</v>
      </c>
      <c r="D378" t="inlineStr">
        <is>
          <t>ÖREBRO LÄN</t>
        </is>
      </c>
      <c r="E378" t="inlineStr">
        <is>
          <t>LINDESBERG</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37301-2025</t>
        </is>
      </c>
      <c r="B379" s="1" t="n">
        <v>45876.59166666667</v>
      </c>
      <c r="C379" s="1" t="n">
        <v>46176</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37492-2025</t>
        </is>
      </c>
      <c r="B380" s="1" t="n">
        <v>45877.64230324074</v>
      </c>
      <c r="C380" s="1" t="n">
        <v>46176</v>
      </c>
      <c r="D380" t="inlineStr">
        <is>
          <t>ÖREBRO LÄN</t>
        </is>
      </c>
      <c r="E380" t="inlineStr">
        <is>
          <t>LINDESBERG</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73860-2021</t>
        </is>
      </c>
      <c r="B381" s="1" t="n">
        <v>44553.35407407407</v>
      </c>
      <c r="C381" s="1" t="n">
        <v>46176</v>
      </c>
      <c r="D381" t="inlineStr">
        <is>
          <t>ÖREBRO LÄN</t>
        </is>
      </c>
      <c r="E381" t="inlineStr">
        <is>
          <t>LINDESBERG</t>
        </is>
      </c>
      <c r="G381" t="n">
        <v>12.7</v>
      </c>
      <c r="H381" t="n">
        <v>0</v>
      </c>
      <c r="I381" t="n">
        <v>0</v>
      </c>
      <c r="J381" t="n">
        <v>0</v>
      </c>
      <c r="K381" t="n">
        <v>0</v>
      </c>
      <c r="L381" t="n">
        <v>0</v>
      </c>
      <c r="M381" t="n">
        <v>0</v>
      </c>
      <c r="N381" t="n">
        <v>0</v>
      </c>
      <c r="O381" t="n">
        <v>0</v>
      </c>
      <c r="P381" t="n">
        <v>0</v>
      </c>
      <c r="Q381" t="n">
        <v>0</v>
      </c>
      <c r="R381" s="2" t="inlineStr"/>
    </row>
    <row r="382" ht="15" customHeight="1">
      <c r="A382" t="inlineStr">
        <is>
          <t>A 49094-2024</t>
        </is>
      </c>
      <c r="B382" s="1" t="n">
        <v>45594.63747685185</v>
      </c>
      <c r="C382" s="1" t="n">
        <v>46176</v>
      </c>
      <c r="D382" t="inlineStr">
        <is>
          <t>ÖREBRO LÄN</t>
        </is>
      </c>
      <c r="E382" t="inlineStr">
        <is>
          <t>LINDESBERG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3803-2023</t>
        </is>
      </c>
      <c r="B383" s="1" t="n">
        <v>44951.5830324074</v>
      </c>
      <c r="C383" s="1" t="n">
        <v>46176</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11581-2024</t>
        </is>
      </c>
      <c r="B384" s="1" t="n">
        <v>45373.34383101852</v>
      </c>
      <c r="C384" s="1" t="n">
        <v>46176</v>
      </c>
      <c r="D384" t="inlineStr">
        <is>
          <t>ÖREBRO LÄN</t>
        </is>
      </c>
      <c r="E384" t="inlineStr">
        <is>
          <t>LINDESBERG</t>
        </is>
      </c>
      <c r="F384" t="inlineStr">
        <is>
          <t>BillerudKorsnäs AB</t>
        </is>
      </c>
      <c r="G384" t="n">
        <v>3.9</v>
      </c>
      <c r="H384" t="n">
        <v>0</v>
      </c>
      <c r="I384" t="n">
        <v>0</v>
      </c>
      <c r="J384" t="n">
        <v>0</v>
      </c>
      <c r="K384" t="n">
        <v>0</v>
      </c>
      <c r="L384" t="n">
        <v>0</v>
      </c>
      <c r="M384" t="n">
        <v>0</v>
      </c>
      <c r="N384" t="n">
        <v>0</v>
      </c>
      <c r="O384" t="n">
        <v>0</v>
      </c>
      <c r="P384" t="n">
        <v>0</v>
      </c>
      <c r="Q384" t="n">
        <v>0</v>
      </c>
      <c r="R384" s="2" t="inlineStr"/>
    </row>
    <row r="385" ht="15" customHeight="1">
      <c r="A385" t="inlineStr">
        <is>
          <t>A 37837-2025</t>
        </is>
      </c>
      <c r="B385" s="1" t="n">
        <v>45881.42791666667</v>
      </c>
      <c r="C385" s="1" t="n">
        <v>46176</v>
      </c>
      <c r="D385" t="inlineStr">
        <is>
          <t>ÖREBRO LÄN</t>
        </is>
      </c>
      <c r="E385" t="inlineStr">
        <is>
          <t>LINDESBERG</t>
        </is>
      </c>
      <c r="G385" t="n">
        <v>1.3</v>
      </c>
      <c r="H385" t="n">
        <v>0</v>
      </c>
      <c r="I385" t="n">
        <v>0</v>
      </c>
      <c r="J385" t="n">
        <v>0</v>
      </c>
      <c r="K385" t="n">
        <v>0</v>
      </c>
      <c r="L385" t="n">
        <v>0</v>
      </c>
      <c r="M385" t="n">
        <v>0</v>
      </c>
      <c r="N385" t="n">
        <v>0</v>
      </c>
      <c r="O385" t="n">
        <v>0</v>
      </c>
      <c r="P385" t="n">
        <v>0</v>
      </c>
      <c r="Q385" t="n">
        <v>0</v>
      </c>
      <c r="R385" s="2" t="inlineStr"/>
    </row>
    <row r="386" ht="15" customHeight="1">
      <c r="A386" t="inlineStr">
        <is>
          <t>A 37602-2025</t>
        </is>
      </c>
      <c r="B386" s="1" t="n">
        <v>45880</v>
      </c>
      <c r="C386" s="1" t="n">
        <v>46176</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37625-2025</t>
        </is>
      </c>
      <c r="B387" s="1" t="n">
        <v>45880.46056712963</v>
      </c>
      <c r="C387" s="1" t="n">
        <v>46176</v>
      </c>
      <c r="D387" t="inlineStr">
        <is>
          <t>ÖREBRO LÄN</t>
        </is>
      </c>
      <c r="E387" t="inlineStr">
        <is>
          <t>LINDESBERG</t>
        </is>
      </c>
      <c r="G387" t="n">
        <v>12.5</v>
      </c>
      <c r="H387" t="n">
        <v>0</v>
      </c>
      <c r="I387" t="n">
        <v>0</v>
      </c>
      <c r="J387" t="n">
        <v>0</v>
      </c>
      <c r="K387" t="n">
        <v>0</v>
      </c>
      <c r="L387" t="n">
        <v>0</v>
      </c>
      <c r="M387" t="n">
        <v>0</v>
      </c>
      <c r="N387" t="n">
        <v>0</v>
      </c>
      <c r="O387" t="n">
        <v>0</v>
      </c>
      <c r="P387" t="n">
        <v>0</v>
      </c>
      <c r="Q387" t="n">
        <v>0</v>
      </c>
      <c r="R387" s="2" t="inlineStr"/>
    </row>
    <row r="388" ht="15" customHeight="1">
      <c r="A388" t="inlineStr">
        <is>
          <t>A 37552-2025</t>
        </is>
      </c>
      <c r="B388" s="1" t="n">
        <v>45880.28673611111</v>
      </c>
      <c r="C388" s="1" t="n">
        <v>46176</v>
      </c>
      <c r="D388" t="inlineStr">
        <is>
          <t>ÖREBRO LÄN</t>
        </is>
      </c>
      <c r="E388" t="inlineStr">
        <is>
          <t>LINDESBERG</t>
        </is>
      </c>
      <c r="G388" t="n">
        <v>1.4</v>
      </c>
      <c r="H388" t="n">
        <v>0</v>
      </c>
      <c r="I388" t="n">
        <v>0</v>
      </c>
      <c r="J388" t="n">
        <v>0</v>
      </c>
      <c r="K388" t="n">
        <v>0</v>
      </c>
      <c r="L388" t="n">
        <v>0</v>
      </c>
      <c r="M388" t="n">
        <v>0</v>
      </c>
      <c r="N388" t="n">
        <v>0</v>
      </c>
      <c r="O388" t="n">
        <v>0</v>
      </c>
      <c r="P388" t="n">
        <v>0</v>
      </c>
      <c r="Q388" t="n">
        <v>0</v>
      </c>
      <c r="R388" s="2" t="inlineStr"/>
    </row>
    <row r="389" ht="15" customHeight="1">
      <c r="A389" t="inlineStr">
        <is>
          <t>A 15126-2026</t>
        </is>
      </c>
      <c r="B389" s="1" t="n">
        <v>46105.37195601852</v>
      </c>
      <c r="C389" s="1" t="n">
        <v>46176</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33507-2023</t>
        </is>
      </c>
      <c r="B390" s="1" t="n">
        <v>45131</v>
      </c>
      <c r="C390" s="1" t="n">
        <v>46176</v>
      </c>
      <c r="D390" t="inlineStr">
        <is>
          <t>ÖREBRO LÄN</t>
        </is>
      </c>
      <c r="E390" t="inlineStr">
        <is>
          <t>LINDESBERG</t>
        </is>
      </c>
      <c r="G390" t="n">
        <v>3.2</v>
      </c>
      <c r="H390" t="n">
        <v>0</v>
      </c>
      <c r="I390" t="n">
        <v>0</v>
      </c>
      <c r="J390" t="n">
        <v>0</v>
      </c>
      <c r="K390" t="n">
        <v>0</v>
      </c>
      <c r="L390" t="n">
        <v>0</v>
      </c>
      <c r="M390" t="n">
        <v>0</v>
      </c>
      <c r="N390" t="n">
        <v>0</v>
      </c>
      <c r="O390" t="n">
        <v>0</v>
      </c>
      <c r="P390" t="n">
        <v>0</v>
      </c>
      <c r="Q390" t="n">
        <v>0</v>
      </c>
      <c r="R390" s="2" t="inlineStr"/>
    </row>
    <row r="391" ht="15" customHeight="1">
      <c r="A391" t="inlineStr">
        <is>
          <t>A 37935-2025</t>
        </is>
      </c>
      <c r="B391" s="1" t="n">
        <v>45881.59550925926</v>
      </c>
      <c r="C391" s="1" t="n">
        <v>46176</v>
      </c>
      <c r="D391" t="inlineStr">
        <is>
          <t>ÖREBRO LÄN</t>
        </is>
      </c>
      <c r="E391" t="inlineStr">
        <is>
          <t>LINDESBERG</t>
        </is>
      </c>
      <c r="G391" t="n">
        <v>5.1</v>
      </c>
      <c r="H391" t="n">
        <v>0</v>
      </c>
      <c r="I391" t="n">
        <v>0</v>
      </c>
      <c r="J391" t="n">
        <v>0</v>
      </c>
      <c r="K391" t="n">
        <v>0</v>
      </c>
      <c r="L391" t="n">
        <v>0</v>
      </c>
      <c r="M391" t="n">
        <v>0</v>
      </c>
      <c r="N391" t="n">
        <v>0</v>
      </c>
      <c r="O391" t="n">
        <v>0</v>
      </c>
      <c r="P391" t="n">
        <v>0</v>
      </c>
      <c r="Q391" t="n">
        <v>0</v>
      </c>
      <c r="R391" s="2" t="inlineStr"/>
    </row>
    <row r="392" ht="15" customHeight="1">
      <c r="A392" t="inlineStr">
        <is>
          <t>A 24030-2023</t>
        </is>
      </c>
      <c r="B392" s="1" t="n">
        <v>45078.82620370371</v>
      </c>
      <c r="C392" s="1" t="n">
        <v>46176</v>
      </c>
      <c r="D392" t="inlineStr">
        <is>
          <t>ÖREBRO LÄN</t>
        </is>
      </c>
      <c r="E392" t="inlineStr">
        <is>
          <t>LINDESBERG</t>
        </is>
      </c>
      <c r="G392" t="n">
        <v>1.5</v>
      </c>
      <c r="H392" t="n">
        <v>0</v>
      </c>
      <c r="I392" t="n">
        <v>0</v>
      </c>
      <c r="J392" t="n">
        <v>0</v>
      </c>
      <c r="K392" t="n">
        <v>0</v>
      </c>
      <c r="L392" t="n">
        <v>0</v>
      </c>
      <c r="M392" t="n">
        <v>0</v>
      </c>
      <c r="N392" t="n">
        <v>0</v>
      </c>
      <c r="O392" t="n">
        <v>0</v>
      </c>
      <c r="P392" t="n">
        <v>0</v>
      </c>
      <c r="Q392" t="n">
        <v>0</v>
      </c>
      <c r="R392" s="2" t="inlineStr"/>
    </row>
    <row r="393" ht="15" customHeight="1">
      <c r="A393" t="inlineStr">
        <is>
          <t>A 42630-2025</t>
        </is>
      </c>
      <c r="B393" s="1" t="n">
        <v>45905.89143518519</v>
      </c>
      <c r="C393" s="1" t="n">
        <v>46176</v>
      </c>
      <c r="D393" t="inlineStr">
        <is>
          <t>ÖREBRO LÄN</t>
        </is>
      </c>
      <c r="E393" t="inlineStr">
        <is>
          <t>LINDESBERG</t>
        </is>
      </c>
      <c r="F393" t="inlineStr">
        <is>
          <t>Sveaskog</t>
        </is>
      </c>
      <c r="G393" t="n">
        <v>9.9</v>
      </c>
      <c r="H393" t="n">
        <v>0</v>
      </c>
      <c r="I393" t="n">
        <v>0</v>
      </c>
      <c r="J393" t="n">
        <v>0</v>
      </c>
      <c r="K393" t="n">
        <v>0</v>
      </c>
      <c r="L393" t="n">
        <v>0</v>
      </c>
      <c r="M393" t="n">
        <v>0</v>
      </c>
      <c r="N393" t="n">
        <v>0</v>
      </c>
      <c r="O393" t="n">
        <v>0</v>
      </c>
      <c r="P393" t="n">
        <v>0</v>
      </c>
      <c r="Q393" t="n">
        <v>0</v>
      </c>
      <c r="R393" s="2" t="inlineStr"/>
    </row>
    <row r="394" ht="15" customHeight="1">
      <c r="A394" t="inlineStr">
        <is>
          <t>A 21986-2023</t>
        </is>
      </c>
      <c r="B394" s="1" t="n">
        <v>45068</v>
      </c>
      <c r="C394" s="1" t="n">
        <v>46176</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37553-2025</t>
        </is>
      </c>
      <c r="B395" s="1" t="n">
        <v>45880.3172337963</v>
      </c>
      <c r="C395" s="1" t="n">
        <v>46176</v>
      </c>
      <c r="D395" t="inlineStr">
        <is>
          <t>ÖREBRO LÄN</t>
        </is>
      </c>
      <c r="E395" t="inlineStr">
        <is>
          <t>LINDESBERG</t>
        </is>
      </c>
      <c r="G395" t="n">
        <v>0.6</v>
      </c>
      <c r="H395" t="n">
        <v>0</v>
      </c>
      <c r="I395" t="n">
        <v>0</v>
      </c>
      <c r="J395" t="n">
        <v>0</v>
      </c>
      <c r="K395" t="n">
        <v>0</v>
      </c>
      <c r="L395" t="n">
        <v>0</v>
      </c>
      <c r="M395" t="n">
        <v>0</v>
      </c>
      <c r="N395" t="n">
        <v>0</v>
      </c>
      <c r="O395" t="n">
        <v>0</v>
      </c>
      <c r="P395" t="n">
        <v>0</v>
      </c>
      <c r="Q395" t="n">
        <v>0</v>
      </c>
      <c r="R395" s="2" t="inlineStr"/>
    </row>
    <row r="396" ht="15" customHeight="1">
      <c r="A396" t="inlineStr">
        <is>
          <t>A 42631-2025</t>
        </is>
      </c>
      <c r="B396" s="1" t="n">
        <v>45905.89236111111</v>
      </c>
      <c r="C396" s="1" t="n">
        <v>46176</v>
      </c>
      <c r="D396" t="inlineStr">
        <is>
          <t>ÖREBRO LÄN</t>
        </is>
      </c>
      <c r="E396" t="inlineStr">
        <is>
          <t>LINDESBERG</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16092-2026</t>
        </is>
      </c>
      <c r="B397" s="1" t="n">
        <v>46108</v>
      </c>
      <c r="C397" s="1" t="n">
        <v>46176</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44010-2023</t>
        </is>
      </c>
      <c r="B398" s="1" t="n">
        <v>45188</v>
      </c>
      <c r="C398" s="1" t="n">
        <v>46176</v>
      </c>
      <c r="D398" t="inlineStr">
        <is>
          <t>ÖREBRO LÄN</t>
        </is>
      </c>
      <c r="E398" t="inlineStr">
        <is>
          <t>LINDESBERG</t>
        </is>
      </c>
      <c r="G398" t="n">
        <v>2.3</v>
      </c>
      <c r="H398" t="n">
        <v>0</v>
      </c>
      <c r="I398" t="n">
        <v>0</v>
      </c>
      <c r="J398" t="n">
        <v>0</v>
      </c>
      <c r="K398" t="n">
        <v>0</v>
      </c>
      <c r="L398" t="n">
        <v>0</v>
      </c>
      <c r="M398" t="n">
        <v>0</v>
      </c>
      <c r="N398" t="n">
        <v>0</v>
      </c>
      <c r="O398" t="n">
        <v>0</v>
      </c>
      <c r="P398" t="n">
        <v>0</v>
      </c>
      <c r="Q398" t="n">
        <v>0</v>
      </c>
      <c r="R398" s="2" t="inlineStr"/>
    </row>
    <row r="399" ht="15" customHeight="1">
      <c r="A399" t="inlineStr">
        <is>
          <t>A 21796-2026</t>
        </is>
      </c>
      <c r="B399" s="1" t="n">
        <v>46150.42483796296</v>
      </c>
      <c r="C399" s="1" t="n">
        <v>46176</v>
      </c>
      <c r="D399" t="inlineStr">
        <is>
          <t>ÖREBRO LÄN</t>
        </is>
      </c>
      <c r="E399" t="inlineStr">
        <is>
          <t>LINDESBERG</t>
        </is>
      </c>
      <c r="F399" t="inlineStr">
        <is>
          <t>Naturvårdsverket</t>
        </is>
      </c>
      <c r="G399" t="n">
        <v>5.1</v>
      </c>
      <c r="H399" t="n">
        <v>0</v>
      </c>
      <c r="I399" t="n">
        <v>0</v>
      </c>
      <c r="J399" t="n">
        <v>0</v>
      </c>
      <c r="K399" t="n">
        <v>0</v>
      </c>
      <c r="L399" t="n">
        <v>0</v>
      </c>
      <c r="M399" t="n">
        <v>0</v>
      </c>
      <c r="N399" t="n">
        <v>0</v>
      </c>
      <c r="O399" t="n">
        <v>0</v>
      </c>
      <c r="P399" t="n">
        <v>0</v>
      </c>
      <c r="Q399" t="n">
        <v>0</v>
      </c>
      <c r="R399" s="2" t="inlineStr"/>
    </row>
    <row r="400" ht="15" customHeight="1">
      <c r="A400" t="inlineStr">
        <is>
          <t>A 16090-2026</t>
        </is>
      </c>
      <c r="B400" s="1" t="n">
        <v>46108</v>
      </c>
      <c r="C400" s="1" t="n">
        <v>46176</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16094-2026</t>
        </is>
      </c>
      <c r="B401" s="1" t="n">
        <v>46108</v>
      </c>
      <c r="C401" s="1" t="n">
        <v>46176</v>
      </c>
      <c r="D401" t="inlineStr">
        <is>
          <t>ÖREBRO LÄN</t>
        </is>
      </c>
      <c r="E401" t="inlineStr">
        <is>
          <t>LINDESBERG</t>
        </is>
      </c>
      <c r="G401" t="n">
        <v>3.9</v>
      </c>
      <c r="H401" t="n">
        <v>0</v>
      </c>
      <c r="I401" t="n">
        <v>0</v>
      </c>
      <c r="J401" t="n">
        <v>0</v>
      </c>
      <c r="K401" t="n">
        <v>0</v>
      </c>
      <c r="L401" t="n">
        <v>0</v>
      </c>
      <c r="M401" t="n">
        <v>0</v>
      </c>
      <c r="N401" t="n">
        <v>0</v>
      </c>
      <c r="O401" t="n">
        <v>0</v>
      </c>
      <c r="P401" t="n">
        <v>0</v>
      </c>
      <c r="Q401" t="n">
        <v>0</v>
      </c>
      <c r="R401" s="2" t="inlineStr"/>
    </row>
    <row r="402" ht="15" customHeight="1">
      <c r="A402" t="inlineStr">
        <is>
          <t>A 42632-2025</t>
        </is>
      </c>
      <c r="B402" s="1" t="n">
        <v>45905.89329861111</v>
      </c>
      <c r="C402" s="1" t="n">
        <v>46176</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50986-2023</t>
        </is>
      </c>
      <c r="B403" s="1" t="n">
        <v>45218</v>
      </c>
      <c r="C403" s="1" t="n">
        <v>46176</v>
      </c>
      <c r="D403" t="inlineStr">
        <is>
          <t>ÖREBRO LÄN</t>
        </is>
      </c>
      <c r="E403" t="inlineStr">
        <is>
          <t>LINDESBERG</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61969-2023</t>
        </is>
      </c>
      <c r="B404" s="1" t="n">
        <v>45266.58394675926</v>
      </c>
      <c r="C404" s="1" t="n">
        <v>46176</v>
      </c>
      <c r="D404" t="inlineStr">
        <is>
          <t>ÖREBRO LÄN</t>
        </is>
      </c>
      <c r="E404" t="inlineStr">
        <is>
          <t>LINDESBERG</t>
        </is>
      </c>
      <c r="G404" t="n">
        <v>10.5</v>
      </c>
      <c r="H404" t="n">
        <v>0</v>
      </c>
      <c r="I404" t="n">
        <v>0</v>
      </c>
      <c r="J404" t="n">
        <v>0</v>
      </c>
      <c r="K404" t="n">
        <v>0</v>
      </c>
      <c r="L404" t="n">
        <v>0</v>
      </c>
      <c r="M404" t="n">
        <v>0</v>
      </c>
      <c r="N404" t="n">
        <v>0</v>
      </c>
      <c r="O404" t="n">
        <v>0</v>
      </c>
      <c r="P404" t="n">
        <v>0</v>
      </c>
      <c r="Q404" t="n">
        <v>0</v>
      </c>
      <c r="R404" s="2" t="inlineStr"/>
    </row>
    <row r="405" ht="15" customHeight="1">
      <c r="A405" t="inlineStr">
        <is>
          <t>A 37843-2025</t>
        </is>
      </c>
      <c r="B405" s="1" t="n">
        <v>45881.43759259259</v>
      </c>
      <c r="C405" s="1" t="n">
        <v>46176</v>
      </c>
      <c r="D405" t="inlineStr">
        <is>
          <t>ÖREBRO LÄN</t>
        </is>
      </c>
      <c r="E405" t="inlineStr">
        <is>
          <t>LINDESBERG</t>
        </is>
      </c>
      <c r="G405" t="n">
        <v>5.2</v>
      </c>
      <c r="H405" t="n">
        <v>0</v>
      </c>
      <c r="I405" t="n">
        <v>0</v>
      </c>
      <c r="J405" t="n">
        <v>0</v>
      </c>
      <c r="K405" t="n">
        <v>0</v>
      </c>
      <c r="L405" t="n">
        <v>0</v>
      </c>
      <c r="M405" t="n">
        <v>0</v>
      </c>
      <c r="N405" t="n">
        <v>0</v>
      </c>
      <c r="O405" t="n">
        <v>0</v>
      </c>
      <c r="P405" t="n">
        <v>0</v>
      </c>
      <c r="Q405" t="n">
        <v>0</v>
      </c>
      <c r="R405" s="2" t="inlineStr"/>
    </row>
    <row r="406" ht="15" customHeight="1">
      <c r="A406" t="inlineStr">
        <is>
          <t>A 40450-2023</t>
        </is>
      </c>
      <c r="B406" s="1" t="n">
        <v>45170</v>
      </c>
      <c r="C406" s="1" t="n">
        <v>46176</v>
      </c>
      <c r="D406" t="inlineStr">
        <is>
          <t>ÖREBRO LÄN</t>
        </is>
      </c>
      <c r="E406" t="inlineStr">
        <is>
          <t>LINDESBERG</t>
        </is>
      </c>
      <c r="F406" t="inlineStr">
        <is>
          <t>Kyrkan</t>
        </is>
      </c>
      <c r="G406" t="n">
        <v>4.3</v>
      </c>
      <c r="H406" t="n">
        <v>0</v>
      </c>
      <c r="I406" t="n">
        <v>0</v>
      </c>
      <c r="J406" t="n">
        <v>0</v>
      </c>
      <c r="K406" t="n">
        <v>0</v>
      </c>
      <c r="L406" t="n">
        <v>0</v>
      </c>
      <c r="M406" t="n">
        <v>0</v>
      </c>
      <c r="N406" t="n">
        <v>0</v>
      </c>
      <c r="O406" t="n">
        <v>0</v>
      </c>
      <c r="P406" t="n">
        <v>0</v>
      </c>
      <c r="Q406" t="n">
        <v>0</v>
      </c>
      <c r="R406" s="2" t="inlineStr"/>
    </row>
    <row r="407" ht="15" customHeight="1">
      <c r="A407" t="inlineStr">
        <is>
          <t>A 53062-2023</t>
        </is>
      </c>
      <c r="B407" s="1" t="n">
        <v>45227.31859953704</v>
      </c>
      <c r="C407" s="1" t="n">
        <v>46176</v>
      </c>
      <c r="D407" t="inlineStr">
        <is>
          <t>ÖREBRO LÄN</t>
        </is>
      </c>
      <c r="E407" t="inlineStr">
        <is>
          <t>LINDESBERG</t>
        </is>
      </c>
      <c r="G407" t="n">
        <v>3.1</v>
      </c>
      <c r="H407" t="n">
        <v>0</v>
      </c>
      <c r="I407" t="n">
        <v>0</v>
      </c>
      <c r="J407" t="n">
        <v>0</v>
      </c>
      <c r="K407" t="n">
        <v>0</v>
      </c>
      <c r="L407" t="n">
        <v>0</v>
      </c>
      <c r="M407" t="n">
        <v>0</v>
      </c>
      <c r="N407" t="n">
        <v>0</v>
      </c>
      <c r="O407" t="n">
        <v>0</v>
      </c>
      <c r="P407" t="n">
        <v>0</v>
      </c>
      <c r="Q407" t="n">
        <v>0</v>
      </c>
      <c r="R407" s="2" t="inlineStr"/>
    </row>
    <row r="408" ht="15" customHeight="1">
      <c r="A408" t="inlineStr">
        <is>
          <t>A 21871-2026</t>
        </is>
      </c>
      <c r="B408" s="1" t="n">
        <v>46150.58001157407</v>
      </c>
      <c r="C408" s="1" t="n">
        <v>46176</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12739-2024</t>
        </is>
      </c>
      <c r="B409" s="1" t="n">
        <v>45384</v>
      </c>
      <c r="C409" s="1" t="n">
        <v>46176</v>
      </c>
      <c r="D409" t="inlineStr">
        <is>
          <t>ÖREBRO LÄN</t>
        </is>
      </c>
      <c r="E409" t="inlineStr">
        <is>
          <t>LINDESBERG</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43847-2025</t>
        </is>
      </c>
      <c r="B410" s="1" t="n">
        <v>45912.63751157407</v>
      </c>
      <c r="C410" s="1" t="n">
        <v>46176</v>
      </c>
      <c r="D410" t="inlineStr">
        <is>
          <t>ÖREBRO LÄN</t>
        </is>
      </c>
      <c r="E410" t="inlineStr">
        <is>
          <t>LINDESBERG</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45056-2024</t>
        </is>
      </c>
      <c r="B411" s="1" t="n">
        <v>45575.55273148148</v>
      </c>
      <c r="C411" s="1" t="n">
        <v>46176</v>
      </c>
      <c r="D411" t="inlineStr">
        <is>
          <t>ÖREBRO LÄN</t>
        </is>
      </c>
      <c r="E411" t="inlineStr">
        <is>
          <t>LINDESBERG</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45058-2024</t>
        </is>
      </c>
      <c r="B412" s="1" t="n">
        <v>45575.5547337963</v>
      </c>
      <c r="C412" s="1" t="n">
        <v>46176</v>
      </c>
      <c r="D412" t="inlineStr">
        <is>
          <t>ÖREBRO LÄN</t>
        </is>
      </c>
      <c r="E412" t="inlineStr">
        <is>
          <t>LINDESBERG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45063-2024</t>
        </is>
      </c>
      <c r="B413" s="1" t="n">
        <v>45575.55684027778</v>
      </c>
      <c r="C413" s="1" t="n">
        <v>46176</v>
      </c>
      <c r="D413" t="inlineStr">
        <is>
          <t>ÖREBRO LÄN</t>
        </is>
      </c>
      <c r="E413" t="inlineStr">
        <is>
          <t>LINDESBERG</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38534-2025</t>
        </is>
      </c>
      <c r="B414" s="1" t="n">
        <v>45884</v>
      </c>
      <c r="C414" s="1" t="n">
        <v>46176</v>
      </c>
      <c r="D414" t="inlineStr">
        <is>
          <t>ÖREBRO LÄN</t>
        </is>
      </c>
      <c r="E414" t="inlineStr">
        <is>
          <t>LINDESBERG</t>
        </is>
      </c>
      <c r="G414" t="n">
        <v>4.9</v>
      </c>
      <c r="H414" t="n">
        <v>0</v>
      </c>
      <c r="I414" t="n">
        <v>0</v>
      </c>
      <c r="J414" t="n">
        <v>0</v>
      </c>
      <c r="K414" t="n">
        <v>0</v>
      </c>
      <c r="L414" t="n">
        <v>0</v>
      </c>
      <c r="M414" t="n">
        <v>0</v>
      </c>
      <c r="N414" t="n">
        <v>0</v>
      </c>
      <c r="O414" t="n">
        <v>0</v>
      </c>
      <c r="P414" t="n">
        <v>0</v>
      </c>
      <c r="Q414" t="n">
        <v>0</v>
      </c>
      <c r="R414" s="2" t="inlineStr"/>
    </row>
    <row r="415" ht="15" customHeight="1">
      <c r="A415" t="inlineStr">
        <is>
          <t>A 9198-2025</t>
        </is>
      </c>
      <c r="B415" s="1" t="n">
        <v>45714</v>
      </c>
      <c r="C415" s="1" t="n">
        <v>46176</v>
      </c>
      <c r="D415" t="inlineStr">
        <is>
          <t>ÖREBRO LÄN</t>
        </is>
      </c>
      <c r="E415" t="inlineStr">
        <is>
          <t>LINDESBERG</t>
        </is>
      </c>
      <c r="G415" t="n">
        <v>3.3</v>
      </c>
      <c r="H415" t="n">
        <v>0</v>
      </c>
      <c r="I415" t="n">
        <v>0</v>
      </c>
      <c r="J415" t="n">
        <v>0</v>
      </c>
      <c r="K415" t="n">
        <v>0</v>
      </c>
      <c r="L415" t="n">
        <v>0</v>
      </c>
      <c r="M415" t="n">
        <v>0</v>
      </c>
      <c r="N415" t="n">
        <v>0</v>
      </c>
      <c r="O415" t="n">
        <v>0</v>
      </c>
      <c r="P415" t="n">
        <v>0</v>
      </c>
      <c r="Q415" t="n">
        <v>0</v>
      </c>
      <c r="R415" s="2" t="inlineStr"/>
    </row>
    <row r="416" ht="15" customHeight="1">
      <c r="A416" t="inlineStr">
        <is>
          <t>A 60492-2024</t>
        </is>
      </c>
      <c r="B416" s="1" t="n">
        <v>45642</v>
      </c>
      <c r="C416" s="1" t="n">
        <v>46176</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row>
    <row r="417" ht="15" customHeight="1">
      <c r="A417" t="inlineStr">
        <is>
          <t>A 44077-2025</t>
        </is>
      </c>
      <c r="B417" s="1" t="n">
        <v>45915.54983796296</v>
      </c>
      <c r="C417" s="1" t="n">
        <v>46176</v>
      </c>
      <c r="D417" t="inlineStr">
        <is>
          <t>ÖREBRO LÄN</t>
        </is>
      </c>
      <c r="E417" t="inlineStr">
        <is>
          <t>LINDESBERG</t>
        </is>
      </c>
      <c r="G417" t="n">
        <v>4.2</v>
      </c>
      <c r="H417" t="n">
        <v>0</v>
      </c>
      <c r="I417" t="n">
        <v>0</v>
      </c>
      <c r="J417" t="n">
        <v>0</v>
      </c>
      <c r="K417" t="n">
        <v>0</v>
      </c>
      <c r="L417" t="n">
        <v>0</v>
      </c>
      <c r="M417" t="n">
        <v>0</v>
      </c>
      <c r="N417" t="n">
        <v>0</v>
      </c>
      <c r="O417" t="n">
        <v>0</v>
      </c>
      <c r="P417" t="n">
        <v>0</v>
      </c>
      <c r="Q417" t="n">
        <v>0</v>
      </c>
      <c r="R417" s="2" t="inlineStr"/>
    </row>
    <row r="418" ht="15" customHeight="1">
      <c r="A418" t="inlineStr">
        <is>
          <t>A 26093-2023</t>
        </is>
      </c>
      <c r="B418" s="1" t="n">
        <v>45091.39362268519</v>
      </c>
      <c r="C418" s="1" t="n">
        <v>46176</v>
      </c>
      <c r="D418" t="inlineStr">
        <is>
          <t>ÖREBRO LÄN</t>
        </is>
      </c>
      <c r="E418" t="inlineStr">
        <is>
          <t>LINDESBERG</t>
        </is>
      </c>
      <c r="G418" t="n">
        <v>0.4</v>
      </c>
      <c r="H418" t="n">
        <v>0</v>
      </c>
      <c r="I418" t="n">
        <v>0</v>
      </c>
      <c r="J418" t="n">
        <v>0</v>
      </c>
      <c r="K418" t="n">
        <v>0</v>
      </c>
      <c r="L418" t="n">
        <v>0</v>
      </c>
      <c r="M418" t="n">
        <v>0</v>
      </c>
      <c r="N418" t="n">
        <v>0</v>
      </c>
      <c r="O418" t="n">
        <v>0</v>
      </c>
      <c r="P418" t="n">
        <v>0</v>
      </c>
      <c r="Q418" t="n">
        <v>0</v>
      </c>
      <c r="R418" s="2" t="inlineStr"/>
    </row>
    <row r="419" ht="15" customHeight="1">
      <c r="A419" t="inlineStr">
        <is>
          <t>A 47066-2023</t>
        </is>
      </c>
      <c r="B419" s="1" t="n">
        <v>45201</v>
      </c>
      <c r="C419" s="1" t="n">
        <v>46176</v>
      </c>
      <c r="D419" t="inlineStr">
        <is>
          <t>ÖREBRO LÄN</t>
        </is>
      </c>
      <c r="E419" t="inlineStr">
        <is>
          <t>LINDESBERG</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54859-2024</t>
        </is>
      </c>
      <c r="B420" s="1" t="n">
        <v>45618.58962962963</v>
      </c>
      <c r="C420" s="1" t="n">
        <v>46176</v>
      </c>
      <c r="D420" t="inlineStr">
        <is>
          <t>ÖREBRO LÄN</t>
        </is>
      </c>
      <c r="E420" t="inlineStr">
        <is>
          <t>LINDESBERG</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36773-2024</t>
        </is>
      </c>
      <c r="B421" s="1" t="n">
        <v>45538</v>
      </c>
      <c r="C421" s="1" t="n">
        <v>46176</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44041-2025</t>
        </is>
      </c>
      <c r="B422" s="1" t="n">
        <v>45915.49238425926</v>
      </c>
      <c r="C422" s="1" t="n">
        <v>46176</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43837-2025</t>
        </is>
      </c>
      <c r="B423" s="1" t="n">
        <v>45912.63451388889</v>
      </c>
      <c r="C423" s="1" t="n">
        <v>46176</v>
      </c>
      <c r="D423" t="inlineStr">
        <is>
          <t>ÖREBRO LÄN</t>
        </is>
      </c>
      <c r="E423" t="inlineStr">
        <is>
          <t>LINDESBERG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59804-2023</t>
        </is>
      </c>
      <c r="B424" s="1" t="n">
        <v>45257.48188657407</v>
      </c>
      <c r="C424" s="1" t="n">
        <v>46176</v>
      </c>
      <c r="D424" t="inlineStr">
        <is>
          <t>ÖREBRO LÄN</t>
        </is>
      </c>
      <c r="E424" t="inlineStr">
        <is>
          <t>LINDESBERG</t>
        </is>
      </c>
      <c r="G424" t="n">
        <v>1.2</v>
      </c>
      <c r="H424" t="n">
        <v>0</v>
      </c>
      <c r="I424" t="n">
        <v>0</v>
      </c>
      <c r="J424" t="n">
        <v>0</v>
      </c>
      <c r="K424" t="n">
        <v>0</v>
      </c>
      <c r="L424" t="n">
        <v>0</v>
      </c>
      <c r="M424" t="n">
        <v>0</v>
      </c>
      <c r="N424" t="n">
        <v>0</v>
      </c>
      <c r="O424" t="n">
        <v>0</v>
      </c>
      <c r="P424" t="n">
        <v>0</v>
      </c>
      <c r="Q424" t="n">
        <v>0</v>
      </c>
      <c r="R424" s="2" t="inlineStr"/>
    </row>
    <row r="425" ht="15" customHeight="1">
      <c r="A425" t="inlineStr">
        <is>
          <t>A 40758-2021</t>
        </is>
      </c>
      <c r="B425" s="1" t="n">
        <v>44420</v>
      </c>
      <c r="C425" s="1" t="n">
        <v>46176</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61691-2023</t>
        </is>
      </c>
      <c r="B426" s="1" t="n">
        <v>45265.64142361111</v>
      </c>
      <c r="C426" s="1" t="n">
        <v>46176</v>
      </c>
      <c r="D426" t="inlineStr">
        <is>
          <t>ÖREBRO LÄN</t>
        </is>
      </c>
      <c r="E426" t="inlineStr">
        <is>
          <t>LINDESBERG</t>
        </is>
      </c>
      <c r="G426" t="n">
        <v>2.6</v>
      </c>
      <c r="H426" t="n">
        <v>0</v>
      </c>
      <c r="I426" t="n">
        <v>0</v>
      </c>
      <c r="J426" t="n">
        <v>0</v>
      </c>
      <c r="K426" t="n">
        <v>0</v>
      </c>
      <c r="L426" t="n">
        <v>0</v>
      </c>
      <c r="M426" t="n">
        <v>0</v>
      </c>
      <c r="N426" t="n">
        <v>0</v>
      </c>
      <c r="O426" t="n">
        <v>0</v>
      </c>
      <c r="P426" t="n">
        <v>0</v>
      </c>
      <c r="Q426" t="n">
        <v>0</v>
      </c>
      <c r="R426" s="2" t="inlineStr"/>
    </row>
    <row r="427" ht="15" customHeight="1">
      <c r="A427" t="inlineStr">
        <is>
          <t>A 4298-2025</t>
        </is>
      </c>
      <c r="B427" s="1" t="n">
        <v>45685</v>
      </c>
      <c r="C427" s="1" t="n">
        <v>46176</v>
      </c>
      <c r="D427" t="inlineStr">
        <is>
          <t>ÖREBRO LÄN</t>
        </is>
      </c>
      <c r="E427" t="inlineStr">
        <is>
          <t>LINDESBERG</t>
        </is>
      </c>
      <c r="G427" t="n">
        <v>13.5</v>
      </c>
      <c r="H427" t="n">
        <v>0</v>
      </c>
      <c r="I427" t="n">
        <v>0</v>
      </c>
      <c r="J427" t="n">
        <v>0</v>
      </c>
      <c r="K427" t="n">
        <v>0</v>
      </c>
      <c r="L427" t="n">
        <v>0</v>
      </c>
      <c r="M427" t="n">
        <v>0</v>
      </c>
      <c r="N427" t="n">
        <v>0</v>
      </c>
      <c r="O427" t="n">
        <v>0</v>
      </c>
      <c r="P427" t="n">
        <v>0</v>
      </c>
      <c r="Q427" t="n">
        <v>0</v>
      </c>
      <c r="R427" s="2" t="inlineStr"/>
    </row>
    <row r="428" ht="15" customHeight="1">
      <c r="A428" t="inlineStr">
        <is>
          <t>A 53597-2024</t>
        </is>
      </c>
      <c r="B428" s="1" t="n">
        <v>45614.68083333333</v>
      </c>
      <c r="C428" s="1" t="n">
        <v>46176</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43081-2021</t>
        </is>
      </c>
      <c r="B429" s="1" t="n">
        <v>44431</v>
      </c>
      <c r="C429" s="1" t="n">
        <v>46176</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32002-2023</t>
        </is>
      </c>
      <c r="B430" s="1" t="n">
        <v>45119.46452546296</v>
      </c>
      <c r="C430" s="1" t="n">
        <v>46176</v>
      </c>
      <c r="D430" t="inlineStr">
        <is>
          <t>ÖREBRO LÄN</t>
        </is>
      </c>
      <c r="E430" t="inlineStr">
        <is>
          <t>LINDESBERG</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43836-2025</t>
        </is>
      </c>
      <c r="B431" s="1" t="n">
        <v>45912.63359953704</v>
      </c>
      <c r="C431" s="1" t="n">
        <v>46176</v>
      </c>
      <c r="D431" t="inlineStr">
        <is>
          <t>ÖREBRO LÄN</t>
        </is>
      </c>
      <c r="E431" t="inlineStr">
        <is>
          <t>LINDESBERG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7661-2024</t>
        </is>
      </c>
      <c r="B432" s="1" t="n">
        <v>45348</v>
      </c>
      <c r="C432" s="1" t="n">
        <v>46176</v>
      </c>
      <c r="D432" t="inlineStr">
        <is>
          <t>ÖREBRO LÄN</t>
        </is>
      </c>
      <c r="E432" t="inlineStr">
        <is>
          <t>LINDESBERG</t>
        </is>
      </c>
      <c r="G432" t="n">
        <v>4.1</v>
      </c>
      <c r="H432" t="n">
        <v>0</v>
      </c>
      <c r="I432" t="n">
        <v>0</v>
      </c>
      <c r="J432" t="n">
        <v>0</v>
      </c>
      <c r="K432" t="n">
        <v>0</v>
      </c>
      <c r="L432" t="n">
        <v>0</v>
      </c>
      <c r="M432" t="n">
        <v>0</v>
      </c>
      <c r="N432" t="n">
        <v>0</v>
      </c>
      <c r="O432" t="n">
        <v>0</v>
      </c>
      <c r="P432" t="n">
        <v>0</v>
      </c>
      <c r="Q432" t="n">
        <v>0</v>
      </c>
      <c r="R432" s="2" t="inlineStr"/>
    </row>
    <row r="433" ht="15" customHeight="1">
      <c r="A433" t="inlineStr">
        <is>
          <t>A 44067-2025</t>
        </is>
      </c>
      <c r="B433" s="1" t="n">
        <v>45915.54439814815</v>
      </c>
      <c r="C433" s="1" t="n">
        <v>46176</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38509-2025</t>
        </is>
      </c>
      <c r="B434" s="1" t="n">
        <v>45884.38858796296</v>
      </c>
      <c r="C434" s="1" t="n">
        <v>46176</v>
      </c>
      <c r="D434" t="inlineStr">
        <is>
          <t>ÖREBRO LÄN</t>
        </is>
      </c>
      <c r="E434" t="inlineStr">
        <is>
          <t>LINDESBERG</t>
        </is>
      </c>
      <c r="G434" t="n">
        <v>14.9</v>
      </c>
      <c r="H434" t="n">
        <v>0</v>
      </c>
      <c r="I434" t="n">
        <v>0</v>
      </c>
      <c r="J434" t="n">
        <v>0</v>
      </c>
      <c r="K434" t="n">
        <v>0</v>
      </c>
      <c r="L434" t="n">
        <v>0</v>
      </c>
      <c r="M434" t="n">
        <v>0</v>
      </c>
      <c r="N434" t="n">
        <v>0</v>
      </c>
      <c r="O434" t="n">
        <v>0</v>
      </c>
      <c r="P434" t="n">
        <v>0</v>
      </c>
      <c r="Q434" t="n">
        <v>0</v>
      </c>
      <c r="R434" s="2" t="inlineStr"/>
    </row>
    <row r="435" ht="15" customHeight="1">
      <c r="A435" t="inlineStr">
        <is>
          <t>A 17010-2026</t>
        </is>
      </c>
      <c r="B435" s="1" t="n">
        <v>46114</v>
      </c>
      <c r="C435" s="1" t="n">
        <v>46176</v>
      </c>
      <c r="D435" t="inlineStr">
        <is>
          <t>ÖREBRO LÄN</t>
        </is>
      </c>
      <c r="E435" t="inlineStr">
        <is>
          <t>LINDESBERG</t>
        </is>
      </c>
      <c r="G435" t="n">
        <v>3.7</v>
      </c>
      <c r="H435" t="n">
        <v>0</v>
      </c>
      <c r="I435" t="n">
        <v>0</v>
      </c>
      <c r="J435" t="n">
        <v>0</v>
      </c>
      <c r="K435" t="n">
        <v>0</v>
      </c>
      <c r="L435" t="n">
        <v>0</v>
      </c>
      <c r="M435" t="n">
        <v>0</v>
      </c>
      <c r="N435" t="n">
        <v>0</v>
      </c>
      <c r="O435" t="n">
        <v>0</v>
      </c>
      <c r="P435" t="n">
        <v>0</v>
      </c>
      <c r="Q435" t="n">
        <v>0</v>
      </c>
      <c r="R435" s="2" t="inlineStr"/>
    </row>
    <row r="436" ht="15" customHeight="1">
      <c r="A436" t="inlineStr">
        <is>
          <t>A 44545-2025</t>
        </is>
      </c>
      <c r="B436" s="1" t="n">
        <v>45917.31780092593</v>
      </c>
      <c r="C436" s="1" t="n">
        <v>46176</v>
      </c>
      <c r="D436" t="inlineStr">
        <is>
          <t>ÖREBRO LÄN</t>
        </is>
      </c>
      <c r="E436" t="inlineStr">
        <is>
          <t>LINDESBERG</t>
        </is>
      </c>
      <c r="F436" t="inlineStr">
        <is>
          <t>Kommuner</t>
        </is>
      </c>
      <c r="G436" t="n">
        <v>2.3</v>
      </c>
      <c r="H436" t="n">
        <v>0</v>
      </c>
      <c r="I436" t="n">
        <v>0</v>
      </c>
      <c r="J436" t="n">
        <v>0</v>
      </c>
      <c r="K436" t="n">
        <v>0</v>
      </c>
      <c r="L436" t="n">
        <v>0</v>
      </c>
      <c r="M436" t="n">
        <v>0</v>
      </c>
      <c r="N436" t="n">
        <v>0</v>
      </c>
      <c r="O436" t="n">
        <v>0</v>
      </c>
      <c r="P436" t="n">
        <v>0</v>
      </c>
      <c r="Q436" t="n">
        <v>0</v>
      </c>
      <c r="R436" s="2" t="inlineStr"/>
    </row>
    <row r="437" ht="15" customHeight="1">
      <c r="A437" t="inlineStr">
        <is>
          <t>A 16812-2026</t>
        </is>
      </c>
      <c r="B437" s="1" t="n">
        <v>46113.49563657407</v>
      </c>
      <c r="C437" s="1" t="n">
        <v>46176</v>
      </c>
      <c r="D437" t="inlineStr">
        <is>
          <t>ÖREBRO LÄN</t>
        </is>
      </c>
      <c r="E437" t="inlineStr">
        <is>
          <t>LINDESBERG</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12278-2025</t>
        </is>
      </c>
      <c r="B438" s="1" t="n">
        <v>45729.65171296296</v>
      </c>
      <c r="C438" s="1" t="n">
        <v>46176</v>
      </c>
      <c r="D438" t="inlineStr">
        <is>
          <t>ÖREBRO LÄN</t>
        </is>
      </c>
      <c r="E438" t="inlineStr">
        <is>
          <t>LINDESBERG</t>
        </is>
      </c>
      <c r="G438" t="n">
        <v>3.2</v>
      </c>
      <c r="H438" t="n">
        <v>0</v>
      </c>
      <c r="I438" t="n">
        <v>0</v>
      </c>
      <c r="J438" t="n">
        <v>0</v>
      </c>
      <c r="K438" t="n">
        <v>0</v>
      </c>
      <c r="L438" t="n">
        <v>0</v>
      </c>
      <c r="M438" t="n">
        <v>0</v>
      </c>
      <c r="N438" t="n">
        <v>0</v>
      </c>
      <c r="O438" t="n">
        <v>0</v>
      </c>
      <c r="P438" t="n">
        <v>0</v>
      </c>
      <c r="Q438" t="n">
        <v>0</v>
      </c>
      <c r="R438" s="2" t="inlineStr"/>
    </row>
    <row r="439" ht="15" customHeight="1">
      <c r="A439" t="inlineStr">
        <is>
          <t>A 34237-2023</t>
        </is>
      </c>
      <c r="B439" s="1" t="n">
        <v>45138</v>
      </c>
      <c r="C439" s="1" t="n">
        <v>46176</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29942-2024</t>
        </is>
      </c>
      <c r="B440" s="1" t="n">
        <v>45488.42258101852</v>
      </c>
      <c r="C440" s="1" t="n">
        <v>46176</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17013-2026</t>
        </is>
      </c>
      <c r="B441" s="1" t="n">
        <v>46114</v>
      </c>
      <c r="C441" s="1" t="n">
        <v>46176</v>
      </c>
      <c r="D441" t="inlineStr">
        <is>
          <t>ÖREBRO LÄN</t>
        </is>
      </c>
      <c r="E441" t="inlineStr">
        <is>
          <t>LINDESBERG</t>
        </is>
      </c>
      <c r="G441" t="n">
        <v>1.3</v>
      </c>
      <c r="H441" t="n">
        <v>0</v>
      </c>
      <c r="I441" t="n">
        <v>0</v>
      </c>
      <c r="J441" t="n">
        <v>0</v>
      </c>
      <c r="K441" t="n">
        <v>0</v>
      </c>
      <c r="L441" t="n">
        <v>0</v>
      </c>
      <c r="M441" t="n">
        <v>0</v>
      </c>
      <c r="N441" t="n">
        <v>0</v>
      </c>
      <c r="O441" t="n">
        <v>0</v>
      </c>
      <c r="P441" t="n">
        <v>0</v>
      </c>
      <c r="Q441" t="n">
        <v>0</v>
      </c>
      <c r="R441" s="2" t="inlineStr"/>
    </row>
    <row r="442" ht="15" customHeight="1">
      <c r="A442" t="inlineStr">
        <is>
          <t>A 3026-2026</t>
        </is>
      </c>
      <c r="B442" s="1" t="n">
        <v>46038</v>
      </c>
      <c r="C442" s="1" t="n">
        <v>46176</v>
      </c>
      <c r="D442" t="inlineStr">
        <is>
          <t>ÖREBRO LÄN</t>
        </is>
      </c>
      <c r="E442" t="inlineStr">
        <is>
          <t>LINDESBERG</t>
        </is>
      </c>
      <c r="G442" t="n">
        <v>10.3</v>
      </c>
      <c r="H442" t="n">
        <v>0</v>
      </c>
      <c r="I442" t="n">
        <v>0</v>
      </c>
      <c r="J442" t="n">
        <v>0</v>
      </c>
      <c r="K442" t="n">
        <v>0</v>
      </c>
      <c r="L442" t="n">
        <v>0</v>
      </c>
      <c r="M442" t="n">
        <v>0</v>
      </c>
      <c r="N442" t="n">
        <v>0</v>
      </c>
      <c r="O442" t="n">
        <v>0</v>
      </c>
      <c r="P442" t="n">
        <v>0</v>
      </c>
      <c r="Q442" t="n">
        <v>0</v>
      </c>
      <c r="R442" s="2" t="inlineStr"/>
    </row>
    <row r="443" ht="15" customHeight="1">
      <c r="A443" t="inlineStr">
        <is>
          <t>A 22745-2026</t>
        </is>
      </c>
      <c r="B443" s="1" t="n">
        <v>46157.4291087963</v>
      </c>
      <c r="C443" s="1" t="n">
        <v>46176</v>
      </c>
      <c r="D443" t="inlineStr">
        <is>
          <t>ÖREBRO LÄN</t>
        </is>
      </c>
      <c r="E443" t="inlineStr">
        <is>
          <t>LINDESBERG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22752-2026</t>
        </is>
      </c>
      <c r="B444" s="1" t="n">
        <v>46157.44695601852</v>
      </c>
      <c r="C444" s="1" t="n">
        <v>46176</v>
      </c>
      <c r="D444" t="inlineStr">
        <is>
          <t>ÖREBRO LÄN</t>
        </is>
      </c>
      <c r="E444" t="inlineStr">
        <is>
          <t>LINDESBERG</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22748-2026</t>
        </is>
      </c>
      <c r="B445" s="1" t="n">
        <v>46157.43287037037</v>
      </c>
      <c r="C445" s="1" t="n">
        <v>46176</v>
      </c>
      <c r="D445" t="inlineStr">
        <is>
          <t>ÖREBRO LÄN</t>
        </is>
      </c>
      <c r="E445" t="inlineStr">
        <is>
          <t>LINDESBERG</t>
        </is>
      </c>
      <c r="G445" t="n">
        <v>3.1</v>
      </c>
      <c r="H445" t="n">
        <v>0</v>
      </c>
      <c r="I445" t="n">
        <v>0</v>
      </c>
      <c r="J445" t="n">
        <v>0</v>
      </c>
      <c r="K445" t="n">
        <v>0</v>
      </c>
      <c r="L445" t="n">
        <v>0</v>
      </c>
      <c r="M445" t="n">
        <v>0</v>
      </c>
      <c r="N445" t="n">
        <v>0</v>
      </c>
      <c r="O445" t="n">
        <v>0</v>
      </c>
      <c r="P445" t="n">
        <v>0</v>
      </c>
      <c r="Q445" t="n">
        <v>0</v>
      </c>
      <c r="R445" s="2" t="inlineStr"/>
    </row>
    <row r="446" ht="15" customHeight="1">
      <c r="A446" t="inlineStr">
        <is>
          <t>A 3294-2024</t>
        </is>
      </c>
      <c r="B446" s="1" t="n">
        <v>45316</v>
      </c>
      <c r="C446" s="1" t="n">
        <v>46176</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22747-2026</t>
        </is>
      </c>
      <c r="B447" s="1" t="n">
        <v>46157.43127314815</v>
      </c>
      <c r="C447" s="1" t="n">
        <v>46176</v>
      </c>
      <c r="D447" t="inlineStr">
        <is>
          <t>ÖREBRO LÄN</t>
        </is>
      </c>
      <c r="E447" t="inlineStr">
        <is>
          <t>LINDESBERG</t>
        </is>
      </c>
      <c r="G447" t="n">
        <v>4.4</v>
      </c>
      <c r="H447" t="n">
        <v>0</v>
      </c>
      <c r="I447" t="n">
        <v>0</v>
      </c>
      <c r="J447" t="n">
        <v>0</v>
      </c>
      <c r="K447" t="n">
        <v>0</v>
      </c>
      <c r="L447" t="n">
        <v>0</v>
      </c>
      <c r="M447" t="n">
        <v>0</v>
      </c>
      <c r="N447" t="n">
        <v>0</v>
      </c>
      <c r="O447" t="n">
        <v>0</v>
      </c>
      <c r="P447" t="n">
        <v>0</v>
      </c>
      <c r="Q447" t="n">
        <v>0</v>
      </c>
      <c r="R447" s="2" t="inlineStr"/>
    </row>
    <row r="448" ht="15" customHeight="1">
      <c r="A448" t="inlineStr">
        <is>
          <t>A 17158-2026</t>
        </is>
      </c>
      <c r="B448" s="1" t="n">
        <v>46115.55826388889</v>
      </c>
      <c r="C448" s="1" t="n">
        <v>46176</v>
      </c>
      <c r="D448" t="inlineStr">
        <is>
          <t>ÖREBRO LÄN</t>
        </is>
      </c>
      <c r="E448" t="inlineStr">
        <is>
          <t>LINDESBERG</t>
        </is>
      </c>
      <c r="G448" t="n">
        <v>7.8</v>
      </c>
      <c r="H448" t="n">
        <v>0</v>
      </c>
      <c r="I448" t="n">
        <v>0</v>
      </c>
      <c r="J448" t="n">
        <v>0</v>
      </c>
      <c r="K448" t="n">
        <v>0</v>
      </c>
      <c r="L448" t="n">
        <v>0</v>
      </c>
      <c r="M448" t="n">
        <v>0</v>
      </c>
      <c r="N448" t="n">
        <v>0</v>
      </c>
      <c r="O448" t="n">
        <v>0</v>
      </c>
      <c r="P448" t="n">
        <v>0</v>
      </c>
      <c r="Q448" t="n">
        <v>0</v>
      </c>
      <c r="R448" s="2" t="inlineStr"/>
    </row>
    <row r="449" ht="15" customHeight="1">
      <c r="A449" t="inlineStr">
        <is>
          <t>A 14185-2024</t>
        </is>
      </c>
      <c r="B449" s="1" t="n">
        <v>45393.3562962963</v>
      </c>
      <c r="C449" s="1" t="n">
        <v>46176</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14190-2024</t>
        </is>
      </c>
      <c r="B450" s="1" t="n">
        <v>45393.36060185185</v>
      </c>
      <c r="C450" s="1" t="n">
        <v>46176</v>
      </c>
      <c r="D450" t="inlineStr">
        <is>
          <t>ÖREBRO LÄN</t>
        </is>
      </c>
      <c r="E450" t="inlineStr">
        <is>
          <t>LINDESBERG</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22861-2026</t>
        </is>
      </c>
      <c r="B451" s="1" t="n">
        <v>46160.4221412037</v>
      </c>
      <c r="C451" s="1" t="n">
        <v>46176</v>
      </c>
      <c r="D451" t="inlineStr">
        <is>
          <t>ÖREBRO LÄN</t>
        </is>
      </c>
      <c r="E451" t="inlineStr">
        <is>
          <t>LINDESBERG</t>
        </is>
      </c>
      <c r="G451" t="n">
        <v>2.3</v>
      </c>
      <c r="H451" t="n">
        <v>0</v>
      </c>
      <c r="I451" t="n">
        <v>0</v>
      </c>
      <c r="J451" t="n">
        <v>0</v>
      </c>
      <c r="K451" t="n">
        <v>0</v>
      </c>
      <c r="L451" t="n">
        <v>0</v>
      </c>
      <c r="M451" t="n">
        <v>0</v>
      </c>
      <c r="N451" t="n">
        <v>0</v>
      </c>
      <c r="O451" t="n">
        <v>0</v>
      </c>
      <c r="P451" t="n">
        <v>0</v>
      </c>
      <c r="Q451" t="n">
        <v>0</v>
      </c>
      <c r="R451" s="2" t="inlineStr"/>
    </row>
    <row r="452" ht="15" customHeight="1">
      <c r="A452" t="inlineStr">
        <is>
          <t>A 22862-2026</t>
        </is>
      </c>
      <c r="B452" s="1" t="n">
        <v>46160.42400462963</v>
      </c>
      <c r="C452" s="1" t="n">
        <v>46176</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17154-2026</t>
        </is>
      </c>
      <c r="B453" s="1" t="n">
        <v>46115.49298611111</v>
      </c>
      <c r="C453" s="1" t="n">
        <v>46176</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17157-2026</t>
        </is>
      </c>
      <c r="B454" s="1" t="n">
        <v>46115.52068287037</v>
      </c>
      <c r="C454" s="1" t="n">
        <v>46176</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17159-2026</t>
        </is>
      </c>
      <c r="B455" s="1" t="n">
        <v>46115.57298611111</v>
      </c>
      <c r="C455" s="1" t="n">
        <v>46176</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17153-2026</t>
        </is>
      </c>
      <c r="B456" s="1" t="n">
        <v>46115.4727199074</v>
      </c>
      <c r="C456" s="1" t="n">
        <v>46176</v>
      </c>
      <c r="D456" t="inlineStr">
        <is>
          <t>ÖREBRO LÄN</t>
        </is>
      </c>
      <c r="E456" t="inlineStr">
        <is>
          <t>LINDESBERG</t>
        </is>
      </c>
      <c r="G456" t="n">
        <v>5.6</v>
      </c>
      <c r="H456" t="n">
        <v>0</v>
      </c>
      <c r="I456" t="n">
        <v>0</v>
      </c>
      <c r="J456" t="n">
        <v>0</v>
      </c>
      <c r="K456" t="n">
        <v>0</v>
      </c>
      <c r="L456" t="n">
        <v>0</v>
      </c>
      <c r="M456" t="n">
        <v>0</v>
      </c>
      <c r="N456" t="n">
        <v>0</v>
      </c>
      <c r="O456" t="n">
        <v>0</v>
      </c>
      <c r="P456" t="n">
        <v>0</v>
      </c>
      <c r="Q456" t="n">
        <v>0</v>
      </c>
      <c r="R456" s="2" t="inlineStr"/>
    </row>
    <row r="457" ht="15" customHeight="1">
      <c r="A457" t="inlineStr">
        <is>
          <t>A 17155-2026</t>
        </is>
      </c>
      <c r="B457" s="1" t="n">
        <v>46115.50295138889</v>
      </c>
      <c r="C457" s="1" t="n">
        <v>46176</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17156-2026</t>
        </is>
      </c>
      <c r="B458" s="1" t="n">
        <v>46115.51194444444</v>
      </c>
      <c r="C458" s="1" t="n">
        <v>46176</v>
      </c>
      <c r="D458" t="inlineStr">
        <is>
          <t>ÖREBRO LÄN</t>
        </is>
      </c>
      <c r="E458" t="inlineStr">
        <is>
          <t>LINDESBERG</t>
        </is>
      </c>
      <c r="G458" t="n">
        <v>2.2</v>
      </c>
      <c r="H458" t="n">
        <v>0</v>
      </c>
      <c r="I458" t="n">
        <v>0</v>
      </c>
      <c r="J458" t="n">
        <v>0</v>
      </c>
      <c r="K458" t="n">
        <v>0</v>
      </c>
      <c r="L458" t="n">
        <v>0</v>
      </c>
      <c r="M458" t="n">
        <v>0</v>
      </c>
      <c r="N458" t="n">
        <v>0</v>
      </c>
      <c r="O458" t="n">
        <v>0</v>
      </c>
      <c r="P458" t="n">
        <v>0</v>
      </c>
      <c r="Q458" t="n">
        <v>0</v>
      </c>
      <c r="R458" s="2" t="inlineStr"/>
    </row>
    <row r="459" ht="15" customHeight="1">
      <c r="A459" t="inlineStr">
        <is>
          <t>A 17161-2026</t>
        </is>
      </c>
      <c r="B459" s="1" t="n">
        <v>46115.59534722222</v>
      </c>
      <c r="C459" s="1" t="n">
        <v>46176</v>
      </c>
      <c r="D459" t="inlineStr">
        <is>
          <t>ÖREBRO LÄN</t>
        </is>
      </c>
      <c r="E459" t="inlineStr">
        <is>
          <t>LINDESBERG</t>
        </is>
      </c>
      <c r="G459" t="n">
        <v>3.3</v>
      </c>
      <c r="H459" t="n">
        <v>0</v>
      </c>
      <c r="I459" t="n">
        <v>0</v>
      </c>
      <c r="J459" t="n">
        <v>0</v>
      </c>
      <c r="K459" t="n">
        <v>0</v>
      </c>
      <c r="L459" t="n">
        <v>0</v>
      </c>
      <c r="M459" t="n">
        <v>0</v>
      </c>
      <c r="N459" t="n">
        <v>0</v>
      </c>
      <c r="O459" t="n">
        <v>0</v>
      </c>
      <c r="P459" t="n">
        <v>0</v>
      </c>
      <c r="Q459" t="n">
        <v>0</v>
      </c>
      <c r="R459" s="2" t="inlineStr"/>
    </row>
    <row r="460" ht="15" customHeight="1">
      <c r="A460" t="inlineStr">
        <is>
          <t>A 17162-2026</t>
        </is>
      </c>
      <c r="B460" s="1" t="n">
        <v>46115.60453703703</v>
      </c>
      <c r="C460" s="1" t="n">
        <v>46176</v>
      </c>
      <c r="D460" t="inlineStr">
        <is>
          <t>ÖREBRO LÄN</t>
        </is>
      </c>
      <c r="E460" t="inlineStr">
        <is>
          <t>LINDESBERG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23187-2026</t>
        </is>
      </c>
      <c r="B461" s="1" t="n">
        <v>46161.69637731482</v>
      </c>
      <c r="C461" s="1" t="n">
        <v>46176</v>
      </c>
      <c r="D461" t="inlineStr">
        <is>
          <t>ÖREBRO LÄN</t>
        </is>
      </c>
      <c r="E461" t="inlineStr">
        <is>
          <t>LINDESBERG</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23174-2026</t>
        </is>
      </c>
      <c r="B462" s="1" t="n">
        <v>46161.67359953704</v>
      </c>
      <c r="C462" s="1" t="n">
        <v>46176</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23393-2026</t>
        </is>
      </c>
      <c r="B463" s="1" t="n">
        <v>46162.67203703704</v>
      </c>
      <c r="C463" s="1" t="n">
        <v>46176</v>
      </c>
      <c r="D463" t="inlineStr">
        <is>
          <t>ÖREBRO LÄN</t>
        </is>
      </c>
      <c r="E463" t="inlineStr">
        <is>
          <t>LINDESBERG</t>
        </is>
      </c>
      <c r="F463" t="inlineStr">
        <is>
          <t>Naturvårdsverket</t>
        </is>
      </c>
      <c r="G463" t="n">
        <v>1.9</v>
      </c>
      <c r="H463" t="n">
        <v>0</v>
      </c>
      <c r="I463" t="n">
        <v>0</v>
      </c>
      <c r="J463" t="n">
        <v>0</v>
      </c>
      <c r="K463" t="n">
        <v>0</v>
      </c>
      <c r="L463" t="n">
        <v>0</v>
      </c>
      <c r="M463" t="n">
        <v>0</v>
      </c>
      <c r="N463" t="n">
        <v>0</v>
      </c>
      <c r="O463" t="n">
        <v>0</v>
      </c>
      <c r="P463" t="n">
        <v>0</v>
      </c>
      <c r="Q463" t="n">
        <v>0</v>
      </c>
      <c r="R463" s="2" t="inlineStr"/>
    </row>
    <row r="464" ht="15" customHeight="1">
      <c r="A464" t="inlineStr">
        <is>
          <t>A 23181-2026</t>
        </is>
      </c>
      <c r="B464" s="1" t="n">
        <v>46161.68100694445</v>
      </c>
      <c r="C464" s="1" t="n">
        <v>46176</v>
      </c>
      <c r="D464" t="inlineStr">
        <is>
          <t>ÖREBRO LÄN</t>
        </is>
      </c>
      <c r="E464" t="inlineStr">
        <is>
          <t>LINDESBERG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23184-2026</t>
        </is>
      </c>
      <c r="B465" s="1" t="n">
        <v>46161.68303240741</v>
      </c>
      <c r="C465" s="1" t="n">
        <v>46176</v>
      </c>
      <c r="D465" t="inlineStr">
        <is>
          <t>ÖREBRO LÄN</t>
        </is>
      </c>
      <c r="E465" t="inlineStr">
        <is>
          <t>LINDESBERG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23190-2026</t>
        </is>
      </c>
      <c r="B466" s="1" t="n">
        <v>46161.6995949074</v>
      </c>
      <c r="C466" s="1" t="n">
        <v>46176</v>
      </c>
      <c r="D466" t="inlineStr">
        <is>
          <t>ÖREBRO LÄN</t>
        </is>
      </c>
      <c r="E466" t="inlineStr">
        <is>
          <t>LINDESBERG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23191-2026</t>
        </is>
      </c>
      <c r="B467" s="1" t="n">
        <v>46161.70207175926</v>
      </c>
      <c r="C467" s="1" t="n">
        <v>46176</v>
      </c>
      <c r="D467" t="inlineStr">
        <is>
          <t>ÖREBRO LÄN</t>
        </is>
      </c>
      <c r="E467" t="inlineStr">
        <is>
          <t>LINDESBERG</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23338-2026</t>
        </is>
      </c>
      <c r="B468" s="1" t="n">
        <v>46162.56407407407</v>
      </c>
      <c r="C468" s="1" t="n">
        <v>46176</v>
      </c>
      <c r="D468" t="inlineStr">
        <is>
          <t>ÖREBRO LÄN</t>
        </is>
      </c>
      <c r="E468" t="inlineStr">
        <is>
          <t>LINDESBERG</t>
        </is>
      </c>
      <c r="F468" t="inlineStr">
        <is>
          <t>Naturvårdsverket</t>
        </is>
      </c>
      <c r="G468" t="n">
        <v>2.2</v>
      </c>
      <c r="H468" t="n">
        <v>0</v>
      </c>
      <c r="I468" t="n">
        <v>0</v>
      </c>
      <c r="J468" t="n">
        <v>0</v>
      </c>
      <c r="K468" t="n">
        <v>0</v>
      </c>
      <c r="L468" t="n">
        <v>0</v>
      </c>
      <c r="M468" t="n">
        <v>0</v>
      </c>
      <c r="N468" t="n">
        <v>0</v>
      </c>
      <c r="O468" t="n">
        <v>0</v>
      </c>
      <c r="P468" t="n">
        <v>0</v>
      </c>
      <c r="Q468" t="n">
        <v>0</v>
      </c>
      <c r="R468" s="2" t="inlineStr"/>
    </row>
    <row r="469" ht="15" customHeight="1">
      <c r="A469" t="inlineStr">
        <is>
          <t>A 23173-2026</t>
        </is>
      </c>
      <c r="B469" s="1" t="n">
        <v>46161.67074074074</v>
      </c>
      <c r="C469" s="1" t="n">
        <v>46176</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51656-2023</t>
        </is>
      </c>
      <c r="B470" s="1" t="n">
        <v>45222</v>
      </c>
      <c r="C470" s="1" t="n">
        <v>46176</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46404-2025</t>
        </is>
      </c>
      <c r="B471" s="1" t="n">
        <v>45925.56173611111</v>
      </c>
      <c r="C471" s="1" t="n">
        <v>46176</v>
      </c>
      <c r="D471" t="inlineStr">
        <is>
          <t>ÖREBRO LÄN</t>
        </is>
      </c>
      <c r="E471" t="inlineStr">
        <is>
          <t>LINDESBERG</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23180-2026</t>
        </is>
      </c>
      <c r="B472" s="1" t="n">
        <v>46161.67895833333</v>
      </c>
      <c r="C472" s="1" t="n">
        <v>46176</v>
      </c>
      <c r="D472" t="inlineStr">
        <is>
          <t>ÖREBRO LÄN</t>
        </is>
      </c>
      <c r="E472" t="inlineStr">
        <is>
          <t>LINDESBERG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3732-2023</t>
        </is>
      </c>
      <c r="B473" s="1" t="n">
        <v>44949</v>
      </c>
      <c r="C473" s="1" t="n">
        <v>46176</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23175-2026</t>
        </is>
      </c>
      <c r="B474" s="1" t="n">
        <v>46161.6755787037</v>
      </c>
      <c r="C474" s="1" t="n">
        <v>46176</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23177-2026</t>
        </is>
      </c>
      <c r="B475" s="1" t="n">
        <v>46161.67731481481</v>
      </c>
      <c r="C475" s="1" t="n">
        <v>46176</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23188-2026</t>
        </is>
      </c>
      <c r="B476" s="1" t="n">
        <v>46161.69788194444</v>
      </c>
      <c r="C476" s="1" t="n">
        <v>46176</v>
      </c>
      <c r="D476" t="inlineStr">
        <is>
          <t>ÖREBRO LÄN</t>
        </is>
      </c>
      <c r="E476" t="inlineStr">
        <is>
          <t>LINDESBERG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57069-2022</t>
        </is>
      </c>
      <c r="B477" s="1" t="n">
        <v>44895</v>
      </c>
      <c r="C477" s="1" t="n">
        <v>46176</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46484-2025</t>
        </is>
      </c>
      <c r="B478" s="1" t="n">
        <v>45925.70290509259</v>
      </c>
      <c r="C478" s="1" t="n">
        <v>46176</v>
      </c>
      <c r="D478" t="inlineStr">
        <is>
          <t>ÖREBRO LÄN</t>
        </is>
      </c>
      <c r="E478" t="inlineStr">
        <is>
          <t>LINDESBERG</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4067-2024</t>
        </is>
      </c>
      <c r="B479" s="1" t="n">
        <v>45323</v>
      </c>
      <c r="C479" s="1" t="n">
        <v>46176</v>
      </c>
      <c r="D479" t="inlineStr">
        <is>
          <t>ÖREBRO LÄN</t>
        </is>
      </c>
      <c r="E479" t="inlineStr">
        <is>
          <t>LINDESBERG</t>
        </is>
      </c>
      <c r="G479" t="n">
        <v>1</v>
      </c>
      <c r="H479" t="n">
        <v>0</v>
      </c>
      <c r="I479" t="n">
        <v>0</v>
      </c>
      <c r="J479" t="n">
        <v>0</v>
      </c>
      <c r="K479" t="n">
        <v>0</v>
      </c>
      <c r="L479" t="n">
        <v>0</v>
      </c>
      <c r="M479" t="n">
        <v>0</v>
      </c>
      <c r="N479" t="n">
        <v>0</v>
      </c>
      <c r="O479" t="n">
        <v>0</v>
      </c>
      <c r="P479" t="n">
        <v>0</v>
      </c>
      <c r="Q479" t="n">
        <v>0</v>
      </c>
      <c r="R479" s="2" t="inlineStr"/>
    </row>
    <row r="480" ht="15" customHeight="1">
      <c r="A480" t="inlineStr">
        <is>
          <t>A 29500-2023</t>
        </is>
      </c>
      <c r="B480" s="1" t="n">
        <v>45106</v>
      </c>
      <c r="C480" s="1" t="n">
        <v>46176</v>
      </c>
      <c r="D480" t="inlineStr">
        <is>
          <t>ÖREBRO LÄN</t>
        </is>
      </c>
      <c r="E480" t="inlineStr">
        <is>
          <t>LINDESBERG</t>
        </is>
      </c>
      <c r="G480" t="n">
        <v>1.6</v>
      </c>
      <c r="H480" t="n">
        <v>0</v>
      </c>
      <c r="I480" t="n">
        <v>0</v>
      </c>
      <c r="J480" t="n">
        <v>0</v>
      </c>
      <c r="K480" t="n">
        <v>0</v>
      </c>
      <c r="L480" t="n">
        <v>0</v>
      </c>
      <c r="M480" t="n">
        <v>0</v>
      </c>
      <c r="N480" t="n">
        <v>0</v>
      </c>
      <c r="O480" t="n">
        <v>0</v>
      </c>
      <c r="P480" t="n">
        <v>0</v>
      </c>
      <c r="Q480" t="n">
        <v>0</v>
      </c>
      <c r="R480" s="2" t="inlineStr"/>
    </row>
    <row r="481" ht="15" customHeight="1">
      <c r="A481" t="inlineStr">
        <is>
          <t>A 10823-2023</t>
        </is>
      </c>
      <c r="B481" s="1" t="n">
        <v>44990</v>
      </c>
      <c r="C481" s="1" t="n">
        <v>46176</v>
      </c>
      <c r="D481" t="inlineStr">
        <is>
          <t>ÖREBRO LÄN</t>
        </is>
      </c>
      <c r="E481" t="inlineStr">
        <is>
          <t>LINDESBERG</t>
        </is>
      </c>
      <c r="G481" t="n">
        <v>1.8</v>
      </c>
      <c r="H481" t="n">
        <v>0</v>
      </c>
      <c r="I481" t="n">
        <v>0</v>
      </c>
      <c r="J481" t="n">
        <v>0</v>
      </c>
      <c r="K481" t="n">
        <v>0</v>
      </c>
      <c r="L481" t="n">
        <v>0</v>
      </c>
      <c r="M481" t="n">
        <v>0</v>
      </c>
      <c r="N481" t="n">
        <v>0</v>
      </c>
      <c r="O481" t="n">
        <v>0</v>
      </c>
      <c r="P481" t="n">
        <v>0</v>
      </c>
      <c r="Q481" t="n">
        <v>0</v>
      </c>
      <c r="R481" s="2" t="inlineStr"/>
    </row>
    <row r="482" ht="15" customHeight="1">
      <c r="A482" t="inlineStr">
        <is>
          <t>A 17663-2026</t>
        </is>
      </c>
      <c r="B482" s="1" t="n">
        <v>46121.57420138889</v>
      </c>
      <c r="C482" s="1" t="n">
        <v>46176</v>
      </c>
      <c r="D482" t="inlineStr">
        <is>
          <t>ÖREBRO LÄN</t>
        </is>
      </c>
      <c r="E482" t="inlineStr">
        <is>
          <t>LINDESBERG</t>
        </is>
      </c>
      <c r="G482" t="n">
        <v>3.2</v>
      </c>
      <c r="H482" t="n">
        <v>0</v>
      </c>
      <c r="I482" t="n">
        <v>0</v>
      </c>
      <c r="J482" t="n">
        <v>0</v>
      </c>
      <c r="K482" t="n">
        <v>0</v>
      </c>
      <c r="L482" t="n">
        <v>0</v>
      </c>
      <c r="M482" t="n">
        <v>0</v>
      </c>
      <c r="N482" t="n">
        <v>0</v>
      </c>
      <c r="O482" t="n">
        <v>0</v>
      </c>
      <c r="P482" t="n">
        <v>0</v>
      </c>
      <c r="Q482" t="n">
        <v>0</v>
      </c>
      <c r="R482" s="2" t="inlineStr"/>
    </row>
    <row r="483" ht="15" customHeight="1">
      <c r="A483" t="inlineStr">
        <is>
          <t>A 8902-2024</t>
        </is>
      </c>
      <c r="B483" s="1" t="n">
        <v>45357.34521990741</v>
      </c>
      <c r="C483" s="1" t="n">
        <v>46176</v>
      </c>
      <c r="D483" t="inlineStr">
        <is>
          <t>ÖREBRO LÄN</t>
        </is>
      </c>
      <c r="E483" t="inlineStr">
        <is>
          <t>LINDESBERG</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23910-2026</t>
        </is>
      </c>
      <c r="B484" s="1" t="n">
        <v>46167.49278935185</v>
      </c>
      <c r="C484" s="1" t="n">
        <v>46176</v>
      </c>
      <c r="D484" t="inlineStr">
        <is>
          <t>ÖREBRO LÄN</t>
        </is>
      </c>
      <c r="E484" t="inlineStr">
        <is>
          <t>LINDESBERG</t>
        </is>
      </c>
      <c r="F484" t="inlineStr">
        <is>
          <t>Naturvårdsverket</t>
        </is>
      </c>
      <c r="G484" t="n">
        <v>2.7</v>
      </c>
      <c r="H484" t="n">
        <v>0</v>
      </c>
      <c r="I484" t="n">
        <v>0</v>
      </c>
      <c r="J484" t="n">
        <v>0</v>
      </c>
      <c r="K484" t="n">
        <v>0</v>
      </c>
      <c r="L484" t="n">
        <v>0</v>
      </c>
      <c r="M484" t="n">
        <v>0</v>
      </c>
      <c r="N484" t="n">
        <v>0</v>
      </c>
      <c r="O484" t="n">
        <v>0</v>
      </c>
      <c r="P484" t="n">
        <v>0</v>
      </c>
      <c r="Q484" t="n">
        <v>0</v>
      </c>
      <c r="R484" s="2" t="inlineStr"/>
    </row>
    <row r="485" ht="15" customHeight="1">
      <c r="A485" t="inlineStr">
        <is>
          <t>A 46757-2025</t>
        </is>
      </c>
      <c r="B485" s="1" t="n">
        <v>45926.62039351852</v>
      </c>
      <c r="C485" s="1" t="n">
        <v>46176</v>
      </c>
      <c r="D485" t="inlineStr">
        <is>
          <t>ÖREBRO LÄN</t>
        </is>
      </c>
      <c r="E485" t="inlineStr">
        <is>
          <t>LINDESBERG</t>
        </is>
      </c>
      <c r="G485" t="n">
        <v>7.9</v>
      </c>
      <c r="H485" t="n">
        <v>0</v>
      </c>
      <c r="I485" t="n">
        <v>0</v>
      </c>
      <c r="J485" t="n">
        <v>0</v>
      </c>
      <c r="K485" t="n">
        <v>0</v>
      </c>
      <c r="L485" t="n">
        <v>0</v>
      </c>
      <c r="M485" t="n">
        <v>0</v>
      </c>
      <c r="N485" t="n">
        <v>0</v>
      </c>
      <c r="O485" t="n">
        <v>0</v>
      </c>
      <c r="P485" t="n">
        <v>0</v>
      </c>
      <c r="Q485" t="n">
        <v>0</v>
      </c>
      <c r="R485" s="2" t="inlineStr"/>
    </row>
    <row r="486" ht="15" customHeight="1">
      <c r="A486" t="inlineStr">
        <is>
          <t>A 18220-2026</t>
        </is>
      </c>
      <c r="B486" s="1" t="n">
        <v>46126.30818287037</v>
      </c>
      <c r="C486" s="1" t="n">
        <v>46176</v>
      </c>
      <c r="D486" t="inlineStr">
        <is>
          <t>ÖREBRO LÄN</t>
        </is>
      </c>
      <c r="E486" t="inlineStr">
        <is>
          <t>LINDESBERG</t>
        </is>
      </c>
      <c r="G486" t="n">
        <v>5.7</v>
      </c>
      <c r="H486" t="n">
        <v>0</v>
      </c>
      <c r="I486" t="n">
        <v>0</v>
      </c>
      <c r="J486" t="n">
        <v>0</v>
      </c>
      <c r="K486" t="n">
        <v>0</v>
      </c>
      <c r="L486" t="n">
        <v>0</v>
      </c>
      <c r="M486" t="n">
        <v>0</v>
      </c>
      <c r="N486" t="n">
        <v>0</v>
      </c>
      <c r="O486" t="n">
        <v>0</v>
      </c>
      <c r="P486" t="n">
        <v>0</v>
      </c>
      <c r="Q486" t="n">
        <v>0</v>
      </c>
      <c r="R486" s="2" t="inlineStr"/>
    </row>
    <row r="487" ht="15" customHeight="1">
      <c r="A487" t="inlineStr">
        <is>
          <t>A 40305-2024</t>
        </is>
      </c>
      <c r="B487" s="1" t="n">
        <v>45554.71863425926</v>
      </c>
      <c r="C487" s="1" t="n">
        <v>46176</v>
      </c>
      <c r="D487" t="inlineStr">
        <is>
          <t>ÖREBRO LÄN</t>
        </is>
      </c>
      <c r="E487" t="inlineStr">
        <is>
          <t>LINDESBERG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47678-2025</t>
        </is>
      </c>
      <c r="B488" s="1" t="n">
        <v>45931.57967592592</v>
      </c>
      <c r="C488" s="1" t="n">
        <v>46176</v>
      </c>
      <c r="D488" t="inlineStr">
        <is>
          <t>ÖREBRO LÄN</t>
        </is>
      </c>
      <c r="E488" t="inlineStr">
        <is>
          <t>LINDESBERG</t>
        </is>
      </c>
      <c r="G488" t="n">
        <v>0.6</v>
      </c>
      <c r="H488" t="n">
        <v>0</v>
      </c>
      <c r="I488" t="n">
        <v>0</v>
      </c>
      <c r="J488" t="n">
        <v>0</v>
      </c>
      <c r="K488" t="n">
        <v>0</v>
      </c>
      <c r="L488" t="n">
        <v>0</v>
      </c>
      <c r="M488" t="n">
        <v>0</v>
      </c>
      <c r="N488" t="n">
        <v>0</v>
      </c>
      <c r="O488" t="n">
        <v>0</v>
      </c>
      <c r="P488" t="n">
        <v>0</v>
      </c>
      <c r="Q488" t="n">
        <v>0</v>
      </c>
      <c r="R488" s="2" t="inlineStr"/>
    </row>
    <row r="489" ht="15" customHeight="1">
      <c r="A489" t="inlineStr">
        <is>
          <t>A 19436-2025</t>
        </is>
      </c>
      <c r="B489" s="1" t="n">
        <v>45769.98449074074</v>
      </c>
      <c r="C489" s="1" t="n">
        <v>46176</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23912-2026</t>
        </is>
      </c>
      <c r="B490" s="1" t="n">
        <v>46167.49552083333</v>
      </c>
      <c r="C490" s="1" t="n">
        <v>46176</v>
      </c>
      <c r="D490" t="inlineStr">
        <is>
          <t>ÖREBRO LÄN</t>
        </is>
      </c>
      <c r="E490" t="inlineStr">
        <is>
          <t>LINDESBERG</t>
        </is>
      </c>
      <c r="F490" t="inlineStr">
        <is>
          <t>Naturvårdsverket</t>
        </is>
      </c>
      <c r="G490" t="n">
        <v>5.5</v>
      </c>
      <c r="H490" t="n">
        <v>0</v>
      </c>
      <c r="I490" t="n">
        <v>0</v>
      </c>
      <c r="J490" t="n">
        <v>0</v>
      </c>
      <c r="K490" t="n">
        <v>0</v>
      </c>
      <c r="L490" t="n">
        <v>0</v>
      </c>
      <c r="M490" t="n">
        <v>0</v>
      </c>
      <c r="N490" t="n">
        <v>0</v>
      </c>
      <c r="O490" t="n">
        <v>0</v>
      </c>
      <c r="P490" t="n">
        <v>0</v>
      </c>
      <c r="Q490" t="n">
        <v>0</v>
      </c>
      <c r="R490" s="2" t="inlineStr"/>
    </row>
    <row r="491" ht="15" customHeight="1">
      <c r="A491" t="inlineStr">
        <is>
          <t>A 47676-2025</t>
        </is>
      </c>
      <c r="B491" s="1" t="n">
        <v>45931.57756944445</v>
      </c>
      <c r="C491" s="1" t="n">
        <v>46176</v>
      </c>
      <c r="D491" t="inlineStr">
        <is>
          <t>ÖREBRO LÄN</t>
        </is>
      </c>
      <c r="E491" t="inlineStr">
        <is>
          <t>LINDESBERG</t>
        </is>
      </c>
      <c r="G491" t="n">
        <v>0.8</v>
      </c>
      <c r="H491" t="n">
        <v>0</v>
      </c>
      <c r="I491" t="n">
        <v>0</v>
      </c>
      <c r="J491" t="n">
        <v>0</v>
      </c>
      <c r="K491" t="n">
        <v>0</v>
      </c>
      <c r="L491" t="n">
        <v>0</v>
      </c>
      <c r="M491" t="n">
        <v>0</v>
      </c>
      <c r="N491" t="n">
        <v>0</v>
      </c>
      <c r="O491" t="n">
        <v>0</v>
      </c>
      <c r="P491" t="n">
        <v>0</v>
      </c>
      <c r="Q491" t="n">
        <v>0</v>
      </c>
      <c r="R491" s="2" t="inlineStr"/>
    </row>
    <row r="492" ht="15" customHeight="1">
      <c r="A492" t="inlineStr">
        <is>
          <t>A 22829-2023</t>
        </is>
      </c>
      <c r="B492" s="1" t="n">
        <v>45072.42776620371</v>
      </c>
      <c r="C492" s="1" t="n">
        <v>46176</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23914-2026</t>
        </is>
      </c>
      <c r="B493" s="1" t="n">
        <v>46167.50077546296</v>
      </c>
      <c r="C493" s="1" t="n">
        <v>46176</v>
      </c>
      <c r="D493" t="inlineStr">
        <is>
          <t>ÖREBRO LÄN</t>
        </is>
      </c>
      <c r="E493" t="inlineStr">
        <is>
          <t>LINDESBERG</t>
        </is>
      </c>
      <c r="F493" t="inlineStr">
        <is>
          <t>Naturvårdsverket</t>
        </is>
      </c>
      <c r="G493" t="n">
        <v>3</v>
      </c>
      <c r="H493" t="n">
        <v>0</v>
      </c>
      <c r="I493" t="n">
        <v>0</v>
      </c>
      <c r="J493" t="n">
        <v>0</v>
      </c>
      <c r="K493" t="n">
        <v>0</v>
      </c>
      <c r="L493" t="n">
        <v>0</v>
      </c>
      <c r="M493" t="n">
        <v>0</v>
      </c>
      <c r="N493" t="n">
        <v>0</v>
      </c>
      <c r="O493" t="n">
        <v>0</v>
      </c>
      <c r="P493" t="n">
        <v>0</v>
      </c>
      <c r="Q493" t="n">
        <v>0</v>
      </c>
      <c r="R493" s="2" t="inlineStr"/>
    </row>
    <row r="494" ht="15" customHeight="1">
      <c r="A494" t="inlineStr">
        <is>
          <t>A 18061-2026</t>
        </is>
      </c>
      <c r="B494" s="1" t="n">
        <v>46125.46030092592</v>
      </c>
      <c r="C494" s="1" t="n">
        <v>46176</v>
      </c>
      <c r="D494" t="inlineStr">
        <is>
          <t>ÖREBRO LÄN</t>
        </is>
      </c>
      <c r="E494" t="inlineStr">
        <is>
          <t>LINDESBERG</t>
        </is>
      </c>
      <c r="G494" t="n">
        <v>0.7</v>
      </c>
      <c r="H494" t="n">
        <v>0</v>
      </c>
      <c r="I494" t="n">
        <v>0</v>
      </c>
      <c r="J494" t="n">
        <v>0</v>
      </c>
      <c r="K494" t="n">
        <v>0</v>
      </c>
      <c r="L494" t="n">
        <v>0</v>
      </c>
      <c r="M494" t="n">
        <v>0</v>
      </c>
      <c r="N494" t="n">
        <v>0</v>
      </c>
      <c r="O494" t="n">
        <v>0</v>
      </c>
      <c r="P494" t="n">
        <v>0</v>
      </c>
      <c r="Q494" t="n">
        <v>0</v>
      </c>
      <c r="R494" s="2" t="inlineStr"/>
    </row>
    <row r="495" ht="15" customHeight="1">
      <c r="A495" t="inlineStr">
        <is>
          <t>A 18636-2026</t>
        </is>
      </c>
      <c r="B495" s="1" t="n">
        <v>46128.31521990741</v>
      </c>
      <c r="C495" s="1" t="n">
        <v>46176</v>
      </c>
      <c r="D495" t="inlineStr">
        <is>
          <t>ÖREBRO LÄN</t>
        </is>
      </c>
      <c r="E495" t="inlineStr">
        <is>
          <t>LINDESBERG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28463-2024</t>
        </is>
      </c>
      <c r="B496" s="1" t="n">
        <v>45477.70315972222</v>
      </c>
      <c r="C496" s="1" t="n">
        <v>46176</v>
      </c>
      <c r="D496" t="inlineStr">
        <is>
          <t>ÖREBRO LÄN</t>
        </is>
      </c>
      <c r="E496" t="inlineStr">
        <is>
          <t>LINDESBERG</t>
        </is>
      </c>
      <c r="G496" t="n">
        <v>6.3</v>
      </c>
      <c r="H496" t="n">
        <v>0</v>
      </c>
      <c r="I496" t="n">
        <v>0</v>
      </c>
      <c r="J496" t="n">
        <v>0</v>
      </c>
      <c r="K496" t="n">
        <v>0</v>
      </c>
      <c r="L496" t="n">
        <v>0</v>
      </c>
      <c r="M496" t="n">
        <v>0</v>
      </c>
      <c r="N496" t="n">
        <v>0</v>
      </c>
      <c r="O496" t="n">
        <v>0</v>
      </c>
      <c r="P496" t="n">
        <v>0</v>
      </c>
      <c r="Q496" t="n">
        <v>0</v>
      </c>
      <c r="R496" s="2" t="inlineStr"/>
    </row>
    <row r="497" ht="15" customHeight="1">
      <c r="A497" t="inlineStr">
        <is>
          <t>A 15822-2024</t>
        </is>
      </c>
      <c r="B497" s="1" t="n">
        <v>45404.68190972223</v>
      </c>
      <c r="C497" s="1" t="n">
        <v>46176</v>
      </c>
      <c r="D497" t="inlineStr">
        <is>
          <t>ÖREBRO LÄN</t>
        </is>
      </c>
      <c r="E497" t="inlineStr">
        <is>
          <t>LINDESBERG</t>
        </is>
      </c>
      <c r="F497" t="inlineStr">
        <is>
          <t>Sveaskog</t>
        </is>
      </c>
      <c r="G497" t="n">
        <v>6.7</v>
      </c>
      <c r="H497" t="n">
        <v>0</v>
      </c>
      <c r="I497" t="n">
        <v>0</v>
      </c>
      <c r="J497" t="n">
        <v>0</v>
      </c>
      <c r="K497" t="n">
        <v>0</v>
      </c>
      <c r="L497" t="n">
        <v>0</v>
      </c>
      <c r="M497" t="n">
        <v>0</v>
      </c>
      <c r="N497" t="n">
        <v>0</v>
      </c>
      <c r="O497" t="n">
        <v>0</v>
      </c>
      <c r="P497" t="n">
        <v>0</v>
      </c>
      <c r="Q497" t="n">
        <v>0</v>
      </c>
      <c r="R497" s="2" t="inlineStr"/>
    </row>
    <row r="498" ht="15" customHeight="1">
      <c r="A498" t="inlineStr">
        <is>
          <t>A 48061-2025</t>
        </is>
      </c>
      <c r="B498" s="1" t="n">
        <v>45932.68006944445</v>
      </c>
      <c r="C498" s="1" t="n">
        <v>46176</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59052-2023</t>
        </is>
      </c>
      <c r="B499" s="1" t="n">
        <v>45252.78021990741</v>
      </c>
      <c r="C499" s="1" t="n">
        <v>46176</v>
      </c>
      <c r="D499" t="inlineStr">
        <is>
          <t>ÖREBRO LÄN</t>
        </is>
      </c>
      <c r="E499" t="inlineStr">
        <is>
          <t>LINDESBERG</t>
        </is>
      </c>
      <c r="G499" t="n">
        <v>4.2</v>
      </c>
      <c r="H499" t="n">
        <v>0</v>
      </c>
      <c r="I499" t="n">
        <v>0</v>
      </c>
      <c r="J499" t="n">
        <v>0</v>
      </c>
      <c r="K499" t="n">
        <v>0</v>
      </c>
      <c r="L499" t="n">
        <v>0</v>
      </c>
      <c r="M499" t="n">
        <v>0</v>
      </c>
      <c r="N499" t="n">
        <v>0</v>
      </c>
      <c r="O499" t="n">
        <v>0</v>
      </c>
      <c r="P499" t="n">
        <v>0</v>
      </c>
      <c r="Q499" t="n">
        <v>0</v>
      </c>
      <c r="R499" s="2" t="inlineStr"/>
    </row>
    <row r="500" ht="15" customHeight="1">
      <c r="A500" t="inlineStr">
        <is>
          <t>A 2107-2022</t>
        </is>
      </c>
      <c r="B500" s="1" t="n">
        <v>44577.83484953704</v>
      </c>
      <c r="C500" s="1" t="n">
        <v>46176</v>
      </c>
      <c r="D500" t="inlineStr">
        <is>
          <t>ÖREBRO LÄN</t>
        </is>
      </c>
      <c r="E500" t="inlineStr">
        <is>
          <t>LINDESBERG</t>
        </is>
      </c>
      <c r="G500" t="n">
        <v>2.9</v>
      </c>
      <c r="H500" t="n">
        <v>0</v>
      </c>
      <c r="I500" t="n">
        <v>0</v>
      </c>
      <c r="J500" t="n">
        <v>0</v>
      </c>
      <c r="K500" t="n">
        <v>0</v>
      </c>
      <c r="L500" t="n">
        <v>0</v>
      </c>
      <c r="M500" t="n">
        <v>0</v>
      </c>
      <c r="N500" t="n">
        <v>0</v>
      </c>
      <c r="O500" t="n">
        <v>0</v>
      </c>
      <c r="P500" t="n">
        <v>0</v>
      </c>
      <c r="Q500" t="n">
        <v>0</v>
      </c>
      <c r="R500" s="2" t="inlineStr"/>
    </row>
    <row r="501" ht="15" customHeight="1">
      <c r="A501" t="inlineStr">
        <is>
          <t>A 48750-2025</t>
        </is>
      </c>
      <c r="B501" s="1" t="n">
        <v>45936.68452546297</v>
      </c>
      <c r="C501" s="1" t="n">
        <v>46176</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18640-2026</t>
        </is>
      </c>
      <c r="B502" s="1" t="n">
        <v>46128.32461805556</v>
      </c>
      <c r="C502" s="1" t="n">
        <v>46176</v>
      </c>
      <c r="D502" t="inlineStr">
        <is>
          <t>ÖREBRO LÄN</t>
        </is>
      </c>
      <c r="E502" t="inlineStr">
        <is>
          <t>LINDESBERG</t>
        </is>
      </c>
      <c r="F502" t="inlineStr">
        <is>
          <t>Sveaskog</t>
        </is>
      </c>
      <c r="G502" t="n">
        <v>0.3</v>
      </c>
      <c r="H502" t="n">
        <v>0</v>
      </c>
      <c r="I502" t="n">
        <v>0</v>
      </c>
      <c r="J502" t="n">
        <v>0</v>
      </c>
      <c r="K502" t="n">
        <v>0</v>
      </c>
      <c r="L502" t="n">
        <v>0</v>
      </c>
      <c r="M502" t="n">
        <v>0</v>
      </c>
      <c r="N502" t="n">
        <v>0</v>
      </c>
      <c r="O502" t="n">
        <v>0</v>
      </c>
      <c r="P502" t="n">
        <v>0</v>
      </c>
      <c r="Q502" t="n">
        <v>0</v>
      </c>
      <c r="R502" s="2" t="inlineStr"/>
    </row>
    <row r="503" ht="15" customHeight="1">
      <c r="A503" t="inlineStr">
        <is>
          <t>A 48620-2025</t>
        </is>
      </c>
      <c r="B503" s="1" t="n">
        <v>45936.49210648148</v>
      </c>
      <c r="C503" s="1" t="n">
        <v>46176</v>
      </c>
      <c r="D503" t="inlineStr">
        <is>
          <t>ÖREBRO LÄN</t>
        </is>
      </c>
      <c r="E503" t="inlineStr">
        <is>
          <t>LINDESBERG</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48497-2025</t>
        </is>
      </c>
      <c r="B504" s="1" t="n">
        <v>45936.37523148148</v>
      </c>
      <c r="C504" s="1" t="n">
        <v>46176</v>
      </c>
      <c r="D504" t="inlineStr">
        <is>
          <t>ÖREBRO LÄN</t>
        </is>
      </c>
      <c r="E504" t="inlineStr">
        <is>
          <t>LINDESBERG</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23603-2023</t>
        </is>
      </c>
      <c r="B505" s="1" t="n">
        <v>45077</v>
      </c>
      <c r="C505" s="1" t="n">
        <v>46176</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23607-2023</t>
        </is>
      </c>
      <c r="B506" s="1" t="n">
        <v>45077</v>
      </c>
      <c r="C506" s="1" t="n">
        <v>46176</v>
      </c>
      <c r="D506" t="inlineStr">
        <is>
          <t>ÖREBRO LÄN</t>
        </is>
      </c>
      <c r="E506" t="inlineStr">
        <is>
          <t>LINDESBERG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23612-2023</t>
        </is>
      </c>
      <c r="B507" s="1" t="n">
        <v>45077</v>
      </c>
      <c r="C507" s="1" t="n">
        <v>46176</v>
      </c>
      <c r="D507" t="inlineStr">
        <is>
          <t>ÖREBRO LÄN</t>
        </is>
      </c>
      <c r="E507" t="inlineStr">
        <is>
          <t>LINDESBERG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48489-2025</t>
        </is>
      </c>
      <c r="B508" s="1" t="n">
        <v>45936.36637731481</v>
      </c>
      <c r="C508" s="1" t="n">
        <v>46176</v>
      </c>
      <c r="D508" t="inlineStr">
        <is>
          <t>ÖREBRO LÄN</t>
        </is>
      </c>
      <c r="E508" t="inlineStr">
        <is>
          <t>LINDESBERG</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48618-2025</t>
        </is>
      </c>
      <c r="B509" s="1" t="n">
        <v>45936.49026620371</v>
      </c>
      <c r="C509" s="1" t="n">
        <v>46176</v>
      </c>
      <c r="D509" t="inlineStr">
        <is>
          <t>ÖREBRO LÄN</t>
        </is>
      </c>
      <c r="E509" t="inlineStr">
        <is>
          <t>LINDESBERG</t>
        </is>
      </c>
      <c r="F509" t="inlineStr">
        <is>
          <t>Sveaskog</t>
        </is>
      </c>
      <c r="G509" t="n">
        <v>4.2</v>
      </c>
      <c r="H509" t="n">
        <v>0</v>
      </c>
      <c r="I509" t="n">
        <v>0</v>
      </c>
      <c r="J509" t="n">
        <v>0</v>
      </c>
      <c r="K509" t="n">
        <v>0</v>
      </c>
      <c r="L509" t="n">
        <v>0</v>
      </c>
      <c r="M509" t="n">
        <v>0</v>
      </c>
      <c r="N509" t="n">
        <v>0</v>
      </c>
      <c r="O509" t="n">
        <v>0</v>
      </c>
      <c r="P509" t="n">
        <v>0</v>
      </c>
      <c r="Q509" t="n">
        <v>0</v>
      </c>
      <c r="R509" s="2" t="inlineStr"/>
    </row>
    <row r="510" ht="15" customHeight="1">
      <c r="A510" t="inlineStr">
        <is>
          <t>A 48495-2025</t>
        </is>
      </c>
      <c r="B510" s="1" t="n">
        <v>45936.37237268518</v>
      </c>
      <c r="C510" s="1" t="n">
        <v>46176</v>
      </c>
      <c r="D510" t="inlineStr">
        <is>
          <t>ÖREBRO LÄN</t>
        </is>
      </c>
      <c r="E510" t="inlineStr">
        <is>
          <t>LINDESBERG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48867-2025</t>
        </is>
      </c>
      <c r="B511" s="1" t="n">
        <v>45937.4484837963</v>
      </c>
      <c r="C511" s="1" t="n">
        <v>46176</v>
      </c>
      <c r="D511" t="inlineStr">
        <is>
          <t>ÖREBRO LÄN</t>
        </is>
      </c>
      <c r="E511" t="inlineStr">
        <is>
          <t>LINDESBERG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48953-2025</t>
        </is>
      </c>
      <c r="B512" s="1" t="n">
        <v>45937.54697916667</v>
      </c>
      <c r="C512" s="1" t="n">
        <v>46176</v>
      </c>
      <c r="D512" t="inlineStr">
        <is>
          <t>ÖREBRO LÄN</t>
        </is>
      </c>
      <c r="E512" t="inlineStr">
        <is>
          <t>LINDESBERG</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18634-2026</t>
        </is>
      </c>
      <c r="B513" s="1" t="n">
        <v>46128.31271990741</v>
      </c>
      <c r="C513" s="1" t="n">
        <v>46176</v>
      </c>
      <c r="D513" t="inlineStr">
        <is>
          <t>ÖREBRO LÄN</t>
        </is>
      </c>
      <c r="E513" t="inlineStr">
        <is>
          <t>LINDESBERG</t>
        </is>
      </c>
      <c r="F513" t="inlineStr">
        <is>
          <t>Sveaskog</t>
        </is>
      </c>
      <c r="G513" t="n">
        <v>11.7</v>
      </c>
      <c r="H513" t="n">
        <v>0</v>
      </c>
      <c r="I513" t="n">
        <v>0</v>
      </c>
      <c r="J513" t="n">
        <v>0</v>
      </c>
      <c r="K513" t="n">
        <v>0</v>
      </c>
      <c r="L513" t="n">
        <v>0</v>
      </c>
      <c r="M513" t="n">
        <v>0</v>
      </c>
      <c r="N513" t="n">
        <v>0</v>
      </c>
      <c r="O513" t="n">
        <v>0</v>
      </c>
      <c r="P513" t="n">
        <v>0</v>
      </c>
      <c r="Q513" t="n">
        <v>0</v>
      </c>
      <c r="R513" s="2" t="inlineStr"/>
    </row>
    <row r="514" ht="15" customHeight="1">
      <c r="A514" t="inlineStr">
        <is>
          <t>A 48971-2025</t>
        </is>
      </c>
      <c r="B514" s="1" t="n">
        <v>45937.56420138889</v>
      </c>
      <c r="C514" s="1" t="n">
        <v>46176</v>
      </c>
      <c r="D514" t="inlineStr">
        <is>
          <t>ÖREBRO LÄN</t>
        </is>
      </c>
      <c r="E514" t="inlineStr">
        <is>
          <t>LINDESBERG</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48975-2025</t>
        </is>
      </c>
      <c r="B515" s="1" t="n">
        <v>45937.56798611111</v>
      </c>
      <c r="C515" s="1" t="n">
        <v>46176</v>
      </c>
      <c r="D515" t="inlineStr">
        <is>
          <t>ÖREBRO LÄN</t>
        </is>
      </c>
      <c r="E515" t="inlineStr">
        <is>
          <t>LINDESBERG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49100-2025</t>
        </is>
      </c>
      <c r="B516" s="1" t="n">
        <v>45937.71556712963</v>
      </c>
      <c r="C516" s="1" t="n">
        <v>46176</v>
      </c>
      <c r="D516" t="inlineStr">
        <is>
          <t>ÖREBRO LÄN</t>
        </is>
      </c>
      <c r="E516" t="inlineStr">
        <is>
          <t>LINDESBERG</t>
        </is>
      </c>
      <c r="G516" t="n">
        <v>2.2</v>
      </c>
      <c r="H516" t="n">
        <v>0</v>
      </c>
      <c r="I516" t="n">
        <v>0</v>
      </c>
      <c r="J516" t="n">
        <v>0</v>
      </c>
      <c r="K516" t="n">
        <v>0</v>
      </c>
      <c r="L516" t="n">
        <v>0</v>
      </c>
      <c r="M516" t="n">
        <v>0</v>
      </c>
      <c r="N516" t="n">
        <v>0</v>
      </c>
      <c r="O516" t="n">
        <v>0</v>
      </c>
      <c r="P516" t="n">
        <v>0</v>
      </c>
      <c r="Q516" t="n">
        <v>0</v>
      </c>
      <c r="R516" s="2" t="inlineStr"/>
    </row>
    <row r="517" ht="15" customHeight="1">
      <c r="A517" t="inlineStr">
        <is>
          <t>A 49133-2025</t>
        </is>
      </c>
      <c r="B517" s="1" t="n">
        <v>45937.92319444445</v>
      </c>
      <c r="C517" s="1" t="n">
        <v>46176</v>
      </c>
      <c r="D517" t="inlineStr">
        <is>
          <t>ÖREBRO LÄN</t>
        </is>
      </c>
      <c r="E517" t="inlineStr">
        <is>
          <t>LINDESBERG</t>
        </is>
      </c>
      <c r="G517" t="n">
        <v>5</v>
      </c>
      <c r="H517" t="n">
        <v>0</v>
      </c>
      <c r="I517" t="n">
        <v>0</v>
      </c>
      <c r="J517" t="n">
        <v>0</v>
      </c>
      <c r="K517" t="n">
        <v>0</v>
      </c>
      <c r="L517" t="n">
        <v>0</v>
      </c>
      <c r="M517" t="n">
        <v>0</v>
      </c>
      <c r="N517" t="n">
        <v>0</v>
      </c>
      <c r="O517" t="n">
        <v>0</v>
      </c>
      <c r="P517" t="n">
        <v>0</v>
      </c>
      <c r="Q517" t="n">
        <v>0</v>
      </c>
      <c r="R517" s="2" t="inlineStr"/>
    </row>
    <row r="518" ht="15" customHeight="1">
      <c r="A518" t="inlineStr">
        <is>
          <t>A 27702-2025</t>
        </is>
      </c>
      <c r="B518" s="1" t="n">
        <v>45813</v>
      </c>
      <c r="C518" s="1" t="n">
        <v>46176</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48993-2025</t>
        </is>
      </c>
      <c r="B519" s="1" t="n">
        <v>45937.58590277778</v>
      </c>
      <c r="C519" s="1" t="n">
        <v>46176</v>
      </c>
      <c r="D519" t="inlineStr">
        <is>
          <t>ÖREBRO LÄN</t>
        </is>
      </c>
      <c r="E519" t="inlineStr">
        <is>
          <t>LINDESBERG</t>
        </is>
      </c>
      <c r="F519" t="inlineStr">
        <is>
          <t>Kyrkan</t>
        </is>
      </c>
      <c r="G519" t="n">
        <v>4</v>
      </c>
      <c r="H519" t="n">
        <v>0</v>
      </c>
      <c r="I519" t="n">
        <v>0</v>
      </c>
      <c r="J519" t="n">
        <v>0</v>
      </c>
      <c r="K519" t="n">
        <v>0</v>
      </c>
      <c r="L519" t="n">
        <v>0</v>
      </c>
      <c r="M519" t="n">
        <v>0</v>
      </c>
      <c r="N519" t="n">
        <v>0</v>
      </c>
      <c r="O519" t="n">
        <v>0</v>
      </c>
      <c r="P519" t="n">
        <v>0</v>
      </c>
      <c r="Q519" t="n">
        <v>0</v>
      </c>
      <c r="R519" s="2" t="inlineStr"/>
    </row>
    <row r="520" ht="15" customHeight="1">
      <c r="A520" t="inlineStr">
        <is>
          <t>A 24565-2026</t>
        </is>
      </c>
      <c r="B520" s="1" t="n">
        <v>46170.61527777778</v>
      </c>
      <c r="C520" s="1" t="n">
        <v>46176</v>
      </c>
      <c r="D520" t="inlineStr">
        <is>
          <t>ÖREBRO LÄN</t>
        </is>
      </c>
      <c r="E520" t="inlineStr">
        <is>
          <t>LINDESBERG</t>
        </is>
      </c>
      <c r="F520" t="inlineStr">
        <is>
          <t>Kommuner</t>
        </is>
      </c>
      <c r="G520" t="n">
        <v>2.6</v>
      </c>
      <c r="H520" t="n">
        <v>0</v>
      </c>
      <c r="I520" t="n">
        <v>0</v>
      </c>
      <c r="J520" t="n">
        <v>0</v>
      </c>
      <c r="K520" t="n">
        <v>0</v>
      </c>
      <c r="L520" t="n">
        <v>0</v>
      </c>
      <c r="M520" t="n">
        <v>0</v>
      </c>
      <c r="N520" t="n">
        <v>0</v>
      </c>
      <c r="O520" t="n">
        <v>0</v>
      </c>
      <c r="P520" t="n">
        <v>0</v>
      </c>
      <c r="Q520" t="n">
        <v>0</v>
      </c>
      <c r="R520" s="2" t="inlineStr"/>
    </row>
    <row r="521" ht="15" customHeight="1">
      <c r="A521" t="inlineStr">
        <is>
          <t>A 18637-2026</t>
        </is>
      </c>
      <c r="B521" s="1" t="n">
        <v>46128.31604166667</v>
      </c>
      <c r="C521" s="1" t="n">
        <v>46176</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49183-2025</t>
        </is>
      </c>
      <c r="B522" s="1" t="n">
        <v>45938.39741898148</v>
      </c>
      <c r="C522" s="1" t="n">
        <v>46176</v>
      </c>
      <c r="D522" t="inlineStr">
        <is>
          <t>ÖREBRO LÄN</t>
        </is>
      </c>
      <c r="E522" t="inlineStr">
        <is>
          <t>LINDESBERG</t>
        </is>
      </c>
      <c r="G522" t="n">
        <v>4.4</v>
      </c>
      <c r="H522" t="n">
        <v>0</v>
      </c>
      <c r="I522" t="n">
        <v>0</v>
      </c>
      <c r="J522" t="n">
        <v>0</v>
      </c>
      <c r="K522" t="n">
        <v>0</v>
      </c>
      <c r="L522" t="n">
        <v>0</v>
      </c>
      <c r="M522" t="n">
        <v>0</v>
      </c>
      <c r="N522" t="n">
        <v>0</v>
      </c>
      <c r="O522" t="n">
        <v>0</v>
      </c>
      <c r="P522" t="n">
        <v>0</v>
      </c>
      <c r="Q522" t="n">
        <v>0</v>
      </c>
      <c r="R522" s="2" t="inlineStr"/>
    </row>
    <row r="523" ht="15" customHeight="1">
      <c r="A523" t="inlineStr">
        <is>
          <t>A 24601-2026</t>
        </is>
      </c>
      <c r="B523" s="1" t="n">
        <v>46170.86826388889</v>
      </c>
      <c r="C523" s="1" t="n">
        <v>46176</v>
      </c>
      <c r="D523" t="inlineStr">
        <is>
          <t>ÖREBRO LÄN</t>
        </is>
      </c>
      <c r="E523" t="inlineStr">
        <is>
          <t>LINDESBERG</t>
        </is>
      </c>
      <c r="G523" t="n">
        <v>2.7</v>
      </c>
      <c r="H523" t="n">
        <v>0</v>
      </c>
      <c r="I523" t="n">
        <v>0</v>
      </c>
      <c r="J523" t="n">
        <v>0</v>
      </c>
      <c r="K523" t="n">
        <v>0</v>
      </c>
      <c r="L523" t="n">
        <v>0</v>
      </c>
      <c r="M523" t="n">
        <v>0</v>
      </c>
      <c r="N523" t="n">
        <v>0</v>
      </c>
      <c r="O523" t="n">
        <v>0</v>
      </c>
      <c r="P523" t="n">
        <v>0</v>
      </c>
      <c r="Q523" t="n">
        <v>0</v>
      </c>
      <c r="R523" s="2" t="inlineStr"/>
    </row>
    <row r="524" ht="15" customHeight="1">
      <c r="A524" t="inlineStr">
        <is>
          <t>A 49707-2025</t>
        </is>
      </c>
      <c r="B524" s="1" t="n">
        <v>45939.67951388889</v>
      </c>
      <c r="C524" s="1" t="n">
        <v>46176</v>
      </c>
      <c r="D524" t="inlineStr">
        <is>
          <t>ÖREBRO LÄN</t>
        </is>
      </c>
      <c r="E524" t="inlineStr">
        <is>
          <t>LINDESBERG</t>
        </is>
      </c>
      <c r="F524" t="inlineStr">
        <is>
          <t>Kommuner</t>
        </is>
      </c>
      <c r="G524" t="n">
        <v>0.6</v>
      </c>
      <c r="H524" t="n">
        <v>0</v>
      </c>
      <c r="I524" t="n">
        <v>0</v>
      </c>
      <c r="J524" t="n">
        <v>0</v>
      </c>
      <c r="K524" t="n">
        <v>0</v>
      </c>
      <c r="L524" t="n">
        <v>0</v>
      </c>
      <c r="M524" t="n">
        <v>0</v>
      </c>
      <c r="N524" t="n">
        <v>0</v>
      </c>
      <c r="O524" t="n">
        <v>0</v>
      </c>
      <c r="P524" t="n">
        <v>0</v>
      </c>
      <c r="Q524" t="n">
        <v>0</v>
      </c>
      <c r="R524" s="2" t="inlineStr"/>
    </row>
    <row r="525" ht="15" customHeight="1">
      <c r="A525" t="inlineStr">
        <is>
          <t>A 24600-2026</t>
        </is>
      </c>
      <c r="B525" s="1" t="n">
        <v>46170.85934027778</v>
      </c>
      <c r="C525" s="1" t="n">
        <v>46176</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24638-2026</t>
        </is>
      </c>
      <c r="B526" s="1" t="n">
        <v>46171.40025462963</v>
      </c>
      <c r="C526" s="1" t="n">
        <v>46176</v>
      </c>
      <c r="D526" t="inlineStr">
        <is>
          <t>ÖREBRO LÄN</t>
        </is>
      </c>
      <c r="E526" t="inlineStr">
        <is>
          <t>LINDESBERG</t>
        </is>
      </c>
      <c r="G526" t="n">
        <v>2.8</v>
      </c>
      <c r="H526" t="n">
        <v>0</v>
      </c>
      <c r="I526" t="n">
        <v>0</v>
      </c>
      <c r="J526" t="n">
        <v>0</v>
      </c>
      <c r="K526" t="n">
        <v>0</v>
      </c>
      <c r="L526" t="n">
        <v>0</v>
      </c>
      <c r="M526" t="n">
        <v>0</v>
      </c>
      <c r="N526" t="n">
        <v>0</v>
      </c>
      <c r="O526" t="n">
        <v>0</v>
      </c>
      <c r="P526" t="n">
        <v>0</v>
      </c>
      <c r="Q526" t="n">
        <v>0</v>
      </c>
      <c r="R526" s="2" t="inlineStr"/>
    </row>
    <row r="527" ht="15" customHeight="1">
      <c r="A527" t="inlineStr">
        <is>
          <t>A 49946-2025</t>
        </is>
      </c>
      <c r="B527" s="1" t="n">
        <v>45940.69862268519</v>
      </c>
      <c r="C527" s="1" t="n">
        <v>46176</v>
      </c>
      <c r="D527" t="inlineStr">
        <is>
          <t>ÖREBRO LÄN</t>
        </is>
      </c>
      <c r="E527" t="inlineStr">
        <is>
          <t>LINDESBERG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23641-2024</t>
        </is>
      </c>
      <c r="B528" s="1" t="n">
        <v>45454.49679398148</v>
      </c>
      <c r="C528" s="1" t="n">
        <v>46176</v>
      </c>
      <c r="D528" t="inlineStr">
        <is>
          <t>ÖREBRO LÄN</t>
        </is>
      </c>
      <c r="E528" t="inlineStr">
        <is>
          <t>LINDESBERG</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46219-2022</t>
        </is>
      </c>
      <c r="B529" s="1" t="n">
        <v>44846</v>
      </c>
      <c r="C529" s="1" t="n">
        <v>46176</v>
      </c>
      <c r="D529" t="inlineStr">
        <is>
          <t>ÖREBRO LÄN</t>
        </is>
      </c>
      <c r="E529" t="inlineStr">
        <is>
          <t>LINDESBERG</t>
        </is>
      </c>
      <c r="G529" t="n">
        <v>6</v>
      </c>
      <c r="H529" t="n">
        <v>0</v>
      </c>
      <c r="I529" t="n">
        <v>0</v>
      </c>
      <c r="J529" t="n">
        <v>0</v>
      </c>
      <c r="K529" t="n">
        <v>0</v>
      </c>
      <c r="L529" t="n">
        <v>0</v>
      </c>
      <c r="M529" t="n">
        <v>0</v>
      </c>
      <c r="N529" t="n">
        <v>0</v>
      </c>
      <c r="O529" t="n">
        <v>0</v>
      </c>
      <c r="P529" t="n">
        <v>0</v>
      </c>
      <c r="Q529" t="n">
        <v>0</v>
      </c>
      <c r="R529" s="2" t="inlineStr"/>
    </row>
    <row r="530" ht="15" customHeight="1">
      <c r="A530" t="inlineStr">
        <is>
          <t>A 49943-2025</t>
        </is>
      </c>
      <c r="B530" s="1" t="n">
        <v>45940.69521990741</v>
      </c>
      <c r="C530" s="1" t="n">
        <v>46176</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10057-2025</t>
        </is>
      </c>
      <c r="B531" s="1" t="n">
        <v>45719.52871527777</v>
      </c>
      <c r="C531" s="1" t="n">
        <v>46176</v>
      </c>
      <c r="D531" t="inlineStr">
        <is>
          <t>ÖREBRO LÄN</t>
        </is>
      </c>
      <c r="E531" t="inlineStr">
        <is>
          <t>LINDESBERG</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49944-2025</t>
        </is>
      </c>
      <c r="B532" s="1" t="n">
        <v>45940.69643518519</v>
      </c>
      <c r="C532" s="1" t="n">
        <v>46176</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49947-2025</t>
        </is>
      </c>
      <c r="B533" s="1" t="n">
        <v>45940.70018518518</v>
      </c>
      <c r="C533" s="1" t="n">
        <v>46176</v>
      </c>
      <c r="D533" t="inlineStr">
        <is>
          <t>ÖREBRO LÄN</t>
        </is>
      </c>
      <c r="E533" t="inlineStr">
        <is>
          <t>LINDESBERG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50072-2025</t>
        </is>
      </c>
      <c r="B534" s="1" t="n">
        <v>45943.45966435185</v>
      </c>
      <c r="C534" s="1" t="n">
        <v>46176</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50086-2025</t>
        </is>
      </c>
      <c r="B535" s="1" t="n">
        <v>45943.47649305555</v>
      </c>
      <c r="C535" s="1" t="n">
        <v>46176</v>
      </c>
      <c r="D535" t="inlineStr">
        <is>
          <t>ÖREBRO LÄN</t>
        </is>
      </c>
      <c r="E535" t="inlineStr">
        <is>
          <t>LINDESBERG</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50073-2025</t>
        </is>
      </c>
      <c r="B536" s="1" t="n">
        <v>45943.4603125</v>
      </c>
      <c r="C536" s="1" t="n">
        <v>46176</v>
      </c>
      <c r="D536" t="inlineStr">
        <is>
          <t>ÖREBRO LÄN</t>
        </is>
      </c>
      <c r="E536" t="inlineStr">
        <is>
          <t>LINDESBERG</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54862-2024</t>
        </is>
      </c>
      <c r="B537" s="1" t="n">
        <v>45618</v>
      </c>
      <c r="C537" s="1" t="n">
        <v>46176</v>
      </c>
      <c r="D537" t="inlineStr">
        <is>
          <t>ÖREBRO LÄN</t>
        </is>
      </c>
      <c r="E537" t="inlineStr">
        <is>
          <t>LINDESBERG</t>
        </is>
      </c>
      <c r="F537" t="inlineStr">
        <is>
          <t>Sveaskog</t>
        </is>
      </c>
      <c r="G537" t="n">
        <v>12.2</v>
      </c>
      <c r="H537" t="n">
        <v>0</v>
      </c>
      <c r="I537" t="n">
        <v>0</v>
      </c>
      <c r="J537" t="n">
        <v>0</v>
      </c>
      <c r="K537" t="n">
        <v>0</v>
      </c>
      <c r="L537" t="n">
        <v>0</v>
      </c>
      <c r="M537" t="n">
        <v>0</v>
      </c>
      <c r="N537" t="n">
        <v>0</v>
      </c>
      <c r="O537" t="n">
        <v>0</v>
      </c>
      <c r="P537" t="n">
        <v>0</v>
      </c>
      <c r="Q537" t="n">
        <v>0</v>
      </c>
      <c r="R537" s="2" t="inlineStr"/>
    </row>
    <row r="538" ht="15" customHeight="1">
      <c r="A538" t="inlineStr">
        <is>
          <t>A 25117-2026</t>
        </is>
      </c>
      <c r="B538" s="1" t="n">
        <v>46175.369375</v>
      </c>
      <c r="C538" s="1" t="n">
        <v>46176</v>
      </c>
      <c r="D538" t="inlineStr">
        <is>
          <t>ÖREBRO LÄN</t>
        </is>
      </c>
      <c r="E538" t="inlineStr">
        <is>
          <t>LINDESBERG</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24975-2026</t>
        </is>
      </c>
      <c r="B539" s="1" t="n">
        <v>46174.58402777778</v>
      </c>
      <c r="C539" s="1" t="n">
        <v>46176</v>
      </c>
      <c r="D539" t="inlineStr">
        <is>
          <t>ÖREBRO LÄN</t>
        </is>
      </c>
      <c r="E539" t="inlineStr">
        <is>
          <t>LINDESBERG</t>
        </is>
      </c>
      <c r="G539" t="n">
        <v>1.3</v>
      </c>
      <c r="H539" t="n">
        <v>0</v>
      </c>
      <c r="I539" t="n">
        <v>0</v>
      </c>
      <c r="J539" t="n">
        <v>0</v>
      </c>
      <c r="K539" t="n">
        <v>0</v>
      </c>
      <c r="L539" t="n">
        <v>0</v>
      </c>
      <c r="M539" t="n">
        <v>0</v>
      </c>
      <c r="N539" t="n">
        <v>0</v>
      </c>
      <c r="O539" t="n">
        <v>0</v>
      </c>
      <c r="P539" t="n">
        <v>0</v>
      </c>
      <c r="Q539" t="n">
        <v>0</v>
      </c>
      <c r="R539" s="2" t="inlineStr"/>
    </row>
    <row r="540" ht="15" customHeight="1">
      <c r="A540" t="inlineStr">
        <is>
          <t>A 5358-2022</t>
        </is>
      </c>
      <c r="B540" s="1" t="n">
        <v>44594.84091435185</v>
      </c>
      <c r="C540" s="1" t="n">
        <v>46176</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60943-2024</t>
        </is>
      </c>
      <c r="B541" s="1" t="n">
        <v>45645.3737962963</v>
      </c>
      <c r="C541" s="1" t="n">
        <v>46176</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19260-2026</t>
        </is>
      </c>
      <c r="B542" s="1" t="n">
        <v>46132.70711805556</v>
      </c>
      <c r="C542" s="1" t="n">
        <v>46176</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19292-2026</t>
        </is>
      </c>
      <c r="B543" s="1" t="n">
        <v>46133.32493055556</v>
      </c>
      <c r="C543" s="1" t="n">
        <v>46176</v>
      </c>
      <c r="D543" t="inlineStr">
        <is>
          <t>ÖREBRO LÄN</t>
        </is>
      </c>
      <c r="E543" t="inlineStr">
        <is>
          <t>LINDESBERG</t>
        </is>
      </c>
      <c r="G543" t="n">
        <v>0.4</v>
      </c>
      <c r="H543" t="n">
        <v>0</v>
      </c>
      <c r="I543" t="n">
        <v>0</v>
      </c>
      <c r="J543" t="n">
        <v>0</v>
      </c>
      <c r="K543" t="n">
        <v>0</v>
      </c>
      <c r="L543" t="n">
        <v>0</v>
      </c>
      <c r="M543" t="n">
        <v>0</v>
      </c>
      <c r="N543" t="n">
        <v>0</v>
      </c>
      <c r="O543" t="n">
        <v>0</v>
      </c>
      <c r="P543" t="n">
        <v>0</v>
      </c>
      <c r="Q543" t="n">
        <v>0</v>
      </c>
      <c r="R543" s="2" t="inlineStr"/>
    </row>
    <row r="544" ht="15" customHeight="1">
      <c r="A544" t="inlineStr">
        <is>
          <t>A 25116-2026</t>
        </is>
      </c>
      <c r="B544" s="1" t="n">
        <v>46175.36806712963</v>
      </c>
      <c r="C544" s="1" t="n">
        <v>46176</v>
      </c>
      <c r="D544" t="inlineStr">
        <is>
          <t>ÖREBRO LÄN</t>
        </is>
      </c>
      <c r="E544" t="inlineStr">
        <is>
          <t>LINDESBERG</t>
        </is>
      </c>
      <c r="F544" t="inlineStr">
        <is>
          <t>Sveaskog</t>
        </is>
      </c>
      <c r="G544" t="n">
        <v>3.8</v>
      </c>
      <c r="H544" t="n">
        <v>0</v>
      </c>
      <c r="I544" t="n">
        <v>0</v>
      </c>
      <c r="J544" t="n">
        <v>0</v>
      </c>
      <c r="K544" t="n">
        <v>0</v>
      </c>
      <c r="L544" t="n">
        <v>0</v>
      </c>
      <c r="M544" t="n">
        <v>0</v>
      </c>
      <c r="N544" t="n">
        <v>0</v>
      </c>
      <c r="O544" t="n">
        <v>0</v>
      </c>
      <c r="P544" t="n">
        <v>0</v>
      </c>
      <c r="Q544" t="n">
        <v>0</v>
      </c>
      <c r="R544" s="2" t="inlineStr"/>
    </row>
    <row r="545" ht="15" customHeight="1">
      <c r="A545" t="inlineStr">
        <is>
          <t>A 51186-2025</t>
        </is>
      </c>
      <c r="B545" s="1" t="n">
        <v>45947.62353009259</v>
      </c>
      <c r="C545" s="1" t="n">
        <v>46176</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25023-2026</t>
        </is>
      </c>
      <c r="B546" s="1" t="n">
        <v>46174.63037037037</v>
      </c>
      <c r="C546" s="1" t="n">
        <v>46176</v>
      </c>
      <c r="D546" t="inlineStr">
        <is>
          <t>ÖREBRO LÄN</t>
        </is>
      </c>
      <c r="E546" t="inlineStr">
        <is>
          <t>LINDESBERG</t>
        </is>
      </c>
      <c r="F546" t="inlineStr">
        <is>
          <t>Kommuner</t>
        </is>
      </c>
      <c r="G546" t="n">
        <v>2.3</v>
      </c>
      <c r="H546" t="n">
        <v>0</v>
      </c>
      <c r="I546" t="n">
        <v>0</v>
      </c>
      <c r="J546" t="n">
        <v>0</v>
      </c>
      <c r="K546" t="n">
        <v>0</v>
      </c>
      <c r="L546" t="n">
        <v>0</v>
      </c>
      <c r="M546" t="n">
        <v>0</v>
      </c>
      <c r="N546" t="n">
        <v>0</v>
      </c>
      <c r="O546" t="n">
        <v>0</v>
      </c>
      <c r="P546" t="n">
        <v>0</v>
      </c>
      <c r="Q546" t="n">
        <v>0</v>
      </c>
      <c r="R546" s="2" t="inlineStr"/>
    </row>
    <row r="547" ht="15" customHeight="1">
      <c r="A547" t="inlineStr">
        <is>
          <t>A 41948-2023</t>
        </is>
      </c>
      <c r="B547" s="1" t="n">
        <v>45177.33091435185</v>
      </c>
      <c r="C547" s="1" t="n">
        <v>46176</v>
      </c>
      <c r="D547" t="inlineStr">
        <is>
          <t>ÖREBRO LÄN</t>
        </is>
      </c>
      <c r="E547" t="inlineStr">
        <is>
          <t>LINDESBERG</t>
        </is>
      </c>
      <c r="F547" t="inlineStr">
        <is>
          <t>Kyrkan</t>
        </is>
      </c>
      <c r="G547" t="n">
        <v>1.4</v>
      </c>
      <c r="H547" t="n">
        <v>0</v>
      </c>
      <c r="I547" t="n">
        <v>0</v>
      </c>
      <c r="J547" t="n">
        <v>0</v>
      </c>
      <c r="K547" t="n">
        <v>0</v>
      </c>
      <c r="L547" t="n">
        <v>0</v>
      </c>
      <c r="M547" t="n">
        <v>0</v>
      </c>
      <c r="N547" t="n">
        <v>0</v>
      </c>
      <c r="O547" t="n">
        <v>0</v>
      </c>
      <c r="P547" t="n">
        <v>0</v>
      </c>
      <c r="Q547" t="n">
        <v>0</v>
      </c>
      <c r="R547" s="2" t="inlineStr"/>
    </row>
    <row r="548" ht="15" customHeight="1">
      <c r="A548" t="inlineStr">
        <is>
          <t>A 44804-2024</t>
        </is>
      </c>
      <c r="B548" s="1" t="n">
        <v>45574.65189814815</v>
      </c>
      <c r="C548" s="1" t="n">
        <v>46176</v>
      </c>
      <c r="D548" t="inlineStr">
        <is>
          <t>ÖREBRO LÄN</t>
        </is>
      </c>
      <c r="E548" t="inlineStr">
        <is>
          <t>LINDESBERG</t>
        </is>
      </c>
      <c r="F548" t="inlineStr">
        <is>
          <t>Sveaskog</t>
        </is>
      </c>
      <c r="G548" t="n">
        <v>5.7</v>
      </c>
      <c r="H548" t="n">
        <v>0</v>
      </c>
      <c r="I548" t="n">
        <v>0</v>
      </c>
      <c r="J548" t="n">
        <v>0</v>
      </c>
      <c r="K548" t="n">
        <v>0</v>
      </c>
      <c r="L548" t="n">
        <v>0</v>
      </c>
      <c r="M548" t="n">
        <v>0</v>
      </c>
      <c r="N548" t="n">
        <v>0</v>
      </c>
      <c r="O548" t="n">
        <v>0</v>
      </c>
      <c r="P548" t="n">
        <v>0</v>
      </c>
      <c r="Q548" t="n">
        <v>0</v>
      </c>
      <c r="R548" s="2" t="inlineStr"/>
    </row>
    <row r="549" ht="15" customHeight="1">
      <c r="A549" t="inlineStr">
        <is>
          <t>A 51172-2025</t>
        </is>
      </c>
      <c r="B549" s="1" t="n">
        <v>45947.60508101852</v>
      </c>
      <c r="C549" s="1" t="n">
        <v>46176</v>
      </c>
      <c r="D549" t="inlineStr">
        <is>
          <t>ÖREBRO LÄN</t>
        </is>
      </c>
      <c r="E549" t="inlineStr">
        <is>
          <t>LINDESBERG</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24958-2026</t>
        </is>
      </c>
      <c r="B550" s="1" t="n">
        <v>46174.57133101852</v>
      </c>
      <c r="C550" s="1" t="n">
        <v>46176</v>
      </c>
      <c r="D550" t="inlineStr">
        <is>
          <t>ÖREBRO LÄN</t>
        </is>
      </c>
      <c r="E550" t="inlineStr">
        <is>
          <t>LINDESBERG</t>
        </is>
      </c>
      <c r="G550" t="n">
        <v>4.1</v>
      </c>
      <c r="H550" t="n">
        <v>0</v>
      </c>
      <c r="I550" t="n">
        <v>0</v>
      </c>
      <c r="J550" t="n">
        <v>0</v>
      </c>
      <c r="K550" t="n">
        <v>0</v>
      </c>
      <c r="L550" t="n">
        <v>0</v>
      </c>
      <c r="M550" t="n">
        <v>0</v>
      </c>
      <c r="N550" t="n">
        <v>0</v>
      </c>
      <c r="O550" t="n">
        <v>0</v>
      </c>
      <c r="P550" t="n">
        <v>0</v>
      </c>
      <c r="Q550" t="n">
        <v>0</v>
      </c>
      <c r="R550" s="2" t="inlineStr"/>
    </row>
    <row r="551" ht="15" customHeight="1">
      <c r="A551" t="inlineStr">
        <is>
          <t>A 24970-2026</t>
        </is>
      </c>
      <c r="B551" s="1" t="n">
        <v>46174.5781712963</v>
      </c>
      <c r="C551" s="1" t="n">
        <v>46176</v>
      </c>
      <c r="D551" t="inlineStr">
        <is>
          <t>ÖREBRO LÄN</t>
        </is>
      </c>
      <c r="E551" t="inlineStr">
        <is>
          <t>LINDESBERG</t>
        </is>
      </c>
      <c r="G551" t="n">
        <v>3.3</v>
      </c>
      <c r="H551" t="n">
        <v>0</v>
      </c>
      <c r="I551" t="n">
        <v>0</v>
      </c>
      <c r="J551" t="n">
        <v>0</v>
      </c>
      <c r="K551" t="n">
        <v>0</v>
      </c>
      <c r="L551" t="n">
        <v>0</v>
      </c>
      <c r="M551" t="n">
        <v>0</v>
      </c>
      <c r="N551" t="n">
        <v>0</v>
      </c>
      <c r="O551" t="n">
        <v>0</v>
      </c>
      <c r="P551" t="n">
        <v>0</v>
      </c>
      <c r="Q551" t="n">
        <v>0</v>
      </c>
      <c r="R551" s="2" t="inlineStr"/>
    </row>
    <row r="552" ht="15" customHeight="1">
      <c r="A552" t="inlineStr">
        <is>
          <t>A 24977-2026</t>
        </is>
      </c>
      <c r="B552" s="1" t="n">
        <v>46174.59148148148</v>
      </c>
      <c r="C552" s="1" t="n">
        <v>46176</v>
      </c>
      <c r="D552" t="inlineStr">
        <is>
          <t>ÖREBRO LÄN</t>
        </is>
      </c>
      <c r="E552" t="inlineStr">
        <is>
          <t>LINDESBERG</t>
        </is>
      </c>
      <c r="G552" t="n">
        <v>11.3</v>
      </c>
      <c r="H552" t="n">
        <v>0</v>
      </c>
      <c r="I552" t="n">
        <v>0</v>
      </c>
      <c r="J552" t="n">
        <v>0</v>
      </c>
      <c r="K552" t="n">
        <v>0</v>
      </c>
      <c r="L552" t="n">
        <v>0</v>
      </c>
      <c r="M552" t="n">
        <v>0</v>
      </c>
      <c r="N552" t="n">
        <v>0</v>
      </c>
      <c r="O552" t="n">
        <v>0</v>
      </c>
      <c r="P552" t="n">
        <v>0</v>
      </c>
      <c r="Q552" t="n">
        <v>0</v>
      </c>
      <c r="R552" s="2" t="inlineStr"/>
    </row>
    <row r="553" ht="15" customHeight="1">
      <c r="A553" t="inlineStr">
        <is>
          <t>A 50933-2025</t>
        </is>
      </c>
      <c r="B553" s="1" t="n">
        <v>45946.68859953704</v>
      </c>
      <c r="C553" s="1" t="n">
        <v>46176</v>
      </c>
      <c r="D553" t="inlineStr">
        <is>
          <t>ÖREBRO LÄN</t>
        </is>
      </c>
      <c r="E553" t="inlineStr">
        <is>
          <t>LINDESBERG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26778-2023</t>
        </is>
      </c>
      <c r="B554" s="1" t="n">
        <v>45093.48221064815</v>
      </c>
      <c r="C554" s="1" t="n">
        <v>46176</v>
      </c>
      <c r="D554" t="inlineStr">
        <is>
          <t>ÖREBRO LÄN</t>
        </is>
      </c>
      <c r="E554" t="inlineStr">
        <is>
          <t>LINDESBERG</t>
        </is>
      </c>
      <c r="G554" t="n">
        <v>7.5</v>
      </c>
      <c r="H554" t="n">
        <v>0</v>
      </c>
      <c r="I554" t="n">
        <v>0</v>
      </c>
      <c r="J554" t="n">
        <v>0</v>
      </c>
      <c r="K554" t="n">
        <v>0</v>
      </c>
      <c r="L554" t="n">
        <v>0</v>
      </c>
      <c r="M554" t="n">
        <v>0</v>
      </c>
      <c r="N554" t="n">
        <v>0</v>
      </c>
      <c r="O554" t="n">
        <v>0</v>
      </c>
      <c r="P554" t="n">
        <v>0</v>
      </c>
      <c r="Q554" t="n">
        <v>0</v>
      </c>
      <c r="R554" s="2" t="inlineStr"/>
    </row>
    <row r="555" ht="15" customHeight="1">
      <c r="A555" t="inlineStr">
        <is>
          <t>A 50765-2025</t>
        </is>
      </c>
      <c r="B555" s="1" t="n">
        <v>45946.44216435185</v>
      </c>
      <c r="C555" s="1" t="n">
        <v>46176</v>
      </c>
      <c r="D555" t="inlineStr">
        <is>
          <t>ÖREBRO LÄN</t>
        </is>
      </c>
      <c r="E555" t="inlineStr">
        <is>
          <t>LINDESBERG</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51030-2025</t>
        </is>
      </c>
      <c r="B556" s="1" t="n">
        <v>45947.40105324074</v>
      </c>
      <c r="C556" s="1" t="n">
        <v>46176</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50936-2025</t>
        </is>
      </c>
      <c r="B557" s="1" t="n">
        <v>45946.69616898148</v>
      </c>
      <c r="C557" s="1" t="n">
        <v>46176</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19392-2025</t>
        </is>
      </c>
      <c r="B558" s="1" t="n">
        <v>45769.66260416667</v>
      </c>
      <c r="C558" s="1" t="n">
        <v>46176</v>
      </c>
      <c r="D558" t="inlineStr">
        <is>
          <t>ÖREBRO LÄN</t>
        </is>
      </c>
      <c r="E558" t="inlineStr">
        <is>
          <t>LINDESBERG</t>
        </is>
      </c>
      <c r="G558" t="n">
        <v>6.5</v>
      </c>
      <c r="H558" t="n">
        <v>0</v>
      </c>
      <c r="I558" t="n">
        <v>0</v>
      </c>
      <c r="J558" t="n">
        <v>0</v>
      </c>
      <c r="K558" t="n">
        <v>0</v>
      </c>
      <c r="L558" t="n">
        <v>0</v>
      </c>
      <c r="M558" t="n">
        <v>0</v>
      </c>
      <c r="N558" t="n">
        <v>0</v>
      </c>
      <c r="O558" t="n">
        <v>0</v>
      </c>
      <c r="P558" t="n">
        <v>0</v>
      </c>
      <c r="Q558" t="n">
        <v>0</v>
      </c>
      <c r="R558" s="2" t="inlineStr"/>
    </row>
    <row r="559" ht="15" customHeight="1">
      <c r="A559" t="inlineStr">
        <is>
          <t>A 61597-2023</t>
        </is>
      </c>
      <c r="B559" s="1" t="n">
        <v>45265.49225694445</v>
      </c>
      <c r="C559" s="1" t="n">
        <v>46176</v>
      </c>
      <c r="D559" t="inlineStr">
        <is>
          <t>ÖREBRO LÄN</t>
        </is>
      </c>
      <c r="E559" t="inlineStr">
        <is>
          <t>LINDESBERG</t>
        </is>
      </c>
      <c r="G559" t="n">
        <v>10.3</v>
      </c>
      <c r="H559" t="n">
        <v>0</v>
      </c>
      <c r="I559" t="n">
        <v>0</v>
      </c>
      <c r="J559" t="n">
        <v>0</v>
      </c>
      <c r="K559" t="n">
        <v>0</v>
      </c>
      <c r="L559" t="n">
        <v>0</v>
      </c>
      <c r="M559" t="n">
        <v>0</v>
      </c>
      <c r="N559" t="n">
        <v>0</v>
      </c>
      <c r="O559" t="n">
        <v>0</v>
      </c>
      <c r="P559" t="n">
        <v>0</v>
      </c>
      <c r="Q559" t="n">
        <v>0</v>
      </c>
      <c r="R559" s="2" t="inlineStr"/>
    </row>
    <row r="560" ht="15" customHeight="1">
      <c r="A560" t="inlineStr">
        <is>
          <t>A 7211-2024</t>
        </is>
      </c>
      <c r="B560" s="1" t="n">
        <v>45344.623125</v>
      </c>
      <c r="C560" s="1" t="n">
        <v>46176</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41582-2021</t>
        </is>
      </c>
      <c r="B561" s="1" t="n">
        <v>44425.40297453704</v>
      </c>
      <c r="C561" s="1" t="n">
        <v>46176</v>
      </c>
      <c r="D561" t="inlineStr">
        <is>
          <t>ÖREBRO LÄN</t>
        </is>
      </c>
      <c r="E561" t="inlineStr">
        <is>
          <t>LINDESBERG</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6511-2025</t>
        </is>
      </c>
      <c r="B562" s="1" t="n">
        <v>45699.65424768518</v>
      </c>
      <c r="C562" s="1" t="n">
        <v>46176</v>
      </c>
      <c r="D562" t="inlineStr">
        <is>
          <t>ÖREBRO LÄN</t>
        </is>
      </c>
      <c r="E562" t="inlineStr">
        <is>
          <t>LINDESBERG</t>
        </is>
      </c>
      <c r="G562" t="n">
        <v>9.1</v>
      </c>
      <c r="H562" t="n">
        <v>0</v>
      </c>
      <c r="I562" t="n">
        <v>0</v>
      </c>
      <c r="J562" t="n">
        <v>0</v>
      </c>
      <c r="K562" t="n">
        <v>0</v>
      </c>
      <c r="L562" t="n">
        <v>0</v>
      </c>
      <c r="M562" t="n">
        <v>0</v>
      </c>
      <c r="N562" t="n">
        <v>0</v>
      </c>
      <c r="O562" t="n">
        <v>0</v>
      </c>
      <c r="P562" t="n">
        <v>0</v>
      </c>
      <c r="Q562" t="n">
        <v>0</v>
      </c>
      <c r="R562" s="2" t="inlineStr"/>
    </row>
    <row r="563" ht="15" customHeight="1">
      <c r="A563" t="inlineStr">
        <is>
          <t>A 52102-2025</t>
        </is>
      </c>
      <c r="B563" s="1" t="n">
        <v>45952.68358796297</v>
      </c>
      <c r="C563" s="1" t="n">
        <v>46176</v>
      </c>
      <c r="D563" t="inlineStr">
        <is>
          <t>ÖREBRO LÄN</t>
        </is>
      </c>
      <c r="E563" t="inlineStr">
        <is>
          <t>LINDESBERG</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38460-2024</t>
        </is>
      </c>
      <c r="B564" s="1" t="n">
        <v>45546.46497685185</v>
      </c>
      <c r="C564" s="1" t="n">
        <v>46176</v>
      </c>
      <c r="D564" t="inlineStr">
        <is>
          <t>ÖREBRO LÄN</t>
        </is>
      </c>
      <c r="E564" t="inlineStr">
        <is>
          <t>LINDESBERG</t>
        </is>
      </c>
      <c r="F564" t="inlineStr">
        <is>
          <t>Sveaskog</t>
        </is>
      </c>
      <c r="G564" t="n">
        <v>3</v>
      </c>
      <c r="H564" t="n">
        <v>0</v>
      </c>
      <c r="I564" t="n">
        <v>0</v>
      </c>
      <c r="J564" t="n">
        <v>0</v>
      </c>
      <c r="K564" t="n">
        <v>0</v>
      </c>
      <c r="L564" t="n">
        <v>0</v>
      </c>
      <c r="M564" t="n">
        <v>0</v>
      </c>
      <c r="N564" t="n">
        <v>0</v>
      </c>
      <c r="O564" t="n">
        <v>0</v>
      </c>
      <c r="P564" t="n">
        <v>0</v>
      </c>
      <c r="Q564" t="n">
        <v>0</v>
      </c>
      <c r="R564" s="2" t="inlineStr"/>
    </row>
    <row r="565" ht="15" customHeight="1">
      <c r="A565" t="inlineStr">
        <is>
          <t>A 52117-2025</t>
        </is>
      </c>
      <c r="B565" s="1" t="n">
        <v>45952.70765046297</v>
      </c>
      <c r="C565" s="1" t="n">
        <v>46176</v>
      </c>
      <c r="D565" t="inlineStr">
        <is>
          <t>ÖREBRO LÄN</t>
        </is>
      </c>
      <c r="E565" t="inlineStr">
        <is>
          <t>LINDESBERG</t>
        </is>
      </c>
      <c r="G565" t="n">
        <v>4.6</v>
      </c>
      <c r="H565" t="n">
        <v>0</v>
      </c>
      <c r="I565" t="n">
        <v>0</v>
      </c>
      <c r="J565" t="n">
        <v>0</v>
      </c>
      <c r="K565" t="n">
        <v>0</v>
      </c>
      <c r="L565" t="n">
        <v>0</v>
      </c>
      <c r="M565" t="n">
        <v>0</v>
      </c>
      <c r="N565" t="n">
        <v>0</v>
      </c>
      <c r="O565" t="n">
        <v>0</v>
      </c>
      <c r="P565" t="n">
        <v>0</v>
      </c>
      <c r="Q565" t="n">
        <v>0</v>
      </c>
      <c r="R565" s="2" t="inlineStr"/>
    </row>
    <row r="566" ht="15" customHeight="1">
      <c r="A566" t="inlineStr">
        <is>
          <t>A 52098-2025</t>
        </is>
      </c>
      <c r="B566" s="1" t="n">
        <v>45952.68001157408</v>
      </c>
      <c r="C566" s="1" t="n">
        <v>46176</v>
      </c>
      <c r="D566" t="inlineStr">
        <is>
          <t>ÖREBRO LÄN</t>
        </is>
      </c>
      <c r="E566" t="inlineStr">
        <is>
          <t>LINDESBERG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52103-2025</t>
        </is>
      </c>
      <c r="B567" s="1" t="n">
        <v>45952.68439814815</v>
      </c>
      <c r="C567" s="1" t="n">
        <v>46176</v>
      </c>
      <c r="D567" t="inlineStr">
        <is>
          <t>ÖREBRO LÄN</t>
        </is>
      </c>
      <c r="E567" t="inlineStr">
        <is>
          <t>LINDESBERG</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48265-2021</t>
        </is>
      </c>
      <c r="B568" s="1" t="n">
        <v>44449</v>
      </c>
      <c r="C568" s="1" t="n">
        <v>46176</v>
      </c>
      <c r="D568" t="inlineStr">
        <is>
          <t>ÖREBRO LÄN</t>
        </is>
      </c>
      <c r="E568" t="inlineStr">
        <is>
          <t>LINDESBERG</t>
        </is>
      </c>
      <c r="G568" t="n">
        <v>23.7</v>
      </c>
      <c r="H568" t="n">
        <v>0</v>
      </c>
      <c r="I568" t="n">
        <v>0</v>
      </c>
      <c r="J568" t="n">
        <v>0</v>
      </c>
      <c r="K568" t="n">
        <v>0</v>
      </c>
      <c r="L568" t="n">
        <v>0</v>
      </c>
      <c r="M568" t="n">
        <v>0</v>
      </c>
      <c r="N568" t="n">
        <v>0</v>
      </c>
      <c r="O568" t="n">
        <v>0</v>
      </c>
      <c r="P568" t="n">
        <v>0</v>
      </c>
      <c r="Q568" t="n">
        <v>0</v>
      </c>
      <c r="R568" s="2" t="inlineStr"/>
    </row>
    <row r="569" ht="15" customHeight="1">
      <c r="A569" t="inlineStr">
        <is>
          <t>A 67016-2021</t>
        </is>
      </c>
      <c r="B569" s="1" t="n">
        <v>44522</v>
      </c>
      <c r="C569" s="1" t="n">
        <v>46176</v>
      </c>
      <c r="D569" t="inlineStr">
        <is>
          <t>ÖREBRO LÄN</t>
        </is>
      </c>
      <c r="E569" t="inlineStr">
        <is>
          <t>LINDESBERG</t>
        </is>
      </c>
      <c r="G569" t="n">
        <v>8</v>
      </c>
      <c r="H569" t="n">
        <v>0</v>
      </c>
      <c r="I569" t="n">
        <v>0</v>
      </c>
      <c r="J569" t="n">
        <v>0</v>
      </c>
      <c r="K569" t="n">
        <v>0</v>
      </c>
      <c r="L569" t="n">
        <v>0</v>
      </c>
      <c r="M569" t="n">
        <v>0</v>
      </c>
      <c r="N569" t="n">
        <v>0</v>
      </c>
      <c r="O569" t="n">
        <v>0</v>
      </c>
      <c r="P569" t="n">
        <v>0</v>
      </c>
      <c r="Q569" t="n">
        <v>0</v>
      </c>
      <c r="R569" s="2" t="inlineStr"/>
    </row>
    <row r="570" ht="15" customHeight="1">
      <c r="A570" t="inlineStr">
        <is>
          <t>A 52101-2025</t>
        </is>
      </c>
      <c r="B570" s="1" t="n">
        <v>45952.68271990741</v>
      </c>
      <c r="C570" s="1" t="n">
        <v>46176</v>
      </c>
      <c r="D570" t="inlineStr">
        <is>
          <t>ÖREBRO LÄN</t>
        </is>
      </c>
      <c r="E570" t="inlineStr">
        <is>
          <t>LINDESBERG</t>
        </is>
      </c>
      <c r="F570" t="inlineStr">
        <is>
          <t>Sveaskog</t>
        </is>
      </c>
      <c r="G570" t="n">
        <v>10.9</v>
      </c>
      <c r="H570" t="n">
        <v>0</v>
      </c>
      <c r="I570" t="n">
        <v>0</v>
      </c>
      <c r="J570" t="n">
        <v>0</v>
      </c>
      <c r="K570" t="n">
        <v>0</v>
      </c>
      <c r="L570" t="n">
        <v>0</v>
      </c>
      <c r="M570" t="n">
        <v>0</v>
      </c>
      <c r="N570" t="n">
        <v>0</v>
      </c>
      <c r="O570" t="n">
        <v>0</v>
      </c>
      <c r="P570" t="n">
        <v>0</v>
      </c>
      <c r="Q570" t="n">
        <v>0</v>
      </c>
      <c r="R570" s="2" t="inlineStr"/>
    </row>
    <row r="571" ht="15" customHeight="1">
      <c r="A571" t="inlineStr">
        <is>
          <t>A 52104-2025</t>
        </is>
      </c>
      <c r="B571" s="1" t="n">
        <v>45952.68524305556</v>
      </c>
      <c r="C571" s="1" t="n">
        <v>46176</v>
      </c>
      <c r="D571" t="inlineStr">
        <is>
          <t>ÖREBRO LÄN</t>
        </is>
      </c>
      <c r="E571" t="inlineStr">
        <is>
          <t>LINDESBERG</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7026-2024</t>
        </is>
      </c>
      <c r="B572" s="1" t="n">
        <v>45343.58587962963</v>
      </c>
      <c r="C572" s="1" t="n">
        <v>46176</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52298-2025</t>
        </is>
      </c>
      <c r="B573" s="1" t="n">
        <v>45953.61387731481</v>
      </c>
      <c r="C573" s="1" t="n">
        <v>46176</v>
      </c>
      <c r="D573" t="inlineStr">
        <is>
          <t>ÖREBRO LÄN</t>
        </is>
      </c>
      <c r="E573" t="inlineStr">
        <is>
          <t>LINDESBERG</t>
        </is>
      </c>
      <c r="G573" t="n">
        <v>18.2</v>
      </c>
      <c r="H573" t="n">
        <v>0</v>
      </c>
      <c r="I573" t="n">
        <v>0</v>
      </c>
      <c r="J573" t="n">
        <v>0</v>
      </c>
      <c r="K573" t="n">
        <v>0</v>
      </c>
      <c r="L573" t="n">
        <v>0</v>
      </c>
      <c r="M573" t="n">
        <v>0</v>
      </c>
      <c r="N573" t="n">
        <v>0</v>
      </c>
      <c r="O573" t="n">
        <v>0</v>
      </c>
      <c r="P573" t="n">
        <v>0</v>
      </c>
      <c r="Q573" t="n">
        <v>0</v>
      </c>
      <c r="R573" s="2" t="inlineStr"/>
    </row>
    <row r="574" ht="15" customHeight="1">
      <c r="A574" t="inlineStr">
        <is>
          <t>A 4013-2025</t>
        </is>
      </c>
      <c r="B574" s="1" t="n">
        <v>45684.5790162037</v>
      </c>
      <c r="C574" s="1" t="n">
        <v>46176</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52730-2025</t>
        </is>
      </c>
      <c r="B575" s="1" t="n">
        <v>45957.36386574074</v>
      </c>
      <c r="C575" s="1" t="n">
        <v>46176</v>
      </c>
      <c r="D575" t="inlineStr">
        <is>
          <t>ÖREBRO LÄN</t>
        </is>
      </c>
      <c r="E575" t="inlineStr">
        <is>
          <t>LINDESBERG</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33978-2023</t>
        </is>
      </c>
      <c r="B576" s="1" t="n">
        <v>45134.68158564815</v>
      </c>
      <c r="C576" s="1" t="n">
        <v>46176</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55272-2023</t>
        </is>
      </c>
      <c r="B577" s="1" t="n">
        <v>45237.67819444444</v>
      </c>
      <c r="C577" s="1" t="n">
        <v>46176</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12307-2025</t>
        </is>
      </c>
      <c r="B578" s="1" t="n">
        <v>45729.76231481481</v>
      </c>
      <c r="C578" s="1" t="n">
        <v>46176</v>
      </c>
      <c r="D578" t="inlineStr">
        <is>
          <t>ÖREBRO LÄN</t>
        </is>
      </c>
      <c r="E578" t="inlineStr">
        <is>
          <t>LINDESBERG</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15852-2025</t>
        </is>
      </c>
      <c r="B579" s="1" t="n">
        <v>45749</v>
      </c>
      <c r="C579" s="1" t="n">
        <v>46176</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52401-2025</t>
        </is>
      </c>
      <c r="B580" s="1" t="n">
        <v>45954.35075231481</v>
      </c>
      <c r="C580" s="1" t="n">
        <v>46176</v>
      </c>
      <c r="D580" t="inlineStr">
        <is>
          <t>ÖREBRO LÄN</t>
        </is>
      </c>
      <c r="E580" t="inlineStr">
        <is>
          <t>LINDESBERG</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52402-2025</t>
        </is>
      </c>
      <c r="B581" s="1" t="n">
        <v>45954.35387731482</v>
      </c>
      <c r="C581" s="1" t="n">
        <v>46176</v>
      </c>
      <c r="D581" t="inlineStr">
        <is>
          <t>ÖREBRO LÄN</t>
        </is>
      </c>
      <c r="E581" t="inlineStr">
        <is>
          <t>LINDESBERG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8834-2023</t>
        </is>
      </c>
      <c r="B582" s="1" t="n">
        <v>44978</v>
      </c>
      <c r="C582" s="1" t="n">
        <v>46176</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51071-2022</t>
        </is>
      </c>
      <c r="B583" s="1" t="n">
        <v>44868.36924768519</v>
      </c>
      <c r="C583" s="1" t="n">
        <v>46176</v>
      </c>
      <c r="D583" t="inlineStr">
        <is>
          <t>ÖREBRO LÄN</t>
        </is>
      </c>
      <c r="E583" t="inlineStr">
        <is>
          <t>LINDESBERG</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60926-2024</t>
        </is>
      </c>
      <c r="B584" s="1" t="n">
        <v>45645</v>
      </c>
      <c r="C584" s="1" t="n">
        <v>46176</v>
      </c>
      <c r="D584" t="inlineStr">
        <is>
          <t>ÖREBRO LÄN</t>
        </is>
      </c>
      <c r="E584" t="inlineStr">
        <is>
          <t>LINDESBERG</t>
        </is>
      </c>
      <c r="F584" t="inlineStr">
        <is>
          <t>Sveaskog</t>
        </is>
      </c>
      <c r="G584" t="n">
        <v>1.3</v>
      </c>
      <c r="H584" t="n">
        <v>0</v>
      </c>
      <c r="I584" t="n">
        <v>0</v>
      </c>
      <c r="J584" t="n">
        <v>0</v>
      </c>
      <c r="K584" t="n">
        <v>0</v>
      </c>
      <c r="L584" t="n">
        <v>0</v>
      </c>
      <c r="M584" t="n">
        <v>0</v>
      </c>
      <c r="N584" t="n">
        <v>0</v>
      </c>
      <c r="O584" t="n">
        <v>0</v>
      </c>
      <c r="P584" t="n">
        <v>0</v>
      </c>
      <c r="Q584" t="n">
        <v>0</v>
      </c>
      <c r="R584" s="2" t="inlineStr"/>
    </row>
    <row r="585" ht="15" customHeight="1">
      <c r="A585" t="inlineStr">
        <is>
          <t>A 1383-2025</t>
        </is>
      </c>
      <c r="B585" s="1" t="n">
        <v>45667</v>
      </c>
      <c r="C585" s="1" t="n">
        <v>46176</v>
      </c>
      <c r="D585" t="inlineStr">
        <is>
          <t>ÖREBRO LÄN</t>
        </is>
      </c>
      <c r="E585" t="inlineStr">
        <is>
          <t>LINDESBERG</t>
        </is>
      </c>
      <c r="G585" t="n">
        <v>5</v>
      </c>
      <c r="H585" t="n">
        <v>0</v>
      </c>
      <c r="I585" t="n">
        <v>0</v>
      </c>
      <c r="J585" t="n">
        <v>0</v>
      </c>
      <c r="K585" t="n">
        <v>0</v>
      </c>
      <c r="L585" t="n">
        <v>0</v>
      </c>
      <c r="M585" t="n">
        <v>0</v>
      </c>
      <c r="N585" t="n">
        <v>0</v>
      </c>
      <c r="O585" t="n">
        <v>0</v>
      </c>
      <c r="P585" t="n">
        <v>0</v>
      </c>
      <c r="Q585" t="n">
        <v>0</v>
      </c>
      <c r="R585" s="2" t="inlineStr"/>
    </row>
    <row r="586" ht="15" customHeight="1">
      <c r="A586" t="inlineStr">
        <is>
          <t>A 53288-2025</t>
        </is>
      </c>
      <c r="B586" s="1" t="n">
        <v>45958.79287037037</v>
      </c>
      <c r="C586" s="1" t="n">
        <v>46176</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53187-2025</t>
        </is>
      </c>
      <c r="B587" s="1" t="n">
        <v>45958.55577546296</v>
      </c>
      <c r="C587" s="1" t="n">
        <v>46176</v>
      </c>
      <c r="D587" t="inlineStr">
        <is>
          <t>ÖREBRO LÄN</t>
        </is>
      </c>
      <c r="E587" t="inlineStr">
        <is>
          <t>LINDESBERG</t>
        </is>
      </c>
      <c r="F587" t="inlineStr">
        <is>
          <t>Kommuner</t>
        </is>
      </c>
      <c r="G587" t="n">
        <v>2.7</v>
      </c>
      <c r="H587" t="n">
        <v>0</v>
      </c>
      <c r="I587" t="n">
        <v>0</v>
      </c>
      <c r="J587" t="n">
        <v>0</v>
      </c>
      <c r="K587" t="n">
        <v>0</v>
      </c>
      <c r="L587" t="n">
        <v>0</v>
      </c>
      <c r="M587" t="n">
        <v>0</v>
      </c>
      <c r="N587" t="n">
        <v>0</v>
      </c>
      <c r="O587" t="n">
        <v>0</v>
      </c>
      <c r="P587" t="n">
        <v>0</v>
      </c>
      <c r="Q587" t="n">
        <v>0</v>
      </c>
      <c r="R587" s="2" t="inlineStr"/>
    </row>
    <row r="588" ht="15" customHeight="1">
      <c r="A588" t="inlineStr">
        <is>
          <t>A 35229-2024</t>
        </is>
      </c>
      <c r="B588" s="1" t="n">
        <v>45530</v>
      </c>
      <c r="C588" s="1" t="n">
        <v>46176</v>
      </c>
      <c r="D588" t="inlineStr">
        <is>
          <t>ÖREBRO LÄN</t>
        </is>
      </c>
      <c r="E588" t="inlineStr">
        <is>
          <t>LINDESBERG</t>
        </is>
      </c>
      <c r="G588" t="n">
        <v>0.8</v>
      </c>
      <c r="H588" t="n">
        <v>0</v>
      </c>
      <c r="I588" t="n">
        <v>0</v>
      </c>
      <c r="J588" t="n">
        <v>0</v>
      </c>
      <c r="K588" t="n">
        <v>0</v>
      </c>
      <c r="L588" t="n">
        <v>0</v>
      </c>
      <c r="M588" t="n">
        <v>0</v>
      </c>
      <c r="N588" t="n">
        <v>0</v>
      </c>
      <c r="O588" t="n">
        <v>0</v>
      </c>
      <c r="P588" t="n">
        <v>0</v>
      </c>
      <c r="Q588" t="n">
        <v>0</v>
      </c>
      <c r="R588" s="2" t="inlineStr"/>
    </row>
    <row r="589" ht="15" customHeight="1">
      <c r="A589" t="inlineStr">
        <is>
          <t>A 50285-2022</t>
        </is>
      </c>
      <c r="B589" s="1" t="n">
        <v>44865.87770833333</v>
      </c>
      <c r="C589" s="1" t="n">
        <v>46176</v>
      </c>
      <c r="D589" t="inlineStr">
        <is>
          <t>ÖREBRO LÄN</t>
        </is>
      </c>
      <c r="E589" t="inlineStr">
        <is>
          <t>LINDESBERG</t>
        </is>
      </c>
      <c r="G589" t="n">
        <v>2.5</v>
      </c>
      <c r="H589" t="n">
        <v>0</v>
      </c>
      <c r="I589" t="n">
        <v>0</v>
      </c>
      <c r="J589" t="n">
        <v>0</v>
      </c>
      <c r="K589" t="n">
        <v>0</v>
      </c>
      <c r="L589" t="n">
        <v>0</v>
      </c>
      <c r="M589" t="n">
        <v>0</v>
      </c>
      <c r="N589" t="n">
        <v>0</v>
      </c>
      <c r="O589" t="n">
        <v>0</v>
      </c>
      <c r="P589" t="n">
        <v>0</v>
      </c>
      <c r="Q589" t="n">
        <v>0</v>
      </c>
      <c r="R589" s="2" t="inlineStr"/>
    </row>
    <row r="590" ht="15" customHeight="1">
      <c r="A590" t="inlineStr">
        <is>
          <t>A 10822-2023</t>
        </is>
      </c>
      <c r="B590" s="1" t="n">
        <v>44990</v>
      </c>
      <c r="C590" s="1" t="n">
        <v>46176</v>
      </c>
      <c r="D590" t="inlineStr">
        <is>
          <t>ÖREBRO LÄN</t>
        </is>
      </c>
      <c r="E590" t="inlineStr">
        <is>
          <t>LINDESBERG</t>
        </is>
      </c>
      <c r="G590" t="n">
        <v>1.3</v>
      </c>
      <c r="H590" t="n">
        <v>0</v>
      </c>
      <c r="I590" t="n">
        <v>0</v>
      </c>
      <c r="J590" t="n">
        <v>0</v>
      </c>
      <c r="K590" t="n">
        <v>0</v>
      </c>
      <c r="L590" t="n">
        <v>0</v>
      </c>
      <c r="M590" t="n">
        <v>0</v>
      </c>
      <c r="N590" t="n">
        <v>0</v>
      </c>
      <c r="O590" t="n">
        <v>0</v>
      </c>
      <c r="P590" t="n">
        <v>0</v>
      </c>
      <c r="Q590" t="n">
        <v>0</v>
      </c>
      <c r="R590" s="2" t="inlineStr"/>
    </row>
    <row r="591" ht="15" customHeight="1">
      <c r="A591" t="inlineStr">
        <is>
          <t>A 3233-2023</t>
        </is>
      </c>
      <c r="B591" s="1" t="n">
        <v>44946</v>
      </c>
      <c r="C591" s="1" t="n">
        <v>46176</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15325-2024</t>
        </is>
      </c>
      <c r="B592" s="1" t="n">
        <v>45400.6709837963</v>
      </c>
      <c r="C592" s="1" t="n">
        <v>46176</v>
      </c>
      <c r="D592" t="inlineStr">
        <is>
          <t>ÖREBRO LÄN</t>
        </is>
      </c>
      <c r="E592" t="inlineStr">
        <is>
          <t>LINDESBERG</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40970-2023</t>
        </is>
      </c>
      <c r="B593" s="1" t="n">
        <v>45173</v>
      </c>
      <c r="C593" s="1" t="n">
        <v>46176</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53721-2025</t>
        </is>
      </c>
      <c r="B594" s="1" t="n">
        <v>45960</v>
      </c>
      <c r="C594" s="1" t="n">
        <v>46176</v>
      </c>
      <c r="D594" t="inlineStr">
        <is>
          <t>ÖREBRO LÄN</t>
        </is>
      </c>
      <c r="E594" t="inlineStr">
        <is>
          <t>LINDESBERG</t>
        </is>
      </c>
      <c r="G594" t="n">
        <v>3.3</v>
      </c>
      <c r="H594" t="n">
        <v>0</v>
      </c>
      <c r="I594" t="n">
        <v>0</v>
      </c>
      <c r="J594" t="n">
        <v>0</v>
      </c>
      <c r="K594" t="n">
        <v>0</v>
      </c>
      <c r="L594" t="n">
        <v>0</v>
      </c>
      <c r="M594" t="n">
        <v>0</v>
      </c>
      <c r="N594" t="n">
        <v>0</v>
      </c>
      <c r="O594" t="n">
        <v>0</v>
      </c>
      <c r="P594" t="n">
        <v>0</v>
      </c>
      <c r="Q594" t="n">
        <v>0</v>
      </c>
      <c r="R594" s="2" t="inlineStr"/>
    </row>
    <row r="595" ht="15" customHeight="1">
      <c r="A595" t="inlineStr">
        <is>
          <t>A 53723-2025</t>
        </is>
      </c>
      <c r="B595" s="1" t="n">
        <v>45960.62986111111</v>
      </c>
      <c r="C595" s="1" t="n">
        <v>46176</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34093-2022</t>
        </is>
      </c>
      <c r="B596" s="1" t="n">
        <v>44791</v>
      </c>
      <c r="C596" s="1" t="n">
        <v>46176</v>
      </c>
      <c r="D596" t="inlineStr">
        <is>
          <t>ÖREBRO LÄN</t>
        </is>
      </c>
      <c r="E596" t="inlineStr">
        <is>
          <t>LINDESBERG</t>
        </is>
      </c>
      <c r="G596" t="n">
        <v>3.3</v>
      </c>
      <c r="H596" t="n">
        <v>0</v>
      </c>
      <c r="I596" t="n">
        <v>0</v>
      </c>
      <c r="J596" t="n">
        <v>0</v>
      </c>
      <c r="K596" t="n">
        <v>0</v>
      </c>
      <c r="L596" t="n">
        <v>0</v>
      </c>
      <c r="M596" t="n">
        <v>0</v>
      </c>
      <c r="N596" t="n">
        <v>0</v>
      </c>
      <c r="O596" t="n">
        <v>0</v>
      </c>
      <c r="P596" t="n">
        <v>0</v>
      </c>
      <c r="Q596" t="n">
        <v>0</v>
      </c>
      <c r="R596" s="2" t="inlineStr"/>
    </row>
    <row r="597" ht="15" customHeight="1">
      <c r="A597" t="inlineStr">
        <is>
          <t>A 58662-2022</t>
        </is>
      </c>
      <c r="B597" s="1" t="n">
        <v>44902</v>
      </c>
      <c r="C597" s="1" t="n">
        <v>46176</v>
      </c>
      <c r="D597" t="inlineStr">
        <is>
          <t>ÖREBRO LÄN</t>
        </is>
      </c>
      <c r="E597" t="inlineStr">
        <is>
          <t>LINDESBERG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54249-2025</t>
        </is>
      </c>
      <c r="B598" s="1" t="n">
        <v>45964.64599537037</v>
      </c>
      <c r="C598" s="1" t="n">
        <v>46176</v>
      </c>
      <c r="D598" t="inlineStr">
        <is>
          <t>ÖREBRO LÄN</t>
        </is>
      </c>
      <c r="E598" t="inlineStr">
        <is>
          <t>LINDESBERG</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54070-2025</t>
        </is>
      </c>
      <c r="B599" s="1" t="n">
        <v>45964.34680555556</v>
      </c>
      <c r="C599" s="1" t="n">
        <v>46176</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54072-2025</t>
        </is>
      </c>
      <c r="B600" s="1" t="n">
        <v>45964.3550925926</v>
      </c>
      <c r="C600" s="1" t="n">
        <v>46176</v>
      </c>
      <c r="D600" t="inlineStr">
        <is>
          <t>ÖREBRO LÄN</t>
        </is>
      </c>
      <c r="E600" t="inlineStr">
        <is>
          <t>LINDESBERG</t>
        </is>
      </c>
      <c r="G600" t="n">
        <v>1.3</v>
      </c>
      <c r="H600" t="n">
        <v>0</v>
      </c>
      <c r="I600" t="n">
        <v>0</v>
      </c>
      <c r="J600" t="n">
        <v>0</v>
      </c>
      <c r="K600" t="n">
        <v>0</v>
      </c>
      <c r="L600" t="n">
        <v>0</v>
      </c>
      <c r="M600" t="n">
        <v>0</v>
      </c>
      <c r="N600" t="n">
        <v>0</v>
      </c>
      <c r="O600" t="n">
        <v>0</v>
      </c>
      <c r="P600" t="n">
        <v>0</v>
      </c>
      <c r="Q600" t="n">
        <v>0</v>
      </c>
      <c r="R600" s="2" t="inlineStr"/>
    </row>
    <row r="601" ht="15" customHeight="1">
      <c r="A601" t="inlineStr">
        <is>
          <t>A 54250-2025</t>
        </is>
      </c>
      <c r="B601" s="1" t="n">
        <v>45964.64709490741</v>
      </c>
      <c r="C601" s="1" t="n">
        <v>46176</v>
      </c>
      <c r="D601" t="inlineStr">
        <is>
          <t>ÖREBRO LÄN</t>
        </is>
      </c>
      <c r="E601" t="inlineStr">
        <is>
          <t>LINDESBERG</t>
        </is>
      </c>
      <c r="F601" t="inlineStr">
        <is>
          <t>Sveaskog</t>
        </is>
      </c>
      <c r="G601" t="n">
        <v>4.5</v>
      </c>
      <c r="H601" t="n">
        <v>0</v>
      </c>
      <c r="I601" t="n">
        <v>0</v>
      </c>
      <c r="J601" t="n">
        <v>0</v>
      </c>
      <c r="K601" t="n">
        <v>0</v>
      </c>
      <c r="L601" t="n">
        <v>0</v>
      </c>
      <c r="M601" t="n">
        <v>0</v>
      </c>
      <c r="N601" t="n">
        <v>0</v>
      </c>
      <c r="O601" t="n">
        <v>0</v>
      </c>
      <c r="P601" t="n">
        <v>0</v>
      </c>
      <c r="Q601" t="n">
        <v>0</v>
      </c>
      <c r="R601" s="2" t="inlineStr"/>
    </row>
    <row r="602" ht="15" customHeight="1">
      <c r="A602" t="inlineStr">
        <is>
          <t>A 54251-2025</t>
        </is>
      </c>
      <c r="B602" s="1" t="n">
        <v>45964.64778935185</v>
      </c>
      <c r="C602" s="1" t="n">
        <v>46176</v>
      </c>
      <c r="D602" t="inlineStr">
        <is>
          <t>ÖREBRO LÄN</t>
        </is>
      </c>
      <c r="E602" t="inlineStr">
        <is>
          <t>LINDESBERG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54240-2025</t>
        </is>
      </c>
      <c r="B603" s="1" t="n">
        <v>45964.62796296296</v>
      </c>
      <c r="C603" s="1" t="n">
        <v>46176</v>
      </c>
      <c r="D603" t="inlineStr">
        <is>
          <t>ÖREBRO LÄN</t>
        </is>
      </c>
      <c r="E603" t="inlineStr">
        <is>
          <t>LINDESBERG</t>
        </is>
      </c>
      <c r="G603" t="n">
        <v>3.9</v>
      </c>
      <c r="H603" t="n">
        <v>0</v>
      </c>
      <c r="I603" t="n">
        <v>0</v>
      </c>
      <c r="J603" t="n">
        <v>0</v>
      </c>
      <c r="K603" t="n">
        <v>0</v>
      </c>
      <c r="L603" t="n">
        <v>0</v>
      </c>
      <c r="M603" t="n">
        <v>0</v>
      </c>
      <c r="N603" t="n">
        <v>0</v>
      </c>
      <c r="O603" t="n">
        <v>0</v>
      </c>
      <c r="P603" t="n">
        <v>0</v>
      </c>
      <c r="Q603" t="n">
        <v>0</v>
      </c>
      <c r="R603" s="2" t="inlineStr"/>
    </row>
    <row r="604" ht="15" customHeight="1">
      <c r="A604" t="inlineStr">
        <is>
          <t>A 15060-2024</t>
        </is>
      </c>
      <c r="B604" s="1" t="n">
        <v>45399.56596064815</v>
      </c>
      <c r="C604" s="1" t="n">
        <v>46176</v>
      </c>
      <c r="D604" t="inlineStr">
        <is>
          <t>ÖREBRO LÄN</t>
        </is>
      </c>
      <c r="E604" t="inlineStr">
        <is>
          <t>LINDESBERG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28031-2023</t>
        </is>
      </c>
      <c r="B605" s="1" t="n">
        <v>45099.27354166667</v>
      </c>
      <c r="C605" s="1" t="n">
        <v>46176</v>
      </c>
      <c r="D605" t="inlineStr">
        <is>
          <t>ÖREBRO LÄN</t>
        </is>
      </c>
      <c r="E605" t="inlineStr">
        <is>
          <t>LINDESBERG</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4310-2025</t>
        </is>
      </c>
      <c r="B606" s="1" t="n">
        <v>45685</v>
      </c>
      <c r="C606" s="1" t="n">
        <v>46176</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47110-2024</t>
        </is>
      </c>
      <c r="B607" s="1" t="n">
        <v>45586.55451388889</v>
      </c>
      <c r="C607" s="1" t="n">
        <v>46176</v>
      </c>
      <c r="D607" t="inlineStr">
        <is>
          <t>ÖREBRO LÄN</t>
        </is>
      </c>
      <c r="E607" t="inlineStr">
        <is>
          <t>LINDESBERG</t>
        </is>
      </c>
      <c r="G607" t="n">
        <v>0.6</v>
      </c>
      <c r="H607" t="n">
        <v>0</v>
      </c>
      <c r="I607" t="n">
        <v>0</v>
      </c>
      <c r="J607" t="n">
        <v>0</v>
      </c>
      <c r="K607" t="n">
        <v>0</v>
      </c>
      <c r="L607" t="n">
        <v>0</v>
      </c>
      <c r="M607" t="n">
        <v>0</v>
      </c>
      <c r="N607" t="n">
        <v>0</v>
      </c>
      <c r="O607" t="n">
        <v>0</v>
      </c>
      <c r="P607" t="n">
        <v>0</v>
      </c>
      <c r="Q607" t="n">
        <v>0</v>
      </c>
      <c r="R607" s="2" t="inlineStr"/>
    </row>
    <row r="608" ht="15" customHeight="1">
      <c r="A608" t="inlineStr">
        <is>
          <t>A 55065-2025</t>
        </is>
      </c>
      <c r="B608" s="1" t="n">
        <v>45967.7096875</v>
      </c>
      <c r="C608" s="1" t="n">
        <v>46176</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27440-2023</t>
        </is>
      </c>
      <c r="B609" s="1" t="n">
        <v>45097.39893518519</v>
      </c>
      <c r="C609" s="1" t="n">
        <v>46176</v>
      </c>
      <c r="D609" t="inlineStr">
        <is>
          <t>ÖREBRO LÄN</t>
        </is>
      </c>
      <c r="E609" t="inlineStr">
        <is>
          <t>LINDESBERG</t>
        </is>
      </c>
      <c r="G609" t="n">
        <v>6.6</v>
      </c>
      <c r="H609" t="n">
        <v>0</v>
      </c>
      <c r="I609" t="n">
        <v>0</v>
      </c>
      <c r="J609" t="n">
        <v>0</v>
      </c>
      <c r="K609" t="n">
        <v>0</v>
      </c>
      <c r="L609" t="n">
        <v>0</v>
      </c>
      <c r="M609" t="n">
        <v>0</v>
      </c>
      <c r="N609" t="n">
        <v>0</v>
      </c>
      <c r="O609" t="n">
        <v>0</v>
      </c>
      <c r="P609" t="n">
        <v>0</v>
      </c>
      <c r="Q609" t="n">
        <v>0</v>
      </c>
      <c r="R609" s="2" t="inlineStr"/>
    </row>
    <row r="610" ht="15" customHeight="1">
      <c r="A610" t="inlineStr">
        <is>
          <t>A 39137-2024</t>
        </is>
      </c>
      <c r="B610" s="1" t="n">
        <v>45548</v>
      </c>
      <c r="C610" s="1" t="n">
        <v>46176</v>
      </c>
      <c r="D610" t="inlineStr">
        <is>
          <t>ÖREBRO LÄN</t>
        </is>
      </c>
      <c r="E610" t="inlineStr">
        <is>
          <t>LINDESBERG</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39152-2024</t>
        </is>
      </c>
      <c r="B611" s="1" t="n">
        <v>45548</v>
      </c>
      <c r="C611" s="1" t="n">
        <v>46176</v>
      </c>
      <c r="D611" t="inlineStr">
        <is>
          <t>ÖREBRO LÄN</t>
        </is>
      </c>
      <c r="E611" t="inlineStr">
        <is>
          <t>LINDESBERG</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21245-2024</t>
        </is>
      </c>
      <c r="B612" s="1" t="n">
        <v>45440</v>
      </c>
      <c r="C612" s="1" t="n">
        <v>46176</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4603-2024</t>
        </is>
      </c>
      <c r="B613" s="1" t="n">
        <v>45328</v>
      </c>
      <c r="C613" s="1" t="n">
        <v>46176</v>
      </c>
      <c r="D613" t="inlineStr">
        <is>
          <t>ÖREBRO LÄN</t>
        </is>
      </c>
      <c r="E613" t="inlineStr">
        <is>
          <t>LINDESBERG</t>
        </is>
      </c>
      <c r="F613" t="inlineStr">
        <is>
          <t>BillerudKorsnäs AB</t>
        </is>
      </c>
      <c r="G613" t="n">
        <v>4.3</v>
      </c>
      <c r="H613" t="n">
        <v>0</v>
      </c>
      <c r="I613" t="n">
        <v>0</v>
      </c>
      <c r="J613" t="n">
        <v>0</v>
      </c>
      <c r="K613" t="n">
        <v>0</v>
      </c>
      <c r="L613" t="n">
        <v>0</v>
      </c>
      <c r="M613" t="n">
        <v>0</v>
      </c>
      <c r="N613" t="n">
        <v>0</v>
      </c>
      <c r="O613" t="n">
        <v>0</v>
      </c>
      <c r="P613" t="n">
        <v>0</v>
      </c>
      <c r="Q613" t="n">
        <v>0</v>
      </c>
      <c r="R613" s="2" t="inlineStr"/>
    </row>
    <row r="614" ht="15" customHeight="1">
      <c r="A614" t="inlineStr">
        <is>
          <t>A 61601-2024</t>
        </is>
      </c>
      <c r="B614" s="1" t="n">
        <v>45646.63839120371</v>
      </c>
      <c r="C614" s="1" t="n">
        <v>46176</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6604-2024</t>
        </is>
      </c>
      <c r="B615" s="1" t="n">
        <v>45341.56577546296</v>
      </c>
      <c r="C615" s="1" t="n">
        <v>46176</v>
      </c>
      <c r="D615" t="inlineStr">
        <is>
          <t>ÖREBRO LÄN</t>
        </is>
      </c>
      <c r="E615" t="inlineStr">
        <is>
          <t>LINDESBERG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55255-2025</t>
        </is>
      </c>
      <c r="B616" s="1" t="n">
        <v>45968.63695601852</v>
      </c>
      <c r="C616" s="1" t="n">
        <v>46176</v>
      </c>
      <c r="D616" t="inlineStr">
        <is>
          <t>ÖREBRO LÄN</t>
        </is>
      </c>
      <c r="E616" t="inlineStr">
        <is>
          <t>LINDESBERG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42410-2024</t>
        </is>
      </c>
      <c r="B617" s="1" t="n">
        <v>45565</v>
      </c>
      <c r="C617" s="1" t="n">
        <v>46176</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9140-2025</t>
        </is>
      </c>
      <c r="B618" s="1" t="n">
        <v>45714.31533564815</v>
      </c>
      <c r="C618" s="1" t="n">
        <v>46176</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55477-2025</t>
        </is>
      </c>
      <c r="B619" s="1" t="n">
        <v>45971.56197916667</v>
      </c>
      <c r="C619" s="1" t="n">
        <v>46176</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8139-2023</t>
        </is>
      </c>
      <c r="B620" s="1" t="n">
        <v>44970</v>
      </c>
      <c r="C620" s="1" t="n">
        <v>46176</v>
      </c>
      <c r="D620" t="inlineStr">
        <is>
          <t>ÖREBRO LÄN</t>
        </is>
      </c>
      <c r="E620" t="inlineStr">
        <is>
          <t>LINDESBERG</t>
        </is>
      </c>
      <c r="G620" t="n">
        <v>3.6</v>
      </c>
      <c r="H620" t="n">
        <v>0</v>
      </c>
      <c r="I620" t="n">
        <v>0</v>
      </c>
      <c r="J620" t="n">
        <v>0</v>
      </c>
      <c r="K620" t="n">
        <v>0</v>
      </c>
      <c r="L620" t="n">
        <v>0</v>
      </c>
      <c r="M620" t="n">
        <v>0</v>
      </c>
      <c r="N620" t="n">
        <v>0</v>
      </c>
      <c r="O620" t="n">
        <v>0</v>
      </c>
      <c r="P620" t="n">
        <v>0</v>
      </c>
      <c r="Q620" t="n">
        <v>0</v>
      </c>
      <c r="R620" s="2" t="inlineStr"/>
    </row>
    <row r="621" ht="15" customHeight="1">
      <c r="A621" t="inlineStr">
        <is>
          <t>A 55490-2025</t>
        </is>
      </c>
      <c r="B621" s="1" t="n">
        <v>45971.57659722222</v>
      </c>
      <c r="C621" s="1" t="n">
        <v>46176</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53168-2023</t>
        </is>
      </c>
      <c r="B622" s="1" t="n">
        <v>45229</v>
      </c>
      <c r="C622" s="1" t="n">
        <v>46176</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56306-2025</t>
        </is>
      </c>
      <c r="B623" s="1" t="n">
        <v>45974.61217592593</v>
      </c>
      <c r="C623" s="1" t="n">
        <v>46176</v>
      </c>
      <c r="D623" t="inlineStr">
        <is>
          <t>ÖREBRO LÄN</t>
        </is>
      </c>
      <c r="E623" t="inlineStr">
        <is>
          <t>LINDESBERG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36748-2024</t>
        </is>
      </c>
      <c r="B624" s="1" t="n">
        <v>45538.34460648148</v>
      </c>
      <c r="C624" s="1" t="n">
        <v>46176</v>
      </c>
      <c r="D624" t="inlineStr">
        <is>
          <t>ÖREBRO LÄN</t>
        </is>
      </c>
      <c r="E624" t="inlineStr">
        <is>
          <t>LINDESBERG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56308-2025</t>
        </is>
      </c>
      <c r="B625" s="1" t="n">
        <v>45974.61344907407</v>
      </c>
      <c r="C625" s="1" t="n">
        <v>46176</v>
      </c>
      <c r="D625" t="inlineStr">
        <is>
          <t>ÖREBRO LÄN</t>
        </is>
      </c>
      <c r="E625" t="inlineStr">
        <is>
          <t>LINDESBERG</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56232-2025</t>
        </is>
      </c>
      <c r="B626" s="1" t="n">
        <v>45974.53239583333</v>
      </c>
      <c r="C626" s="1" t="n">
        <v>46176</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28082-2021</t>
        </is>
      </c>
      <c r="B627" s="1" t="n">
        <v>44355</v>
      </c>
      <c r="C627" s="1" t="n">
        <v>46176</v>
      </c>
      <c r="D627" t="inlineStr">
        <is>
          <t>ÖREBRO LÄN</t>
        </is>
      </c>
      <c r="E627" t="inlineStr">
        <is>
          <t>LINDESBERG</t>
        </is>
      </c>
      <c r="F627" t="inlineStr">
        <is>
          <t>Sveaskog</t>
        </is>
      </c>
      <c r="G627" t="n">
        <v>9.9</v>
      </c>
      <c r="H627" t="n">
        <v>0</v>
      </c>
      <c r="I627" t="n">
        <v>0</v>
      </c>
      <c r="J627" t="n">
        <v>0</v>
      </c>
      <c r="K627" t="n">
        <v>0</v>
      </c>
      <c r="L627" t="n">
        <v>0</v>
      </c>
      <c r="M627" t="n">
        <v>0</v>
      </c>
      <c r="N627" t="n">
        <v>0</v>
      </c>
      <c r="O627" t="n">
        <v>0</v>
      </c>
      <c r="P627" t="n">
        <v>0</v>
      </c>
      <c r="Q627" t="n">
        <v>0</v>
      </c>
      <c r="R627" s="2" t="inlineStr"/>
    </row>
    <row r="628" ht="15" customHeight="1">
      <c r="A628" t="inlineStr">
        <is>
          <t>A 56226-2025</t>
        </is>
      </c>
      <c r="B628" s="1" t="n">
        <v>45974.51283564815</v>
      </c>
      <c r="C628" s="1" t="n">
        <v>46176</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64427-2021</t>
        </is>
      </c>
      <c r="B629" s="1" t="n">
        <v>44511</v>
      </c>
      <c r="C629" s="1" t="n">
        <v>46176</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47620-2023</t>
        </is>
      </c>
      <c r="B630" s="1" t="n">
        <v>45203.510625</v>
      </c>
      <c r="C630" s="1" t="n">
        <v>46176</v>
      </c>
      <c r="D630" t="inlineStr">
        <is>
          <t>ÖREBRO LÄN</t>
        </is>
      </c>
      <c r="E630" t="inlineStr">
        <is>
          <t>LINDESBERG</t>
        </is>
      </c>
      <c r="G630" t="n">
        <v>2.7</v>
      </c>
      <c r="H630" t="n">
        <v>0</v>
      </c>
      <c r="I630" t="n">
        <v>0</v>
      </c>
      <c r="J630" t="n">
        <v>0</v>
      </c>
      <c r="K630" t="n">
        <v>0</v>
      </c>
      <c r="L630" t="n">
        <v>0</v>
      </c>
      <c r="M630" t="n">
        <v>0</v>
      </c>
      <c r="N630" t="n">
        <v>0</v>
      </c>
      <c r="O630" t="n">
        <v>0</v>
      </c>
      <c r="P630" t="n">
        <v>0</v>
      </c>
      <c r="Q630" t="n">
        <v>0</v>
      </c>
      <c r="R630" s="2" t="inlineStr"/>
    </row>
    <row r="631" ht="15" customHeight="1">
      <c r="A631" t="inlineStr">
        <is>
          <t>A 53352-2023</t>
        </is>
      </c>
      <c r="B631" s="1" t="n">
        <v>45229.66262731481</v>
      </c>
      <c r="C631" s="1" t="n">
        <v>46176</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56982-2025</t>
        </is>
      </c>
      <c r="B632" s="1" t="n">
        <v>45978.71075231482</v>
      </c>
      <c r="C632" s="1" t="n">
        <v>46176</v>
      </c>
      <c r="D632" t="inlineStr">
        <is>
          <t>ÖREBRO LÄN</t>
        </is>
      </c>
      <c r="E632" t="inlineStr">
        <is>
          <t>LINDESBERG</t>
        </is>
      </c>
      <c r="G632" t="n">
        <v>4.3</v>
      </c>
      <c r="H632" t="n">
        <v>0</v>
      </c>
      <c r="I632" t="n">
        <v>0</v>
      </c>
      <c r="J632" t="n">
        <v>0</v>
      </c>
      <c r="K632" t="n">
        <v>0</v>
      </c>
      <c r="L632" t="n">
        <v>0</v>
      </c>
      <c r="M632" t="n">
        <v>0</v>
      </c>
      <c r="N632" t="n">
        <v>0</v>
      </c>
      <c r="O632" t="n">
        <v>0</v>
      </c>
      <c r="P632" t="n">
        <v>0</v>
      </c>
      <c r="Q632" t="n">
        <v>0</v>
      </c>
      <c r="R632" s="2" t="inlineStr"/>
    </row>
    <row r="633" ht="15" customHeight="1">
      <c r="A633" t="inlineStr">
        <is>
          <t>A 57299-2025</t>
        </is>
      </c>
      <c r="B633" s="1" t="n">
        <v>45979.81347222222</v>
      </c>
      <c r="C633" s="1" t="n">
        <v>46176</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57317-2025</t>
        </is>
      </c>
      <c r="B634" s="1" t="n">
        <v>45980.01226851852</v>
      </c>
      <c r="C634" s="1" t="n">
        <v>46176</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46176</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57359-2025</t>
        </is>
      </c>
      <c r="B636" s="1" t="n">
        <v>45980.36866898148</v>
      </c>
      <c r="C636" s="1" t="n">
        <v>46176</v>
      </c>
      <c r="D636" t="inlineStr">
        <is>
          <t>ÖREBRO LÄN</t>
        </is>
      </c>
      <c r="E636" t="inlineStr">
        <is>
          <t>LINDESBERG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57361-2025</t>
        </is>
      </c>
      <c r="B637" s="1" t="n">
        <v>45980.36988425926</v>
      </c>
      <c r="C637" s="1" t="n">
        <v>46176</v>
      </c>
      <c r="D637" t="inlineStr">
        <is>
          <t>ÖREBRO LÄN</t>
        </is>
      </c>
      <c r="E637" t="inlineStr">
        <is>
          <t>LINDESBERG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6727-2022</t>
        </is>
      </c>
      <c r="B638" s="1" t="n">
        <v>44602.45490740741</v>
      </c>
      <c r="C638" s="1" t="n">
        <v>46176</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57313-2025</t>
        </is>
      </c>
      <c r="B639" s="1" t="n">
        <v>45979.97458333334</v>
      </c>
      <c r="C639" s="1" t="n">
        <v>46176</v>
      </c>
      <c r="D639" t="inlineStr">
        <is>
          <t>ÖREBRO LÄN</t>
        </is>
      </c>
      <c r="E639" t="inlineStr">
        <is>
          <t>LINDESBERG</t>
        </is>
      </c>
      <c r="F639" t="inlineStr">
        <is>
          <t>Sveaskog</t>
        </is>
      </c>
      <c r="G639" t="n">
        <v>9.1</v>
      </c>
      <c r="H639" t="n">
        <v>0</v>
      </c>
      <c r="I639" t="n">
        <v>0</v>
      </c>
      <c r="J639" t="n">
        <v>0</v>
      </c>
      <c r="K639" t="n">
        <v>0</v>
      </c>
      <c r="L639" t="n">
        <v>0</v>
      </c>
      <c r="M639" t="n">
        <v>0</v>
      </c>
      <c r="N639" t="n">
        <v>0</v>
      </c>
      <c r="O639" t="n">
        <v>0</v>
      </c>
      <c r="P639" t="n">
        <v>0</v>
      </c>
      <c r="Q639" t="n">
        <v>0</v>
      </c>
      <c r="R639" s="2" t="inlineStr"/>
    </row>
    <row r="640" ht="15" customHeight="1">
      <c r="A640" t="inlineStr">
        <is>
          <t>A 57314-2025</t>
        </is>
      </c>
      <c r="B640" s="1" t="n">
        <v>45980.00710648148</v>
      </c>
      <c r="C640" s="1" t="n">
        <v>46176</v>
      </c>
      <c r="D640" t="inlineStr">
        <is>
          <t>ÖREBRO LÄN</t>
        </is>
      </c>
      <c r="E640" t="inlineStr">
        <is>
          <t>LINDESBERG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57315-2025</t>
        </is>
      </c>
      <c r="B641" s="1" t="n">
        <v>45980.00753472222</v>
      </c>
      <c r="C641" s="1" t="n">
        <v>46176</v>
      </c>
      <c r="D641" t="inlineStr">
        <is>
          <t>ÖREBRO LÄN</t>
        </is>
      </c>
      <c r="E641" t="inlineStr">
        <is>
          <t>LINDESBERG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57316-2025</t>
        </is>
      </c>
      <c r="B642" s="1" t="n">
        <v>45980.0115625</v>
      </c>
      <c r="C642" s="1" t="n">
        <v>46176</v>
      </c>
      <c r="D642" t="inlineStr">
        <is>
          <t>ÖREBRO LÄN</t>
        </is>
      </c>
      <c r="E642" t="inlineStr">
        <is>
          <t>LINDESBERG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57320-2025</t>
        </is>
      </c>
      <c r="B643" s="1" t="n">
        <v>45980.01553240741</v>
      </c>
      <c r="C643" s="1" t="n">
        <v>46176</v>
      </c>
      <c r="D643" t="inlineStr">
        <is>
          <t>ÖREBRO LÄN</t>
        </is>
      </c>
      <c r="E643" t="inlineStr">
        <is>
          <t>LINDESBERG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57363-2025</t>
        </is>
      </c>
      <c r="B644" s="1" t="n">
        <v>45980.3716087963</v>
      </c>
      <c r="C644" s="1" t="n">
        <v>46176</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57356-2025</t>
        </is>
      </c>
      <c r="B645" s="1" t="n">
        <v>45980.36633101852</v>
      </c>
      <c r="C645" s="1" t="n">
        <v>46176</v>
      </c>
      <c r="D645" t="inlineStr">
        <is>
          <t>ÖREBRO LÄN</t>
        </is>
      </c>
      <c r="E645" t="inlineStr">
        <is>
          <t>LINDESBERG</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57358-2025</t>
        </is>
      </c>
      <c r="B646" s="1" t="n">
        <v>45980.36679398148</v>
      </c>
      <c r="C646" s="1" t="n">
        <v>46176</v>
      </c>
      <c r="D646" t="inlineStr">
        <is>
          <t>ÖREBRO LÄN</t>
        </is>
      </c>
      <c r="E646" t="inlineStr">
        <is>
          <t>LINDESBERG</t>
        </is>
      </c>
      <c r="F646" t="inlineStr">
        <is>
          <t>Sveaskog</t>
        </is>
      </c>
      <c r="G646" t="n">
        <v>4.2</v>
      </c>
      <c r="H646" t="n">
        <v>0</v>
      </c>
      <c r="I646" t="n">
        <v>0</v>
      </c>
      <c r="J646" t="n">
        <v>0</v>
      </c>
      <c r="K646" t="n">
        <v>0</v>
      </c>
      <c r="L646" t="n">
        <v>0</v>
      </c>
      <c r="M646" t="n">
        <v>0</v>
      </c>
      <c r="N646" t="n">
        <v>0</v>
      </c>
      <c r="O646" t="n">
        <v>0</v>
      </c>
      <c r="P646" t="n">
        <v>0</v>
      </c>
      <c r="Q646" t="n">
        <v>0</v>
      </c>
      <c r="R646" s="2" t="inlineStr"/>
    </row>
    <row r="647" ht="15" customHeight="1">
      <c r="A647" t="inlineStr">
        <is>
          <t>A 44803-2024</t>
        </is>
      </c>
      <c r="B647" s="1" t="n">
        <v>45574.65087962963</v>
      </c>
      <c r="C647" s="1" t="n">
        <v>46176</v>
      </c>
      <c r="D647" t="inlineStr">
        <is>
          <t>ÖREBRO LÄN</t>
        </is>
      </c>
      <c r="E647" t="inlineStr">
        <is>
          <t>LINDESBERG</t>
        </is>
      </c>
      <c r="F647" t="inlineStr">
        <is>
          <t>Sveaskog</t>
        </is>
      </c>
      <c r="G647" t="n">
        <v>6.8</v>
      </c>
      <c r="H647" t="n">
        <v>0</v>
      </c>
      <c r="I647" t="n">
        <v>0</v>
      </c>
      <c r="J647" t="n">
        <v>0</v>
      </c>
      <c r="K647" t="n">
        <v>0</v>
      </c>
      <c r="L647" t="n">
        <v>0</v>
      </c>
      <c r="M647" t="n">
        <v>0</v>
      </c>
      <c r="N647" t="n">
        <v>0</v>
      </c>
      <c r="O647" t="n">
        <v>0</v>
      </c>
      <c r="P647" t="n">
        <v>0</v>
      </c>
      <c r="Q647" t="n">
        <v>0</v>
      </c>
      <c r="R647" s="2" t="inlineStr"/>
    </row>
    <row r="648" ht="15" customHeight="1">
      <c r="A648" t="inlineStr">
        <is>
          <t>A 25012-2023</t>
        </is>
      </c>
      <c r="B648" s="1" t="n">
        <v>45085</v>
      </c>
      <c r="C648" s="1" t="n">
        <v>46176</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58166-2025</t>
        </is>
      </c>
      <c r="B649" s="1" t="n">
        <v>45982.71017361111</v>
      </c>
      <c r="C649" s="1" t="n">
        <v>46176</v>
      </c>
      <c r="D649" t="inlineStr">
        <is>
          <t>ÖREBRO LÄN</t>
        </is>
      </c>
      <c r="E649" t="inlineStr">
        <is>
          <t>LINDESBERG</t>
        </is>
      </c>
      <c r="G649" t="n">
        <v>2.5</v>
      </c>
      <c r="H649" t="n">
        <v>0</v>
      </c>
      <c r="I649" t="n">
        <v>0</v>
      </c>
      <c r="J649" t="n">
        <v>0</v>
      </c>
      <c r="K649" t="n">
        <v>0</v>
      </c>
      <c r="L649" t="n">
        <v>0</v>
      </c>
      <c r="M649" t="n">
        <v>0</v>
      </c>
      <c r="N649" t="n">
        <v>0</v>
      </c>
      <c r="O649" t="n">
        <v>0</v>
      </c>
      <c r="P649" t="n">
        <v>0</v>
      </c>
      <c r="Q649" t="n">
        <v>0</v>
      </c>
      <c r="R649" s="2" t="inlineStr"/>
    </row>
    <row r="650" ht="15" customHeight="1">
      <c r="A650" t="inlineStr">
        <is>
          <t>A 13969-2025</t>
        </is>
      </c>
      <c r="B650" s="1" t="n">
        <v>45738.43714120371</v>
      </c>
      <c r="C650" s="1" t="n">
        <v>46176</v>
      </c>
      <c r="D650" t="inlineStr">
        <is>
          <t>ÖREBRO LÄN</t>
        </is>
      </c>
      <c r="E650" t="inlineStr">
        <is>
          <t>LINDESBERG</t>
        </is>
      </c>
      <c r="G650" t="n">
        <v>1.5</v>
      </c>
      <c r="H650" t="n">
        <v>0</v>
      </c>
      <c r="I650" t="n">
        <v>0</v>
      </c>
      <c r="J650" t="n">
        <v>0</v>
      </c>
      <c r="K650" t="n">
        <v>0</v>
      </c>
      <c r="L650" t="n">
        <v>0</v>
      </c>
      <c r="M650" t="n">
        <v>0</v>
      </c>
      <c r="N650" t="n">
        <v>0</v>
      </c>
      <c r="O650" t="n">
        <v>0</v>
      </c>
      <c r="P650" t="n">
        <v>0</v>
      </c>
      <c r="Q650" t="n">
        <v>0</v>
      </c>
      <c r="R650" s="2" t="inlineStr"/>
    </row>
    <row r="651" ht="15" customHeight="1">
      <c r="A651" t="inlineStr">
        <is>
          <t>A 53366-2023</t>
        </is>
      </c>
      <c r="B651" s="1" t="n">
        <v>45229</v>
      </c>
      <c r="C651" s="1" t="n">
        <v>46176</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46176</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42430-2024</t>
        </is>
      </c>
      <c r="B653" s="1" t="n">
        <v>45565.40700231482</v>
      </c>
      <c r="C653" s="1" t="n">
        <v>46176</v>
      </c>
      <c r="D653" t="inlineStr">
        <is>
          <t>ÖREBRO LÄN</t>
        </is>
      </c>
      <c r="E653" t="inlineStr">
        <is>
          <t>LINDESBERG</t>
        </is>
      </c>
      <c r="G653" t="n">
        <v>4</v>
      </c>
      <c r="H653" t="n">
        <v>0</v>
      </c>
      <c r="I653" t="n">
        <v>0</v>
      </c>
      <c r="J653" t="n">
        <v>0</v>
      </c>
      <c r="K653" t="n">
        <v>0</v>
      </c>
      <c r="L653" t="n">
        <v>0</v>
      </c>
      <c r="M653" t="n">
        <v>0</v>
      </c>
      <c r="N653" t="n">
        <v>0</v>
      </c>
      <c r="O653" t="n">
        <v>0</v>
      </c>
      <c r="P653" t="n">
        <v>0</v>
      </c>
      <c r="Q653" t="n">
        <v>0</v>
      </c>
      <c r="R653" s="2" t="inlineStr"/>
    </row>
    <row r="654" ht="15" customHeight="1">
      <c r="A654" t="inlineStr">
        <is>
          <t>A 36754-2024</t>
        </is>
      </c>
      <c r="B654" s="1" t="n">
        <v>45538.34796296297</v>
      </c>
      <c r="C654" s="1" t="n">
        <v>46176</v>
      </c>
      <c r="D654" t="inlineStr">
        <is>
          <t>ÖREBRO LÄN</t>
        </is>
      </c>
      <c r="E654" t="inlineStr">
        <is>
          <t>LINDESBERG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1354-2024</t>
        </is>
      </c>
      <c r="B655" s="1" t="n">
        <v>45303</v>
      </c>
      <c r="C655" s="1" t="n">
        <v>46176</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27001-2024</t>
        </is>
      </c>
      <c r="B656" s="1" t="n">
        <v>45471.38995370371</v>
      </c>
      <c r="C656" s="1" t="n">
        <v>46176</v>
      </c>
      <c r="D656" t="inlineStr">
        <is>
          <t>ÖREBRO LÄN</t>
        </is>
      </c>
      <c r="E656" t="inlineStr">
        <is>
          <t>LINDESBERG</t>
        </is>
      </c>
      <c r="G656" t="n">
        <v>2.8</v>
      </c>
      <c r="H656" t="n">
        <v>0</v>
      </c>
      <c r="I656" t="n">
        <v>0</v>
      </c>
      <c r="J656" t="n">
        <v>0</v>
      </c>
      <c r="K656" t="n">
        <v>0</v>
      </c>
      <c r="L656" t="n">
        <v>0</v>
      </c>
      <c r="M656" t="n">
        <v>0</v>
      </c>
      <c r="N656" t="n">
        <v>0</v>
      </c>
      <c r="O656" t="n">
        <v>0</v>
      </c>
      <c r="P656" t="n">
        <v>0</v>
      </c>
      <c r="Q656" t="n">
        <v>0</v>
      </c>
      <c r="R656" s="2" t="inlineStr"/>
    </row>
    <row r="657" ht="15" customHeight="1">
      <c r="A657" t="inlineStr">
        <is>
          <t>A 26067-2022</t>
        </is>
      </c>
      <c r="B657" s="1" t="n">
        <v>44734.64337962963</v>
      </c>
      <c r="C657" s="1" t="n">
        <v>46176</v>
      </c>
      <c r="D657" t="inlineStr">
        <is>
          <t>ÖREBRO LÄN</t>
        </is>
      </c>
      <c r="E657" t="inlineStr">
        <is>
          <t>LINDESBERG</t>
        </is>
      </c>
      <c r="G657" t="n">
        <v>3.1</v>
      </c>
      <c r="H657" t="n">
        <v>0</v>
      </c>
      <c r="I657" t="n">
        <v>0</v>
      </c>
      <c r="J657" t="n">
        <v>0</v>
      </c>
      <c r="K657" t="n">
        <v>0</v>
      </c>
      <c r="L657" t="n">
        <v>0</v>
      </c>
      <c r="M657" t="n">
        <v>0</v>
      </c>
      <c r="N657" t="n">
        <v>0</v>
      </c>
      <c r="O657" t="n">
        <v>0</v>
      </c>
      <c r="P657" t="n">
        <v>0</v>
      </c>
      <c r="Q657" t="n">
        <v>0</v>
      </c>
      <c r="R657" s="2" t="inlineStr"/>
    </row>
    <row r="658" ht="15" customHeight="1">
      <c r="A658" t="inlineStr">
        <is>
          <t>A 59395-2022</t>
        </is>
      </c>
      <c r="B658" s="1" t="n">
        <v>44906.73321759259</v>
      </c>
      <c r="C658" s="1" t="n">
        <v>46176</v>
      </c>
      <c r="D658" t="inlineStr">
        <is>
          <t>ÖREBRO LÄN</t>
        </is>
      </c>
      <c r="E658" t="inlineStr">
        <is>
          <t>LINDESBERG</t>
        </is>
      </c>
      <c r="G658" t="n">
        <v>4.3</v>
      </c>
      <c r="H658" t="n">
        <v>0</v>
      </c>
      <c r="I658" t="n">
        <v>0</v>
      </c>
      <c r="J658" t="n">
        <v>0</v>
      </c>
      <c r="K658" t="n">
        <v>0</v>
      </c>
      <c r="L658" t="n">
        <v>0</v>
      </c>
      <c r="M658" t="n">
        <v>0</v>
      </c>
      <c r="N658" t="n">
        <v>0</v>
      </c>
      <c r="O658" t="n">
        <v>0</v>
      </c>
      <c r="P658" t="n">
        <v>0</v>
      </c>
      <c r="Q658" t="n">
        <v>0</v>
      </c>
      <c r="R658" s="2" t="inlineStr"/>
    </row>
    <row r="659" ht="15" customHeight="1">
      <c r="A659" t="inlineStr">
        <is>
          <t>A 19043-2023</t>
        </is>
      </c>
      <c r="B659" s="1" t="n">
        <v>45047.7181712963</v>
      </c>
      <c r="C659" s="1" t="n">
        <v>46176</v>
      </c>
      <c r="D659" t="inlineStr">
        <is>
          <t>ÖREBRO LÄN</t>
        </is>
      </c>
      <c r="E659" t="inlineStr">
        <is>
          <t>LINDESBERG</t>
        </is>
      </c>
      <c r="G659" t="n">
        <v>2.6</v>
      </c>
      <c r="H659" t="n">
        <v>0</v>
      </c>
      <c r="I659" t="n">
        <v>0</v>
      </c>
      <c r="J659" t="n">
        <v>0</v>
      </c>
      <c r="K659" t="n">
        <v>0</v>
      </c>
      <c r="L659" t="n">
        <v>0</v>
      </c>
      <c r="M659" t="n">
        <v>0</v>
      </c>
      <c r="N659" t="n">
        <v>0</v>
      </c>
      <c r="O659" t="n">
        <v>0</v>
      </c>
      <c r="P659" t="n">
        <v>0</v>
      </c>
      <c r="Q659" t="n">
        <v>0</v>
      </c>
      <c r="R659" s="2" t="inlineStr"/>
    </row>
    <row r="660" ht="15" customHeight="1">
      <c r="A660" t="inlineStr">
        <is>
          <t>A 41343-2021</t>
        </is>
      </c>
      <c r="B660" s="1" t="n">
        <v>44424.61709490741</v>
      </c>
      <c r="C660" s="1" t="n">
        <v>46176</v>
      </c>
      <c r="D660" t="inlineStr">
        <is>
          <t>ÖREBRO LÄN</t>
        </is>
      </c>
      <c r="E660" t="inlineStr">
        <is>
          <t>LINDESBERG</t>
        </is>
      </c>
      <c r="G660" t="n">
        <v>8.9</v>
      </c>
      <c r="H660" t="n">
        <v>0</v>
      </c>
      <c r="I660" t="n">
        <v>0</v>
      </c>
      <c r="J660" t="n">
        <v>0</v>
      </c>
      <c r="K660" t="n">
        <v>0</v>
      </c>
      <c r="L660" t="n">
        <v>0</v>
      </c>
      <c r="M660" t="n">
        <v>0</v>
      </c>
      <c r="N660" t="n">
        <v>0</v>
      </c>
      <c r="O660" t="n">
        <v>0</v>
      </c>
      <c r="P660" t="n">
        <v>0</v>
      </c>
      <c r="Q660" t="n">
        <v>0</v>
      </c>
      <c r="R660" s="2" t="inlineStr"/>
    </row>
    <row r="661" ht="15" customHeight="1">
      <c r="A661" t="inlineStr">
        <is>
          <t>A 43416-2024</t>
        </is>
      </c>
      <c r="B661" s="1" t="n">
        <v>45568.62625</v>
      </c>
      <c r="C661" s="1" t="n">
        <v>46176</v>
      </c>
      <c r="D661" t="inlineStr">
        <is>
          <t>ÖREBRO LÄN</t>
        </is>
      </c>
      <c r="E661" t="inlineStr">
        <is>
          <t>LINDESBERG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10654-2023</t>
        </is>
      </c>
      <c r="B662" s="1" t="n">
        <v>44984</v>
      </c>
      <c r="C662" s="1" t="n">
        <v>46176</v>
      </c>
      <c r="D662" t="inlineStr">
        <is>
          <t>ÖREBRO LÄN</t>
        </is>
      </c>
      <c r="E662" t="inlineStr">
        <is>
          <t>LINDESBERG</t>
        </is>
      </c>
      <c r="G662" t="n">
        <v>1.2</v>
      </c>
      <c r="H662" t="n">
        <v>0</v>
      </c>
      <c r="I662" t="n">
        <v>0</v>
      </c>
      <c r="J662" t="n">
        <v>0</v>
      </c>
      <c r="K662" t="n">
        <v>0</v>
      </c>
      <c r="L662" t="n">
        <v>0</v>
      </c>
      <c r="M662" t="n">
        <v>0</v>
      </c>
      <c r="N662" t="n">
        <v>0</v>
      </c>
      <c r="O662" t="n">
        <v>0</v>
      </c>
      <c r="P662" t="n">
        <v>0</v>
      </c>
      <c r="Q662" t="n">
        <v>0</v>
      </c>
      <c r="R662" s="2" t="inlineStr"/>
    </row>
    <row r="663" ht="15" customHeight="1">
      <c r="A663" t="inlineStr">
        <is>
          <t>A 63125-2023</t>
        </is>
      </c>
      <c r="B663" s="1" t="n">
        <v>45273</v>
      </c>
      <c r="C663" s="1" t="n">
        <v>46176</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14454-2024</t>
        </is>
      </c>
      <c r="B664" s="1" t="n">
        <v>45394.51289351852</v>
      </c>
      <c r="C664" s="1" t="n">
        <v>46176</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60400-2025</t>
        </is>
      </c>
      <c r="B665" s="1" t="n">
        <v>45995</v>
      </c>
      <c r="C665" s="1" t="n">
        <v>46176</v>
      </c>
      <c r="D665" t="inlineStr">
        <is>
          <t>ÖREBRO LÄN</t>
        </is>
      </c>
      <c r="E665" t="inlineStr">
        <is>
          <t>LINDESBERG</t>
        </is>
      </c>
      <c r="G665" t="n">
        <v>11.2</v>
      </c>
      <c r="H665" t="n">
        <v>0</v>
      </c>
      <c r="I665" t="n">
        <v>0</v>
      </c>
      <c r="J665" t="n">
        <v>0</v>
      </c>
      <c r="K665" t="n">
        <v>0</v>
      </c>
      <c r="L665" t="n">
        <v>0</v>
      </c>
      <c r="M665" t="n">
        <v>0</v>
      </c>
      <c r="N665" t="n">
        <v>0</v>
      </c>
      <c r="O665" t="n">
        <v>0</v>
      </c>
      <c r="P665" t="n">
        <v>0</v>
      </c>
      <c r="Q665" t="n">
        <v>0</v>
      </c>
      <c r="R665" s="2" t="inlineStr"/>
    </row>
    <row r="666" ht="15" customHeight="1">
      <c r="A666" t="inlineStr">
        <is>
          <t>A 60450-2025</t>
        </is>
      </c>
      <c r="B666" s="1" t="n">
        <v>45995</v>
      </c>
      <c r="C666" s="1" t="n">
        <v>46176</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61960-2024</t>
        </is>
      </c>
      <c r="B667" s="1" t="n">
        <v>45653.53664351852</v>
      </c>
      <c r="C667" s="1" t="n">
        <v>46176</v>
      </c>
      <c r="D667" t="inlineStr">
        <is>
          <t>ÖREBRO LÄN</t>
        </is>
      </c>
      <c r="E667" t="inlineStr">
        <is>
          <t>LINDESBERG</t>
        </is>
      </c>
      <c r="G667" t="n">
        <v>1.1</v>
      </c>
      <c r="H667" t="n">
        <v>0</v>
      </c>
      <c r="I667" t="n">
        <v>0</v>
      </c>
      <c r="J667" t="n">
        <v>0</v>
      </c>
      <c r="K667" t="n">
        <v>0</v>
      </c>
      <c r="L667" t="n">
        <v>0</v>
      </c>
      <c r="M667" t="n">
        <v>0</v>
      </c>
      <c r="N667" t="n">
        <v>0</v>
      </c>
      <c r="O667" t="n">
        <v>0</v>
      </c>
      <c r="P667" t="n">
        <v>0</v>
      </c>
      <c r="Q667" t="n">
        <v>0</v>
      </c>
      <c r="R667" s="2" t="inlineStr"/>
    </row>
    <row r="668" ht="15" customHeight="1">
      <c r="A668" t="inlineStr">
        <is>
          <t>A 60806-2025</t>
        </is>
      </c>
      <c r="B668" s="1" t="n">
        <v>45999.43730324074</v>
      </c>
      <c r="C668" s="1" t="n">
        <v>46176</v>
      </c>
      <c r="D668" t="inlineStr">
        <is>
          <t>ÖREBRO LÄN</t>
        </is>
      </c>
      <c r="E668" t="inlineStr">
        <is>
          <t>LINDESBERG</t>
        </is>
      </c>
      <c r="G668" t="n">
        <v>7.9</v>
      </c>
      <c r="H668" t="n">
        <v>0</v>
      </c>
      <c r="I668" t="n">
        <v>0</v>
      </c>
      <c r="J668" t="n">
        <v>0</v>
      </c>
      <c r="K668" t="n">
        <v>0</v>
      </c>
      <c r="L668" t="n">
        <v>0</v>
      </c>
      <c r="M668" t="n">
        <v>0</v>
      </c>
      <c r="N668" t="n">
        <v>0</v>
      </c>
      <c r="O668" t="n">
        <v>0</v>
      </c>
      <c r="P668" t="n">
        <v>0</v>
      </c>
      <c r="Q668" t="n">
        <v>0</v>
      </c>
      <c r="R668" s="2" t="inlineStr"/>
    </row>
    <row r="669" ht="15" customHeight="1">
      <c r="A669" t="inlineStr">
        <is>
          <t>A 34436-2023</t>
        </is>
      </c>
      <c r="B669" s="1" t="n">
        <v>45139.64328703703</v>
      </c>
      <c r="C669" s="1" t="n">
        <v>46176</v>
      </c>
      <c r="D669" t="inlineStr">
        <is>
          <t>ÖREBRO LÄN</t>
        </is>
      </c>
      <c r="E669" t="inlineStr">
        <is>
          <t>LINDESBERG</t>
        </is>
      </c>
      <c r="F669" t="inlineStr">
        <is>
          <t>Kyrkan</t>
        </is>
      </c>
      <c r="G669" t="n">
        <v>5.8</v>
      </c>
      <c r="H669" t="n">
        <v>0</v>
      </c>
      <c r="I669" t="n">
        <v>0</v>
      </c>
      <c r="J669" t="n">
        <v>0</v>
      </c>
      <c r="K669" t="n">
        <v>0</v>
      </c>
      <c r="L669" t="n">
        <v>0</v>
      </c>
      <c r="M669" t="n">
        <v>0</v>
      </c>
      <c r="N669" t="n">
        <v>0</v>
      </c>
      <c r="O669" t="n">
        <v>0</v>
      </c>
      <c r="P669" t="n">
        <v>0</v>
      </c>
      <c r="Q669" t="n">
        <v>0</v>
      </c>
      <c r="R669" s="2" t="inlineStr"/>
    </row>
    <row r="670" ht="15" customHeight="1">
      <c r="A670" t="inlineStr">
        <is>
          <t>A 54860-2024</t>
        </is>
      </c>
      <c r="B670" s="1" t="n">
        <v>45618.59219907408</v>
      </c>
      <c r="C670" s="1" t="n">
        <v>46176</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6181-2025</t>
        </is>
      </c>
      <c r="B671" s="1" t="n">
        <v>45698</v>
      </c>
      <c r="C671" s="1" t="n">
        <v>46176</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8612-2024</t>
        </is>
      </c>
      <c r="B672" s="1" t="n">
        <v>45355.70009259259</v>
      </c>
      <c r="C672" s="1" t="n">
        <v>46176</v>
      </c>
      <c r="D672" t="inlineStr">
        <is>
          <t>ÖREBRO LÄN</t>
        </is>
      </c>
      <c r="E672" t="inlineStr">
        <is>
          <t>LINDESBERG</t>
        </is>
      </c>
      <c r="G672" t="n">
        <v>4.5</v>
      </c>
      <c r="H672" t="n">
        <v>0</v>
      </c>
      <c r="I672" t="n">
        <v>0</v>
      </c>
      <c r="J672" t="n">
        <v>0</v>
      </c>
      <c r="K672" t="n">
        <v>0</v>
      </c>
      <c r="L672" t="n">
        <v>0</v>
      </c>
      <c r="M672" t="n">
        <v>0</v>
      </c>
      <c r="N672" t="n">
        <v>0</v>
      </c>
      <c r="O672" t="n">
        <v>0</v>
      </c>
      <c r="P672" t="n">
        <v>0</v>
      </c>
      <c r="Q672" t="n">
        <v>0</v>
      </c>
      <c r="R672" s="2" t="inlineStr"/>
    </row>
    <row r="673" ht="15" customHeight="1">
      <c r="A673" t="inlineStr">
        <is>
          <t>A 61761-2025</t>
        </is>
      </c>
      <c r="B673" s="1" t="n">
        <v>46002.62465277778</v>
      </c>
      <c r="C673" s="1" t="n">
        <v>46176</v>
      </c>
      <c r="D673" t="inlineStr">
        <is>
          <t>ÖREBRO LÄN</t>
        </is>
      </c>
      <c r="E673" t="inlineStr">
        <is>
          <t>LINDESBERG</t>
        </is>
      </c>
      <c r="G673" t="n">
        <v>3.8</v>
      </c>
      <c r="H673" t="n">
        <v>0</v>
      </c>
      <c r="I673" t="n">
        <v>0</v>
      </c>
      <c r="J673" t="n">
        <v>0</v>
      </c>
      <c r="K673" t="n">
        <v>0</v>
      </c>
      <c r="L673" t="n">
        <v>0</v>
      </c>
      <c r="M673" t="n">
        <v>0</v>
      </c>
      <c r="N673" t="n">
        <v>0</v>
      </c>
      <c r="O673" t="n">
        <v>0</v>
      </c>
      <c r="P673" t="n">
        <v>0</v>
      </c>
      <c r="Q673" t="n">
        <v>0</v>
      </c>
      <c r="R673" s="2" t="inlineStr"/>
    </row>
    <row r="674" ht="15" customHeight="1">
      <c r="A674" t="inlineStr">
        <is>
          <t>A 7126-2025</t>
        </is>
      </c>
      <c r="B674" s="1" t="n">
        <v>45702</v>
      </c>
      <c r="C674" s="1" t="n">
        <v>46176</v>
      </c>
      <c r="D674" t="inlineStr">
        <is>
          <t>ÖREBRO LÄN</t>
        </is>
      </c>
      <c r="E674" t="inlineStr">
        <is>
          <t>LINDESBERG</t>
        </is>
      </c>
      <c r="G674" t="n">
        <v>1.3</v>
      </c>
      <c r="H674" t="n">
        <v>0</v>
      </c>
      <c r="I674" t="n">
        <v>0</v>
      </c>
      <c r="J674" t="n">
        <v>0</v>
      </c>
      <c r="K674" t="n">
        <v>0</v>
      </c>
      <c r="L674" t="n">
        <v>0</v>
      </c>
      <c r="M674" t="n">
        <v>0</v>
      </c>
      <c r="N674" t="n">
        <v>0</v>
      </c>
      <c r="O674" t="n">
        <v>0</v>
      </c>
      <c r="P674" t="n">
        <v>0</v>
      </c>
      <c r="Q674" t="n">
        <v>0</v>
      </c>
      <c r="R674" s="2" t="inlineStr"/>
    </row>
    <row r="675" ht="15" customHeight="1">
      <c r="A675" t="inlineStr">
        <is>
          <t>A 61745-2025</t>
        </is>
      </c>
      <c r="B675" s="1" t="n">
        <v>46002.60324074074</v>
      </c>
      <c r="C675" s="1" t="n">
        <v>46176</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61758-2025</t>
        </is>
      </c>
      <c r="B676" s="1" t="n">
        <v>46002.61762731482</v>
      </c>
      <c r="C676" s="1" t="n">
        <v>46176</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9961-2023</t>
        </is>
      </c>
      <c r="B677" s="1" t="n">
        <v>44979</v>
      </c>
      <c r="C677" s="1" t="n">
        <v>46176</v>
      </c>
      <c r="D677" t="inlineStr">
        <is>
          <t>ÖREBRO LÄN</t>
        </is>
      </c>
      <c r="E677" t="inlineStr">
        <is>
          <t>LINDESBERG</t>
        </is>
      </c>
      <c r="G677" t="n">
        <v>4.8</v>
      </c>
      <c r="H677" t="n">
        <v>0</v>
      </c>
      <c r="I677" t="n">
        <v>0</v>
      </c>
      <c r="J677" t="n">
        <v>0</v>
      </c>
      <c r="K677" t="n">
        <v>0</v>
      </c>
      <c r="L677" t="n">
        <v>0</v>
      </c>
      <c r="M677" t="n">
        <v>0</v>
      </c>
      <c r="N677" t="n">
        <v>0</v>
      </c>
      <c r="O677" t="n">
        <v>0</v>
      </c>
      <c r="P677" t="n">
        <v>0</v>
      </c>
      <c r="Q677" t="n">
        <v>0</v>
      </c>
      <c r="R677" s="2" t="inlineStr"/>
    </row>
    <row r="678" ht="15" customHeight="1">
      <c r="A678" t="inlineStr">
        <is>
          <t>A 58050-2025</t>
        </is>
      </c>
      <c r="B678" s="1" t="n">
        <v>45982</v>
      </c>
      <c r="C678" s="1" t="n">
        <v>46176</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58056-2025</t>
        </is>
      </c>
      <c r="B679" s="1" t="n">
        <v>45982</v>
      </c>
      <c r="C679" s="1" t="n">
        <v>46176</v>
      </c>
      <c r="D679" t="inlineStr">
        <is>
          <t>ÖREBRO LÄN</t>
        </is>
      </c>
      <c r="E679" t="inlineStr">
        <is>
          <t>LINDESBERG</t>
        </is>
      </c>
      <c r="G679" t="n">
        <v>0.9</v>
      </c>
      <c r="H679" t="n">
        <v>0</v>
      </c>
      <c r="I679" t="n">
        <v>0</v>
      </c>
      <c r="J679" t="n">
        <v>0</v>
      </c>
      <c r="K679" t="n">
        <v>0</v>
      </c>
      <c r="L679" t="n">
        <v>0</v>
      </c>
      <c r="M679" t="n">
        <v>0</v>
      </c>
      <c r="N679" t="n">
        <v>0</v>
      </c>
      <c r="O679" t="n">
        <v>0</v>
      </c>
      <c r="P679" t="n">
        <v>0</v>
      </c>
      <c r="Q679" t="n">
        <v>0</v>
      </c>
      <c r="R679" s="2" t="inlineStr"/>
    </row>
    <row r="680" ht="15" customHeight="1">
      <c r="A680" t="inlineStr">
        <is>
          <t>A 62383-2025</t>
        </is>
      </c>
      <c r="B680" s="1" t="n">
        <v>46007.3708449074</v>
      </c>
      <c r="C680" s="1" t="n">
        <v>46176</v>
      </c>
      <c r="D680" t="inlineStr">
        <is>
          <t>ÖREBRO LÄN</t>
        </is>
      </c>
      <c r="E680" t="inlineStr">
        <is>
          <t>LINDESBERG</t>
        </is>
      </c>
      <c r="G680" t="n">
        <v>3.5</v>
      </c>
      <c r="H680" t="n">
        <v>0</v>
      </c>
      <c r="I680" t="n">
        <v>0</v>
      </c>
      <c r="J680" t="n">
        <v>0</v>
      </c>
      <c r="K680" t="n">
        <v>0</v>
      </c>
      <c r="L680" t="n">
        <v>0</v>
      </c>
      <c r="M680" t="n">
        <v>0</v>
      </c>
      <c r="N680" t="n">
        <v>0</v>
      </c>
      <c r="O680" t="n">
        <v>0</v>
      </c>
      <c r="P680" t="n">
        <v>0</v>
      </c>
      <c r="Q680" t="n">
        <v>0</v>
      </c>
      <c r="R680" s="2" t="inlineStr"/>
    </row>
    <row r="681" ht="15" customHeight="1">
      <c r="A681" t="inlineStr">
        <is>
          <t>A 5047-2023</t>
        </is>
      </c>
      <c r="B681" s="1" t="n">
        <v>44958.58982638889</v>
      </c>
      <c r="C681" s="1" t="n">
        <v>46176</v>
      </c>
      <c r="D681" t="inlineStr">
        <is>
          <t>ÖREBRO LÄN</t>
        </is>
      </c>
      <c r="E681" t="inlineStr">
        <is>
          <t>LINDESBERG</t>
        </is>
      </c>
      <c r="G681" t="n">
        <v>2</v>
      </c>
      <c r="H681" t="n">
        <v>0</v>
      </c>
      <c r="I681" t="n">
        <v>0</v>
      </c>
      <c r="J681" t="n">
        <v>0</v>
      </c>
      <c r="K681" t="n">
        <v>0</v>
      </c>
      <c r="L681" t="n">
        <v>0</v>
      </c>
      <c r="M681" t="n">
        <v>0</v>
      </c>
      <c r="N681" t="n">
        <v>0</v>
      </c>
      <c r="O681" t="n">
        <v>0</v>
      </c>
      <c r="P681" t="n">
        <v>0</v>
      </c>
      <c r="Q681" t="n">
        <v>0</v>
      </c>
      <c r="R681" s="2" t="inlineStr"/>
    </row>
    <row r="682" ht="15" customHeight="1">
      <c r="A682" t="inlineStr">
        <is>
          <t>A 62246-2025</t>
        </is>
      </c>
      <c r="B682" s="1" t="n">
        <v>46006.60633101852</v>
      </c>
      <c r="C682" s="1" t="n">
        <v>46176</v>
      </c>
      <c r="D682" t="inlineStr">
        <is>
          <t>ÖREBRO LÄN</t>
        </is>
      </c>
      <c r="E682" t="inlineStr">
        <is>
          <t>LINDESBERG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18590-2023</t>
        </is>
      </c>
      <c r="B683" s="1" t="n">
        <v>45043.40300925926</v>
      </c>
      <c r="C683" s="1" t="n">
        <v>46176</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63083-2025</t>
        </is>
      </c>
      <c r="B684" s="1" t="n">
        <v>46009.67175925926</v>
      </c>
      <c r="C684" s="1" t="n">
        <v>46176</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63078-2025</t>
        </is>
      </c>
      <c r="B685" s="1" t="n">
        <v>46009</v>
      </c>
      <c r="C685" s="1" t="n">
        <v>46176</v>
      </c>
      <c r="D685" t="inlineStr">
        <is>
          <t>ÖREBRO LÄN</t>
        </is>
      </c>
      <c r="E685" t="inlineStr">
        <is>
          <t>LINDESBERG</t>
        </is>
      </c>
      <c r="G685" t="n">
        <v>0.9</v>
      </c>
      <c r="H685" t="n">
        <v>0</v>
      </c>
      <c r="I685" t="n">
        <v>0</v>
      </c>
      <c r="J685" t="n">
        <v>0</v>
      </c>
      <c r="K685" t="n">
        <v>0</v>
      </c>
      <c r="L685" t="n">
        <v>0</v>
      </c>
      <c r="M685" t="n">
        <v>0</v>
      </c>
      <c r="N685" t="n">
        <v>0</v>
      </c>
      <c r="O685" t="n">
        <v>0</v>
      </c>
      <c r="P685" t="n">
        <v>0</v>
      </c>
      <c r="Q685" t="n">
        <v>0</v>
      </c>
      <c r="R685" s="2" t="inlineStr"/>
    </row>
    <row r="686" ht="15" customHeight="1">
      <c r="A686" t="inlineStr">
        <is>
          <t>A 5784-2025</t>
        </is>
      </c>
      <c r="B686" s="1" t="n">
        <v>45694</v>
      </c>
      <c r="C686" s="1" t="n">
        <v>46176</v>
      </c>
      <c r="D686" t="inlineStr">
        <is>
          <t>ÖREBRO LÄN</t>
        </is>
      </c>
      <c r="E686" t="inlineStr">
        <is>
          <t>LINDESBERG</t>
        </is>
      </c>
      <c r="F686" t="inlineStr">
        <is>
          <t>Allmännings- och besparingsskogar</t>
        </is>
      </c>
      <c r="G686" t="n">
        <v>1.6</v>
      </c>
      <c r="H686" t="n">
        <v>0</v>
      </c>
      <c r="I686" t="n">
        <v>0</v>
      </c>
      <c r="J686" t="n">
        <v>0</v>
      </c>
      <c r="K686" t="n">
        <v>0</v>
      </c>
      <c r="L686" t="n">
        <v>0</v>
      </c>
      <c r="M686" t="n">
        <v>0</v>
      </c>
      <c r="N686" t="n">
        <v>0</v>
      </c>
      <c r="O686" t="n">
        <v>0</v>
      </c>
      <c r="P686" t="n">
        <v>0</v>
      </c>
      <c r="Q686" t="n">
        <v>0</v>
      </c>
      <c r="R686" s="2" t="inlineStr"/>
    </row>
    <row r="687" ht="15" customHeight="1">
      <c r="A687" t="inlineStr">
        <is>
          <t>A 62603-2025</t>
        </is>
      </c>
      <c r="B687" s="1" t="n">
        <v>46008.25765046296</v>
      </c>
      <c r="C687" s="1" t="n">
        <v>46176</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62604-2025</t>
        </is>
      </c>
      <c r="B688" s="1" t="n">
        <v>46008.26085648148</v>
      </c>
      <c r="C688" s="1" t="n">
        <v>46176</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63526-2025</t>
        </is>
      </c>
      <c r="B689" s="1" t="n">
        <v>46013</v>
      </c>
      <c r="C689" s="1" t="n">
        <v>46176</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16448-2025</t>
        </is>
      </c>
      <c r="B690" s="1" t="n">
        <v>45751.5056712963</v>
      </c>
      <c r="C690" s="1" t="n">
        <v>46176</v>
      </c>
      <c r="D690" t="inlineStr">
        <is>
          <t>ÖREBRO LÄN</t>
        </is>
      </c>
      <c r="E690" t="inlineStr">
        <is>
          <t>LINDESBERG</t>
        </is>
      </c>
      <c r="G690" t="n">
        <v>20.1</v>
      </c>
      <c r="H690" t="n">
        <v>0</v>
      </c>
      <c r="I690" t="n">
        <v>0</v>
      </c>
      <c r="J690" t="n">
        <v>0</v>
      </c>
      <c r="K690" t="n">
        <v>0</v>
      </c>
      <c r="L690" t="n">
        <v>0</v>
      </c>
      <c r="M690" t="n">
        <v>0</v>
      </c>
      <c r="N690" t="n">
        <v>0</v>
      </c>
      <c r="O690" t="n">
        <v>0</v>
      </c>
      <c r="P690" t="n">
        <v>0</v>
      </c>
      <c r="Q690" t="n">
        <v>0</v>
      </c>
      <c r="R690" s="2" t="inlineStr"/>
    </row>
    <row r="691" ht="15" customHeight="1">
      <c r="A691" t="inlineStr">
        <is>
          <t>A 54432-2023</t>
        </is>
      </c>
      <c r="B691" s="1" t="n">
        <v>45233.42121527778</v>
      </c>
      <c r="C691" s="1" t="n">
        <v>46176</v>
      </c>
      <c r="D691" t="inlineStr">
        <is>
          <t>ÖREBRO LÄN</t>
        </is>
      </c>
      <c r="E691" t="inlineStr">
        <is>
          <t>LINDESBERG</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61736-2025</t>
        </is>
      </c>
      <c r="B692" s="1" t="n">
        <v>46002</v>
      </c>
      <c r="C692" s="1" t="n">
        <v>46176</v>
      </c>
      <c r="D692" t="inlineStr">
        <is>
          <t>ÖREBRO LÄN</t>
        </is>
      </c>
      <c r="E692" t="inlineStr">
        <is>
          <t>LINDESBERG</t>
        </is>
      </c>
      <c r="G692" t="n">
        <v>4.5</v>
      </c>
      <c r="H692" t="n">
        <v>0</v>
      </c>
      <c r="I692" t="n">
        <v>0</v>
      </c>
      <c r="J692" t="n">
        <v>0</v>
      </c>
      <c r="K692" t="n">
        <v>0</v>
      </c>
      <c r="L692" t="n">
        <v>0</v>
      </c>
      <c r="M692" t="n">
        <v>0</v>
      </c>
      <c r="N692" t="n">
        <v>0</v>
      </c>
      <c r="O692" t="n">
        <v>0</v>
      </c>
      <c r="P692" t="n">
        <v>0</v>
      </c>
      <c r="Q692" t="n">
        <v>0</v>
      </c>
      <c r="R692" s="2" t="inlineStr"/>
    </row>
    <row r="693" ht="15" customHeight="1">
      <c r="A693" t="inlineStr">
        <is>
          <t>A 61739-2025</t>
        </is>
      </c>
      <c r="B693" s="1" t="n">
        <v>46002</v>
      </c>
      <c r="C693" s="1" t="n">
        <v>46176</v>
      </c>
      <c r="D693" t="inlineStr">
        <is>
          <t>ÖREBRO LÄN</t>
        </is>
      </c>
      <c r="E693" t="inlineStr">
        <is>
          <t>LINDESBERG</t>
        </is>
      </c>
      <c r="G693" t="n">
        <v>5.3</v>
      </c>
      <c r="H693" t="n">
        <v>0</v>
      </c>
      <c r="I693" t="n">
        <v>0</v>
      </c>
      <c r="J693" t="n">
        <v>0</v>
      </c>
      <c r="K693" t="n">
        <v>0</v>
      </c>
      <c r="L693" t="n">
        <v>0</v>
      </c>
      <c r="M693" t="n">
        <v>0</v>
      </c>
      <c r="N693" t="n">
        <v>0</v>
      </c>
      <c r="O693" t="n">
        <v>0</v>
      </c>
      <c r="P693" t="n">
        <v>0</v>
      </c>
      <c r="Q693" t="n">
        <v>0</v>
      </c>
      <c r="R693" s="2" t="inlineStr"/>
    </row>
    <row r="694" ht="15" customHeight="1">
      <c r="A694" t="inlineStr">
        <is>
          <t>A 9436-2023</t>
        </is>
      </c>
      <c r="B694" s="1" t="n">
        <v>44981</v>
      </c>
      <c r="C694" s="1" t="n">
        <v>46176</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60200-2024</t>
        </is>
      </c>
      <c r="B695" s="1" t="n">
        <v>45642.66184027777</v>
      </c>
      <c r="C695" s="1" t="n">
        <v>46176</v>
      </c>
      <c r="D695" t="inlineStr">
        <is>
          <t>ÖREBRO LÄN</t>
        </is>
      </c>
      <c r="E695" t="inlineStr">
        <is>
          <t>LINDESBERG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36747-2024</t>
        </is>
      </c>
      <c r="B696" s="1" t="n">
        <v>45538.34193287037</v>
      </c>
      <c r="C696" s="1" t="n">
        <v>46176</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13305-2023</t>
        </is>
      </c>
      <c r="B697" s="1" t="n">
        <v>45005.35967592592</v>
      </c>
      <c r="C697" s="1" t="n">
        <v>46176</v>
      </c>
      <c r="D697" t="inlineStr">
        <is>
          <t>ÖREBRO LÄN</t>
        </is>
      </c>
      <c r="E697" t="inlineStr">
        <is>
          <t>LINDESBERG</t>
        </is>
      </c>
      <c r="G697" t="n">
        <v>5.5</v>
      </c>
      <c r="H697" t="n">
        <v>0</v>
      </c>
      <c r="I697" t="n">
        <v>0</v>
      </c>
      <c r="J697" t="n">
        <v>0</v>
      </c>
      <c r="K697" t="n">
        <v>0</v>
      </c>
      <c r="L697" t="n">
        <v>0</v>
      </c>
      <c r="M697" t="n">
        <v>0</v>
      </c>
      <c r="N697" t="n">
        <v>0</v>
      </c>
      <c r="O697" t="n">
        <v>0</v>
      </c>
      <c r="P697" t="n">
        <v>0</v>
      </c>
      <c r="Q697" t="n">
        <v>0</v>
      </c>
      <c r="R697" s="2" t="inlineStr"/>
    </row>
    <row r="698" ht="15" customHeight="1">
      <c r="A698" t="inlineStr">
        <is>
          <t>A 13368-2023</t>
        </is>
      </c>
      <c r="B698" s="1" t="n">
        <v>45005.47820601852</v>
      </c>
      <c r="C698" s="1" t="n">
        <v>46176</v>
      </c>
      <c r="D698" t="inlineStr">
        <is>
          <t>ÖREBRO LÄN</t>
        </is>
      </c>
      <c r="E698" t="inlineStr">
        <is>
          <t>LINDESBERG</t>
        </is>
      </c>
      <c r="F698" t="inlineStr">
        <is>
          <t>Kommuner</t>
        </is>
      </c>
      <c r="G698" t="n">
        <v>0.7</v>
      </c>
      <c r="H698" t="n">
        <v>0</v>
      </c>
      <c r="I698" t="n">
        <v>0</v>
      </c>
      <c r="J698" t="n">
        <v>0</v>
      </c>
      <c r="K698" t="n">
        <v>0</v>
      </c>
      <c r="L698" t="n">
        <v>0</v>
      </c>
      <c r="M698" t="n">
        <v>0</v>
      </c>
      <c r="N698" t="n">
        <v>0</v>
      </c>
      <c r="O698" t="n">
        <v>0</v>
      </c>
      <c r="P698" t="n">
        <v>0</v>
      </c>
      <c r="Q698" t="n">
        <v>0</v>
      </c>
      <c r="R698" s="2" t="inlineStr"/>
    </row>
    <row r="699" ht="15" customHeight="1">
      <c r="A699" t="inlineStr">
        <is>
          <t>A 56912-2024</t>
        </is>
      </c>
      <c r="B699" s="1" t="n">
        <v>45628.59233796296</v>
      </c>
      <c r="C699" s="1" t="n">
        <v>46176</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15745-2024</t>
        </is>
      </c>
      <c r="B700" s="1" t="n">
        <v>45404.55239583334</v>
      </c>
      <c r="C700" s="1" t="n">
        <v>46176</v>
      </c>
      <c r="D700" t="inlineStr">
        <is>
          <t>ÖREBRO LÄN</t>
        </is>
      </c>
      <c r="E700" t="inlineStr">
        <is>
          <t>LINDESBERG</t>
        </is>
      </c>
      <c r="F700" t="inlineStr">
        <is>
          <t>Sveaskog</t>
        </is>
      </c>
      <c r="G700" t="n">
        <v>6.2</v>
      </c>
      <c r="H700" t="n">
        <v>0</v>
      </c>
      <c r="I700" t="n">
        <v>0</v>
      </c>
      <c r="J700" t="n">
        <v>0</v>
      </c>
      <c r="K700" t="n">
        <v>0</v>
      </c>
      <c r="L700" t="n">
        <v>0</v>
      </c>
      <c r="M700" t="n">
        <v>0</v>
      </c>
      <c r="N700" t="n">
        <v>0</v>
      </c>
      <c r="O700" t="n">
        <v>0</v>
      </c>
      <c r="P700" t="n">
        <v>0</v>
      </c>
      <c r="Q700" t="n">
        <v>0</v>
      </c>
      <c r="R700" s="2" t="inlineStr"/>
    </row>
    <row r="701" ht="15" customHeight="1">
      <c r="A701" t="inlineStr">
        <is>
          <t>A 15750-2024</t>
        </is>
      </c>
      <c r="B701" s="1" t="n">
        <v>45404.55601851852</v>
      </c>
      <c r="C701" s="1" t="n">
        <v>46176</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72698-2021</t>
        </is>
      </c>
      <c r="B702" s="1" t="n">
        <v>44546.6679050926</v>
      </c>
      <c r="C702" s="1" t="n">
        <v>46176</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19110-2025</t>
        </is>
      </c>
      <c r="B703" s="1" t="n">
        <v>45768.49947916667</v>
      </c>
      <c r="C703" s="1" t="n">
        <v>46176</v>
      </c>
      <c r="D703" t="inlineStr">
        <is>
          <t>ÖREBRO LÄN</t>
        </is>
      </c>
      <c r="E703" t="inlineStr">
        <is>
          <t>LINDESBERG</t>
        </is>
      </c>
      <c r="G703" t="n">
        <v>2.6</v>
      </c>
      <c r="H703" t="n">
        <v>0</v>
      </c>
      <c r="I703" t="n">
        <v>0</v>
      </c>
      <c r="J703" t="n">
        <v>0</v>
      </c>
      <c r="K703" t="n">
        <v>0</v>
      </c>
      <c r="L703" t="n">
        <v>0</v>
      </c>
      <c r="M703" t="n">
        <v>0</v>
      </c>
      <c r="N703" t="n">
        <v>0</v>
      </c>
      <c r="O703" t="n">
        <v>0</v>
      </c>
      <c r="P703" t="n">
        <v>0</v>
      </c>
      <c r="Q703" t="n">
        <v>0</v>
      </c>
      <c r="R703" s="2" t="inlineStr"/>
    </row>
    <row r="704" ht="15" customHeight="1">
      <c r="A704" t="inlineStr">
        <is>
          <t>A 46678-2023</t>
        </is>
      </c>
      <c r="B704" s="1" t="n">
        <v>45194</v>
      </c>
      <c r="C704" s="1" t="n">
        <v>46176</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23579-2022</t>
        </is>
      </c>
      <c r="B705" s="1" t="n">
        <v>44721.52627314815</v>
      </c>
      <c r="C705" s="1" t="n">
        <v>46176</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53054-2022</t>
        </is>
      </c>
      <c r="B706" s="1" t="n">
        <v>44876.35706018518</v>
      </c>
      <c r="C706" s="1" t="n">
        <v>46176</v>
      </c>
      <c r="D706" t="inlineStr">
        <is>
          <t>ÖREBRO LÄN</t>
        </is>
      </c>
      <c r="E706" t="inlineStr">
        <is>
          <t>LINDESBERG</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20467-2023</t>
        </is>
      </c>
      <c r="B707" s="1" t="n">
        <v>45057</v>
      </c>
      <c r="C707" s="1" t="n">
        <v>46176</v>
      </c>
      <c r="D707" t="inlineStr">
        <is>
          <t>ÖREBRO LÄN</t>
        </is>
      </c>
      <c r="E707" t="inlineStr">
        <is>
          <t>LINDESBERG</t>
        </is>
      </c>
      <c r="G707" t="n">
        <v>2.1</v>
      </c>
      <c r="H707" t="n">
        <v>0</v>
      </c>
      <c r="I707" t="n">
        <v>0</v>
      </c>
      <c r="J707" t="n">
        <v>0</v>
      </c>
      <c r="K707" t="n">
        <v>0</v>
      </c>
      <c r="L707" t="n">
        <v>0</v>
      </c>
      <c r="M707" t="n">
        <v>0</v>
      </c>
      <c r="N707" t="n">
        <v>0</v>
      </c>
      <c r="O707" t="n">
        <v>0</v>
      </c>
      <c r="P707" t="n">
        <v>0</v>
      </c>
      <c r="Q707" t="n">
        <v>0</v>
      </c>
      <c r="R707" s="2" t="inlineStr"/>
    </row>
    <row r="708" ht="15" customHeight="1">
      <c r="A708" t="inlineStr">
        <is>
          <t>A 35140-2023</t>
        </is>
      </c>
      <c r="B708" s="1" t="n">
        <v>45145</v>
      </c>
      <c r="C708" s="1" t="n">
        <v>46176</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610-2026</t>
        </is>
      </c>
      <c r="B709" s="1" t="n">
        <v>46029</v>
      </c>
      <c r="C709" s="1" t="n">
        <v>46176</v>
      </c>
      <c r="D709" t="inlineStr">
        <is>
          <t>ÖREBRO LÄN</t>
        </is>
      </c>
      <c r="E709" t="inlineStr">
        <is>
          <t>LINDESBERG</t>
        </is>
      </c>
      <c r="G709" t="n">
        <v>0.8</v>
      </c>
      <c r="H709" t="n">
        <v>0</v>
      </c>
      <c r="I709" t="n">
        <v>0</v>
      </c>
      <c r="J709" t="n">
        <v>0</v>
      </c>
      <c r="K709" t="n">
        <v>0</v>
      </c>
      <c r="L709" t="n">
        <v>0</v>
      </c>
      <c r="M709" t="n">
        <v>0</v>
      </c>
      <c r="N709" t="n">
        <v>0</v>
      </c>
      <c r="O709" t="n">
        <v>0</v>
      </c>
      <c r="P709" t="n">
        <v>0</v>
      </c>
      <c r="Q709" t="n">
        <v>0</v>
      </c>
      <c r="R709" s="2" t="inlineStr"/>
    </row>
    <row r="710" ht="15" customHeight="1">
      <c r="A710" t="inlineStr">
        <is>
          <t>A 38762-2021</t>
        </is>
      </c>
      <c r="B710" s="1" t="n">
        <v>44410.61837962963</v>
      </c>
      <c r="C710" s="1" t="n">
        <v>46176</v>
      </c>
      <c r="D710" t="inlineStr">
        <is>
          <t>ÖREBRO LÄN</t>
        </is>
      </c>
      <c r="E710" t="inlineStr">
        <is>
          <t>LINDESBERG</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39419-2023</t>
        </is>
      </c>
      <c r="B711" s="1" t="n">
        <v>45166.68493055556</v>
      </c>
      <c r="C711" s="1" t="n">
        <v>46176</v>
      </c>
      <c r="D711" t="inlineStr">
        <is>
          <t>ÖREBRO LÄN</t>
        </is>
      </c>
      <c r="E711" t="inlineStr">
        <is>
          <t>LINDESBERG</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911-2026</t>
        </is>
      </c>
      <c r="B712" s="1" t="n">
        <v>46030.47725694445</v>
      </c>
      <c r="C712" s="1" t="n">
        <v>46176</v>
      </c>
      <c r="D712" t="inlineStr">
        <is>
          <t>ÖREBRO LÄN</t>
        </is>
      </c>
      <c r="E712" t="inlineStr">
        <is>
          <t>LINDESBERG</t>
        </is>
      </c>
      <c r="G712" t="n">
        <v>1.6</v>
      </c>
      <c r="H712" t="n">
        <v>0</v>
      </c>
      <c r="I712" t="n">
        <v>0</v>
      </c>
      <c r="J712" t="n">
        <v>0</v>
      </c>
      <c r="K712" t="n">
        <v>0</v>
      </c>
      <c r="L712" t="n">
        <v>0</v>
      </c>
      <c r="M712" t="n">
        <v>0</v>
      </c>
      <c r="N712" t="n">
        <v>0</v>
      </c>
      <c r="O712" t="n">
        <v>0</v>
      </c>
      <c r="P712" t="n">
        <v>0</v>
      </c>
      <c r="Q712" t="n">
        <v>0</v>
      </c>
      <c r="R712" s="2" t="inlineStr"/>
    </row>
    <row r="713" ht="15" customHeight="1">
      <c r="A713" t="inlineStr">
        <is>
          <t>A 1160-2026</t>
        </is>
      </c>
      <c r="B713" s="1" t="n">
        <v>46031</v>
      </c>
      <c r="C713" s="1" t="n">
        <v>46176</v>
      </c>
      <c r="D713" t="inlineStr">
        <is>
          <t>ÖREBRO LÄN</t>
        </is>
      </c>
      <c r="E713" t="inlineStr">
        <is>
          <t>LINDESBERG</t>
        </is>
      </c>
      <c r="G713" t="n">
        <v>12.2</v>
      </c>
      <c r="H713" t="n">
        <v>0</v>
      </c>
      <c r="I713" t="n">
        <v>0</v>
      </c>
      <c r="J713" t="n">
        <v>0</v>
      </c>
      <c r="K713" t="n">
        <v>0</v>
      </c>
      <c r="L713" t="n">
        <v>0</v>
      </c>
      <c r="M713" t="n">
        <v>0</v>
      </c>
      <c r="N713" t="n">
        <v>0</v>
      </c>
      <c r="O713" t="n">
        <v>0</v>
      </c>
      <c r="P713" t="n">
        <v>0</v>
      </c>
      <c r="Q713" t="n">
        <v>0</v>
      </c>
      <c r="R713" s="2" t="inlineStr"/>
    </row>
    <row r="714" ht="15" customHeight="1">
      <c r="A714" t="inlineStr">
        <is>
          <t>A 6470-2024</t>
        </is>
      </c>
      <c r="B714" s="1" t="n">
        <v>45338</v>
      </c>
      <c r="C714" s="1" t="n">
        <v>46176</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58697-2024</t>
        </is>
      </c>
      <c r="B715" s="1" t="n">
        <v>45635.63706018519</v>
      </c>
      <c r="C715" s="1" t="n">
        <v>46176</v>
      </c>
      <c r="D715" t="inlineStr">
        <is>
          <t>ÖREBRO LÄN</t>
        </is>
      </c>
      <c r="E715" t="inlineStr">
        <is>
          <t>LINDESBERG</t>
        </is>
      </c>
      <c r="G715" t="n">
        <v>25.1</v>
      </c>
      <c r="H715" t="n">
        <v>0</v>
      </c>
      <c r="I715" t="n">
        <v>0</v>
      </c>
      <c r="J715" t="n">
        <v>0</v>
      </c>
      <c r="K715" t="n">
        <v>0</v>
      </c>
      <c r="L715" t="n">
        <v>0</v>
      </c>
      <c r="M715" t="n">
        <v>0</v>
      </c>
      <c r="N715" t="n">
        <v>0</v>
      </c>
      <c r="O715" t="n">
        <v>0</v>
      </c>
      <c r="P715" t="n">
        <v>0</v>
      </c>
      <c r="Q715" t="n">
        <v>0</v>
      </c>
      <c r="R715" s="2" t="inlineStr"/>
    </row>
    <row r="716" ht="15" customHeight="1">
      <c r="A716" t="inlineStr">
        <is>
          <t>A 45978-2021</t>
        </is>
      </c>
      <c r="B716" s="1" t="n">
        <v>44441.70047453704</v>
      </c>
      <c r="C716" s="1" t="n">
        <v>46176</v>
      </c>
      <c r="D716" t="inlineStr">
        <is>
          <t>ÖREBRO LÄN</t>
        </is>
      </c>
      <c r="E716" t="inlineStr">
        <is>
          <t>LINDESBERG</t>
        </is>
      </c>
      <c r="G716" t="n">
        <v>4.4</v>
      </c>
      <c r="H716" t="n">
        <v>0</v>
      </c>
      <c r="I716" t="n">
        <v>0</v>
      </c>
      <c r="J716" t="n">
        <v>0</v>
      </c>
      <c r="K716" t="n">
        <v>0</v>
      </c>
      <c r="L716" t="n">
        <v>0</v>
      </c>
      <c r="M716" t="n">
        <v>0</v>
      </c>
      <c r="N716" t="n">
        <v>0</v>
      </c>
      <c r="O716" t="n">
        <v>0</v>
      </c>
      <c r="P716" t="n">
        <v>0</v>
      </c>
      <c r="Q716" t="n">
        <v>0</v>
      </c>
      <c r="R716" s="2" t="inlineStr"/>
    </row>
    <row r="717" ht="15" customHeight="1">
      <c r="A717" t="inlineStr">
        <is>
          <t>A 878-2026</t>
        </is>
      </c>
      <c r="B717" s="1" t="n">
        <v>46030.44277777777</v>
      </c>
      <c r="C717" s="1" t="n">
        <v>46176</v>
      </c>
      <c r="D717" t="inlineStr">
        <is>
          <t>ÖREBRO LÄN</t>
        </is>
      </c>
      <c r="E717" t="inlineStr">
        <is>
          <t>LINDESBERG</t>
        </is>
      </c>
      <c r="G717" t="n">
        <v>2.2</v>
      </c>
      <c r="H717" t="n">
        <v>0</v>
      </c>
      <c r="I717" t="n">
        <v>0</v>
      </c>
      <c r="J717" t="n">
        <v>0</v>
      </c>
      <c r="K717" t="n">
        <v>0</v>
      </c>
      <c r="L717" t="n">
        <v>0</v>
      </c>
      <c r="M717" t="n">
        <v>0</v>
      </c>
      <c r="N717" t="n">
        <v>0</v>
      </c>
      <c r="O717" t="n">
        <v>0</v>
      </c>
      <c r="P717" t="n">
        <v>0</v>
      </c>
      <c r="Q717" t="n">
        <v>0</v>
      </c>
      <c r="R717" s="2" t="inlineStr"/>
    </row>
    <row r="718" ht="15" customHeight="1">
      <c r="A718" t="inlineStr">
        <is>
          <t>A 2556-2026</t>
        </is>
      </c>
      <c r="B718" s="1" t="n">
        <v>46035</v>
      </c>
      <c r="C718" s="1" t="n">
        <v>46176</v>
      </c>
      <c r="D718" t="inlineStr">
        <is>
          <t>ÖREBRO LÄN</t>
        </is>
      </c>
      <c r="E718" t="inlineStr">
        <is>
          <t>LINDESBERG</t>
        </is>
      </c>
      <c r="G718" t="n">
        <v>3.4</v>
      </c>
      <c r="H718" t="n">
        <v>0</v>
      </c>
      <c r="I718" t="n">
        <v>0</v>
      </c>
      <c r="J718" t="n">
        <v>0</v>
      </c>
      <c r="K718" t="n">
        <v>0</v>
      </c>
      <c r="L718" t="n">
        <v>0</v>
      </c>
      <c r="M718" t="n">
        <v>0</v>
      </c>
      <c r="N718" t="n">
        <v>0</v>
      </c>
      <c r="O718" t="n">
        <v>0</v>
      </c>
      <c r="P718" t="n">
        <v>0</v>
      </c>
      <c r="Q718" t="n">
        <v>0</v>
      </c>
      <c r="R718" s="2" t="inlineStr"/>
    </row>
    <row r="719" ht="15" customHeight="1">
      <c r="A719" t="inlineStr">
        <is>
          <t>A 11218-2025</t>
        </is>
      </c>
      <c r="B719" s="1" t="n">
        <v>45726.33763888889</v>
      </c>
      <c r="C719" s="1" t="n">
        <v>46176</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11220-2025</t>
        </is>
      </c>
      <c r="B720" s="1" t="n">
        <v>45726.34090277777</v>
      </c>
      <c r="C720" s="1" t="n">
        <v>46176</v>
      </c>
      <c r="D720" t="inlineStr">
        <is>
          <t>ÖREBRO LÄN</t>
        </is>
      </c>
      <c r="E720" t="inlineStr">
        <is>
          <t>LINDESBERG</t>
        </is>
      </c>
      <c r="G720" t="n">
        <v>1</v>
      </c>
      <c r="H720" t="n">
        <v>0</v>
      </c>
      <c r="I720" t="n">
        <v>0</v>
      </c>
      <c r="J720" t="n">
        <v>0</v>
      </c>
      <c r="K720" t="n">
        <v>0</v>
      </c>
      <c r="L720" t="n">
        <v>0</v>
      </c>
      <c r="M720" t="n">
        <v>0</v>
      </c>
      <c r="N720" t="n">
        <v>0</v>
      </c>
      <c r="O720" t="n">
        <v>0</v>
      </c>
      <c r="P720" t="n">
        <v>0</v>
      </c>
      <c r="Q720" t="n">
        <v>0</v>
      </c>
      <c r="R720" s="2" t="inlineStr"/>
    </row>
    <row r="721" ht="15" customHeight="1">
      <c r="A721" t="inlineStr">
        <is>
          <t>A 37616-2023</t>
        </is>
      </c>
      <c r="B721" s="1" t="n">
        <v>45159.44525462963</v>
      </c>
      <c r="C721" s="1" t="n">
        <v>46176</v>
      </c>
      <c r="D721" t="inlineStr">
        <is>
          <t>ÖREBRO LÄN</t>
        </is>
      </c>
      <c r="E721" t="inlineStr">
        <is>
          <t>LINDESBERG</t>
        </is>
      </c>
      <c r="G721" t="n">
        <v>5.3</v>
      </c>
      <c r="H721" t="n">
        <v>0</v>
      </c>
      <c r="I721" t="n">
        <v>0</v>
      </c>
      <c r="J721" t="n">
        <v>0</v>
      </c>
      <c r="K721" t="n">
        <v>0</v>
      </c>
      <c r="L721" t="n">
        <v>0</v>
      </c>
      <c r="M721" t="n">
        <v>0</v>
      </c>
      <c r="N721" t="n">
        <v>0</v>
      </c>
      <c r="O721" t="n">
        <v>0</v>
      </c>
      <c r="P721" t="n">
        <v>0</v>
      </c>
      <c r="Q721" t="n">
        <v>0</v>
      </c>
      <c r="R721" s="2" t="inlineStr"/>
    </row>
    <row r="722" ht="15" customHeight="1">
      <c r="A722" t="inlineStr">
        <is>
          <t>A 1749-2026</t>
        </is>
      </c>
      <c r="B722" s="1" t="n">
        <v>46034.65601851852</v>
      </c>
      <c r="C722" s="1" t="n">
        <v>46176</v>
      </c>
      <c r="D722" t="inlineStr">
        <is>
          <t>ÖREBRO LÄN</t>
        </is>
      </c>
      <c r="E722" t="inlineStr">
        <is>
          <t>LINDESBERG</t>
        </is>
      </c>
      <c r="G722" t="n">
        <v>2.2</v>
      </c>
      <c r="H722" t="n">
        <v>0</v>
      </c>
      <c r="I722" t="n">
        <v>0</v>
      </c>
      <c r="J722" t="n">
        <v>0</v>
      </c>
      <c r="K722" t="n">
        <v>0</v>
      </c>
      <c r="L722" t="n">
        <v>0</v>
      </c>
      <c r="M722" t="n">
        <v>0</v>
      </c>
      <c r="N722" t="n">
        <v>0</v>
      </c>
      <c r="O722" t="n">
        <v>0</v>
      </c>
      <c r="P722" t="n">
        <v>0</v>
      </c>
      <c r="Q722" t="n">
        <v>0</v>
      </c>
      <c r="R722" s="2" t="inlineStr"/>
    </row>
    <row r="723" ht="15" customHeight="1">
      <c r="A723" t="inlineStr">
        <is>
          <t>A 28562-2023</t>
        </is>
      </c>
      <c r="B723" s="1" t="n">
        <v>45103.53614583334</v>
      </c>
      <c r="C723" s="1" t="n">
        <v>46176</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21016-2023</t>
        </is>
      </c>
      <c r="B724" s="1" t="n">
        <v>45061.53414351852</v>
      </c>
      <c r="C724" s="1" t="n">
        <v>46176</v>
      </c>
      <c r="D724" t="inlineStr">
        <is>
          <t>ÖREBRO LÄN</t>
        </is>
      </c>
      <c r="E724" t="inlineStr">
        <is>
          <t>LINDESBERG</t>
        </is>
      </c>
      <c r="G724" t="n">
        <v>8.1</v>
      </c>
      <c r="H724" t="n">
        <v>0</v>
      </c>
      <c r="I724" t="n">
        <v>0</v>
      </c>
      <c r="J724" t="n">
        <v>0</v>
      </c>
      <c r="K724" t="n">
        <v>0</v>
      </c>
      <c r="L724" t="n">
        <v>0</v>
      </c>
      <c r="M724" t="n">
        <v>0</v>
      </c>
      <c r="N724" t="n">
        <v>0</v>
      </c>
      <c r="O724" t="n">
        <v>0</v>
      </c>
      <c r="P724" t="n">
        <v>0</v>
      </c>
      <c r="Q724" t="n">
        <v>0</v>
      </c>
      <c r="R724" s="2" t="inlineStr"/>
    </row>
    <row r="725" ht="15" customHeight="1">
      <c r="A725" t="inlineStr">
        <is>
          <t>A 64084-2023</t>
        </is>
      </c>
      <c r="B725" s="1" t="n">
        <v>45279</v>
      </c>
      <c r="C725" s="1" t="n">
        <v>46176</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33886-2024</t>
        </is>
      </c>
      <c r="B726" s="1" t="n">
        <v>45523.31621527778</v>
      </c>
      <c r="C726" s="1" t="n">
        <v>46176</v>
      </c>
      <c r="D726" t="inlineStr">
        <is>
          <t>ÖREBRO LÄN</t>
        </is>
      </c>
      <c r="E726" t="inlineStr">
        <is>
          <t>LINDESBERG</t>
        </is>
      </c>
      <c r="G726" t="n">
        <v>1.3</v>
      </c>
      <c r="H726" t="n">
        <v>0</v>
      </c>
      <c r="I726" t="n">
        <v>0</v>
      </c>
      <c r="J726" t="n">
        <v>0</v>
      </c>
      <c r="K726" t="n">
        <v>0</v>
      </c>
      <c r="L726" t="n">
        <v>0</v>
      </c>
      <c r="M726" t="n">
        <v>0</v>
      </c>
      <c r="N726" t="n">
        <v>0</v>
      </c>
      <c r="O726" t="n">
        <v>0</v>
      </c>
      <c r="P726" t="n">
        <v>0</v>
      </c>
      <c r="Q726" t="n">
        <v>0</v>
      </c>
      <c r="R726" s="2" t="inlineStr"/>
    </row>
    <row r="727" ht="15" customHeight="1">
      <c r="A727" t="inlineStr">
        <is>
          <t>A 43046-2022</t>
        </is>
      </c>
      <c r="B727" s="1" t="n">
        <v>44833</v>
      </c>
      <c r="C727" s="1" t="n">
        <v>46176</v>
      </c>
      <c r="D727" t="inlineStr">
        <is>
          <t>ÖREBRO LÄN</t>
        </is>
      </c>
      <c r="E727" t="inlineStr">
        <is>
          <t>LINDESBERG</t>
        </is>
      </c>
      <c r="G727" t="n">
        <v>0.9</v>
      </c>
      <c r="H727" t="n">
        <v>0</v>
      </c>
      <c r="I727" t="n">
        <v>0</v>
      </c>
      <c r="J727" t="n">
        <v>0</v>
      </c>
      <c r="K727" t="n">
        <v>0</v>
      </c>
      <c r="L727" t="n">
        <v>0</v>
      </c>
      <c r="M727" t="n">
        <v>0</v>
      </c>
      <c r="N727" t="n">
        <v>0</v>
      </c>
      <c r="O727" t="n">
        <v>0</v>
      </c>
      <c r="P727" t="n">
        <v>0</v>
      </c>
      <c r="Q727" t="n">
        <v>0</v>
      </c>
      <c r="R727" s="2" t="inlineStr"/>
    </row>
    <row r="728" ht="15" customHeight="1">
      <c r="A728" t="inlineStr">
        <is>
          <t>A 2704-2026</t>
        </is>
      </c>
      <c r="B728" s="1" t="n">
        <v>46037.69133101852</v>
      </c>
      <c r="C728" s="1" t="n">
        <v>46176</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3227-2026</t>
        </is>
      </c>
      <c r="B729" s="1" t="n">
        <v>46041.54181712963</v>
      </c>
      <c r="C729" s="1" t="n">
        <v>46176</v>
      </c>
      <c r="D729" t="inlineStr">
        <is>
          <t>ÖREBRO LÄN</t>
        </is>
      </c>
      <c r="E729" t="inlineStr">
        <is>
          <t>LINDESBERG</t>
        </is>
      </c>
      <c r="G729" t="n">
        <v>4.4</v>
      </c>
      <c r="H729" t="n">
        <v>0</v>
      </c>
      <c r="I729" t="n">
        <v>0</v>
      </c>
      <c r="J729" t="n">
        <v>0</v>
      </c>
      <c r="K729" t="n">
        <v>0</v>
      </c>
      <c r="L729" t="n">
        <v>0</v>
      </c>
      <c r="M729" t="n">
        <v>0</v>
      </c>
      <c r="N729" t="n">
        <v>0</v>
      </c>
      <c r="O729" t="n">
        <v>0</v>
      </c>
      <c r="P729" t="n">
        <v>0</v>
      </c>
      <c r="Q729" t="n">
        <v>0</v>
      </c>
      <c r="R729" s="2" t="inlineStr"/>
    </row>
    <row r="730" ht="15" customHeight="1">
      <c r="A730" t="inlineStr">
        <is>
          <t>A 62866-2023</t>
        </is>
      </c>
      <c r="B730" s="1" t="n">
        <v>45272.36168981482</v>
      </c>
      <c r="C730" s="1" t="n">
        <v>46176</v>
      </c>
      <c r="D730" t="inlineStr">
        <is>
          <t>ÖREBRO LÄN</t>
        </is>
      </c>
      <c r="E730" t="inlineStr">
        <is>
          <t>LINDESBERG</t>
        </is>
      </c>
      <c r="G730" t="n">
        <v>14.5</v>
      </c>
      <c r="H730" t="n">
        <v>0</v>
      </c>
      <c r="I730" t="n">
        <v>0</v>
      </c>
      <c r="J730" t="n">
        <v>0</v>
      </c>
      <c r="K730" t="n">
        <v>0</v>
      </c>
      <c r="L730" t="n">
        <v>0</v>
      </c>
      <c r="M730" t="n">
        <v>0</v>
      </c>
      <c r="N730" t="n">
        <v>0</v>
      </c>
      <c r="O730" t="n">
        <v>0</v>
      </c>
      <c r="P730" t="n">
        <v>0</v>
      </c>
      <c r="Q730" t="n">
        <v>0</v>
      </c>
      <c r="R730" s="2" t="inlineStr"/>
    </row>
    <row r="731" ht="15" customHeight="1">
      <c r="A731" t="inlineStr">
        <is>
          <t>A 6-2023</t>
        </is>
      </c>
      <c r="B731" s="1" t="n">
        <v>44927.72487268518</v>
      </c>
      <c r="C731" s="1" t="n">
        <v>46176</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13729-2025</t>
        </is>
      </c>
      <c r="B732" s="1" t="n">
        <v>45737.3846412037</v>
      </c>
      <c r="C732" s="1" t="n">
        <v>46176</v>
      </c>
      <c r="D732" t="inlineStr">
        <is>
          <t>ÖREBRO LÄN</t>
        </is>
      </c>
      <c r="E732" t="inlineStr">
        <is>
          <t>LINDESBERG</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41353-2024</t>
        </is>
      </c>
      <c r="B733" s="1" t="n">
        <v>45559</v>
      </c>
      <c r="C733" s="1" t="n">
        <v>46176</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3315-2026</t>
        </is>
      </c>
      <c r="B734" s="1" t="n">
        <v>46041.68443287037</v>
      </c>
      <c r="C734" s="1" t="n">
        <v>46176</v>
      </c>
      <c r="D734" t="inlineStr">
        <is>
          <t>ÖREBRO LÄN</t>
        </is>
      </c>
      <c r="E734" t="inlineStr">
        <is>
          <t>LINDESBERG</t>
        </is>
      </c>
      <c r="G734" t="n">
        <v>7.6</v>
      </c>
      <c r="H734" t="n">
        <v>0</v>
      </c>
      <c r="I734" t="n">
        <v>0</v>
      </c>
      <c r="J734" t="n">
        <v>0</v>
      </c>
      <c r="K734" t="n">
        <v>0</v>
      </c>
      <c r="L734" t="n">
        <v>0</v>
      </c>
      <c r="M734" t="n">
        <v>0</v>
      </c>
      <c r="N734" t="n">
        <v>0</v>
      </c>
      <c r="O734" t="n">
        <v>0</v>
      </c>
      <c r="P734" t="n">
        <v>0</v>
      </c>
      <c r="Q734" t="n">
        <v>0</v>
      </c>
      <c r="R734" s="2" t="inlineStr"/>
    </row>
    <row r="735" ht="15" customHeight="1">
      <c r="A735" t="inlineStr">
        <is>
          <t>A 2969-2026</t>
        </is>
      </c>
      <c r="B735" s="1" t="n">
        <v>46038.61912037037</v>
      </c>
      <c r="C735" s="1" t="n">
        <v>46176</v>
      </c>
      <c r="D735" t="inlineStr">
        <is>
          <t>ÖREBRO LÄN</t>
        </is>
      </c>
      <c r="E735" t="inlineStr">
        <is>
          <t>LINDESBERG</t>
        </is>
      </c>
      <c r="G735" t="n">
        <v>2.6</v>
      </c>
      <c r="H735" t="n">
        <v>0</v>
      </c>
      <c r="I735" t="n">
        <v>0</v>
      </c>
      <c r="J735" t="n">
        <v>0</v>
      </c>
      <c r="K735" t="n">
        <v>0</v>
      </c>
      <c r="L735" t="n">
        <v>0</v>
      </c>
      <c r="M735" t="n">
        <v>0</v>
      </c>
      <c r="N735" t="n">
        <v>0</v>
      </c>
      <c r="O735" t="n">
        <v>0</v>
      </c>
      <c r="P735" t="n">
        <v>0</v>
      </c>
      <c r="Q735" t="n">
        <v>0</v>
      </c>
      <c r="R735" s="2" t="inlineStr"/>
    </row>
    <row r="736" ht="15" customHeight="1">
      <c r="A736" t="inlineStr">
        <is>
          <t>A 2902-2026</t>
        </is>
      </c>
      <c r="B736" s="1" t="n">
        <v>46038.55849537037</v>
      </c>
      <c r="C736" s="1" t="n">
        <v>46176</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63508-2023</t>
        </is>
      </c>
      <c r="B737" s="1" t="n">
        <v>45274</v>
      </c>
      <c r="C737" s="1" t="n">
        <v>46176</v>
      </c>
      <c r="D737" t="inlineStr">
        <is>
          <t>ÖREBRO LÄN</t>
        </is>
      </c>
      <c r="E737" t="inlineStr">
        <is>
          <t>LINDESBERG</t>
        </is>
      </c>
      <c r="G737" t="n">
        <v>1.4</v>
      </c>
      <c r="H737" t="n">
        <v>0</v>
      </c>
      <c r="I737" t="n">
        <v>0</v>
      </c>
      <c r="J737" t="n">
        <v>0</v>
      </c>
      <c r="K737" t="n">
        <v>0</v>
      </c>
      <c r="L737" t="n">
        <v>0</v>
      </c>
      <c r="M737" t="n">
        <v>0</v>
      </c>
      <c r="N737" t="n">
        <v>0</v>
      </c>
      <c r="O737" t="n">
        <v>0</v>
      </c>
      <c r="P737" t="n">
        <v>0</v>
      </c>
      <c r="Q737" t="n">
        <v>0</v>
      </c>
      <c r="R737" s="2" t="inlineStr"/>
    </row>
    <row r="738" ht="15" customHeight="1">
      <c r="A738" t="inlineStr">
        <is>
          <t>A 2929-2026</t>
        </is>
      </c>
      <c r="B738" s="1" t="n">
        <v>46038.58241898148</v>
      </c>
      <c r="C738" s="1" t="n">
        <v>46176</v>
      </c>
      <c r="D738" t="inlineStr">
        <is>
          <t>ÖREBRO LÄN</t>
        </is>
      </c>
      <c r="E738" t="inlineStr">
        <is>
          <t>LINDESBERG</t>
        </is>
      </c>
      <c r="G738" t="n">
        <v>1.8</v>
      </c>
      <c r="H738" t="n">
        <v>0</v>
      </c>
      <c r="I738" t="n">
        <v>0</v>
      </c>
      <c r="J738" t="n">
        <v>0</v>
      </c>
      <c r="K738" t="n">
        <v>0</v>
      </c>
      <c r="L738" t="n">
        <v>0</v>
      </c>
      <c r="M738" t="n">
        <v>0</v>
      </c>
      <c r="N738" t="n">
        <v>0</v>
      </c>
      <c r="O738" t="n">
        <v>0</v>
      </c>
      <c r="P738" t="n">
        <v>0</v>
      </c>
      <c r="Q738" t="n">
        <v>0</v>
      </c>
      <c r="R738" s="2" t="inlineStr"/>
    </row>
    <row r="739" ht="15" customHeight="1">
      <c r="A739" t="inlineStr">
        <is>
          <t>A 2949-2026</t>
        </is>
      </c>
      <c r="B739" s="1" t="n">
        <v>46038.59640046296</v>
      </c>
      <c r="C739" s="1" t="n">
        <v>46176</v>
      </c>
      <c r="D739" t="inlineStr">
        <is>
          <t>ÖREBRO LÄN</t>
        </is>
      </c>
      <c r="E739" t="inlineStr">
        <is>
          <t>LINDESBERG</t>
        </is>
      </c>
      <c r="G739" t="n">
        <v>4</v>
      </c>
      <c r="H739" t="n">
        <v>0</v>
      </c>
      <c r="I739" t="n">
        <v>0</v>
      </c>
      <c r="J739" t="n">
        <v>0</v>
      </c>
      <c r="K739" t="n">
        <v>0</v>
      </c>
      <c r="L739" t="n">
        <v>0</v>
      </c>
      <c r="M739" t="n">
        <v>0</v>
      </c>
      <c r="N739" t="n">
        <v>0</v>
      </c>
      <c r="O739" t="n">
        <v>0</v>
      </c>
      <c r="P739" t="n">
        <v>0</v>
      </c>
      <c r="Q739" t="n">
        <v>0</v>
      </c>
      <c r="R739" s="2" t="inlineStr"/>
    </row>
    <row r="740" ht="15" customHeight="1">
      <c r="A740" t="inlineStr">
        <is>
          <t>A 2859-2026</t>
        </is>
      </c>
      <c r="B740" s="1" t="n">
        <v>46038.49269675926</v>
      </c>
      <c r="C740" s="1" t="n">
        <v>46176</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2958-2026</t>
        </is>
      </c>
      <c r="B741" s="1" t="n">
        <v>46038.61067129629</v>
      </c>
      <c r="C741" s="1" t="n">
        <v>46176</v>
      </c>
      <c r="D741" t="inlineStr">
        <is>
          <t>ÖREBRO LÄN</t>
        </is>
      </c>
      <c r="E741" t="inlineStr">
        <is>
          <t>LINDESBERG</t>
        </is>
      </c>
      <c r="G741" t="n">
        <v>5.8</v>
      </c>
      <c r="H741" t="n">
        <v>0</v>
      </c>
      <c r="I741" t="n">
        <v>0</v>
      </c>
      <c r="J741" t="n">
        <v>0</v>
      </c>
      <c r="K741" t="n">
        <v>0</v>
      </c>
      <c r="L741" t="n">
        <v>0</v>
      </c>
      <c r="M741" t="n">
        <v>0</v>
      </c>
      <c r="N741" t="n">
        <v>0</v>
      </c>
      <c r="O741" t="n">
        <v>0</v>
      </c>
      <c r="P741" t="n">
        <v>0</v>
      </c>
      <c r="Q741" t="n">
        <v>0</v>
      </c>
      <c r="R741" s="2" t="inlineStr"/>
    </row>
    <row r="742" ht="15" customHeight="1">
      <c r="A742" t="inlineStr">
        <is>
          <t>A 3660-2026</t>
        </is>
      </c>
      <c r="B742" s="1" t="n">
        <v>46043.38744212963</v>
      </c>
      <c r="C742" s="1" t="n">
        <v>46176</v>
      </c>
      <c r="D742" t="inlineStr">
        <is>
          <t>ÖREBRO LÄN</t>
        </is>
      </c>
      <c r="E742" t="inlineStr">
        <is>
          <t>LINDESBERG</t>
        </is>
      </c>
      <c r="G742" t="n">
        <v>3.4</v>
      </c>
      <c r="H742" t="n">
        <v>0</v>
      </c>
      <c r="I742" t="n">
        <v>0</v>
      </c>
      <c r="J742" t="n">
        <v>0</v>
      </c>
      <c r="K742" t="n">
        <v>0</v>
      </c>
      <c r="L742" t="n">
        <v>0</v>
      </c>
      <c r="M742" t="n">
        <v>0</v>
      </c>
      <c r="N742" t="n">
        <v>0</v>
      </c>
      <c r="O742" t="n">
        <v>0</v>
      </c>
      <c r="P742" t="n">
        <v>0</v>
      </c>
      <c r="Q742" t="n">
        <v>0</v>
      </c>
      <c r="R742" s="2" t="inlineStr"/>
    </row>
    <row r="743" ht="15" customHeight="1">
      <c r="A743" t="inlineStr">
        <is>
          <t>A 36136-2023</t>
        </is>
      </c>
      <c r="B743" s="1" t="n">
        <v>45149</v>
      </c>
      <c r="C743" s="1" t="n">
        <v>46176</v>
      </c>
      <c r="D743" t="inlineStr">
        <is>
          <t>ÖREBRO LÄN</t>
        </is>
      </c>
      <c r="E743" t="inlineStr">
        <is>
          <t>LINDESBERG</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3659-2026</t>
        </is>
      </c>
      <c r="B744" s="1" t="n">
        <v>46043</v>
      </c>
      <c r="C744" s="1" t="n">
        <v>46176</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34025-2024</t>
        </is>
      </c>
      <c r="B745" s="1" t="n">
        <v>45523.58565972222</v>
      </c>
      <c r="C745" s="1" t="n">
        <v>46176</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19077-2025</t>
        </is>
      </c>
      <c r="B746" s="1" t="n">
        <v>45766.33309027777</v>
      </c>
      <c r="C746" s="1" t="n">
        <v>46176</v>
      </c>
      <c r="D746" t="inlineStr">
        <is>
          <t>ÖREBRO LÄN</t>
        </is>
      </c>
      <c r="E746" t="inlineStr">
        <is>
          <t>LINDESBERG</t>
        </is>
      </c>
      <c r="G746" t="n">
        <v>0</v>
      </c>
      <c r="H746" t="n">
        <v>0</v>
      </c>
      <c r="I746" t="n">
        <v>0</v>
      </c>
      <c r="J746" t="n">
        <v>0</v>
      </c>
      <c r="K746" t="n">
        <v>0</v>
      </c>
      <c r="L746" t="n">
        <v>0</v>
      </c>
      <c r="M746" t="n">
        <v>0</v>
      </c>
      <c r="N746" t="n">
        <v>0</v>
      </c>
      <c r="O746" t="n">
        <v>0</v>
      </c>
      <c r="P746" t="n">
        <v>0</v>
      </c>
      <c r="Q746" t="n">
        <v>0</v>
      </c>
      <c r="R746" s="2" t="inlineStr"/>
    </row>
    <row r="747" ht="15" customHeight="1">
      <c r="A747" t="inlineStr">
        <is>
          <t>A 13884-2023</t>
        </is>
      </c>
      <c r="B747" s="1" t="n">
        <v>45007</v>
      </c>
      <c r="C747" s="1" t="n">
        <v>46176</v>
      </c>
      <c r="D747" t="inlineStr">
        <is>
          <t>ÖREBRO LÄN</t>
        </is>
      </c>
      <c r="E747" t="inlineStr">
        <is>
          <t>LINDESBERG</t>
        </is>
      </c>
      <c r="F747" t="inlineStr">
        <is>
          <t>Kommuner</t>
        </is>
      </c>
      <c r="G747" t="n">
        <v>7.7</v>
      </c>
      <c r="H747" t="n">
        <v>0</v>
      </c>
      <c r="I747" t="n">
        <v>0</v>
      </c>
      <c r="J747" t="n">
        <v>0</v>
      </c>
      <c r="K747" t="n">
        <v>0</v>
      </c>
      <c r="L747" t="n">
        <v>0</v>
      </c>
      <c r="M747" t="n">
        <v>0</v>
      </c>
      <c r="N747" t="n">
        <v>0</v>
      </c>
      <c r="O747" t="n">
        <v>0</v>
      </c>
      <c r="P747" t="n">
        <v>0</v>
      </c>
      <c r="Q747" t="n">
        <v>0</v>
      </c>
      <c r="R747" s="2" t="inlineStr"/>
    </row>
    <row r="748" ht="15" customHeight="1">
      <c r="A748" t="inlineStr">
        <is>
          <t>A 50275-2024</t>
        </is>
      </c>
      <c r="B748" s="1" t="n">
        <v>45600.60071759259</v>
      </c>
      <c r="C748" s="1" t="n">
        <v>46176</v>
      </c>
      <c r="D748" t="inlineStr">
        <is>
          <t>ÖREBRO LÄN</t>
        </is>
      </c>
      <c r="E748" t="inlineStr">
        <is>
          <t>LINDESBERG</t>
        </is>
      </c>
      <c r="G748" t="n">
        <v>4.3</v>
      </c>
      <c r="H748" t="n">
        <v>0</v>
      </c>
      <c r="I748" t="n">
        <v>0</v>
      </c>
      <c r="J748" t="n">
        <v>0</v>
      </c>
      <c r="K748" t="n">
        <v>0</v>
      </c>
      <c r="L748" t="n">
        <v>0</v>
      </c>
      <c r="M748" t="n">
        <v>0</v>
      </c>
      <c r="N748" t="n">
        <v>0</v>
      </c>
      <c r="O748" t="n">
        <v>0</v>
      </c>
      <c r="P748" t="n">
        <v>0</v>
      </c>
      <c r="Q748" t="n">
        <v>0</v>
      </c>
      <c r="R748" s="2" t="inlineStr"/>
    </row>
    <row r="749" ht="15" customHeight="1">
      <c r="A749" t="inlineStr">
        <is>
          <t>A 17463-2023</t>
        </is>
      </c>
      <c r="B749" s="1" t="n">
        <v>45036</v>
      </c>
      <c r="C749" s="1" t="n">
        <v>46176</v>
      </c>
      <c r="D749" t="inlineStr">
        <is>
          <t>ÖREBRO LÄN</t>
        </is>
      </c>
      <c r="E749" t="inlineStr">
        <is>
          <t>LINDESBERG</t>
        </is>
      </c>
      <c r="G749" t="n">
        <v>0.6</v>
      </c>
      <c r="H749" t="n">
        <v>0</v>
      </c>
      <c r="I749" t="n">
        <v>0</v>
      </c>
      <c r="J749" t="n">
        <v>0</v>
      </c>
      <c r="K749" t="n">
        <v>0</v>
      </c>
      <c r="L749" t="n">
        <v>0</v>
      </c>
      <c r="M749" t="n">
        <v>0</v>
      </c>
      <c r="N749" t="n">
        <v>0</v>
      </c>
      <c r="O749" t="n">
        <v>0</v>
      </c>
      <c r="P749" t="n">
        <v>0</v>
      </c>
      <c r="Q749" t="n">
        <v>0</v>
      </c>
      <c r="R749" s="2" t="inlineStr"/>
    </row>
    <row r="750" ht="15" customHeight="1">
      <c r="A750" t="inlineStr">
        <is>
          <t>A 3951-2026</t>
        </is>
      </c>
      <c r="B750" s="1" t="n">
        <v>46044</v>
      </c>
      <c r="C750" s="1" t="n">
        <v>46176</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14522-2025</t>
        </is>
      </c>
      <c r="B751" s="1" t="n">
        <v>45741.64491898148</v>
      </c>
      <c r="C751" s="1" t="n">
        <v>46176</v>
      </c>
      <c r="D751" t="inlineStr">
        <is>
          <t>ÖREBRO LÄN</t>
        </is>
      </c>
      <c r="E751" t="inlineStr">
        <is>
          <t>LINDESBERG</t>
        </is>
      </c>
      <c r="G751" t="n">
        <v>4.5</v>
      </c>
      <c r="H751" t="n">
        <v>0</v>
      </c>
      <c r="I751" t="n">
        <v>0</v>
      </c>
      <c r="J751" t="n">
        <v>0</v>
      </c>
      <c r="K751" t="n">
        <v>0</v>
      </c>
      <c r="L751" t="n">
        <v>0</v>
      </c>
      <c r="M751" t="n">
        <v>0</v>
      </c>
      <c r="N751" t="n">
        <v>0</v>
      </c>
      <c r="O751" t="n">
        <v>0</v>
      </c>
      <c r="P751" t="n">
        <v>0</v>
      </c>
      <c r="Q751" t="n">
        <v>0</v>
      </c>
      <c r="R751" s="2" t="inlineStr"/>
    </row>
    <row r="752" ht="15" customHeight="1">
      <c r="A752" t="inlineStr">
        <is>
          <t>A 36001-2021</t>
        </is>
      </c>
      <c r="B752" s="1" t="n">
        <v>44389</v>
      </c>
      <c r="C752" s="1" t="n">
        <v>46176</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33280-2024</t>
        </is>
      </c>
      <c r="B753" s="1" t="n">
        <v>45518.71048611111</v>
      </c>
      <c r="C753" s="1" t="n">
        <v>46176</v>
      </c>
      <c r="D753" t="inlineStr">
        <is>
          <t>ÖREBRO LÄN</t>
        </is>
      </c>
      <c r="E753" t="inlineStr">
        <is>
          <t>LINDESBERG</t>
        </is>
      </c>
      <c r="F753" t="inlineStr">
        <is>
          <t>Sveaskog</t>
        </is>
      </c>
      <c r="G753" t="n">
        <v>3.2</v>
      </c>
      <c r="H753" t="n">
        <v>0</v>
      </c>
      <c r="I753" t="n">
        <v>0</v>
      </c>
      <c r="J753" t="n">
        <v>0</v>
      </c>
      <c r="K753" t="n">
        <v>0</v>
      </c>
      <c r="L753" t="n">
        <v>0</v>
      </c>
      <c r="M753" t="n">
        <v>0</v>
      </c>
      <c r="N753" t="n">
        <v>0</v>
      </c>
      <c r="O753" t="n">
        <v>0</v>
      </c>
      <c r="P753" t="n">
        <v>0</v>
      </c>
      <c r="Q753" t="n">
        <v>0</v>
      </c>
      <c r="R753" s="2" t="inlineStr"/>
    </row>
    <row r="754" ht="15" customHeight="1">
      <c r="A754" t="inlineStr">
        <is>
          <t>A 33281-2024</t>
        </is>
      </c>
      <c r="B754" s="1" t="n">
        <v>45518.71202546296</v>
      </c>
      <c r="C754" s="1" t="n">
        <v>46176</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33283-2024</t>
        </is>
      </c>
      <c r="B755" s="1" t="n">
        <v>45518.71591435185</v>
      </c>
      <c r="C755" s="1" t="n">
        <v>46176</v>
      </c>
      <c r="D755" t="inlineStr">
        <is>
          <t>ÖREBRO LÄN</t>
        </is>
      </c>
      <c r="E755" t="inlineStr">
        <is>
          <t>LINDESBERG</t>
        </is>
      </c>
      <c r="G755" t="n">
        <v>3.9</v>
      </c>
      <c r="H755" t="n">
        <v>0</v>
      </c>
      <c r="I755" t="n">
        <v>0</v>
      </c>
      <c r="J755" t="n">
        <v>0</v>
      </c>
      <c r="K755" t="n">
        <v>0</v>
      </c>
      <c r="L755" t="n">
        <v>0</v>
      </c>
      <c r="M755" t="n">
        <v>0</v>
      </c>
      <c r="N755" t="n">
        <v>0</v>
      </c>
      <c r="O755" t="n">
        <v>0</v>
      </c>
      <c r="P755" t="n">
        <v>0</v>
      </c>
      <c r="Q755" t="n">
        <v>0</v>
      </c>
      <c r="R755" s="2" t="inlineStr"/>
    </row>
    <row r="756" ht="15" customHeight="1">
      <c r="A756" t="inlineStr">
        <is>
          <t>A 39140-2024</t>
        </is>
      </c>
      <c r="B756" s="1" t="n">
        <v>45548</v>
      </c>
      <c r="C756" s="1" t="n">
        <v>46176</v>
      </c>
      <c r="D756" t="inlineStr">
        <is>
          <t>ÖREBRO LÄN</t>
        </is>
      </c>
      <c r="E756" t="inlineStr">
        <is>
          <t>LINDESBERG</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5717-2026</t>
        </is>
      </c>
      <c r="B757" s="1" t="n">
        <v>46051.53689814815</v>
      </c>
      <c r="C757" s="1" t="n">
        <v>46176</v>
      </c>
      <c r="D757" t="inlineStr">
        <is>
          <t>ÖREBRO LÄN</t>
        </is>
      </c>
      <c r="E757" t="inlineStr">
        <is>
          <t>LINDESBERG</t>
        </is>
      </c>
      <c r="G757" t="n">
        <v>6</v>
      </c>
      <c r="H757" t="n">
        <v>0</v>
      </c>
      <c r="I757" t="n">
        <v>0</v>
      </c>
      <c r="J757" t="n">
        <v>0</v>
      </c>
      <c r="K757" t="n">
        <v>0</v>
      </c>
      <c r="L757" t="n">
        <v>0</v>
      </c>
      <c r="M757" t="n">
        <v>0</v>
      </c>
      <c r="N757" t="n">
        <v>0</v>
      </c>
      <c r="O757" t="n">
        <v>0</v>
      </c>
      <c r="P757" t="n">
        <v>0</v>
      </c>
      <c r="Q757" t="n">
        <v>0</v>
      </c>
      <c r="R757" s="2" t="inlineStr"/>
    </row>
    <row r="758" ht="15" customHeight="1">
      <c r="A758" t="inlineStr">
        <is>
          <t>A 5235-2026</t>
        </is>
      </c>
      <c r="B758" s="1" t="n">
        <v>46049.84017361111</v>
      </c>
      <c r="C758" s="1" t="n">
        <v>46176</v>
      </c>
      <c r="D758" t="inlineStr">
        <is>
          <t>ÖREBRO LÄN</t>
        </is>
      </c>
      <c r="E758" t="inlineStr">
        <is>
          <t>LINDESBERG</t>
        </is>
      </c>
      <c r="G758" t="n">
        <v>4.8</v>
      </c>
      <c r="H758" t="n">
        <v>0</v>
      </c>
      <c r="I758" t="n">
        <v>0</v>
      </c>
      <c r="J758" t="n">
        <v>0</v>
      </c>
      <c r="K758" t="n">
        <v>0</v>
      </c>
      <c r="L758" t="n">
        <v>0</v>
      </c>
      <c r="M758" t="n">
        <v>0</v>
      </c>
      <c r="N758" t="n">
        <v>0</v>
      </c>
      <c r="O758" t="n">
        <v>0</v>
      </c>
      <c r="P758" t="n">
        <v>0</v>
      </c>
      <c r="Q758" t="n">
        <v>0</v>
      </c>
      <c r="R758" s="2" t="inlineStr"/>
    </row>
    <row r="759" ht="15" customHeight="1">
      <c r="A759" t="inlineStr">
        <is>
          <t>A 5715-2026</t>
        </is>
      </c>
      <c r="B759" s="1" t="n">
        <v>46051.53563657407</v>
      </c>
      <c r="C759" s="1" t="n">
        <v>46176</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32928-2023</t>
        </is>
      </c>
      <c r="B760" s="1" t="n">
        <v>45125.41458333333</v>
      </c>
      <c r="C760" s="1" t="n">
        <v>46176</v>
      </c>
      <c r="D760" t="inlineStr">
        <is>
          <t>ÖREBRO LÄN</t>
        </is>
      </c>
      <c r="E760" t="inlineStr">
        <is>
          <t>LINDESBERG</t>
        </is>
      </c>
      <c r="G760" t="n">
        <v>4.8</v>
      </c>
      <c r="H760" t="n">
        <v>0</v>
      </c>
      <c r="I760" t="n">
        <v>0</v>
      </c>
      <c r="J760" t="n">
        <v>0</v>
      </c>
      <c r="K760" t="n">
        <v>0</v>
      </c>
      <c r="L760" t="n">
        <v>0</v>
      </c>
      <c r="M760" t="n">
        <v>0</v>
      </c>
      <c r="N760" t="n">
        <v>0</v>
      </c>
      <c r="O760" t="n">
        <v>0</v>
      </c>
      <c r="P760" t="n">
        <v>0</v>
      </c>
      <c r="Q760" t="n">
        <v>0</v>
      </c>
      <c r="R760" s="2" t="inlineStr"/>
    </row>
    <row r="761" ht="15" customHeight="1">
      <c r="A761" t="inlineStr">
        <is>
          <t>A 32994-2023</t>
        </is>
      </c>
      <c r="B761" s="1" t="n">
        <v>45113</v>
      </c>
      <c r="C761" s="1" t="n">
        <v>46176</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45062-2022</t>
        </is>
      </c>
      <c r="B762" s="1" t="n">
        <v>44841</v>
      </c>
      <c r="C762" s="1" t="n">
        <v>46176</v>
      </c>
      <c r="D762" t="inlineStr">
        <is>
          <t>ÖREBRO LÄN</t>
        </is>
      </c>
      <c r="E762" t="inlineStr">
        <is>
          <t>LINDESBERG</t>
        </is>
      </c>
      <c r="G762" t="n">
        <v>2</v>
      </c>
      <c r="H762" t="n">
        <v>0</v>
      </c>
      <c r="I762" t="n">
        <v>0</v>
      </c>
      <c r="J762" t="n">
        <v>0</v>
      </c>
      <c r="K762" t="n">
        <v>0</v>
      </c>
      <c r="L762" t="n">
        <v>0</v>
      </c>
      <c r="M762" t="n">
        <v>0</v>
      </c>
      <c r="N762" t="n">
        <v>0</v>
      </c>
      <c r="O762" t="n">
        <v>0</v>
      </c>
      <c r="P762" t="n">
        <v>0</v>
      </c>
      <c r="Q762" t="n">
        <v>0</v>
      </c>
      <c r="R762" s="2" t="inlineStr"/>
    </row>
    <row r="763" ht="15" customHeight="1">
      <c r="A763" t="inlineStr">
        <is>
          <t>A 5928-2026</t>
        </is>
      </c>
      <c r="B763" s="1" t="n">
        <v>46052.46519675926</v>
      </c>
      <c r="C763" s="1" t="n">
        <v>46176</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21012-2023</t>
        </is>
      </c>
      <c r="B764" s="1" t="n">
        <v>45061.52474537037</v>
      </c>
      <c r="C764" s="1" t="n">
        <v>46176</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6616-2026</t>
        </is>
      </c>
      <c r="B765" s="1" t="n">
        <v>46056.49075231481</v>
      </c>
      <c r="C765" s="1" t="n">
        <v>46176</v>
      </c>
      <c r="D765" t="inlineStr">
        <is>
          <t>ÖREBRO LÄN</t>
        </is>
      </c>
      <c r="E765" t="inlineStr">
        <is>
          <t>LINDESBERG</t>
        </is>
      </c>
      <c r="G765" t="n">
        <v>9</v>
      </c>
      <c r="H765" t="n">
        <v>0</v>
      </c>
      <c r="I765" t="n">
        <v>0</v>
      </c>
      <c r="J765" t="n">
        <v>0</v>
      </c>
      <c r="K765" t="n">
        <v>0</v>
      </c>
      <c r="L765" t="n">
        <v>0</v>
      </c>
      <c r="M765" t="n">
        <v>0</v>
      </c>
      <c r="N765" t="n">
        <v>0</v>
      </c>
      <c r="O765" t="n">
        <v>0</v>
      </c>
      <c r="P765" t="n">
        <v>0</v>
      </c>
      <c r="Q765" t="n">
        <v>0</v>
      </c>
      <c r="R765" s="2" t="inlineStr"/>
    </row>
    <row r="766" ht="15" customHeight="1">
      <c r="A766" t="inlineStr">
        <is>
          <t>A 40456-2023</t>
        </is>
      </c>
      <c r="B766" s="1" t="n">
        <v>45170</v>
      </c>
      <c r="C766" s="1" t="n">
        <v>46176</v>
      </c>
      <c r="D766" t="inlineStr">
        <is>
          <t>ÖREBRO LÄN</t>
        </is>
      </c>
      <c r="E766" t="inlineStr">
        <is>
          <t>LINDESBERG</t>
        </is>
      </c>
      <c r="F766" t="inlineStr">
        <is>
          <t>Kyrkan</t>
        </is>
      </c>
      <c r="G766" t="n">
        <v>0.6</v>
      </c>
      <c r="H766" t="n">
        <v>0</v>
      </c>
      <c r="I766" t="n">
        <v>0</v>
      </c>
      <c r="J766" t="n">
        <v>0</v>
      </c>
      <c r="K766" t="n">
        <v>0</v>
      </c>
      <c r="L766" t="n">
        <v>0</v>
      </c>
      <c r="M766" t="n">
        <v>0</v>
      </c>
      <c r="N766" t="n">
        <v>0</v>
      </c>
      <c r="O766" t="n">
        <v>0</v>
      </c>
      <c r="P766" t="n">
        <v>0</v>
      </c>
      <c r="Q766" t="n">
        <v>0</v>
      </c>
      <c r="R766" s="2" t="inlineStr"/>
    </row>
    <row r="767" ht="15" customHeight="1">
      <c r="A767" t="inlineStr">
        <is>
          <t>A 42282-2024</t>
        </is>
      </c>
      <c r="B767" s="1" t="n">
        <v>45562.61158564815</v>
      </c>
      <c r="C767" s="1" t="n">
        <v>46176</v>
      </c>
      <c r="D767" t="inlineStr">
        <is>
          <t>ÖREBRO LÄN</t>
        </is>
      </c>
      <c r="E767" t="inlineStr">
        <is>
          <t>LINDESBERG</t>
        </is>
      </c>
      <c r="G767" t="n">
        <v>0.8</v>
      </c>
      <c r="H767" t="n">
        <v>0</v>
      </c>
      <c r="I767" t="n">
        <v>0</v>
      </c>
      <c r="J767" t="n">
        <v>0</v>
      </c>
      <c r="K767" t="n">
        <v>0</v>
      </c>
      <c r="L767" t="n">
        <v>0</v>
      </c>
      <c r="M767" t="n">
        <v>0</v>
      </c>
      <c r="N767" t="n">
        <v>0</v>
      </c>
      <c r="O767" t="n">
        <v>0</v>
      </c>
      <c r="P767" t="n">
        <v>0</v>
      </c>
      <c r="Q767" t="n">
        <v>0</v>
      </c>
      <c r="R767" s="2" t="inlineStr"/>
    </row>
    <row r="768" ht="15" customHeight="1">
      <c r="A768" t="inlineStr">
        <is>
          <t>A 6989-2026</t>
        </is>
      </c>
      <c r="B768" s="1" t="n">
        <v>46057.60342592592</v>
      </c>
      <c r="C768" s="1" t="n">
        <v>46176</v>
      </c>
      <c r="D768" t="inlineStr">
        <is>
          <t>ÖREBRO LÄN</t>
        </is>
      </c>
      <c r="E768" t="inlineStr">
        <is>
          <t>LINDESBERG</t>
        </is>
      </c>
      <c r="G768" t="n">
        <v>2</v>
      </c>
      <c r="H768" t="n">
        <v>0</v>
      </c>
      <c r="I768" t="n">
        <v>0</v>
      </c>
      <c r="J768" t="n">
        <v>0</v>
      </c>
      <c r="K768" t="n">
        <v>0</v>
      </c>
      <c r="L768" t="n">
        <v>0</v>
      </c>
      <c r="M768" t="n">
        <v>0</v>
      </c>
      <c r="N768" t="n">
        <v>0</v>
      </c>
      <c r="O768" t="n">
        <v>0</v>
      </c>
      <c r="P768" t="n">
        <v>0</v>
      </c>
      <c r="Q768" t="n">
        <v>0</v>
      </c>
      <c r="R768" s="2" t="inlineStr"/>
    </row>
    <row r="769" ht="15" customHeight="1">
      <c r="A769" t="inlineStr">
        <is>
          <t>A 32262-2021</t>
        </is>
      </c>
      <c r="B769" s="1" t="n">
        <v>44371.47609953704</v>
      </c>
      <c r="C769" s="1" t="n">
        <v>46176</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3756-2026</t>
        </is>
      </c>
      <c r="B770" s="1" t="n">
        <v>46043</v>
      </c>
      <c r="C770" s="1" t="n">
        <v>46176</v>
      </c>
      <c r="D770" t="inlineStr">
        <is>
          <t>ÖREBRO LÄN</t>
        </is>
      </c>
      <c r="E770" t="inlineStr">
        <is>
          <t>LINDESBERG</t>
        </is>
      </c>
      <c r="G770" t="n">
        <v>6.3</v>
      </c>
      <c r="H770" t="n">
        <v>0</v>
      </c>
      <c r="I770" t="n">
        <v>0</v>
      </c>
      <c r="J770" t="n">
        <v>0</v>
      </c>
      <c r="K770" t="n">
        <v>0</v>
      </c>
      <c r="L770" t="n">
        <v>0</v>
      </c>
      <c r="M770" t="n">
        <v>0</v>
      </c>
      <c r="N770" t="n">
        <v>0</v>
      </c>
      <c r="O770" t="n">
        <v>0</v>
      </c>
      <c r="P770" t="n">
        <v>0</v>
      </c>
      <c r="Q770" t="n">
        <v>0</v>
      </c>
      <c r="R770" s="2" t="inlineStr"/>
    </row>
    <row r="771" ht="15" customHeight="1">
      <c r="A771" t="inlineStr">
        <is>
          <t>A 6520-2026</t>
        </is>
      </c>
      <c r="B771" s="1" t="n">
        <v>46056.40149305556</v>
      </c>
      <c r="C771" s="1" t="n">
        <v>46176</v>
      </c>
      <c r="D771" t="inlineStr">
        <is>
          <t>ÖREBRO LÄN</t>
        </is>
      </c>
      <c r="E771" t="inlineStr">
        <is>
          <t>LINDESBERG</t>
        </is>
      </c>
      <c r="G771" t="n">
        <v>2.2</v>
      </c>
      <c r="H771" t="n">
        <v>0</v>
      </c>
      <c r="I771" t="n">
        <v>0</v>
      </c>
      <c r="J771" t="n">
        <v>0</v>
      </c>
      <c r="K771" t="n">
        <v>0</v>
      </c>
      <c r="L771" t="n">
        <v>0</v>
      </c>
      <c r="M771" t="n">
        <v>0</v>
      </c>
      <c r="N771" t="n">
        <v>0</v>
      </c>
      <c r="O771" t="n">
        <v>0</v>
      </c>
      <c r="P771" t="n">
        <v>0</v>
      </c>
      <c r="Q771" t="n">
        <v>0</v>
      </c>
      <c r="R771" s="2" t="inlineStr"/>
    </row>
    <row r="772" ht="15" customHeight="1">
      <c r="A772" t="inlineStr">
        <is>
          <t>A 6524-2026</t>
        </is>
      </c>
      <c r="B772" s="1" t="n">
        <v>46056.40425925926</v>
      </c>
      <c r="C772" s="1" t="n">
        <v>46176</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27576-2024</t>
        </is>
      </c>
      <c r="B773" s="1" t="n">
        <v>45474.65005787037</v>
      </c>
      <c r="C773" s="1" t="n">
        <v>46176</v>
      </c>
      <c r="D773" t="inlineStr">
        <is>
          <t>ÖREBRO LÄN</t>
        </is>
      </c>
      <c r="E773" t="inlineStr">
        <is>
          <t>LINDESBERG</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32099-2024</t>
        </is>
      </c>
      <c r="B774" s="1" t="n">
        <v>45511.40297453704</v>
      </c>
      <c r="C774" s="1" t="n">
        <v>46176</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8836-2023</t>
        </is>
      </c>
      <c r="B775" s="1" t="n">
        <v>44978</v>
      </c>
      <c r="C775" s="1" t="n">
        <v>46176</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7098-2026</t>
        </is>
      </c>
      <c r="B776" s="1" t="n">
        <v>46058.35196759259</v>
      </c>
      <c r="C776" s="1" t="n">
        <v>46176</v>
      </c>
      <c r="D776" t="inlineStr">
        <is>
          <t>ÖREBRO LÄN</t>
        </is>
      </c>
      <c r="E776" t="inlineStr">
        <is>
          <t>LINDESBERG</t>
        </is>
      </c>
      <c r="G776" t="n">
        <v>1.9</v>
      </c>
      <c r="H776" t="n">
        <v>0</v>
      </c>
      <c r="I776" t="n">
        <v>0</v>
      </c>
      <c r="J776" t="n">
        <v>0</v>
      </c>
      <c r="K776" t="n">
        <v>0</v>
      </c>
      <c r="L776" t="n">
        <v>0</v>
      </c>
      <c r="M776" t="n">
        <v>0</v>
      </c>
      <c r="N776" t="n">
        <v>0</v>
      </c>
      <c r="O776" t="n">
        <v>0</v>
      </c>
      <c r="P776" t="n">
        <v>0</v>
      </c>
      <c r="Q776" t="n">
        <v>0</v>
      </c>
      <c r="R776" s="2" t="inlineStr"/>
    </row>
    <row r="777" ht="15" customHeight="1">
      <c r="A777" t="inlineStr">
        <is>
          <t>A 5772-2023</t>
        </is>
      </c>
      <c r="B777" s="1" t="n">
        <v>44963.37709490741</v>
      </c>
      <c r="C777" s="1" t="n">
        <v>46176</v>
      </c>
      <c r="D777" t="inlineStr">
        <is>
          <t>ÖREBRO LÄN</t>
        </is>
      </c>
      <c r="E777" t="inlineStr">
        <is>
          <t>LINDESBERG</t>
        </is>
      </c>
      <c r="G777" t="n">
        <v>3</v>
      </c>
      <c r="H777" t="n">
        <v>0</v>
      </c>
      <c r="I777" t="n">
        <v>0</v>
      </c>
      <c r="J777" t="n">
        <v>0</v>
      </c>
      <c r="K777" t="n">
        <v>0</v>
      </c>
      <c r="L777" t="n">
        <v>0</v>
      </c>
      <c r="M777" t="n">
        <v>0</v>
      </c>
      <c r="N777" t="n">
        <v>0</v>
      </c>
      <c r="O777" t="n">
        <v>0</v>
      </c>
      <c r="P777" t="n">
        <v>0</v>
      </c>
      <c r="Q777" t="n">
        <v>0</v>
      </c>
      <c r="R777" s="2" t="inlineStr"/>
    </row>
    <row r="778" ht="15" customHeight="1">
      <c r="A778" t="inlineStr">
        <is>
          <t>A 7202-2026</t>
        </is>
      </c>
      <c r="B778" s="1" t="n">
        <v>46058.52864583334</v>
      </c>
      <c r="C778" s="1" t="n">
        <v>46176</v>
      </c>
      <c r="D778" t="inlineStr">
        <is>
          <t>ÖREBRO LÄN</t>
        </is>
      </c>
      <c r="E778" t="inlineStr">
        <is>
          <t>LINDESBERG</t>
        </is>
      </c>
      <c r="G778" t="n">
        <v>2.8</v>
      </c>
      <c r="H778" t="n">
        <v>0</v>
      </c>
      <c r="I778" t="n">
        <v>0</v>
      </c>
      <c r="J778" t="n">
        <v>0</v>
      </c>
      <c r="K778" t="n">
        <v>0</v>
      </c>
      <c r="L778" t="n">
        <v>0</v>
      </c>
      <c r="M778" t="n">
        <v>0</v>
      </c>
      <c r="N778" t="n">
        <v>0</v>
      </c>
      <c r="O778" t="n">
        <v>0</v>
      </c>
      <c r="P778" t="n">
        <v>0</v>
      </c>
      <c r="Q778" t="n">
        <v>0</v>
      </c>
      <c r="R778" s="2" t="inlineStr"/>
    </row>
    <row r="779" ht="15" customHeight="1">
      <c r="A779" t="inlineStr">
        <is>
          <t>A 7069-2026</t>
        </is>
      </c>
      <c r="B779" s="1" t="n">
        <v>46058.30956018518</v>
      </c>
      <c r="C779" s="1" t="n">
        <v>46176</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7121-2026</t>
        </is>
      </c>
      <c r="B780" s="1" t="n">
        <v>46058.38300925926</v>
      </c>
      <c r="C780" s="1" t="n">
        <v>46176</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36024-2021</t>
        </is>
      </c>
      <c r="B781" s="1" t="n">
        <v>44389</v>
      </c>
      <c r="C781" s="1" t="n">
        <v>46176</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11559-2024</t>
        </is>
      </c>
      <c r="B782" s="1" t="n">
        <v>45373.30434027778</v>
      </c>
      <c r="C782" s="1" t="n">
        <v>46176</v>
      </c>
      <c r="D782" t="inlineStr">
        <is>
          <t>ÖREBRO LÄN</t>
        </is>
      </c>
      <c r="E782" t="inlineStr">
        <is>
          <t>LINDESBERG</t>
        </is>
      </c>
      <c r="F782" t="inlineStr">
        <is>
          <t>BillerudKorsnäs AB</t>
        </is>
      </c>
      <c r="G782" t="n">
        <v>1.9</v>
      </c>
      <c r="H782" t="n">
        <v>0</v>
      </c>
      <c r="I782" t="n">
        <v>0</v>
      </c>
      <c r="J782" t="n">
        <v>0</v>
      </c>
      <c r="K782" t="n">
        <v>0</v>
      </c>
      <c r="L782" t="n">
        <v>0</v>
      </c>
      <c r="M782" t="n">
        <v>0</v>
      </c>
      <c r="N782" t="n">
        <v>0</v>
      </c>
      <c r="O782" t="n">
        <v>0</v>
      </c>
      <c r="P782" t="n">
        <v>0</v>
      </c>
      <c r="Q782" t="n">
        <v>0</v>
      </c>
      <c r="R782" s="2" t="inlineStr"/>
    </row>
    <row r="783" ht="15" customHeight="1">
      <c r="A783" t="inlineStr">
        <is>
          <t>A 13472-2023</t>
        </is>
      </c>
      <c r="B783" s="1" t="n">
        <v>45005</v>
      </c>
      <c r="C783" s="1" t="n">
        <v>46176</v>
      </c>
      <c r="D783" t="inlineStr">
        <is>
          <t>ÖREBRO LÄN</t>
        </is>
      </c>
      <c r="E783" t="inlineStr">
        <is>
          <t>LINDESBERG</t>
        </is>
      </c>
      <c r="G783" t="n">
        <v>2.5</v>
      </c>
      <c r="H783" t="n">
        <v>0</v>
      </c>
      <c r="I783" t="n">
        <v>0</v>
      </c>
      <c r="J783" t="n">
        <v>0</v>
      </c>
      <c r="K783" t="n">
        <v>0</v>
      </c>
      <c r="L783" t="n">
        <v>0</v>
      </c>
      <c r="M783" t="n">
        <v>0</v>
      </c>
      <c r="N783" t="n">
        <v>0</v>
      </c>
      <c r="O783" t="n">
        <v>0</v>
      </c>
      <c r="P783" t="n">
        <v>0</v>
      </c>
      <c r="Q783" t="n">
        <v>0</v>
      </c>
      <c r="R783" s="2" t="inlineStr"/>
    </row>
    <row r="784" ht="15" customHeight="1">
      <c r="A784" t="inlineStr">
        <is>
          <t>A 17087-2023</t>
        </is>
      </c>
      <c r="B784" s="1" t="n">
        <v>45034.5174537037</v>
      </c>
      <c r="C784" s="1" t="n">
        <v>46176</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61222-2022</t>
        </is>
      </c>
      <c r="B785" s="1" t="n">
        <v>44909</v>
      </c>
      <c r="C785" s="1" t="n">
        <v>46176</v>
      </c>
      <c r="D785" t="inlineStr">
        <is>
          <t>ÖREBRO LÄN</t>
        </is>
      </c>
      <c r="E785" t="inlineStr">
        <is>
          <t>LINDESBERG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46484-2024</t>
        </is>
      </c>
      <c r="B786" s="1" t="n">
        <v>45582.57542824074</v>
      </c>
      <c r="C786" s="1" t="n">
        <v>46176</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41576-2021</t>
        </is>
      </c>
      <c r="B787" s="1" t="n">
        <v>44425</v>
      </c>
      <c r="C787" s="1" t="n">
        <v>46176</v>
      </c>
      <c r="D787" t="inlineStr">
        <is>
          <t>ÖREBRO LÄN</t>
        </is>
      </c>
      <c r="E787" t="inlineStr">
        <is>
          <t>LINDESBERG</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58741-2024</t>
        </is>
      </c>
      <c r="B788" s="1" t="n">
        <v>45635.69581018519</v>
      </c>
      <c r="C788" s="1" t="n">
        <v>46176</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9432-2026</t>
        </is>
      </c>
      <c r="B789" s="1" t="n">
        <v>46071.45568287037</v>
      </c>
      <c r="C789" s="1" t="n">
        <v>46176</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26967-2022</t>
        </is>
      </c>
      <c r="B790" s="1" t="n">
        <v>44740.66997685185</v>
      </c>
      <c r="C790" s="1" t="n">
        <v>46176</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43066-2021</t>
        </is>
      </c>
      <c r="B791" s="1" t="n">
        <v>44431</v>
      </c>
      <c r="C791" s="1" t="n">
        <v>46176</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9577-2026</t>
        </is>
      </c>
      <c r="B792" s="1" t="n">
        <v>46071.67334490741</v>
      </c>
      <c r="C792" s="1" t="n">
        <v>46176</v>
      </c>
      <c r="D792" t="inlineStr">
        <is>
          <t>ÖREBRO LÄN</t>
        </is>
      </c>
      <c r="E792" t="inlineStr">
        <is>
          <t>LINDESBERG</t>
        </is>
      </c>
      <c r="F792" t="inlineStr">
        <is>
          <t>Kommuner</t>
        </is>
      </c>
      <c r="G792" t="n">
        <v>1</v>
      </c>
      <c r="H792" t="n">
        <v>0</v>
      </c>
      <c r="I792" t="n">
        <v>0</v>
      </c>
      <c r="J792" t="n">
        <v>0</v>
      </c>
      <c r="K792" t="n">
        <v>0</v>
      </c>
      <c r="L792" t="n">
        <v>0</v>
      </c>
      <c r="M792" t="n">
        <v>0</v>
      </c>
      <c r="N792" t="n">
        <v>0</v>
      </c>
      <c r="O792" t="n">
        <v>0</v>
      </c>
      <c r="P792" t="n">
        <v>0</v>
      </c>
      <c r="Q792" t="n">
        <v>0</v>
      </c>
      <c r="R792" s="2" t="inlineStr"/>
    </row>
    <row r="793" ht="15" customHeight="1">
      <c r="A793" t="inlineStr">
        <is>
          <t>A 45428-2023</t>
        </is>
      </c>
      <c r="B793" s="1" t="n">
        <v>45194</v>
      </c>
      <c r="C793" s="1" t="n">
        <v>46176</v>
      </c>
      <c r="D793" t="inlineStr">
        <is>
          <t>ÖREBRO LÄN</t>
        </is>
      </c>
      <c r="E793" t="inlineStr">
        <is>
          <t>LINDESBERG</t>
        </is>
      </c>
      <c r="G793" t="n">
        <v>7.7</v>
      </c>
      <c r="H793" t="n">
        <v>0</v>
      </c>
      <c r="I793" t="n">
        <v>0</v>
      </c>
      <c r="J793" t="n">
        <v>0</v>
      </c>
      <c r="K793" t="n">
        <v>0</v>
      </c>
      <c r="L793" t="n">
        <v>0</v>
      </c>
      <c r="M793" t="n">
        <v>0</v>
      </c>
      <c r="N793" t="n">
        <v>0</v>
      </c>
      <c r="O793" t="n">
        <v>0</v>
      </c>
      <c r="P793" t="n">
        <v>0</v>
      </c>
      <c r="Q793" t="n">
        <v>0</v>
      </c>
      <c r="R793" s="2" t="inlineStr"/>
    </row>
    <row r="794" ht="15" customHeight="1">
      <c r="A794" t="inlineStr">
        <is>
          <t>A 53897-2024</t>
        </is>
      </c>
      <c r="B794" s="1" t="n">
        <v>45615.69570601852</v>
      </c>
      <c r="C794" s="1" t="n">
        <v>46176</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56907-2024</t>
        </is>
      </c>
      <c r="B795" s="1" t="n">
        <v>45628.58975694444</v>
      </c>
      <c r="C795" s="1" t="n">
        <v>46176</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7992-2025</t>
        </is>
      </c>
      <c r="B796" s="1" t="n">
        <v>45707</v>
      </c>
      <c r="C796" s="1" t="n">
        <v>46176</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17242-2025</t>
        </is>
      </c>
      <c r="B797" s="1" t="n">
        <v>45756.49009259259</v>
      </c>
      <c r="C797" s="1" t="n">
        <v>46176</v>
      </c>
      <c r="D797" t="inlineStr">
        <is>
          <t>ÖREBRO LÄN</t>
        </is>
      </c>
      <c r="E797" t="inlineStr">
        <is>
          <t>LINDESBERG</t>
        </is>
      </c>
      <c r="G797" t="n">
        <v>7.3</v>
      </c>
      <c r="H797" t="n">
        <v>0</v>
      </c>
      <c r="I797" t="n">
        <v>0</v>
      </c>
      <c r="J797" t="n">
        <v>0</v>
      </c>
      <c r="K797" t="n">
        <v>0</v>
      </c>
      <c r="L797" t="n">
        <v>0</v>
      </c>
      <c r="M797" t="n">
        <v>0</v>
      </c>
      <c r="N797" t="n">
        <v>0</v>
      </c>
      <c r="O797" t="n">
        <v>0</v>
      </c>
      <c r="P797" t="n">
        <v>0</v>
      </c>
      <c r="Q797" t="n">
        <v>0</v>
      </c>
      <c r="R797" s="2" t="inlineStr"/>
    </row>
    <row r="798" ht="15" customHeight="1">
      <c r="A798" t="inlineStr">
        <is>
          <t>A 7119-2025</t>
        </is>
      </c>
      <c r="B798" s="1" t="n">
        <v>45702</v>
      </c>
      <c r="C798" s="1" t="n">
        <v>46176</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45060-2024</t>
        </is>
      </c>
      <c r="B799" s="1" t="n">
        <v>45575.55570601852</v>
      </c>
      <c r="C799" s="1" t="n">
        <v>46176</v>
      </c>
      <c r="D799" t="inlineStr">
        <is>
          <t>ÖREBRO LÄN</t>
        </is>
      </c>
      <c r="E799" t="inlineStr">
        <is>
          <t>LINDESBERG</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50972-2023</t>
        </is>
      </c>
      <c r="B800" s="1" t="n">
        <v>45218</v>
      </c>
      <c r="C800" s="1" t="n">
        <v>46176</v>
      </c>
      <c r="D800" t="inlineStr">
        <is>
          <t>ÖREBRO LÄN</t>
        </is>
      </c>
      <c r="E800" t="inlineStr">
        <is>
          <t>LINDESBERG</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50225-2021</t>
        </is>
      </c>
      <c r="B801" s="1" t="n">
        <v>44457</v>
      </c>
      <c r="C801" s="1" t="n">
        <v>46176</v>
      </c>
      <c r="D801" t="inlineStr">
        <is>
          <t>ÖREBRO LÄN</t>
        </is>
      </c>
      <c r="E801" t="inlineStr">
        <is>
          <t>LINDESBERG</t>
        </is>
      </c>
      <c r="G801" t="n">
        <v>2.5</v>
      </c>
      <c r="H801" t="n">
        <v>0</v>
      </c>
      <c r="I801" t="n">
        <v>0</v>
      </c>
      <c r="J801" t="n">
        <v>0</v>
      </c>
      <c r="K801" t="n">
        <v>0</v>
      </c>
      <c r="L801" t="n">
        <v>0</v>
      </c>
      <c r="M801" t="n">
        <v>0</v>
      </c>
      <c r="N801" t="n">
        <v>0</v>
      </c>
      <c r="O801" t="n">
        <v>0</v>
      </c>
      <c r="P801" t="n">
        <v>0</v>
      </c>
      <c r="Q801" t="n">
        <v>0</v>
      </c>
      <c r="R801" s="2" t="inlineStr"/>
    </row>
    <row r="802" ht="15" customHeight="1">
      <c r="A802" t="inlineStr">
        <is>
          <t>A 48244-2024</t>
        </is>
      </c>
      <c r="B802" s="1" t="n">
        <v>45590.39471064815</v>
      </c>
      <c r="C802" s="1" t="n">
        <v>46176</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20210-2024</t>
        </is>
      </c>
      <c r="B803" s="1" t="n">
        <v>45434.65854166666</v>
      </c>
      <c r="C803" s="1" t="n">
        <v>46176</v>
      </c>
      <c r="D803" t="inlineStr">
        <is>
          <t>ÖREBRO LÄN</t>
        </is>
      </c>
      <c r="E803" t="inlineStr">
        <is>
          <t>LINDESBERG</t>
        </is>
      </c>
      <c r="G803" t="n">
        <v>5.5</v>
      </c>
      <c r="H803" t="n">
        <v>0</v>
      </c>
      <c r="I803" t="n">
        <v>0</v>
      </c>
      <c r="J803" t="n">
        <v>0</v>
      </c>
      <c r="K803" t="n">
        <v>0</v>
      </c>
      <c r="L803" t="n">
        <v>0</v>
      </c>
      <c r="M803" t="n">
        <v>0</v>
      </c>
      <c r="N803" t="n">
        <v>0</v>
      </c>
      <c r="O803" t="n">
        <v>0</v>
      </c>
      <c r="P803" t="n">
        <v>0</v>
      </c>
      <c r="Q803" t="n">
        <v>0</v>
      </c>
      <c r="R803" s="2" t="inlineStr"/>
    </row>
    <row r="804" ht="15" customHeight="1">
      <c r="A804" t="inlineStr">
        <is>
          <t>A 24352-2023</t>
        </is>
      </c>
      <c r="B804" s="1" t="n">
        <v>45082.31421296296</v>
      </c>
      <c r="C804" s="1" t="n">
        <v>46176</v>
      </c>
      <c r="D804" t="inlineStr">
        <is>
          <t>ÖREBRO LÄN</t>
        </is>
      </c>
      <c r="E804" t="inlineStr">
        <is>
          <t>LINDESBERG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22824-2023</t>
        </is>
      </c>
      <c r="B805" s="1" t="n">
        <v>45072</v>
      </c>
      <c r="C805" s="1" t="n">
        <v>46176</v>
      </c>
      <c r="D805" t="inlineStr">
        <is>
          <t>ÖREBRO LÄN</t>
        </is>
      </c>
      <c r="E805" t="inlineStr">
        <is>
          <t>LINDESBERG</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36509-2024</t>
        </is>
      </c>
      <c r="B806" s="1" t="n">
        <v>45537.42240740741</v>
      </c>
      <c r="C806" s="1" t="n">
        <v>46176</v>
      </c>
      <c r="D806" t="inlineStr">
        <is>
          <t>ÖREBRO LÄN</t>
        </is>
      </c>
      <c r="E806" t="inlineStr">
        <is>
          <t>LINDESBERG</t>
        </is>
      </c>
      <c r="G806" t="n">
        <v>1.5</v>
      </c>
      <c r="H806" t="n">
        <v>0</v>
      </c>
      <c r="I806" t="n">
        <v>0</v>
      </c>
      <c r="J806" t="n">
        <v>0</v>
      </c>
      <c r="K806" t="n">
        <v>0</v>
      </c>
      <c r="L806" t="n">
        <v>0</v>
      </c>
      <c r="M806" t="n">
        <v>0</v>
      </c>
      <c r="N806" t="n">
        <v>0</v>
      </c>
      <c r="O806" t="n">
        <v>0</v>
      </c>
      <c r="P806" t="n">
        <v>0</v>
      </c>
      <c r="Q806" t="n">
        <v>0</v>
      </c>
      <c r="R806" s="2" t="inlineStr"/>
    </row>
    <row r="807" ht="15" customHeight="1">
      <c r="A807" t="inlineStr">
        <is>
          <t>A 33428-2024</t>
        </is>
      </c>
      <c r="B807" s="1" t="n">
        <v>45519.52319444445</v>
      </c>
      <c r="C807" s="1" t="n">
        <v>46176</v>
      </c>
      <c r="D807" t="inlineStr">
        <is>
          <t>ÖREBRO LÄN</t>
        </is>
      </c>
      <c r="E807" t="inlineStr">
        <is>
          <t>LINDESBERG</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17104-2024</t>
        </is>
      </c>
      <c r="B808" s="1" t="n">
        <v>45412.54541666667</v>
      </c>
      <c r="C808" s="1" t="n">
        <v>46176</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13350-2024</t>
        </is>
      </c>
      <c r="B809" s="1" t="n">
        <v>45387.24732638889</v>
      </c>
      <c r="C809" s="1" t="n">
        <v>46176</v>
      </c>
      <c r="D809" t="inlineStr">
        <is>
          <t>ÖREBRO LÄN</t>
        </is>
      </c>
      <c r="E809" t="inlineStr">
        <is>
          <t>LINDESBERG</t>
        </is>
      </c>
      <c r="G809" t="n">
        <v>4.1</v>
      </c>
      <c r="H809" t="n">
        <v>0</v>
      </c>
      <c r="I809" t="n">
        <v>0</v>
      </c>
      <c r="J809" t="n">
        <v>0</v>
      </c>
      <c r="K809" t="n">
        <v>0</v>
      </c>
      <c r="L809" t="n">
        <v>0</v>
      </c>
      <c r="M809" t="n">
        <v>0</v>
      </c>
      <c r="N809" t="n">
        <v>0</v>
      </c>
      <c r="O809" t="n">
        <v>0</v>
      </c>
      <c r="P809" t="n">
        <v>0</v>
      </c>
      <c r="Q809" t="n">
        <v>0</v>
      </c>
      <c r="R809" s="2" t="inlineStr"/>
    </row>
    <row r="810" ht="15" customHeight="1">
      <c r="A810" t="inlineStr">
        <is>
          <t>A 13351-2024</t>
        </is>
      </c>
      <c r="B810" s="1" t="n">
        <v>45387.2521875</v>
      </c>
      <c r="C810" s="1" t="n">
        <v>46176</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40303-2024</t>
        </is>
      </c>
      <c r="B811" s="1" t="n">
        <v>45554.7158912037</v>
      </c>
      <c r="C811" s="1" t="n">
        <v>46176</v>
      </c>
      <c r="D811" t="inlineStr">
        <is>
          <t>ÖREBRO LÄN</t>
        </is>
      </c>
      <c r="E811" t="inlineStr">
        <is>
          <t>LINDESBERG</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34838-2023</t>
        </is>
      </c>
      <c r="B812" s="1" t="n">
        <v>45141.76530092592</v>
      </c>
      <c r="C812" s="1" t="n">
        <v>46176</v>
      </c>
      <c r="D812" t="inlineStr">
        <is>
          <t>ÖREBRO LÄN</t>
        </is>
      </c>
      <c r="E812" t="inlineStr">
        <is>
          <t>LINDESBERG</t>
        </is>
      </c>
      <c r="G812" t="n">
        <v>3</v>
      </c>
      <c r="H812" t="n">
        <v>0</v>
      </c>
      <c r="I812" t="n">
        <v>0</v>
      </c>
      <c r="J812" t="n">
        <v>0</v>
      </c>
      <c r="K812" t="n">
        <v>0</v>
      </c>
      <c r="L812" t="n">
        <v>0</v>
      </c>
      <c r="M812" t="n">
        <v>0</v>
      </c>
      <c r="N812" t="n">
        <v>0</v>
      </c>
      <c r="O812" t="n">
        <v>0</v>
      </c>
      <c r="P812" t="n">
        <v>0</v>
      </c>
      <c r="Q812" t="n">
        <v>0</v>
      </c>
      <c r="R812" s="2" t="inlineStr"/>
    </row>
    <row r="813" ht="15" customHeight="1">
      <c r="A813" t="inlineStr">
        <is>
          <t>A 15324-2024</t>
        </is>
      </c>
      <c r="B813" s="1" t="n">
        <v>45400.66995370371</v>
      </c>
      <c r="C813" s="1" t="n">
        <v>46176</v>
      </c>
      <c r="D813" t="inlineStr">
        <is>
          <t>ÖREBRO LÄN</t>
        </is>
      </c>
      <c r="E813" t="inlineStr">
        <is>
          <t>LINDESBERG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36170-2021</t>
        </is>
      </c>
      <c r="B814" s="1" t="n">
        <v>44389</v>
      </c>
      <c r="C814" s="1" t="n">
        <v>46176</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7180-2023</t>
        </is>
      </c>
      <c r="B815" s="1" t="n">
        <v>44970.51849537037</v>
      </c>
      <c r="C815" s="1" t="n">
        <v>46176</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46675-2023</t>
        </is>
      </c>
      <c r="B816" s="1" t="n">
        <v>45194</v>
      </c>
      <c r="C816" s="1" t="n">
        <v>46176</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50964-2023</t>
        </is>
      </c>
      <c r="B817" s="1" t="n">
        <v>45218.488125</v>
      </c>
      <c r="C817" s="1" t="n">
        <v>46176</v>
      </c>
      <c r="D817" t="inlineStr">
        <is>
          <t>ÖREBRO LÄN</t>
        </is>
      </c>
      <c r="E817" t="inlineStr">
        <is>
          <t>LINDESBERG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50619-2022</t>
        </is>
      </c>
      <c r="B818" s="1" t="n">
        <v>44866.79668981482</v>
      </c>
      <c r="C818" s="1" t="n">
        <v>46176</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36893-2024</t>
        </is>
      </c>
      <c r="B819" s="1" t="n">
        <v>45538</v>
      </c>
      <c r="C819" s="1" t="n">
        <v>46176</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47155-2024</t>
        </is>
      </c>
      <c r="B820" s="1" t="n">
        <v>45586</v>
      </c>
      <c r="C820" s="1" t="n">
        <v>46176</v>
      </c>
      <c r="D820" t="inlineStr">
        <is>
          <t>ÖREBRO LÄN</t>
        </is>
      </c>
      <c r="E820" t="inlineStr">
        <is>
          <t>LINDESBERG</t>
        </is>
      </c>
      <c r="F820" t="inlineStr">
        <is>
          <t>Sveaskog</t>
        </is>
      </c>
      <c r="G820" t="n">
        <v>5.7</v>
      </c>
      <c r="H820" t="n">
        <v>0</v>
      </c>
      <c r="I820" t="n">
        <v>0</v>
      </c>
      <c r="J820" t="n">
        <v>0</v>
      </c>
      <c r="K820" t="n">
        <v>0</v>
      </c>
      <c r="L820" t="n">
        <v>0</v>
      </c>
      <c r="M820" t="n">
        <v>0</v>
      </c>
      <c r="N820" t="n">
        <v>0</v>
      </c>
      <c r="O820" t="n">
        <v>0</v>
      </c>
      <c r="P820" t="n">
        <v>0</v>
      </c>
      <c r="Q820" t="n">
        <v>0</v>
      </c>
      <c r="R820" s="2" t="inlineStr"/>
    </row>
    <row r="821" ht="15" customHeight="1">
      <c r="A821" t="inlineStr">
        <is>
          <t>A 10111-2022</t>
        </is>
      </c>
      <c r="B821" s="1" t="n">
        <v>44621.85737268518</v>
      </c>
      <c r="C821" s="1" t="n">
        <v>46176</v>
      </c>
      <c r="D821" t="inlineStr">
        <is>
          <t>ÖREBRO LÄN</t>
        </is>
      </c>
      <c r="E821" t="inlineStr">
        <is>
          <t>LINDESBERG</t>
        </is>
      </c>
      <c r="G821" t="n">
        <v>2.4</v>
      </c>
      <c r="H821" t="n">
        <v>0</v>
      </c>
      <c r="I821" t="n">
        <v>0</v>
      </c>
      <c r="J821" t="n">
        <v>0</v>
      </c>
      <c r="K821" t="n">
        <v>0</v>
      </c>
      <c r="L821" t="n">
        <v>0</v>
      </c>
      <c r="M821" t="n">
        <v>0</v>
      </c>
      <c r="N821" t="n">
        <v>0</v>
      </c>
      <c r="O821" t="n">
        <v>0</v>
      </c>
      <c r="P821" t="n">
        <v>0</v>
      </c>
      <c r="Q821" t="n">
        <v>0</v>
      </c>
      <c r="R821" s="2" t="inlineStr"/>
    </row>
    <row r="822" ht="15" customHeight="1">
      <c r="A822" t="inlineStr">
        <is>
          <t>A 14231-2023</t>
        </is>
      </c>
      <c r="B822" s="1" t="n">
        <v>45009.64217592592</v>
      </c>
      <c r="C822" s="1" t="n">
        <v>46176</v>
      </c>
      <c r="D822" t="inlineStr">
        <is>
          <t>ÖREBRO LÄN</t>
        </is>
      </c>
      <c r="E822" t="inlineStr">
        <is>
          <t>LINDESBERG</t>
        </is>
      </c>
      <c r="G822" t="n">
        <v>4.3</v>
      </c>
      <c r="H822" t="n">
        <v>0</v>
      </c>
      <c r="I822" t="n">
        <v>0</v>
      </c>
      <c r="J822" t="n">
        <v>0</v>
      </c>
      <c r="K822" t="n">
        <v>0</v>
      </c>
      <c r="L822" t="n">
        <v>0</v>
      </c>
      <c r="M822" t="n">
        <v>0</v>
      </c>
      <c r="N822" t="n">
        <v>0</v>
      </c>
      <c r="O822" t="n">
        <v>0</v>
      </c>
      <c r="P822" t="n">
        <v>0</v>
      </c>
      <c r="Q822" t="n">
        <v>0</v>
      </c>
      <c r="R822" s="2" t="inlineStr"/>
    </row>
    <row r="823" ht="15" customHeight="1">
      <c r="A823" t="inlineStr">
        <is>
          <t>A 484-2022</t>
        </is>
      </c>
      <c r="B823" s="1" t="n">
        <v>44566</v>
      </c>
      <c r="C823" s="1" t="n">
        <v>46176</v>
      </c>
      <c r="D823" t="inlineStr">
        <is>
          <t>ÖREBRO LÄN</t>
        </is>
      </c>
      <c r="E823" t="inlineStr">
        <is>
          <t>LINDESBERG</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1395-2025</t>
        </is>
      </c>
      <c r="B824" s="1" t="n">
        <v>45667</v>
      </c>
      <c r="C824" s="1" t="n">
        <v>46176</v>
      </c>
      <c r="D824" t="inlineStr">
        <is>
          <t>ÖREBRO LÄN</t>
        </is>
      </c>
      <c r="E824" t="inlineStr">
        <is>
          <t>LINDESBERG</t>
        </is>
      </c>
      <c r="G824" t="n">
        <v>4.6</v>
      </c>
      <c r="H824" t="n">
        <v>0</v>
      </c>
      <c r="I824" t="n">
        <v>0</v>
      </c>
      <c r="J824" t="n">
        <v>0</v>
      </c>
      <c r="K824" t="n">
        <v>0</v>
      </c>
      <c r="L824" t="n">
        <v>0</v>
      </c>
      <c r="M824" t="n">
        <v>0</v>
      </c>
      <c r="N824" t="n">
        <v>0</v>
      </c>
      <c r="O824" t="n">
        <v>0</v>
      </c>
      <c r="P824" t="n">
        <v>0</v>
      </c>
      <c r="Q824" t="n">
        <v>0</v>
      </c>
      <c r="R824" s="2" t="inlineStr"/>
    </row>
    <row r="825" ht="15" customHeight="1">
      <c r="A825" t="inlineStr">
        <is>
          <t>A 1405-2025</t>
        </is>
      </c>
      <c r="B825" s="1" t="n">
        <v>45667</v>
      </c>
      <c r="C825" s="1" t="n">
        <v>46176</v>
      </c>
      <c r="D825" t="inlineStr">
        <is>
          <t>ÖREBRO LÄN</t>
        </is>
      </c>
      <c r="E825" t="inlineStr">
        <is>
          <t>LINDESBERG</t>
        </is>
      </c>
      <c r="F825" t="inlineStr">
        <is>
          <t>Allmännings- och besparingsskogar</t>
        </is>
      </c>
      <c r="G825" t="n">
        <v>3.1</v>
      </c>
      <c r="H825" t="n">
        <v>0</v>
      </c>
      <c r="I825" t="n">
        <v>0</v>
      </c>
      <c r="J825" t="n">
        <v>0</v>
      </c>
      <c r="K825" t="n">
        <v>0</v>
      </c>
      <c r="L825" t="n">
        <v>0</v>
      </c>
      <c r="M825" t="n">
        <v>0</v>
      </c>
      <c r="N825" t="n">
        <v>0</v>
      </c>
      <c r="O825" t="n">
        <v>0</v>
      </c>
      <c r="P825" t="n">
        <v>0</v>
      </c>
      <c r="Q825" t="n">
        <v>0</v>
      </c>
      <c r="R825" s="2" t="inlineStr"/>
    </row>
    <row r="826" ht="15" customHeight="1">
      <c r="A826" t="inlineStr">
        <is>
          <t>A 34434-2023</t>
        </is>
      </c>
      <c r="B826" s="1" t="n">
        <v>45139.63480324074</v>
      </c>
      <c r="C826" s="1" t="n">
        <v>46176</v>
      </c>
      <c r="D826" t="inlineStr">
        <is>
          <t>ÖREBRO LÄN</t>
        </is>
      </c>
      <c r="E826" t="inlineStr">
        <is>
          <t>LINDESBERG</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45078-2024</t>
        </is>
      </c>
      <c r="B827" s="1" t="n">
        <v>45575.57104166667</v>
      </c>
      <c r="C827" s="1" t="n">
        <v>46176</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6723-2022</t>
        </is>
      </c>
      <c r="B828" s="1" t="n">
        <v>44602.45162037037</v>
      </c>
      <c r="C828" s="1" t="n">
        <v>46176</v>
      </c>
      <c r="D828" t="inlineStr">
        <is>
          <t>ÖREBRO LÄN</t>
        </is>
      </c>
      <c r="E828" t="inlineStr">
        <is>
          <t>LINDESBERG</t>
        </is>
      </c>
      <c r="G828" t="n">
        <v>4.2</v>
      </c>
      <c r="H828" t="n">
        <v>0</v>
      </c>
      <c r="I828" t="n">
        <v>0</v>
      </c>
      <c r="J828" t="n">
        <v>0</v>
      </c>
      <c r="K828" t="n">
        <v>0</v>
      </c>
      <c r="L828" t="n">
        <v>0</v>
      </c>
      <c r="M828" t="n">
        <v>0</v>
      </c>
      <c r="N828" t="n">
        <v>0</v>
      </c>
      <c r="O828" t="n">
        <v>0</v>
      </c>
      <c r="P828" t="n">
        <v>0</v>
      </c>
      <c r="Q828" t="n">
        <v>0</v>
      </c>
      <c r="R828" s="2" t="inlineStr"/>
    </row>
    <row r="829" ht="15" customHeight="1">
      <c r="A829" t="inlineStr">
        <is>
          <t>A 28470-2023</t>
        </is>
      </c>
      <c r="B829" s="1" t="n">
        <v>45103</v>
      </c>
      <c r="C829" s="1" t="n">
        <v>46176</v>
      </c>
      <c r="D829" t="inlineStr">
        <is>
          <t>ÖREBRO LÄN</t>
        </is>
      </c>
      <c r="E829" t="inlineStr">
        <is>
          <t>LINDESBERG</t>
        </is>
      </c>
      <c r="G829" t="n">
        <v>6.7</v>
      </c>
      <c r="H829" t="n">
        <v>0</v>
      </c>
      <c r="I829" t="n">
        <v>0</v>
      </c>
      <c r="J829" t="n">
        <v>0</v>
      </c>
      <c r="K829" t="n">
        <v>0</v>
      </c>
      <c r="L829" t="n">
        <v>0</v>
      </c>
      <c r="M829" t="n">
        <v>0</v>
      </c>
      <c r="N829" t="n">
        <v>0</v>
      </c>
      <c r="O829" t="n">
        <v>0</v>
      </c>
      <c r="P829" t="n">
        <v>0</v>
      </c>
      <c r="Q829" t="n">
        <v>0</v>
      </c>
      <c r="R829" s="2" t="inlineStr"/>
    </row>
    <row r="830" ht="15" customHeight="1">
      <c r="A830" t="inlineStr">
        <is>
          <t>A 32097-2024</t>
        </is>
      </c>
      <c r="B830" s="1" t="n">
        <v>45511.39445601852</v>
      </c>
      <c r="C830" s="1" t="n">
        <v>46176</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26340-2022</t>
        </is>
      </c>
      <c r="B831" s="1" t="n">
        <v>44735.62539351852</v>
      </c>
      <c r="C831" s="1" t="n">
        <v>46176</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30534-2023</t>
        </is>
      </c>
      <c r="B832" s="1" t="n">
        <v>45111</v>
      </c>
      <c r="C832" s="1" t="n">
        <v>46176</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row r="833" ht="15" customHeight="1">
      <c r="A833" t="inlineStr">
        <is>
          <t>A 3994-2023</t>
        </is>
      </c>
      <c r="B833" s="1" t="n">
        <v>44950</v>
      </c>
      <c r="C833" s="1" t="n">
        <v>46176</v>
      </c>
      <c r="D833" t="inlineStr">
        <is>
          <t>ÖREBRO LÄN</t>
        </is>
      </c>
      <c r="E833" t="inlineStr">
        <is>
          <t>LINDESBERG</t>
        </is>
      </c>
      <c r="G833" t="n">
        <v>4.8</v>
      </c>
      <c r="H833" t="n">
        <v>0</v>
      </c>
      <c r="I833" t="n">
        <v>0</v>
      </c>
      <c r="J833" t="n">
        <v>0</v>
      </c>
      <c r="K833" t="n">
        <v>0</v>
      </c>
      <c r="L833" t="n">
        <v>0</v>
      </c>
      <c r="M833" t="n">
        <v>0</v>
      </c>
      <c r="N833" t="n">
        <v>0</v>
      </c>
      <c r="O833" t="n">
        <v>0</v>
      </c>
      <c r="P833" t="n">
        <v>0</v>
      </c>
      <c r="Q833" t="n">
        <v>0</v>
      </c>
      <c r="R833" s="2" t="inlineStr"/>
    </row>
    <row r="834" ht="15" customHeight="1">
      <c r="A834" t="inlineStr">
        <is>
          <t>A 54705-2022</t>
        </is>
      </c>
      <c r="B834" s="1" t="n">
        <v>44883</v>
      </c>
      <c r="C834" s="1" t="n">
        <v>46176</v>
      </c>
      <c r="D834" t="inlineStr">
        <is>
          <t>ÖREBRO LÄN</t>
        </is>
      </c>
      <c r="E834" t="inlineStr">
        <is>
          <t>LINDESBERG</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59631-2023</t>
        </is>
      </c>
      <c r="B835" s="1" t="n">
        <v>45254.68105324074</v>
      </c>
      <c r="C835" s="1" t="n">
        <v>46176</v>
      </c>
      <c r="D835" t="inlineStr">
        <is>
          <t>ÖREBRO LÄN</t>
        </is>
      </c>
      <c r="E835" t="inlineStr">
        <is>
          <t>LINDESBERG</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34539-2024</t>
        </is>
      </c>
      <c r="B836" s="1" t="n">
        <v>45525.7374537037</v>
      </c>
      <c r="C836" s="1" t="n">
        <v>46176</v>
      </c>
      <c r="D836" t="inlineStr">
        <is>
          <t>ÖREBRO LÄN</t>
        </is>
      </c>
      <c r="E836" t="inlineStr">
        <is>
          <t>LINDESBERG</t>
        </is>
      </c>
      <c r="G836" t="n">
        <v>5.4</v>
      </c>
      <c r="H836" t="n">
        <v>0</v>
      </c>
      <c r="I836" t="n">
        <v>0</v>
      </c>
      <c r="J836" t="n">
        <v>0</v>
      </c>
      <c r="K836" t="n">
        <v>0</v>
      </c>
      <c r="L836" t="n">
        <v>0</v>
      </c>
      <c r="M836" t="n">
        <v>0</v>
      </c>
      <c r="N836" t="n">
        <v>0</v>
      </c>
      <c r="O836" t="n">
        <v>0</v>
      </c>
      <c r="P836" t="n">
        <v>0</v>
      </c>
      <c r="Q836" t="n">
        <v>0</v>
      </c>
      <c r="R836" s="2" t="inlineStr"/>
    </row>
    <row r="837" ht="15" customHeight="1">
      <c r="A837" t="inlineStr">
        <is>
          <t>A 41951-2023</t>
        </is>
      </c>
      <c r="B837" s="1" t="n">
        <v>45177.33991898148</v>
      </c>
      <c r="C837" s="1" t="n">
        <v>46176</v>
      </c>
      <c r="D837" t="inlineStr">
        <is>
          <t>ÖREBRO LÄN</t>
        </is>
      </c>
      <c r="E837" t="inlineStr">
        <is>
          <t>LINDESBERG</t>
        </is>
      </c>
      <c r="F837" t="inlineStr">
        <is>
          <t>Kyrkan</t>
        </is>
      </c>
      <c r="G837" t="n">
        <v>3.3</v>
      </c>
      <c r="H837" t="n">
        <v>0</v>
      </c>
      <c r="I837" t="n">
        <v>0</v>
      </c>
      <c r="J837" t="n">
        <v>0</v>
      </c>
      <c r="K837" t="n">
        <v>0</v>
      </c>
      <c r="L837" t="n">
        <v>0</v>
      </c>
      <c r="M837" t="n">
        <v>0</v>
      </c>
      <c r="N837" t="n">
        <v>0</v>
      </c>
      <c r="O837" t="n">
        <v>0</v>
      </c>
      <c r="P837" t="n">
        <v>0</v>
      </c>
      <c r="Q837" t="n">
        <v>0</v>
      </c>
      <c r="R837" s="2" t="inlineStr"/>
    </row>
    <row r="838" ht="15" customHeight="1">
      <c r="A838" t="inlineStr">
        <is>
          <t>A 58603-2023</t>
        </is>
      </c>
      <c r="B838" s="1" t="n">
        <v>45251</v>
      </c>
      <c r="C838" s="1" t="n">
        <v>46176</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14187-2024</t>
        </is>
      </c>
      <c r="B839" s="1" t="n">
        <v>45393.35787037037</v>
      </c>
      <c r="C839" s="1" t="n">
        <v>46176</v>
      </c>
      <c r="D839" t="inlineStr">
        <is>
          <t>ÖREBRO LÄN</t>
        </is>
      </c>
      <c r="E839" t="inlineStr">
        <is>
          <t>LINDESBERG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18418-2025</t>
        </is>
      </c>
      <c r="B840" s="1" t="n">
        <v>45762.61817129629</v>
      </c>
      <c r="C840" s="1" t="n">
        <v>46176</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29849-2023</t>
        </is>
      </c>
      <c r="B841" s="1" t="n">
        <v>45107</v>
      </c>
      <c r="C841" s="1" t="n">
        <v>46176</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60105-2022</t>
        </is>
      </c>
      <c r="B842" s="1" t="n">
        <v>44902</v>
      </c>
      <c r="C842" s="1" t="n">
        <v>46176</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15094-2025</t>
        </is>
      </c>
      <c r="B843" s="1" t="n">
        <v>45744.32981481482</v>
      </c>
      <c r="C843" s="1" t="n">
        <v>46176</v>
      </c>
      <c r="D843" t="inlineStr">
        <is>
          <t>ÖREBRO LÄN</t>
        </is>
      </c>
      <c r="E843" t="inlineStr">
        <is>
          <t>LINDESBERG</t>
        </is>
      </c>
      <c r="G843" t="n">
        <v>1.2</v>
      </c>
      <c r="H843" t="n">
        <v>0</v>
      </c>
      <c r="I843" t="n">
        <v>0</v>
      </c>
      <c r="J843" t="n">
        <v>0</v>
      </c>
      <c r="K843" t="n">
        <v>0</v>
      </c>
      <c r="L843" t="n">
        <v>0</v>
      </c>
      <c r="M843" t="n">
        <v>0</v>
      </c>
      <c r="N843" t="n">
        <v>0</v>
      </c>
      <c r="O843" t="n">
        <v>0</v>
      </c>
      <c r="P843" t="n">
        <v>0</v>
      </c>
      <c r="Q843" t="n">
        <v>0</v>
      </c>
      <c r="R843" s="2" t="inlineStr"/>
    </row>
    <row r="844" ht="15" customHeight="1">
      <c r="A844" t="inlineStr">
        <is>
          <t>A 33427-2024</t>
        </is>
      </c>
      <c r="B844" s="1" t="n">
        <v>45519.52232638889</v>
      </c>
      <c r="C844" s="1" t="n">
        <v>46176</v>
      </c>
      <c r="D844" t="inlineStr">
        <is>
          <t>ÖREBRO LÄN</t>
        </is>
      </c>
      <c r="E844" t="inlineStr">
        <is>
          <t>LINDESBERG</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29894-2023</t>
        </is>
      </c>
      <c r="B845" s="1" t="n">
        <v>45107</v>
      </c>
      <c r="C845" s="1" t="n">
        <v>46176</v>
      </c>
      <c r="D845" t="inlineStr">
        <is>
          <t>ÖREBRO LÄN</t>
        </is>
      </c>
      <c r="E845" t="inlineStr">
        <is>
          <t>LINDESBERG</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40306-2022</t>
        </is>
      </c>
      <c r="B846" s="1" t="n">
        <v>44822</v>
      </c>
      <c r="C846" s="1" t="n">
        <v>46176</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63668-2023</t>
        </is>
      </c>
      <c r="B847" s="1" t="n">
        <v>45274</v>
      </c>
      <c r="C847" s="1" t="n">
        <v>46176</v>
      </c>
      <c r="D847" t="inlineStr">
        <is>
          <t>ÖREBRO LÄN</t>
        </is>
      </c>
      <c r="E847" t="inlineStr">
        <is>
          <t>LINDESBERG</t>
        </is>
      </c>
      <c r="G847" t="n">
        <v>0.7</v>
      </c>
      <c r="H847" t="n">
        <v>0</v>
      </c>
      <c r="I847" t="n">
        <v>0</v>
      </c>
      <c r="J847" t="n">
        <v>0</v>
      </c>
      <c r="K847" t="n">
        <v>0</v>
      </c>
      <c r="L847" t="n">
        <v>0</v>
      </c>
      <c r="M847" t="n">
        <v>0</v>
      </c>
      <c r="N847" t="n">
        <v>0</v>
      </c>
      <c r="O847" t="n">
        <v>0</v>
      </c>
      <c r="P847" t="n">
        <v>0</v>
      </c>
      <c r="Q847" t="n">
        <v>0</v>
      </c>
      <c r="R847" s="2" t="inlineStr"/>
    </row>
    <row r="848" ht="15" customHeight="1">
      <c r="A848" t="inlineStr">
        <is>
          <t>A 4539-2025</t>
        </is>
      </c>
      <c r="B848" s="1" t="n">
        <v>45687</v>
      </c>
      <c r="C848" s="1" t="n">
        <v>46176</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44675-2021</t>
        </is>
      </c>
      <c r="B849" s="1" t="n">
        <v>44438</v>
      </c>
      <c r="C849" s="1" t="n">
        <v>46176</v>
      </c>
      <c r="D849" t="inlineStr">
        <is>
          <t>ÖREBRO LÄN</t>
        </is>
      </c>
      <c r="E849" t="inlineStr">
        <is>
          <t>LINDESBERG</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59633-2023</t>
        </is>
      </c>
      <c r="B850" s="1" t="n">
        <v>45254</v>
      </c>
      <c r="C850" s="1" t="n">
        <v>46176</v>
      </c>
      <c r="D850" t="inlineStr">
        <is>
          <t>ÖREBRO LÄN</t>
        </is>
      </c>
      <c r="E850" t="inlineStr">
        <is>
          <t>LINDESBERG</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13416-2025</t>
        </is>
      </c>
      <c r="B851" s="1" t="n">
        <v>45736.308125</v>
      </c>
      <c r="C851" s="1" t="n">
        <v>46176</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27051-2023</t>
        </is>
      </c>
      <c r="B852" s="1" t="n">
        <v>45095</v>
      </c>
      <c r="C852" s="1" t="n">
        <v>46176</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43801-2024</t>
        </is>
      </c>
      <c r="B853" s="1" t="n">
        <v>45571.71736111111</v>
      </c>
      <c r="C853" s="1" t="n">
        <v>46176</v>
      </c>
      <c r="D853" t="inlineStr">
        <is>
          <t>ÖREBRO LÄN</t>
        </is>
      </c>
      <c r="E853" t="inlineStr">
        <is>
          <t>LINDESBERG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45072-2024</t>
        </is>
      </c>
      <c r="B854" s="1" t="n">
        <v>45575.56686342593</v>
      </c>
      <c r="C854" s="1" t="n">
        <v>46176</v>
      </c>
      <c r="D854" t="inlineStr">
        <is>
          <t>ÖREBRO LÄN</t>
        </is>
      </c>
      <c r="E854" t="inlineStr">
        <is>
          <t>LINDESBERG</t>
        </is>
      </c>
      <c r="F854" t="inlineStr">
        <is>
          <t>Sveaskog</t>
        </is>
      </c>
      <c r="G854" t="n">
        <v>2</v>
      </c>
      <c r="H854" t="n">
        <v>0</v>
      </c>
      <c r="I854" t="n">
        <v>0</v>
      </c>
      <c r="J854" t="n">
        <v>0</v>
      </c>
      <c r="K854" t="n">
        <v>0</v>
      </c>
      <c r="L854" t="n">
        <v>0</v>
      </c>
      <c r="M854" t="n">
        <v>0</v>
      </c>
      <c r="N854" t="n">
        <v>0</v>
      </c>
      <c r="O854" t="n">
        <v>0</v>
      </c>
      <c r="P854" t="n">
        <v>0</v>
      </c>
      <c r="Q854" t="n">
        <v>0</v>
      </c>
      <c r="R854" s="2" t="inlineStr"/>
    </row>
    <row r="855" ht="15" customHeight="1">
      <c r="A855" t="inlineStr">
        <is>
          <t>A 45075-2024</t>
        </is>
      </c>
      <c r="B855" s="1" t="n">
        <v>45575.56820601852</v>
      </c>
      <c r="C855" s="1" t="n">
        <v>46176</v>
      </c>
      <c r="D855" t="inlineStr">
        <is>
          <t>ÖREBRO LÄN</t>
        </is>
      </c>
      <c r="E855" t="inlineStr">
        <is>
          <t>LINDESBERG</t>
        </is>
      </c>
      <c r="F855" t="inlineStr">
        <is>
          <t>Sveaskog</t>
        </is>
      </c>
      <c r="G855" t="n">
        <v>1</v>
      </c>
      <c r="H855" t="n">
        <v>0</v>
      </c>
      <c r="I855" t="n">
        <v>0</v>
      </c>
      <c r="J855" t="n">
        <v>0</v>
      </c>
      <c r="K855" t="n">
        <v>0</v>
      </c>
      <c r="L855" t="n">
        <v>0</v>
      </c>
      <c r="M855" t="n">
        <v>0</v>
      </c>
      <c r="N855" t="n">
        <v>0</v>
      </c>
      <c r="O855" t="n">
        <v>0</v>
      </c>
      <c r="P855" t="n">
        <v>0</v>
      </c>
      <c r="Q855" t="n">
        <v>0</v>
      </c>
      <c r="R855" s="2" t="inlineStr"/>
    </row>
    <row r="856" ht="15" customHeight="1">
      <c r="A856" t="inlineStr">
        <is>
          <t>A 61405-2022</t>
        </is>
      </c>
      <c r="B856" s="1" t="n">
        <v>44916</v>
      </c>
      <c r="C856" s="1" t="n">
        <v>46176</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40563-2023</t>
        </is>
      </c>
      <c r="B857" s="1" t="n">
        <v>45170.45921296296</v>
      </c>
      <c r="C857" s="1" t="n">
        <v>46176</v>
      </c>
      <c r="D857" t="inlineStr">
        <is>
          <t>ÖREBRO LÄN</t>
        </is>
      </c>
      <c r="E857" t="inlineStr">
        <is>
          <t>LINDESBERG</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38613-2024</t>
        </is>
      </c>
      <c r="B858" s="1" t="n">
        <v>45546.68743055555</v>
      </c>
      <c r="C858" s="1" t="n">
        <v>46176</v>
      </c>
      <c r="D858" t="inlineStr">
        <is>
          <t>ÖREBRO LÄN</t>
        </is>
      </c>
      <c r="E858" t="inlineStr">
        <is>
          <t>LINDESBERG</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49358-2023</t>
        </is>
      </c>
      <c r="B859" s="1" t="n">
        <v>45211</v>
      </c>
      <c r="C859" s="1" t="n">
        <v>46176</v>
      </c>
      <c r="D859" t="inlineStr">
        <is>
          <t>ÖREBRO LÄN</t>
        </is>
      </c>
      <c r="E859" t="inlineStr">
        <is>
          <t>LINDESBERG</t>
        </is>
      </c>
      <c r="F859" t="inlineStr">
        <is>
          <t>Sveaskog</t>
        </is>
      </c>
      <c r="G859" t="n">
        <v>4.7</v>
      </c>
      <c r="H859" t="n">
        <v>0</v>
      </c>
      <c r="I859" t="n">
        <v>0</v>
      </c>
      <c r="J859" t="n">
        <v>0</v>
      </c>
      <c r="K859" t="n">
        <v>0</v>
      </c>
      <c r="L859" t="n">
        <v>0</v>
      </c>
      <c r="M859" t="n">
        <v>0</v>
      </c>
      <c r="N859" t="n">
        <v>0</v>
      </c>
      <c r="O859" t="n">
        <v>0</v>
      </c>
      <c r="P859" t="n">
        <v>0</v>
      </c>
      <c r="Q859" t="n">
        <v>0</v>
      </c>
      <c r="R859" s="2" t="inlineStr"/>
    </row>
    <row r="860" ht="15" customHeight="1">
      <c r="A860" t="inlineStr">
        <is>
          <t>A 72331-2021</t>
        </is>
      </c>
      <c r="B860" s="1" t="n">
        <v>44544</v>
      </c>
      <c r="C860" s="1" t="n">
        <v>46176</v>
      </c>
      <c r="D860" t="inlineStr">
        <is>
          <t>ÖREBRO LÄN</t>
        </is>
      </c>
      <c r="E860" t="inlineStr">
        <is>
          <t>LINDESBERG</t>
        </is>
      </c>
      <c r="G860" t="n">
        <v>1.5</v>
      </c>
      <c r="H860" t="n">
        <v>0</v>
      </c>
      <c r="I860" t="n">
        <v>0</v>
      </c>
      <c r="J860" t="n">
        <v>0</v>
      </c>
      <c r="K860" t="n">
        <v>0</v>
      </c>
      <c r="L860" t="n">
        <v>0</v>
      </c>
      <c r="M860" t="n">
        <v>0</v>
      </c>
      <c r="N860" t="n">
        <v>0</v>
      </c>
      <c r="O860" t="n">
        <v>0</v>
      </c>
      <c r="P860" t="n">
        <v>0</v>
      </c>
      <c r="Q860" t="n">
        <v>0</v>
      </c>
      <c r="R860" s="2" t="inlineStr"/>
    </row>
    <row r="861" ht="15" customHeight="1">
      <c r="A861" t="inlineStr">
        <is>
          <t>A 54663-2021</t>
        </is>
      </c>
      <c r="B861" s="1" t="n">
        <v>44473.6343287037</v>
      </c>
      <c r="C861" s="1" t="n">
        <v>46176</v>
      </c>
      <c r="D861" t="inlineStr">
        <is>
          <t>ÖREBRO LÄN</t>
        </is>
      </c>
      <c r="E861" t="inlineStr">
        <is>
          <t>LINDESBERG</t>
        </is>
      </c>
      <c r="G861" t="n">
        <v>1.2</v>
      </c>
      <c r="H861" t="n">
        <v>0</v>
      </c>
      <c r="I861" t="n">
        <v>0</v>
      </c>
      <c r="J861" t="n">
        <v>0</v>
      </c>
      <c r="K861" t="n">
        <v>0</v>
      </c>
      <c r="L861" t="n">
        <v>0</v>
      </c>
      <c r="M861" t="n">
        <v>0</v>
      </c>
      <c r="N861" t="n">
        <v>0</v>
      </c>
      <c r="O861" t="n">
        <v>0</v>
      </c>
      <c r="P861" t="n">
        <v>0</v>
      </c>
      <c r="Q861" t="n">
        <v>0</v>
      </c>
      <c r="R861" s="2" t="inlineStr"/>
    </row>
    <row r="862" ht="15" customHeight="1">
      <c r="A862" t="inlineStr">
        <is>
          <t>A 57795-2021</t>
        </is>
      </c>
      <c r="B862" s="1" t="n">
        <v>44484</v>
      </c>
      <c r="C862" s="1" t="n">
        <v>46176</v>
      </c>
      <c r="D862" t="inlineStr">
        <is>
          <t>ÖREBRO LÄN</t>
        </is>
      </c>
      <c r="E862" t="inlineStr">
        <is>
          <t>LINDESBERG</t>
        </is>
      </c>
      <c r="G862" t="n">
        <v>39.4</v>
      </c>
      <c r="H862" t="n">
        <v>0</v>
      </c>
      <c r="I862" t="n">
        <v>0</v>
      </c>
      <c r="J862" t="n">
        <v>0</v>
      </c>
      <c r="K862" t="n">
        <v>0</v>
      </c>
      <c r="L862" t="n">
        <v>0</v>
      </c>
      <c r="M862" t="n">
        <v>0</v>
      </c>
      <c r="N862" t="n">
        <v>0</v>
      </c>
      <c r="O862" t="n">
        <v>0</v>
      </c>
      <c r="P862" t="n">
        <v>0</v>
      </c>
      <c r="Q862" t="n">
        <v>0</v>
      </c>
      <c r="R862" s="2" t="inlineStr"/>
    </row>
    <row r="863" ht="15" customHeight="1">
      <c r="A863" t="inlineStr">
        <is>
          <t>A 27031-2024</t>
        </is>
      </c>
      <c r="B863" s="1" t="n">
        <v>45471.42659722222</v>
      </c>
      <c r="C863" s="1" t="n">
        <v>46176</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27130-2024</t>
        </is>
      </c>
      <c r="B864" s="1" t="n">
        <v>45471.52072916667</v>
      </c>
      <c r="C864" s="1" t="n">
        <v>46176</v>
      </c>
      <c r="D864" t="inlineStr">
        <is>
          <t>ÖREBRO LÄN</t>
        </is>
      </c>
      <c r="E864" t="inlineStr">
        <is>
          <t>LINDESBERG</t>
        </is>
      </c>
      <c r="G864" t="n">
        <v>2</v>
      </c>
      <c r="H864" t="n">
        <v>0</v>
      </c>
      <c r="I864" t="n">
        <v>0</v>
      </c>
      <c r="J864" t="n">
        <v>0</v>
      </c>
      <c r="K864" t="n">
        <v>0</v>
      </c>
      <c r="L864" t="n">
        <v>0</v>
      </c>
      <c r="M864" t="n">
        <v>0</v>
      </c>
      <c r="N864" t="n">
        <v>0</v>
      </c>
      <c r="O864" t="n">
        <v>0</v>
      </c>
      <c r="P864" t="n">
        <v>0</v>
      </c>
      <c r="Q864" t="n">
        <v>0</v>
      </c>
      <c r="R864" s="2" t="inlineStr"/>
    </row>
    <row r="865" ht="15" customHeight="1">
      <c r="A865" t="inlineStr">
        <is>
          <t>A 6161-2025</t>
        </is>
      </c>
      <c r="B865" s="1" t="n">
        <v>45698</v>
      </c>
      <c r="C865" s="1" t="n">
        <v>46176</v>
      </c>
      <c r="D865" t="inlineStr">
        <is>
          <t>ÖREBRO LÄN</t>
        </is>
      </c>
      <c r="E865" t="inlineStr">
        <is>
          <t>LINDESBERG</t>
        </is>
      </c>
      <c r="F865" t="inlineStr">
        <is>
          <t>Sveaskog</t>
        </is>
      </c>
      <c r="G865" t="n">
        <v>3.7</v>
      </c>
      <c r="H865" t="n">
        <v>0</v>
      </c>
      <c r="I865" t="n">
        <v>0</v>
      </c>
      <c r="J865" t="n">
        <v>0</v>
      </c>
      <c r="K865" t="n">
        <v>0</v>
      </c>
      <c r="L865" t="n">
        <v>0</v>
      </c>
      <c r="M865" t="n">
        <v>0</v>
      </c>
      <c r="N865" t="n">
        <v>0</v>
      </c>
      <c r="O865" t="n">
        <v>0</v>
      </c>
      <c r="P865" t="n">
        <v>0</v>
      </c>
      <c r="Q865" t="n">
        <v>0</v>
      </c>
      <c r="R865" s="2" t="inlineStr"/>
    </row>
    <row r="866" ht="15" customHeight="1">
      <c r="A866" t="inlineStr">
        <is>
          <t>A 6165-2025</t>
        </is>
      </c>
      <c r="B866" s="1" t="n">
        <v>45698</v>
      </c>
      <c r="C866" s="1" t="n">
        <v>46176</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44664-2023</t>
        </is>
      </c>
      <c r="B867" s="1" t="n">
        <v>45189</v>
      </c>
      <c r="C867" s="1" t="n">
        <v>46176</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11366-2024</t>
        </is>
      </c>
      <c r="B868" s="1" t="n">
        <v>45372.40246527778</v>
      </c>
      <c r="C868" s="1" t="n">
        <v>46176</v>
      </c>
      <c r="D868" t="inlineStr">
        <is>
          <t>ÖREBRO LÄN</t>
        </is>
      </c>
      <c r="E868" t="inlineStr">
        <is>
          <t>LINDESBERG</t>
        </is>
      </c>
      <c r="G868" t="n">
        <v>4.4</v>
      </c>
      <c r="H868" t="n">
        <v>0</v>
      </c>
      <c r="I868" t="n">
        <v>0</v>
      </c>
      <c r="J868" t="n">
        <v>0</v>
      </c>
      <c r="K868" t="n">
        <v>0</v>
      </c>
      <c r="L868" t="n">
        <v>0</v>
      </c>
      <c r="M868" t="n">
        <v>0</v>
      </c>
      <c r="N868" t="n">
        <v>0</v>
      </c>
      <c r="O868" t="n">
        <v>0</v>
      </c>
      <c r="P868" t="n">
        <v>0</v>
      </c>
      <c r="Q868" t="n">
        <v>0</v>
      </c>
      <c r="R868" s="2" t="inlineStr"/>
    </row>
    <row r="869" ht="15" customHeight="1">
      <c r="A869" t="inlineStr">
        <is>
          <t>A 24270-2023</t>
        </is>
      </c>
      <c r="B869" s="1" t="n">
        <v>45079</v>
      </c>
      <c r="C869" s="1" t="n">
        <v>46176</v>
      </c>
      <c r="D869" t="inlineStr">
        <is>
          <t>ÖREBRO LÄN</t>
        </is>
      </c>
      <c r="E869" t="inlineStr">
        <is>
          <t>LINDESBERG</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24271-2023</t>
        </is>
      </c>
      <c r="B870" s="1" t="n">
        <v>45079</v>
      </c>
      <c r="C870" s="1" t="n">
        <v>46176</v>
      </c>
      <c r="D870" t="inlineStr">
        <is>
          <t>ÖREBRO LÄN</t>
        </is>
      </c>
      <c r="E870" t="inlineStr">
        <is>
          <t>LINDESBERG</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25046-2024</t>
        </is>
      </c>
      <c r="B871" s="1" t="n">
        <v>45462</v>
      </c>
      <c r="C871" s="1" t="n">
        <v>46176</v>
      </c>
      <c r="D871" t="inlineStr">
        <is>
          <t>ÖREBRO LÄN</t>
        </is>
      </c>
      <c r="E871" t="inlineStr">
        <is>
          <t>LINDESBERG</t>
        </is>
      </c>
      <c r="G871" t="n">
        <v>4.1</v>
      </c>
      <c r="H871" t="n">
        <v>0</v>
      </c>
      <c r="I871" t="n">
        <v>0</v>
      </c>
      <c r="J871" t="n">
        <v>0</v>
      </c>
      <c r="K871" t="n">
        <v>0</v>
      </c>
      <c r="L871" t="n">
        <v>0</v>
      </c>
      <c r="M871" t="n">
        <v>0</v>
      </c>
      <c r="N871" t="n">
        <v>0</v>
      </c>
      <c r="O871" t="n">
        <v>0</v>
      </c>
      <c r="P871" t="n">
        <v>0</v>
      </c>
      <c r="Q871" t="n">
        <v>0</v>
      </c>
      <c r="R871" s="2" t="inlineStr"/>
    </row>
    <row r="872" ht="15" customHeight="1">
      <c r="A872" t="inlineStr">
        <is>
          <t>A 45038-2024</t>
        </is>
      </c>
      <c r="B872" s="1" t="n">
        <v>45575.53331018519</v>
      </c>
      <c r="C872" s="1" t="n">
        <v>46176</v>
      </c>
      <c r="D872" t="inlineStr">
        <is>
          <t>ÖREBRO LÄN</t>
        </is>
      </c>
      <c r="E872" t="inlineStr">
        <is>
          <t>LINDESBERG</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45046-2024</t>
        </is>
      </c>
      <c r="B873" s="1" t="n">
        <v>45575.54489583334</v>
      </c>
      <c r="C873" s="1" t="n">
        <v>46176</v>
      </c>
      <c r="D873" t="inlineStr">
        <is>
          <t>ÖREBRO LÄN</t>
        </is>
      </c>
      <c r="E873" t="inlineStr">
        <is>
          <t>LINDESBERG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21468-2024</t>
        </is>
      </c>
      <c r="B874" s="1" t="n">
        <v>45441.48670138889</v>
      </c>
      <c r="C874" s="1" t="n">
        <v>46176</v>
      </c>
      <c r="D874" t="inlineStr">
        <is>
          <t>ÖREBRO LÄN</t>
        </is>
      </c>
      <c r="E874" t="inlineStr">
        <is>
          <t>LINDESBERG</t>
        </is>
      </c>
      <c r="G874" t="n">
        <v>1</v>
      </c>
      <c r="H874" t="n">
        <v>0</v>
      </c>
      <c r="I874" t="n">
        <v>0</v>
      </c>
      <c r="J874" t="n">
        <v>0</v>
      </c>
      <c r="K874" t="n">
        <v>0</v>
      </c>
      <c r="L874" t="n">
        <v>0</v>
      </c>
      <c r="M874" t="n">
        <v>0</v>
      </c>
      <c r="N874" t="n">
        <v>0</v>
      </c>
      <c r="O874" t="n">
        <v>0</v>
      </c>
      <c r="P874" t="n">
        <v>0</v>
      </c>
      <c r="Q874" t="n">
        <v>0</v>
      </c>
      <c r="R874" s="2" t="inlineStr"/>
    </row>
    <row r="875" ht="15" customHeight="1">
      <c r="A875" t="inlineStr">
        <is>
          <t>A 40038-2024</t>
        </is>
      </c>
      <c r="B875" s="1" t="n">
        <v>45553</v>
      </c>
      <c r="C875" s="1" t="n">
        <v>46176</v>
      </c>
      <c r="D875" t="inlineStr">
        <is>
          <t>ÖREBRO LÄN</t>
        </is>
      </c>
      <c r="E875" t="inlineStr">
        <is>
          <t>LINDESBERG</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61360-2024</t>
        </is>
      </c>
      <c r="B876" s="1" t="n">
        <v>45646</v>
      </c>
      <c r="C876" s="1" t="n">
        <v>46176</v>
      </c>
      <c r="D876" t="inlineStr">
        <is>
          <t>ÖREBRO LÄN</t>
        </is>
      </c>
      <c r="E876" t="inlineStr">
        <is>
          <t>LINDESBERG</t>
        </is>
      </c>
      <c r="F876" t="inlineStr">
        <is>
          <t>Sveaskog</t>
        </is>
      </c>
      <c r="G876" t="n">
        <v>6.5</v>
      </c>
      <c r="H876" t="n">
        <v>0</v>
      </c>
      <c r="I876" t="n">
        <v>0</v>
      </c>
      <c r="J876" t="n">
        <v>0</v>
      </c>
      <c r="K876" t="n">
        <v>0</v>
      </c>
      <c r="L876" t="n">
        <v>0</v>
      </c>
      <c r="M876" t="n">
        <v>0</v>
      </c>
      <c r="N876" t="n">
        <v>0</v>
      </c>
      <c r="O876" t="n">
        <v>0</v>
      </c>
      <c r="P876" t="n">
        <v>0</v>
      </c>
      <c r="Q876" t="n">
        <v>0</v>
      </c>
      <c r="R876" s="2" t="inlineStr"/>
    </row>
    <row r="877" ht="15" customHeight="1">
      <c r="A877" t="inlineStr">
        <is>
          <t>A 12276-2025</t>
        </is>
      </c>
      <c r="B877" s="1" t="n">
        <v>45729.65061342593</v>
      </c>
      <c r="C877" s="1" t="n">
        <v>46176</v>
      </c>
      <c r="D877" t="inlineStr">
        <is>
          <t>ÖREBRO LÄN</t>
        </is>
      </c>
      <c r="E877" t="inlineStr">
        <is>
          <t>LINDESBERG</t>
        </is>
      </c>
      <c r="G877" t="n">
        <v>7.6</v>
      </c>
      <c r="H877" t="n">
        <v>0</v>
      </c>
      <c r="I877" t="n">
        <v>0</v>
      </c>
      <c r="J877" t="n">
        <v>0</v>
      </c>
      <c r="K877" t="n">
        <v>0</v>
      </c>
      <c r="L877" t="n">
        <v>0</v>
      </c>
      <c r="M877" t="n">
        <v>0</v>
      </c>
      <c r="N877" t="n">
        <v>0</v>
      </c>
      <c r="O877" t="n">
        <v>0</v>
      </c>
      <c r="P877" t="n">
        <v>0</v>
      </c>
      <c r="Q877" t="n">
        <v>0</v>
      </c>
      <c r="R877" s="2" t="inlineStr"/>
    </row>
    <row r="878" ht="15" customHeight="1">
      <c r="A878" t="inlineStr">
        <is>
          <t>A 14028-2023</t>
        </is>
      </c>
      <c r="B878" s="1" t="n">
        <v>45008</v>
      </c>
      <c r="C878" s="1" t="n">
        <v>46176</v>
      </c>
      <c r="D878" t="inlineStr">
        <is>
          <t>ÖREBRO LÄN</t>
        </is>
      </c>
      <c r="E878" t="inlineStr">
        <is>
          <t>LINDESBERG</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31024-2023</t>
        </is>
      </c>
      <c r="B879" s="1" t="n">
        <v>45113</v>
      </c>
      <c r="C879" s="1" t="n">
        <v>46176</v>
      </c>
      <c r="D879" t="inlineStr">
        <is>
          <t>ÖREBRO LÄN</t>
        </is>
      </c>
      <c r="E879" t="inlineStr">
        <is>
          <t>LINDESBERG</t>
        </is>
      </c>
      <c r="G879" t="n">
        <v>5.1</v>
      </c>
      <c r="H879" t="n">
        <v>0</v>
      </c>
      <c r="I879" t="n">
        <v>0</v>
      </c>
      <c r="J879" t="n">
        <v>0</v>
      </c>
      <c r="K879" t="n">
        <v>0</v>
      </c>
      <c r="L879" t="n">
        <v>0</v>
      </c>
      <c r="M879" t="n">
        <v>0</v>
      </c>
      <c r="N879" t="n">
        <v>0</v>
      </c>
      <c r="O879" t="n">
        <v>0</v>
      </c>
      <c r="P879" t="n">
        <v>0</v>
      </c>
      <c r="Q879" t="n">
        <v>0</v>
      </c>
      <c r="R879" s="2" t="inlineStr"/>
    </row>
    <row r="880" ht="15" customHeight="1">
      <c r="A880" t="inlineStr">
        <is>
          <t>A 27052-2023</t>
        </is>
      </c>
      <c r="B880" s="1" t="n">
        <v>45095</v>
      </c>
      <c r="C880" s="1" t="n">
        <v>46176</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12053-2024</t>
        </is>
      </c>
      <c r="B881" s="1" t="n">
        <v>45377.48265046296</v>
      </c>
      <c r="C881" s="1" t="n">
        <v>46176</v>
      </c>
      <c r="D881" t="inlineStr">
        <is>
          <t>ÖREBRO LÄN</t>
        </is>
      </c>
      <c r="E881" t="inlineStr">
        <is>
          <t>LINDESBERG</t>
        </is>
      </c>
      <c r="G881" t="n">
        <v>1.7</v>
      </c>
      <c r="H881" t="n">
        <v>0</v>
      </c>
      <c r="I881" t="n">
        <v>0</v>
      </c>
      <c r="J881" t="n">
        <v>0</v>
      </c>
      <c r="K881" t="n">
        <v>0</v>
      </c>
      <c r="L881" t="n">
        <v>0</v>
      </c>
      <c r="M881" t="n">
        <v>0</v>
      </c>
      <c r="N881" t="n">
        <v>0</v>
      </c>
      <c r="O881" t="n">
        <v>0</v>
      </c>
      <c r="P881" t="n">
        <v>0</v>
      </c>
      <c r="Q881" t="n">
        <v>0</v>
      </c>
      <c r="R881" s="2" t="inlineStr"/>
    </row>
    <row r="882" ht="15" customHeight="1">
      <c r="A882" t="inlineStr">
        <is>
          <t>A 626-2025</t>
        </is>
      </c>
      <c r="B882" s="1" t="n">
        <v>45664</v>
      </c>
      <c r="C882" s="1" t="n">
        <v>46176</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13573-2025</t>
        </is>
      </c>
      <c r="B883" s="1" t="n">
        <v>45736</v>
      </c>
      <c r="C883" s="1" t="n">
        <v>46176</v>
      </c>
      <c r="D883" t="inlineStr">
        <is>
          <t>ÖREBRO LÄN</t>
        </is>
      </c>
      <c r="E883" t="inlineStr">
        <is>
          <t>LINDESBERG</t>
        </is>
      </c>
      <c r="G883" t="n">
        <v>11.7</v>
      </c>
      <c r="H883" t="n">
        <v>0</v>
      </c>
      <c r="I883" t="n">
        <v>0</v>
      </c>
      <c r="J883" t="n">
        <v>0</v>
      </c>
      <c r="K883" t="n">
        <v>0</v>
      </c>
      <c r="L883" t="n">
        <v>0</v>
      </c>
      <c r="M883" t="n">
        <v>0</v>
      </c>
      <c r="N883" t="n">
        <v>0</v>
      </c>
      <c r="O883" t="n">
        <v>0</v>
      </c>
      <c r="P883" t="n">
        <v>0</v>
      </c>
      <c r="Q883" t="n">
        <v>0</v>
      </c>
      <c r="R883" s="2" t="inlineStr"/>
    </row>
    <row r="884" ht="15" customHeight="1">
      <c r="A884" t="inlineStr">
        <is>
          <t>A 63686-2023</t>
        </is>
      </c>
      <c r="B884" s="1" t="n">
        <v>45274</v>
      </c>
      <c r="C884" s="1" t="n">
        <v>46176</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64365-2023</t>
        </is>
      </c>
      <c r="B885" s="1" t="n">
        <v>45280</v>
      </c>
      <c r="C885" s="1" t="n">
        <v>46176</v>
      </c>
      <c r="D885" t="inlineStr">
        <is>
          <t>ÖREBRO LÄN</t>
        </is>
      </c>
      <c r="E885" t="inlineStr">
        <is>
          <t>LINDESBERG</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56217-2022</t>
        </is>
      </c>
      <c r="B886" s="1" t="n">
        <v>44890.46174768519</v>
      </c>
      <c r="C886" s="1" t="n">
        <v>46176</v>
      </c>
      <c r="D886" t="inlineStr">
        <is>
          <t>ÖREBRO LÄN</t>
        </is>
      </c>
      <c r="E886" t="inlineStr">
        <is>
          <t>LINDESBERG</t>
        </is>
      </c>
      <c r="G886" t="n">
        <v>6.9</v>
      </c>
      <c r="H886" t="n">
        <v>0</v>
      </c>
      <c r="I886" t="n">
        <v>0</v>
      </c>
      <c r="J886" t="n">
        <v>0</v>
      </c>
      <c r="K886" t="n">
        <v>0</v>
      </c>
      <c r="L886" t="n">
        <v>0</v>
      </c>
      <c r="M886" t="n">
        <v>0</v>
      </c>
      <c r="N886" t="n">
        <v>0</v>
      </c>
      <c r="O886" t="n">
        <v>0</v>
      </c>
      <c r="P886" t="n">
        <v>0</v>
      </c>
      <c r="Q886" t="n">
        <v>0</v>
      </c>
      <c r="R886" s="2" t="inlineStr"/>
    </row>
    <row r="887" ht="15" customHeight="1">
      <c r="A887" t="inlineStr">
        <is>
          <t>A 5550-2024</t>
        </is>
      </c>
      <c r="B887" s="1" t="n">
        <v>45334</v>
      </c>
      <c r="C887" s="1" t="n">
        <v>46176</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32829-2024</t>
        </is>
      </c>
      <c r="B888" s="1" t="n">
        <v>45516.59447916667</v>
      </c>
      <c r="C888" s="1" t="n">
        <v>46176</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29350-2022</t>
        </is>
      </c>
      <c r="B889" s="1" t="n">
        <v>44753</v>
      </c>
      <c r="C889" s="1" t="n">
        <v>46176</v>
      </c>
      <c r="D889" t="inlineStr">
        <is>
          <t>ÖREBRO LÄN</t>
        </is>
      </c>
      <c r="E889" t="inlineStr">
        <is>
          <t>LINDESBERG</t>
        </is>
      </c>
      <c r="G889" t="n">
        <v>7.7</v>
      </c>
      <c r="H889" t="n">
        <v>0</v>
      </c>
      <c r="I889" t="n">
        <v>0</v>
      </c>
      <c r="J889" t="n">
        <v>0</v>
      </c>
      <c r="K889" t="n">
        <v>0</v>
      </c>
      <c r="L889" t="n">
        <v>0</v>
      </c>
      <c r="M889" t="n">
        <v>0</v>
      </c>
      <c r="N889" t="n">
        <v>0</v>
      </c>
      <c r="O889" t="n">
        <v>0</v>
      </c>
      <c r="P889" t="n">
        <v>0</v>
      </c>
      <c r="Q889" t="n">
        <v>0</v>
      </c>
      <c r="R889" s="2" t="inlineStr"/>
    </row>
    <row r="890" ht="15" customHeight="1">
      <c r="A890" t="inlineStr">
        <is>
          <t>A 53510-2024</t>
        </is>
      </c>
      <c r="B890" s="1" t="n">
        <v>45614.5968287037</v>
      </c>
      <c r="C890" s="1" t="n">
        <v>46176</v>
      </c>
      <c r="D890" t="inlineStr">
        <is>
          <t>ÖREBRO LÄN</t>
        </is>
      </c>
      <c r="E890" t="inlineStr">
        <is>
          <t>LINDESBERG</t>
        </is>
      </c>
      <c r="G890" t="n">
        <v>1</v>
      </c>
      <c r="H890" t="n">
        <v>0</v>
      </c>
      <c r="I890" t="n">
        <v>0</v>
      </c>
      <c r="J890" t="n">
        <v>0</v>
      </c>
      <c r="K890" t="n">
        <v>0</v>
      </c>
      <c r="L890" t="n">
        <v>0</v>
      </c>
      <c r="M890" t="n">
        <v>0</v>
      </c>
      <c r="N890" t="n">
        <v>0</v>
      </c>
      <c r="O890" t="n">
        <v>0</v>
      </c>
      <c r="P890" t="n">
        <v>0</v>
      </c>
      <c r="Q890" t="n">
        <v>0</v>
      </c>
      <c r="R890" s="2" t="inlineStr"/>
    </row>
    <row r="891" ht="15" customHeight="1">
      <c r="A891" t="inlineStr">
        <is>
          <t>A 58710-2023</t>
        </is>
      </c>
      <c r="B891" s="1" t="n">
        <v>45251.696875</v>
      </c>
      <c r="C891" s="1" t="n">
        <v>46176</v>
      </c>
      <c r="D891" t="inlineStr">
        <is>
          <t>ÖREBRO LÄN</t>
        </is>
      </c>
      <c r="E891" t="inlineStr">
        <is>
          <t>LINDESBERG</t>
        </is>
      </c>
      <c r="G891" t="n">
        <v>6.3</v>
      </c>
      <c r="H891" t="n">
        <v>0</v>
      </c>
      <c r="I891" t="n">
        <v>0</v>
      </c>
      <c r="J891" t="n">
        <v>0</v>
      </c>
      <c r="K891" t="n">
        <v>0</v>
      </c>
      <c r="L891" t="n">
        <v>0</v>
      </c>
      <c r="M891" t="n">
        <v>0</v>
      </c>
      <c r="N891" t="n">
        <v>0</v>
      </c>
      <c r="O891" t="n">
        <v>0</v>
      </c>
      <c r="P891" t="n">
        <v>0</v>
      </c>
      <c r="Q891" t="n">
        <v>0</v>
      </c>
      <c r="R891" s="2" t="inlineStr"/>
    </row>
    <row r="892" ht="15" customHeight="1">
      <c r="A892" t="inlineStr">
        <is>
          <t>A 60449-2024</t>
        </is>
      </c>
      <c r="B892" s="1" t="n">
        <v>45643</v>
      </c>
      <c r="C892" s="1" t="n">
        <v>46176</v>
      </c>
      <c r="D892" t="inlineStr">
        <is>
          <t>ÖREBRO LÄN</t>
        </is>
      </c>
      <c r="E892" t="inlineStr">
        <is>
          <t>LINDESBERG</t>
        </is>
      </c>
      <c r="G892" t="n">
        <v>1.2</v>
      </c>
      <c r="H892" t="n">
        <v>0</v>
      </c>
      <c r="I892" t="n">
        <v>0</v>
      </c>
      <c r="J892" t="n">
        <v>0</v>
      </c>
      <c r="K892" t="n">
        <v>0</v>
      </c>
      <c r="L892" t="n">
        <v>0</v>
      </c>
      <c r="M892" t="n">
        <v>0</v>
      </c>
      <c r="N892" t="n">
        <v>0</v>
      </c>
      <c r="O892" t="n">
        <v>0</v>
      </c>
      <c r="P892" t="n">
        <v>0</v>
      </c>
      <c r="Q892" t="n">
        <v>0</v>
      </c>
      <c r="R892" s="2" t="inlineStr"/>
    </row>
    <row r="893" ht="15" customHeight="1">
      <c r="A893" t="inlineStr">
        <is>
          <t>A 15894-2025</t>
        </is>
      </c>
      <c r="B893" s="1" t="n">
        <v>45749</v>
      </c>
      <c r="C893" s="1" t="n">
        <v>46176</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43529-2024</t>
        </is>
      </c>
      <c r="B894" s="1" t="n">
        <v>45569.35209490741</v>
      </c>
      <c r="C894" s="1" t="n">
        <v>46176</v>
      </c>
      <c r="D894" t="inlineStr">
        <is>
          <t>ÖREBRO LÄN</t>
        </is>
      </c>
      <c r="E894" t="inlineStr">
        <is>
          <t>LINDESBERG</t>
        </is>
      </c>
      <c r="G894" t="n">
        <v>2.8</v>
      </c>
      <c r="H894" t="n">
        <v>0</v>
      </c>
      <c r="I894" t="n">
        <v>0</v>
      </c>
      <c r="J894" t="n">
        <v>0</v>
      </c>
      <c r="K894" t="n">
        <v>0</v>
      </c>
      <c r="L894" t="n">
        <v>0</v>
      </c>
      <c r="M894" t="n">
        <v>0</v>
      </c>
      <c r="N894" t="n">
        <v>0</v>
      </c>
      <c r="O894" t="n">
        <v>0</v>
      </c>
      <c r="P894" t="n">
        <v>0</v>
      </c>
      <c r="Q894" t="n">
        <v>0</v>
      </c>
      <c r="R894" s="2" t="inlineStr"/>
    </row>
    <row r="895" ht="15" customHeight="1">
      <c r="A895" t="inlineStr">
        <is>
          <t>A 54864-2024</t>
        </is>
      </c>
      <c r="B895" s="1" t="n">
        <v>45618.59456018519</v>
      </c>
      <c r="C895" s="1" t="n">
        <v>46176</v>
      </c>
      <c r="D895" t="inlineStr">
        <is>
          <t>ÖREBRO LÄN</t>
        </is>
      </c>
      <c r="E895" t="inlineStr">
        <is>
          <t>LINDESBERG</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32009-2023</t>
        </is>
      </c>
      <c r="B896" s="1" t="n">
        <v>45119</v>
      </c>
      <c r="C896" s="1" t="n">
        <v>46176</v>
      </c>
      <c r="D896" t="inlineStr">
        <is>
          <t>ÖREBRO LÄN</t>
        </is>
      </c>
      <c r="E896" t="inlineStr">
        <is>
          <t>LINDESBERG</t>
        </is>
      </c>
      <c r="F896" t="inlineStr">
        <is>
          <t>Kyrkan</t>
        </is>
      </c>
      <c r="G896" t="n">
        <v>0.8</v>
      </c>
      <c r="H896" t="n">
        <v>0</v>
      </c>
      <c r="I896" t="n">
        <v>0</v>
      </c>
      <c r="J896" t="n">
        <v>0</v>
      </c>
      <c r="K896" t="n">
        <v>0</v>
      </c>
      <c r="L896" t="n">
        <v>0</v>
      </c>
      <c r="M896" t="n">
        <v>0</v>
      </c>
      <c r="N896" t="n">
        <v>0</v>
      </c>
      <c r="O896" t="n">
        <v>0</v>
      </c>
      <c r="P896" t="n">
        <v>0</v>
      </c>
      <c r="Q896" t="n">
        <v>0</v>
      </c>
      <c r="R896" s="2" t="inlineStr"/>
    </row>
    <row r="897" ht="15" customHeight="1">
      <c r="A897" t="inlineStr">
        <is>
          <t>A 3148-2023</t>
        </is>
      </c>
      <c r="B897" s="1" t="n">
        <v>44946.54424768518</v>
      </c>
      <c r="C897" s="1" t="n">
        <v>46176</v>
      </c>
      <c r="D897" t="inlineStr">
        <is>
          <t>ÖREBRO LÄN</t>
        </is>
      </c>
      <c r="E897" t="inlineStr">
        <is>
          <t>LINDESBERG</t>
        </is>
      </c>
      <c r="G897" t="n">
        <v>5.5</v>
      </c>
      <c r="H897" t="n">
        <v>0</v>
      </c>
      <c r="I897" t="n">
        <v>0</v>
      </c>
      <c r="J897" t="n">
        <v>0</v>
      </c>
      <c r="K897" t="n">
        <v>0</v>
      </c>
      <c r="L897" t="n">
        <v>0</v>
      </c>
      <c r="M897" t="n">
        <v>0</v>
      </c>
      <c r="N897" t="n">
        <v>0</v>
      </c>
      <c r="O897" t="n">
        <v>0</v>
      </c>
      <c r="P897" t="n">
        <v>0</v>
      </c>
      <c r="Q897" t="n">
        <v>0</v>
      </c>
      <c r="R897" s="2" t="inlineStr"/>
    </row>
    <row r="898" ht="15" customHeight="1">
      <c r="A898" t="inlineStr">
        <is>
          <t>A 54855-2024</t>
        </is>
      </c>
      <c r="B898" s="1" t="n">
        <v>45618.58622685185</v>
      </c>
      <c r="C898" s="1" t="n">
        <v>46176</v>
      </c>
      <c r="D898" t="inlineStr">
        <is>
          <t>ÖREBRO LÄN</t>
        </is>
      </c>
      <c r="E898" t="inlineStr">
        <is>
          <t>LINDESBERG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37432-2022</t>
        </is>
      </c>
      <c r="B899" s="1" t="n">
        <v>44809</v>
      </c>
      <c r="C899" s="1" t="n">
        <v>46176</v>
      </c>
      <c r="D899" t="inlineStr">
        <is>
          <t>ÖREBRO LÄN</t>
        </is>
      </c>
      <c r="E899" t="inlineStr">
        <is>
          <t>LINDESBERG</t>
        </is>
      </c>
      <c r="G899" t="n">
        <v>3.6</v>
      </c>
      <c r="H899" t="n">
        <v>0</v>
      </c>
      <c r="I899" t="n">
        <v>0</v>
      </c>
      <c r="J899" t="n">
        <v>0</v>
      </c>
      <c r="K899" t="n">
        <v>0</v>
      </c>
      <c r="L899" t="n">
        <v>0</v>
      </c>
      <c r="M899" t="n">
        <v>0</v>
      </c>
      <c r="N899" t="n">
        <v>0</v>
      </c>
      <c r="O899" t="n">
        <v>0</v>
      </c>
      <c r="P899" t="n">
        <v>0</v>
      </c>
      <c r="Q899" t="n">
        <v>0</v>
      </c>
      <c r="R899" s="2" t="inlineStr"/>
    </row>
    <row r="900" ht="15" customHeight="1">
      <c r="A900" t="inlineStr">
        <is>
          <t>A 61202-2023</t>
        </is>
      </c>
      <c r="B900" s="1" t="n">
        <v>45264.38084490741</v>
      </c>
      <c r="C900" s="1" t="n">
        <v>46176</v>
      </c>
      <c r="D900" t="inlineStr">
        <is>
          <t>ÖREBRO LÄN</t>
        </is>
      </c>
      <c r="E900" t="inlineStr">
        <is>
          <t>LINDESBERG</t>
        </is>
      </c>
      <c r="G900" t="n">
        <v>0.9</v>
      </c>
      <c r="H900" t="n">
        <v>0</v>
      </c>
      <c r="I900" t="n">
        <v>0</v>
      </c>
      <c r="J900" t="n">
        <v>0</v>
      </c>
      <c r="K900" t="n">
        <v>0</v>
      </c>
      <c r="L900" t="n">
        <v>0</v>
      </c>
      <c r="M900" t="n">
        <v>0</v>
      </c>
      <c r="N900" t="n">
        <v>0</v>
      </c>
      <c r="O900" t="n">
        <v>0</v>
      </c>
      <c r="P900" t="n">
        <v>0</v>
      </c>
      <c r="Q900" t="n">
        <v>0</v>
      </c>
      <c r="R900" s="2" t="inlineStr"/>
    </row>
    <row r="901" ht="15" customHeight="1">
      <c r="A901" t="inlineStr">
        <is>
          <t>A 7120-2025</t>
        </is>
      </c>
      <c r="B901" s="1" t="n">
        <v>45702</v>
      </c>
      <c r="C901" s="1" t="n">
        <v>46176</v>
      </c>
      <c r="D901" t="inlineStr">
        <is>
          <t>ÖREBRO LÄN</t>
        </is>
      </c>
      <c r="E901" t="inlineStr">
        <is>
          <t>LINDESBERG</t>
        </is>
      </c>
      <c r="G901" t="n">
        <v>0.5</v>
      </c>
      <c r="H901" t="n">
        <v>0</v>
      </c>
      <c r="I901" t="n">
        <v>0</v>
      </c>
      <c r="J901" t="n">
        <v>0</v>
      </c>
      <c r="K901" t="n">
        <v>0</v>
      </c>
      <c r="L901" t="n">
        <v>0</v>
      </c>
      <c r="M901" t="n">
        <v>0</v>
      </c>
      <c r="N901" t="n">
        <v>0</v>
      </c>
      <c r="O901" t="n">
        <v>0</v>
      </c>
      <c r="P901" t="n">
        <v>0</v>
      </c>
      <c r="Q901" t="n">
        <v>0</v>
      </c>
      <c r="R901" s="2" t="inlineStr"/>
    </row>
    <row r="902" ht="15" customHeight="1">
      <c r="A902" t="inlineStr">
        <is>
          <t>A 195-2022</t>
        </is>
      </c>
      <c r="B902" s="1" t="n">
        <v>44564</v>
      </c>
      <c r="C902" s="1" t="n">
        <v>46176</v>
      </c>
      <c r="D902" t="inlineStr">
        <is>
          <t>ÖREBRO LÄN</t>
        </is>
      </c>
      <c r="E902" t="inlineStr">
        <is>
          <t>LINDESBERG</t>
        </is>
      </c>
      <c r="G902" t="n">
        <v>4.7</v>
      </c>
      <c r="H902" t="n">
        <v>0</v>
      </c>
      <c r="I902" t="n">
        <v>0</v>
      </c>
      <c r="J902" t="n">
        <v>0</v>
      </c>
      <c r="K902" t="n">
        <v>0</v>
      </c>
      <c r="L902" t="n">
        <v>0</v>
      </c>
      <c r="M902" t="n">
        <v>0</v>
      </c>
      <c r="N902" t="n">
        <v>0</v>
      </c>
      <c r="O902" t="n">
        <v>0</v>
      </c>
      <c r="P902" t="n">
        <v>0</v>
      </c>
      <c r="Q902" t="n">
        <v>0</v>
      </c>
      <c r="R902" s="2" t="inlineStr"/>
    </row>
    <row r="903" ht="15" customHeight="1">
      <c r="A903" t="inlineStr">
        <is>
          <t>A 51379-2023</t>
        </is>
      </c>
      <c r="B903" s="1" t="n">
        <v>45219</v>
      </c>
      <c r="C903" s="1" t="n">
        <v>46176</v>
      </c>
      <c r="D903" t="inlineStr">
        <is>
          <t>ÖREBRO LÄN</t>
        </is>
      </c>
      <c r="E903" t="inlineStr">
        <is>
          <t>LINDESBERG</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16054-2022</t>
        </is>
      </c>
      <c r="B904" s="1" t="n">
        <v>44665</v>
      </c>
      <c r="C904" s="1" t="n">
        <v>46176</v>
      </c>
      <c r="D904" t="inlineStr">
        <is>
          <t>ÖREBRO LÄN</t>
        </is>
      </c>
      <c r="E904" t="inlineStr">
        <is>
          <t>LINDESBERG</t>
        </is>
      </c>
      <c r="G904" t="n">
        <v>6.9</v>
      </c>
      <c r="H904" t="n">
        <v>0</v>
      </c>
      <c r="I904" t="n">
        <v>0</v>
      </c>
      <c r="J904" t="n">
        <v>0</v>
      </c>
      <c r="K904" t="n">
        <v>0</v>
      </c>
      <c r="L904" t="n">
        <v>0</v>
      </c>
      <c r="M904" t="n">
        <v>0</v>
      </c>
      <c r="N904" t="n">
        <v>0</v>
      </c>
      <c r="O904" t="n">
        <v>0</v>
      </c>
      <c r="P904" t="n">
        <v>0</v>
      </c>
      <c r="Q904" t="n">
        <v>0</v>
      </c>
      <c r="R904" s="2" t="inlineStr"/>
    </row>
    <row r="905" ht="15" customHeight="1">
      <c r="A905" t="inlineStr">
        <is>
          <t>A 49544-2023</t>
        </is>
      </c>
      <c r="B905" s="1" t="n">
        <v>45211</v>
      </c>
      <c r="C905" s="1" t="n">
        <v>46176</v>
      </c>
      <c r="D905" t="inlineStr">
        <is>
          <t>ÖREBRO LÄN</t>
        </is>
      </c>
      <c r="E905" t="inlineStr">
        <is>
          <t>LINDESBERG</t>
        </is>
      </c>
      <c r="G905" t="n">
        <v>0.5</v>
      </c>
      <c r="H905" t="n">
        <v>0</v>
      </c>
      <c r="I905" t="n">
        <v>0</v>
      </c>
      <c r="J905" t="n">
        <v>0</v>
      </c>
      <c r="K905" t="n">
        <v>0</v>
      </c>
      <c r="L905" t="n">
        <v>0</v>
      </c>
      <c r="M905" t="n">
        <v>0</v>
      </c>
      <c r="N905" t="n">
        <v>0</v>
      </c>
      <c r="O905" t="n">
        <v>0</v>
      </c>
      <c r="P905" t="n">
        <v>0</v>
      </c>
      <c r="Q905" t="n">
        <v>0</v>
      </c>
      <c r="R905" s="2" t="inlineStr"/>
    </row>
    <row r="906" ht="15" customHeight="1">
      <c r="A906" t="inlineStr">
        <is>
          <t>A 48756-2024</t>
        </is>
      </c>
      <c r="B906" s="1" t="n">
        <v>45593.59681712963</v>
      </c>
      <c r="C906" s="1" t="n">
        <v>46176</v>
      </c>
      <c r="D906" t="inlineStr">
        <is>
          <t>ÖREBRO LÄN</t>
        </is>
      </c>
      <c r="E906" t="inlineStr">
        <is>
          <t>LINDESBERG</t>
        </is>
      </c>
      <c r="G906" t="n">
        <v>1.6</v>
      </c>
      <c r="H906" t="n">
        <v>0</v>
      </c>
      <c r="I906" t="n">
        <v>0</v>
      </c>
      <c r="J906" t="n">
        <v>0</v>
      </c>
      <c r="K906" t="n">
        <v>0</v>
      </c>
      <c r="L906" t="n">
        <v>0</v>
      </c>
      <c r="M906" t="n">
        <v>0</v>
      </c>
      <c r="N906" t="n">
        <v>0</v>
      </c>
      <c r="O906" t="n">
        <v>0</v>
      </c>
      <c r="P906" t="n">
        <v>0</v>
      </c>
      <c r="Q906" t="n">
        <v>0</v>
      </c>
      <c r="R906" s="2" t="inlineStr"/>
    </row>
    <row r="907" ht="15" customHeight="1">
      <c r="A907" t="inlineStr">
        <is>
          <t>A 15892-2025</t>
        </is>
      </c>
      <c r="B907" s="1" t="n">
        <v>45749</v>
      </c>
      <c r="C907" s="1" t="n">
        <v>46176</v>
      </c>
      <c r="D907" t="inlineStr">
        <is>
          <t>ÖREBRO LÄN</t>
        </is>
      </c>
      <c r="E907" t="inlineStr">
        <is>
          <t>LINDESBERG</t>
        </is>
      </c>
      <c r="G907" t="n">
        <v>0.8</v>
      </c>
      <c r="H907" t="n">
        <v>0</v>
      </c>
      <c r="I907" t="n">
        <v>0</v>
      </c>
      <c r="J907" t="n">
        <v>0</v>
      </c>
      <c r="K907" t="n">
        <v>0</v>
      </c>
      <c r="L907" t="n">
        <v>0</v>
      </c>
      <c r="M907" t="n">
        <v>0</v>
      </c>
      <c r="N907" t="n">
        <v>0</v>
      </c>
      <c r="O907" t="n">
        <v>0</v>
      </c>
      <c r="P907" t="n">
        <v>0</v>
      </c>
      <c r="Q907" t="n">
        <v>0</v>
      </c>
      <c r="R907" s="2" t="inlineStr"/>
    </row>
    <row r="908" ht="15" customHeight="1">
      <c r="A908" t="inlineStr">
        <is>
          <t>A 23260-2024</t>
        </is>
      </c>
      <c r="B908" s="1" t="n">
        <v>45453.36664351852</v>
      </c>
      <c r="C908" s="1" t="n">
        <v>46176</v>
      </c>
      <c r="D908" t="inlineStr">
        <is>
          <t>ÖREBRO LÄN</t>
        </is>
      </c>
      <c r="E908" t="inlineStr">
        <is>
          <t>LINDESBERG</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46607-2021</t>
        </is>
      </c>
      <c r="B909" s="1" t="n">
        <v>44445.55690972223</v>
      </c>
      <c r="C909" s="1" t="n">
        <v>46176</v>
      </c>
      <c r="D909" t="inlineStr">
        <is>
          <t>ÖREBRO LÄN</t>
        </is>
      </c>
      <c r="E909" t="inlineStr">
        <is>
          <t>LINDESBERG</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20930-2025</t>
        </is>
      </c>
      <c r="B910" s="1" t="n">
        <v>45777.42628472222</v>
      </c>
      <c r="C910" s="1" t="n">
        <v>46176</v>
      </c>
      <c r="D910" t="inlineStr">
        <is>
          <t>ÖREBRO LÄN</t>
        </is>
      </c>
      <c r="E910" t="inlineStr">
        <is>
          <t>LINDESBERG</t>
        </is>
      </c>
      <c r="F910" t="inlineStr">
        <is>
          <t>Sveaskog</t>
        </is>
      </c>
      <c r="G910" t="n">
        <v>3.9</v>
      </c>
      <c r="H910" t="n">
        <v>0</v>
      </c>
      <c r="I910" t="n">
        <v>0</v>
      </c>
      <c r="J910" t="n">
        <v>0</v>
      </c>
      <c r="K910" t="n">
        <v>0</v>
      </c>
      <c r="L910" t="n">
        <v>0</v>
      </c>
      <c r="M910" t="n">
        <v>0</v>
      </c>
      <c r="N910" t="n">
        <v>0</v>
      </c>
      <c r="O910" t="n">
        <v>0</v>
      </c>
      <c r="P910" t="n">
        <v>0</v>
      </c>
      <c r="Q910" t="n">
        <v>0</v>
      </c>
      <c r="R910" s="2" t="inlineStr"/>
    </row>
    <row r="911" ht="15" customHeight="1">
      <c r="A911" t="inlineStr">
        <is>
          <t>A 20923-2025</t>
        </is>
      </c>
      <c r="B911" s="1" t="n">
        <v>45777.41673611111</v>
      </c>
      <c r="C911" s="1" t="n">
        <v>46176</v>
      </c>
      <c r="D911" t="inlineStr">
        <is>
          <t>ÖREBRO LÄN</t>
        </is>
      </c>
      <c r="E911" t="inlineStr">
        <is>
          <t>LINDESBERG</t>
        </is>
      </c>
      <c r="F911" t="inlineStr">
        <is>
          <t>Sveaskog</t>
        </is>
      </c>
      <c r="G911" t="n">
        <v>10.3</v>
      </c>
      <c r="H911" t="n">
        <v>0</v>
      </c>
      <c r="I911" t="n">
        <v>0</v>
      </c>
      <c r="J911" t="n">
        <v>0</v>
      </c>
      <c r="K911" t="n">
        <v>0</v>
      </c>
      <c r="L911" t="n">
        <v>0</v>
      </c>
      <c r="M911" t="n">
        <v>0</v>
      </c>
      <c r="N911" t="n">
        <v>0</v>
      </c>
      <c r="O911" t="n">
        <v>0</v>
      </c>
      <c r="P911" t="n">
        <v>0</v>
      </c>
      <c r="Q911" t="n">
        <v>0</v>
      </c>
      <c r="R911" s="2" t="inlineStr"/>
    </row>
    <row r="912" ht="15" customHeight="1">
      <c r="A912" t="inlineStr">
        <is>
          <t>A 12795-2025</t>
        </is>
      </c>
      <c r="B912" s="1" t="n">
        <v>45733.60959490741</v>
      </c>
      <c r="C912" s="1" t="n">
        <v>46176</v>
      </c>
      <c r="D912" t="inlineStr">
        <is>
          <t>ÖREBRO LÄN</t>
        </is>
      </c>
      <c r="E912" t="inlineStr">
        <is>
          <t>LINDESBERG</t>
        </is>
      </c>
      <c r="G912" t="n">
        <v>10.8</v>
      </c>
      <c r="H912" t="n">
        <v>0</v>
      </c>
      <c r="I912" t="n">
        <v>0</v>
      </c>
      <c r="J912" t="n">
        <v>0</v>
      </c>
      <c r="K912" t="n">
        <v>0</v>
      </c>
      <c r="L912" t="n">
        <v>0</v>
      </c>
      <c r="M912" t="n">
        <v>0</v>
      </c>
      <c r="N912" t="n">
        <v>0</v>
      </c>
      <c r="O912" t="n">
        <v>0</v>
      </c>
      <c r="P912" t="n">
        <v>0</v>
      </c>
      <c r="Q912" t="n">
        <v>0</v>
      </c>
      <c r="R912" s="2" t="inlineStr"/>
    </row>
    <row r="913" ht="15" customHeight="1">
      <c r="A913" t="inlineStr">
        <is>
          <t>A 20944-2025</t>
        </is>
      </c>
      <c r="B913" s="1" t="n">
        <v>45777</v>
      </c>
      <c r="C913" s="1" t="n">
        <v>46176</v>
      </c>
      <c r="D913" t="inlineStr">
        <is>
          <t>ÖREBRO LÄN</t>
        </is>
      </c>
      <c r="E913" t="inlineStr">
        <is>
          <t>LINDESBERG</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20950-2025</t>
        </is>
      </c>
      <c r="B914" s="1" t="n">
        <v>45777.43878472222</v>
      </c>
      <c r="C914" s="1" t="n">
        <v>46176</v>
      </c>
      <c r="D914" t="inlineStr">
        <is>
          <t>ÖREBRO LÄN</t>
        </is>
      </c>
      <c r="E914" t="inlineStr">
        <is>
          <t>LINDESBERG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20804-2025</t>
        </is>
      </c>
      <c r="B915" s="1" t="n">
        <v>45776.65518518518</v>
      </c>
      <c r="C915" s="1" t="n">
        <v>46176</v>
      </c>
      <c r="D915" t="inlineStr">
        <is>
          <t>ÖREBRO LÄN</t>
        </is>
      </c>
      <c r="E915" t="inlineStr">
        <is>
          <t>LINDESBERG</t>
        </is>
      </c>
      <c r="G915" t="n">
        <v>3.2</v>
      </c>
      <c r="H915" t="n">
        <v>0</v>
      </c>
      <c r="I915" t="n">
        <v>0</v>
      </c>
      <c r="J915" t="n">
        <v>0</v>
      </c>
      <c r="K915" t="n">
        <v>0</v>
      </c>
      <c r="L915" t="n">
        <v>0</v>
      </c>
      <c r="M915" t="n">
        <v>0</v>
      </c>
      <c r="N915" t="n">
        <v>0</v>
      </c>
      <c r="O915" t="n">
        <v>0</v>
      </c>
      <c r="P915" t="n">
        <v>0</v>
      </c>
      <c r="Q915" t="n">
        <v>0</v>
      </c>
      <c r="R915" s="2" t="inlineStr"/>
    </row>
    <row r="916" ht="15" customHeight="1">
      <c r="A916" t="inlineStr">
        <is>
          <t>A 21812-2025</t>
        </is>
      </c>
      <c r="B916" s="1" t="n">
        <v>45783.71833333333</v>
      </c>
      <c r="C916" s="1" t="n">
        <v>46176</v>
      </c>
      <c r="D916" t="inlineStr">
        <is>
          <t>ÖREBRO LÄN</t>
        </is>
      </c>
      <c r="E916" t="inlineStr">
        <is>
          <t>LINDESBERG</t>
        </is>
      </c>
      <c r="G916" t="n">
        <v>0.9</v>
      </c>
      <c r="H916" t="n">
        <v>0</v>
      </c>
      <c r="I916" t="n">
        <v>0</v>
      </c>
      <c r="J916" t="n">
        <v>0</v>
      </c>
      <c r="K916" t="n">
        <v>0</v>
      </c>
      <c r="L916" t="n">
        <v>0</v>
      </c>
      <c r="M916" t="n">
        <v>0</v>
      </c>
      <c r="N916" t="n">
        <v>0</v>
      </c>
      <c r="O916" t="n">
        <v>0</v>
      </c>
      <c r="P916" t="n">
        <v>0</v>
      </c>
      <c r="Q916" t="n">
        <v>0</v>
      </c>
      <c r="R916" s="2" t="inlineStr"/>
    </row>
    <row r="917" ht="15" customHeight="1">
      <c r="A917" t="inlineStr">
        <is>
          <t>A 43195-2024</t>
        </is>
      </c>
      <c r="B917" s="1" t="n">
        <v>45567.68003472222</v>
      </c>
      <c r="C917" s="1" t="n">
        <v>46176</v>
      </c>
      <c r="D917" t="inlineStr">
        <is>
          <t>ÖREBRO LÄN</t>
        </is>
      </c>
      <c r="E917" t="inlineStr">
        <is>
          <t>LINDESBERG</t>
        </is>
      </c>
      <c r="G917" t="n">
        <v>27.8</v>
      </c>
      <c r="H917" t="n">
        <v>0</v>
      </c>
      <c r="I917" t="n">
        <v>0</v>
      </c>
      <c r="J917" t="n">
        <v>0</v>
      </c>
      <c r="K917" t="n">
        <v>0</v>
      </c>
      <c r="L917" t="n">
        <v>0</v>
      </c>
      <c r="M917" t="n">
        <v>0</v>
      </c>
      <c r="N917" t="n">
        <v>0</v>
      </c>
      <c r="O917" t="n">
        <v>0</v>
      </c>
      <c r="P917" t="n">
        <v>0</v>
      </c>
      <c r="Q917" t="n">
        <v>0</v>
      </c>
      <c r="R917" s="2" t="inlineStr"/>
    </row>
    <row r="918" ht="15" customHeight="1">
      <c r="A918" t="inlineStr">
        <is>
          <t>A 31861-2024</t>
        </is>
      </c>
      <c r="B918" s="1" t="n">
        <v>45509.73383101852</v>
      </c>
      <c r="C918" s="1" t="n">
        <v>46176</v>
      </c>
      <c r="D918" t="inlineStr">
        <is>
          <t>ÖREBRO LÄN</t>
        </is>
      </c>
      <c r="E918" t="inlineStr">
        <is>
          <t>LINDESBERG</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24583-2024</t>
        </is>
      </c>
      <c r="B919" s="1" t="n">
        <v>45460.46358796296</v>
      </c>
      <c r="C919" s="1" t="n">
        <v>46176</v>
      </c>
      <c r="D919" t="inlineStr">
        <is>
          <t>ÖREBRO LÄN</t>
        </is>
      </c>
      <c r="E919" t="inlineStr">
        <is>
          <t>LINDESBERG</t>
        </is>
      </c>
      <c r="G919" t="n">
        <v>13.7</v>
      </c>
      <c r="H919" t="n">
        <v>0</v>
      </c>
      <c r="I919" t="n">
        <v>0</v>
      </c>
      <c r="J919" t="n">
        <v>0</v>
      </c>
      <c r="K919" t="n">
        <v>0</v>
      </c>
      <c r="L919" t="n">
        <v>0</v>
      </c>
      <c r="M919" t="n">
        <v>0</v>
      </c>
      <c r="N919" t="n">
        <v>0</v>
      </c>
      <c r="O919" t="n">
        <v>0</v>
      </c>
      <c r="P919" t="n">
        <v>0</v>
      </c>
      <c r="Q919" t="n">
        <v>0</v>
      </c>
      <c r="R919" s="2" t="inlineStr"/>
    </row>
    <row r="920" ht="15" customHeight="1">
      <c r="A920" t="inlineStr">
        <is>
          <t>A 43532-2024</t>
        </is>
      </c>
      <c r="B920" s="1" t="n">
        <v>45569.3533912037</v>
      </c>
      <c r="C920" s="1" t="n">
        <v>46176</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59282-2023</t>
        </is>
      </c>
      <c r="B921" s="1" t="n">
        <v>45253</v>
      </c>
      <c r="C921" s="1" t="n">
        <v>46176</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47601-2023</t>
        </is>
      </c>
      <c r="B922" s="1" t="n">
        <v>45203.45681712963</v>
      </c>
      <c r="C922" s="1" t="n">
        <v>46176</v>
      </c>
      <c r="D922" t="inlineStr">
        <is>
          <t>ÖREBRO LÄN</t>
        </is>
      </c>
      <c r="E922" t="inlineStr">
        <is>
          <t>LINDESBERG</t>
        </is>
      </c>
      <c r="G922" t="n">
        <v>37.6</v>
      </c>
      <c r="H922" t="n">
        <v>0</v>
      </c>
      <c r="I922" t="n">
        <v>0</v>
      </c>
      <c r="J922" t="n">
        <v>0</v>
      </c>
      <c r="K922" t="n">
        <v>0</v>
      </c>
      <c r="L922" t="n">
        <v>0</v>
      </c>
      <c r="M922" t="n">
        <v>0</v>
      </c>
      <c r="N922" t="n">
        <v>0</v>
      </c>
      <c r="O922" t="n">
        <v>0</v>
      </c>
      <c r="P922" t="n">
        <v>0</v>
      </c>
      <c r="Q922" t="n">
        <v>0</v>
      </c>
      <c r="R922" s="2" t="inlineStr"/>
    </row>
    <row r="923" ht="15" customHeight="1">
      <c r="A923" t="inlineStr">
        <is>
          <t>A 22078-2025</t>
        </is>
      </c>
      <c r="B923" s="1" t="n">
        <v>45785.4253125</v>
      </c>
      <c r="C923" s="1" t="n">
        <v>46176</v>
      </c>
      <c r="D923" t="inlineStr">
        <is>
          <t>ÖREBRO LÄN</t>
        </is>
      </c>
      <c r="E923" t="inlineStr">
        <is>
          <t>LINDESBERG</t>
        </is>
      </c>
      <c r="G923" t="n">
        <v>2.4</v>
      </c>
      <c r="H923" t="n">
        <v>0</v>
      </c>
      <c r="I923" t="n">
        <v>0</v>
      </c>
      <c r="J923" t="n">
        <v>0</v>
      </c>
      <c r="K923" t="n">
        <v>0</v>
      </c>
      <c r="L923" t="n">
        <v>0</v>
      </c>
      <c r="M923" t="n">
        <v>0</v>
      </c>
      <c r="N923" t="n">
        <v>0</v>
      </c>
      <c r="O923" t="n">
        <v>0</v>
      </c>
      <c r="P923" t="n">
        <v>0</v>
      </c>
      <c r="Q923" t="n">
        <v>0</v>
      </c>
      <c r="R923" s="2" t="inlineStr"/>
    </row>
    <row r="924" ht="15" customHeight="1">
      <c r="A924" t="inlineStr">
        <is>
          <t>A 53355-2023</t>
        </is>
      </c>
      <c r="B924" s="1" t="n">
        <v>45229.66430555555</v>
      </c>
      <c r="C924" s="1" t="n">
        <v>46176</v>
      </c>
      <c r="D924" t="inlineStr">
        <is>
          <t>ÖREBRO LÄN</t>
        </is>
      </c>
      <c r="E924" t="inlineStr">
        <is>
          <t>LINDESBERG</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62308-2023</t>
        </is>
      </c>
      <c r="B925" s="1" t="n">
        <v>45267.69052083333</v>
      </c>
      <c r="C925" s="1" t="n">
        <v>46176</v>
      </c>
      <c r="D925" t="inlineStr">
        <is>
          <t>ÖREBRO LÄN</t>
        </is>
      </c>
      <c r="E925" t="inlineStr">
        <is>
          <t>LINDESBERG</t>
        </is>
      </c>
      <c r="F925" t="inlineStr">
        <is>
          <t>Naturvårdsverket</t>
        </is>
      </c>
      <c r="G925" t="n">
        <v>3.1</v>
      </c>
      <c r="H925" t="n">
        <v>0</v>
      </c>
      <c r="I925" t="n">
        <v>0</v>
      </c>
      <c r="J925" t="n">
        <v>0</v>
      </c>
      <c r="K925" t="n">
        <v>0</v>
      </c>
      <c r="L925" t="n">
        <v>0</v>
      </c>
      <c r="M925" t="n">
        <v>0</v>
      </c>
      <c r="N925" t="n">
        <v>0</v>
      </c>
      <c r="O925" t="n">
        <v>0</v>
      </c>
      <c r="P925" t="n">
        <v>0</v>
      </c>
      <c r="Q925" t="n">
        <v>0</v>
      </c>
      <c r="R925" s="2" t="inlineStr"/>
    </row>
    <row r="926" ht="15" customHeight="1">
      <c r="A926" t="inlineStr">
        <is>
          <t>A 36680-2024</t>
        </is>
      </c>
      <c r="B926" s="1" t="n">
        <v>45537.65305555556</v>
      </c>
      <c r="C926" s="1" t="n">
        <v>46176</v>
      </c>
      <c r="D926" t="inlineStr">
        <is>
          <t>ÖREBRO LÄN</t>
        </is>
      </c>
      <c r="E926" t="inlineStr">
        <is>
          <t>LINDESBERG</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22543-2025</t>
        </is>
      </c>
      <c r="B927" s="1" t="n">
        <v>45788.42467592593</v>
      </c>
      <c r="C927" s="1" t="n">
        <v>46176</v>
      </c>
      <c r="D927" t="inlineStr">
        <is>
          <t>ÖREBRO LÄN</t>
        </is>
      </c>
      <c r="E927" t="inlineStr">
        <is>
          <t>LINDESBERG</t>
        </is>
      </c>
      <c r="G927" t="n">
        <v>6.7</v>
      </c>
      <c r="H927" t="n">
        <v>0</v>
      </c>
      <c r="I927" t="n">
        <v>0</v>
      </c>
      <c r="J927" t="n">
        <v>0</v>
      </c>
      <c r="K927" t="n">
        <v>0</v>
      </c>
      <c r="L927" t="n">
        <v>0</v>
      </c>
      <c r="M927" t="n">
        <v>0</v>
      </c>
      <c r="N927" t="n">
        <v>0</v>
      </c>
      <c r="O927" t="n">
        <v>0</v>
      </c>
      <c r="P927" t="n">
        <v>0</v>
      </c>
      <c r="Q927" t="n">
        <v>0</v>
      </c>
      <c r="R927" s="2" t="inlineStr"/>
    </row>
    <row r="928" ht="15" customHeight="1">
      <c r="A928" t="inlineStr">
        <is>
          <t>A 36686-2024</t>
        </is>
      </c>
      <c r="B928" s="1" t="n">
        <v>45537.665</v>
      </c>
      <c r="C928" s="1" t="n">
        <v>46176</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28776-2023</t>
        </is>
      </c>
      <c r="B929" s="1" t="n">
        <v>45104.34107638889</v>
      </c>
      <c r="C929" s="1" t="n">
        <v>46176</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22438-2025</t>
        </is>
      </c>
      <c r="B930" s="1" t="n">
        <v>45786</v>
      </c>
      <c r="C930" s="1" t="n">
        <v>46176</v>
      </c>
      <c r="D930" t="inlineStr">
        <is>
          <t>ÖREBRO LÄN</t>
        </is>
      </c>
      <c r="E930" t="inlineStr">
        <is>
          <t>LINDESBERG</t>
        </is>
      </c>
      <c r="F930" t="inlineStr">
        <is>
          <t>Sveaskog</t>
        </is>
      </c>
      <c r="G930" t="n">
        <v>6.1</v>
      </c>
      <c r="H930" t="n">
        <v>0</v>
      </c>
      <c r="I930" t="n">
        <v>0</v>
      </c>
      <c r="J930" t="n">
        <v>0</v>
      </c>
      <c r="K930" t="n">
        <v>0</v>
      </c>
      <c r="L930" t="n">
        <v>0</v>
      </c>
      <c r="M930" t="n">
        <v>0</v>
      </c>
      <c r="N930" t="n">
        <v>0</v>
      </c>
      <c r="O930" t="n">
        <v>0</v>
      </c>
      <c r="P930" t="n">
        <v>0</v>
      </c>
      <c r="Q930" t="n">
        <v>0</v>
      </c>
      <c r="R930" s="2" t="inlineStr"/>
    </row>
    <row r="931" ht="15" customHeight="1">
      <c r="A931" t="inlineStr">
        <is>
          <t>A 59641-2024</t>
        </is>
      </c>
      <c r="B931" s="1" t="n">
        <v>45639.30934027778</v>
      </c>
      <c r="C931" s="1" t="n">
        <v>46176</v>
      </c>
      <c r="D931" t="inlineStr">
        <is>
          <t>ÖREBRO LÄN</t>
        </is>
      </c>
      <c r="E931" t="inlineStr">
        <is>
          <t>LINDESBERG</t>
        </is>
      </c>
      <c r="G931" t="n">
        <v>2.1</v>
      </c>
      <c r="H931" t="n">
        <v>0</v>
      </c>
      <c r="I931" t="n">
        <v>0</v>
      </c>
      <c r="J931" t="n">
        <v>0</v>
      </c>
      <c r="K931" t="n">
        <v>0</v>
      </c>
      <c r="L931" t="n">
        <v>0</v>
      </c>
      <c r="M931" t="n">
        <v>0</v>
      </c>
      <c r="N931" t="n">
        <v>0</v>
      </c>
      <c r="O931" t="n">
        <v>0</v>
      </c>
      <c r="P931" t="n">
        <v>0</v>
      </c>
      <c r="Q931" t="n">
        <v>0</v>
      </c>
      <c r="R931" s="2" t="inlineStr"/>
    </row>
    <row r="932" ht="15" customHeight="1">
      <c r="A932" t="inlineStr">
        <is>
          <t>A 23245-2025</t>
        </is>
      </c>
      <c r="B932" s="1" t="n">
        <v>45791.50862268519</v>
      </c>
      <c r="C932" s="1" t="n">
        <v>46176</v>
      </c>
      <c r="D932" t="inlineStr">
        <is>
          <t>ÖREBRO LÄN</t>
        </is>
      </c>
      <c r="E932" t="inlineStr">
        <is>
          <t>LINDESBERG</t>
        </is>
      </c>
      <c r="G932" t="n">
        <v>6.8</v>
      </c>
      <c r="H932" t="n">
        <v>0</v>
      </c>
      <c r="I932" t="n">
        <v>0</v>
      </c>
      <c r="J932" t="n">
        <v>0</v>
      </c>
      <c r="K932" t="n">
        <v>0</v>
      </c>
      <c r="L932" t="n">
        <v>0</v>
      </c>
      <c r="M932" t="n">
        <v>0</v>
      </c>
      <c r="N932" t="n">
        <v>0</v>
      </c>
      <c r="O932" t="n">
        <v>0</v>
      </c>
      <c r="P932" t="n">
        <v>0</v>
      </c>
      <c r="Q932" t="n">
        <v>0</v>
      </c>
      <c r="R932" s="2" t="inlineStr"/>
    </row>
    <row r="933" ht="15" customHeight="1">
      <c r="A933" t="inlineStr">
        <is>
          <t>A 42707-2023</t>
        </is>
      </c>
      <c r="B933" s="1" t="n">
        <v>45181</v>
      </c>
      <c r="C933" s="1" t="n">
        <v>46176</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17779-2024</t>
        </is>
      </c>
      <c r="B934" s="1" t="n">
        <v>45418.66800925926</v>
      </c>
      <c r="C934" s="1" t="n">
        <v>46176</v>
      </c>
      <c r="D934" t="inlineStr">
        <is>
          <t>ÖREBRO LÄN</t>
        </is>
      </c>
      <c r="E934" t="inlineStr">
        <is>
          <t>LINDESBERG</t>
        </is>
      </c>
      <c r="G934" t="n">
        <v>3.7</v>
      </c>
      <c r="H934" t="n">
        <v>0</v>
      </c>
      <c r="I934" t="n">
        <v>0</v>
      </c>
      <c r="J934" t="n">
        <v>0</v>
      </c>
      <c r="K934" t="n">
        <v>0</v>
      </c>
      <c r="L934" t="n">
        <v>0</v>
      </c>
      <c r="M934" t="n">
        <v>0</v>
      </c>
      <c r="N934" t="n">
        <v>0</v>
      </c>
      <c r="O934" t="n">
        <v>0</v>
      </c>
      <c r="P934" t="n">
        <v>0</v>
      </c>
      <c r="Q934" t="n">
        <v>0</v>
      </c>
      <c r="R934" s="2" t="inlineStr"/>
    </row>
    <row r="935" ht="15" customHeight="1">
      <c r="A935" t="inlineStr">
        <is>
          <t>A 54793-2024</t>
        </is>
      </c>
      <c r="B935" s="1" t="n">
        <v>45618</v>
      </c>
      <c r="C935" s="1" t="n">
        <v>46176</v>
      </c>
      <c r="D935" t="inlineStr">
        <is>
          <t>ÖREBRO LÄN</t>
        </is>
      </c>
      <c r="E935" t="inlineStr">
        <is>
          <t>LINDESBERG</t>
        </is>
      </c>
      <c r="G935" t="n">
        <v>3</v>
      </c>
      <c r="H935" t="n">
        <v>0</v>
      </c>
      <c r="I935" t="n">
        <v>0</v>
      </c>
      <c r="J935" t="n">
        <v>0</v>
      </c>
      <c r="K935" t="n">
        <v>0</v>
      </c>
      <c r="L935" t="n">
        <v>0</v>
      </c>
      <c r="M935" t="n">
        <v>0</v>
      </c>
      <c r="N935" t="n">
        <v>0</v>
      </c>
      <c r="O935" t="n">
        <v>0</v>
      </c>
      <c r="P935" t="n">
        <v>0</v>
      </c>
      <c r="Q935" t="n">
        <v>0</v>
      </c>
      <c r="R935" s="2" t="inlineStr"/>
    </row>
    <row r="936" ht="15" customHeight="1">
      <c r="A936" t="inlineStr">
        <is>
          <t>A 1400-2025</t>
        </is>
      </c>
      <c r="B936" s="1" t="n">
        <v>45667</v>
      </c>
      <c r="C936" s="1" t="n">
        <v>46176</v>
      </c>
      <c r="D936" t="inlineStr">
        <is>
          <t>ÖREBRO LÄN</t>
        </is>
      </c>
      <c r="E936" t="inlineStr">
        <is>
          <t>LINDESBERG</t>
        </is>
      </c>
      <c r="F936" t="inlineStr">
        <is>
          <t>Allmännings- och besparingsskogar</t>
        </is>
      </c>
      <c r="G936" t="n">
        <v>11.3</v>
      </c>
      <c r="H936" t="n">
        <v>0</v>
      </c>
      <c r="I936" t="n">
        <v>0</v>
      </c>
      <c r="J936" t="n">
        <v>0</v>
      </c>
      <c r="K936" t="n">
        <v>0</v>
      </c>
      <c r="L936" t="n">
        <v>0</v>
      </c>
      <c r="M936" t="n">
        <v>0</v>
      </c>
      <c r="N936" t="n">
        <v>0</v>
      </c>
      <c r="O936" t="n">
        <v>0</v>
      </c>
      <c r="P936" t="n">
        <v>0</v>
      </c>
      <c r="Q936" t="n">
        <v>0</v>
      </c>
      <c r="R936" s="2" t="inlineStr"/>
    </row>
    <row r="937" ht="15" customHeight="1">
      <c r="A937" t="inlineStr">
        <is>
          <t>A 21202-2024</t>
        </is>
      </c>
      <c r="B937" s="1" t="n">
        <v>45440.5433912037</v>
      </c>
      <c r="C937" s="1" t="n">
        <v>46176</v>
      </c>
      <c r="D937" t="inlineStr">
        <is>
          <t>ÖREBRO LÄN</t>
        </is>
      </c>
      <c r="E937" t="inlineStr">
        <is>
          <t>LINDESBERG</t>
        </is>
      </c>
      <c r="G937" t="n">
        <v>4</v>
      </c>
      <c r="H937" t="n">
        <v>0</v>
      </c>
      <c r="I937" t="n">
        <v>0</v>
      </c>
      <c r="J937" t="n">
        <v>0</v>
      </c>
      <c r="K937" t="n">
        <v>0</v>
      </c>
      <c r="L937" t="n">
        <v>0</v>
      </c>
      <c r="M937" t="n">
        <v>0</v>
      </c>
      <c r="N937" t="n">
        <v>0</v>
      </c>
      <c r="O937" t="n">
        <v>0</v>
      </c>
      <c r="P937" t="n">
        <v>0</v>
      </c>
      <c r="Q937" t="n">
        <v>0</v>
      </c>
      <c r="R937" s="2" t="inlineStr"/>
    </row>
    <row r="938" ht="15" customHeight="1">
      <c r="A938" t="inlineStr">
        <is>
          <t>A 23835-2025</t>
        </is>
      </c>
      <c r="B938" s="1" t="n">
        <v>45793.61047453704</v>
      </c>
      <c r="C938" s="1" t="n">
        <v>46176</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23844-2025</t>
        </is>
      </c>
      <c r="B939" s="1" t="n">
        <v>45793.62422453704</v>
      </c>
      <c r="C939" s="1" t="n">
        <v>46176</v>
      </c>
      <c r="D939" t="inlineStr">
        <is>
          <t>ÖREBRO LÄN</t>
        </is>
      </c>
      <c r="E939" t="inlineStr">
        <is>
          <t>LINDESBERG</t>
        </is>
      </c>
      <c r="F939" t="inlineStr">
        <is>
          <t>Sveaskog</t>
        </is>
      </c>
      <c r="G939" t="n">
        <v>0.4</v>
      </c>
      <c r="H939" t="n">
        <v>0</v>
      </c>
      <c r="I939" t="n">
        <v>0</v>
      </c>
      <c r="J939" t="n">
        <v>0</v>
      </c>
      <c r="K939" t="n">
        <v>0</v>
      </c>
      <c r="L939" t="n">
        <v>0</v>
      </c>
      <c r="M939" t="n">
        <v>0</v>
      </c>
      <c r="N939" t="n">
        <v>0</v>
      </c>
      <c r="O939" t="n">
        <v>0</v>
      </c>
      <c r="P939" t="n">
        <v>0</v>
      </c>
      <c r="Q939" t="n">
        <v>0</v>
      </c>
      <c r="R939" s="2" t="inlineStr"/>
    </row>
    <row r="940" ht="15" customHeight="1">
      <c r="A940" t="inlineStr">
        <is>
          <t>A 24186-2024</t>
        </is>
      </c>
      <c r="B940" s="1" t="n">
        <v>45456.90869212963</v>
      </c>
      <c r="C940" s="1" t="n">
        <v>46176</v>
      </c>
      <c r="D940" t="inlineStr">
        <is>
          <t>ÖREBRO LÄN</t>
        </is>
      </c>
      <c r="E940" t="inlineStr">
        <is>
          <t>LINDESBERG</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23933-2025</t>
        </is>
      </c>
      <c r="B941" s="1" t="n">
        <v>45795.71300925926</v>
      </c>
      <c r="C941" s="1" t="n">
        <v>46176</v>
      </c>
      <c r="D941" t="inlineStr">
        <is>
          <t>ÖREBRO LÄN</t>
        </is>
      </c>
      <c r="E941" t="inlineStr">
        <is>
          <t>LINDESBERG</t>
        </is>
      </c>
      <c r="G941" t="n">
        <v>2.2</v>
      </c>
      <c r="H941" t="n">
        <v>0</v>
      </c>
      <c r="I941" t="n">
        <v>0</v>
      </c>
      <c r="J941" t="n">
        <v>0</v>
      </c>
      <c r="K941" t="n">
        <v>0</v>
      </c>
      <c r="L941" t="n">
        <v>0</v>
      </c>
      <c r="M941" t="n">
        <v>0</v>
      </c>
      <c r="N941" t="n">
        <v>0</v>
      </c>
      <c r="O941" t="n">
        <v>0</v>
      </c>
      <c r="P941" t="n">
        <v>0</v>
      </c>
      <c r="Q941" t="n">
        <v>0</v>
      </c>
      <c r="R941" s="2" t="inlineStr"/>
    </row>
    <row r="942" ht="15" customHeight="1">
      <c r="A942" t="inlineStr">
        <is>
          <t>A 23932-2025</t>
        </is>
      </c>
      <c r="B942" s="1" t="n">
        <v>45795.70912037037</v>
      </c>
      <c r="C942" s="1" t="n">
        <v>46176</v>
      </c>
      <c r="D942" t="inlineStr">
        <is>
          <t>ÖREBRO LÄN</t>
        </is>
      </c>
      <c r="E942" t="inlineStr">
        <is>
          <t>LINDESBERG</t>
        </is>
      </c>
      <c r="G942" t="n">
        <v>2</v>
      </c>
      <c r="H942" t="n">
        <v>0</v>
      </c>
      <c r="I942" t="n">
        <v>0</v>
      </c>
      <c r="J942" t="n">
        <v>0</v>
      </c>
      <c r="K942" t="n">
        <v>0</v>
      </c>
      <c r="L942" t="n">
        <v>0</v>
      </c>
      <c r="M942" t="n">
        <v>0</v>
      </c>
      <c r="N942" t="n">
        <v>0</v>
      </c>
      <c r="O942" t="n">
        <v>0</v>
      </c>
      <c r="P942" t="n">
        <v>0</v>
      </c>
      <c r="Q942" t="n">
        <v>0</v>
      </c>
      <c r="R942" s="2" t="inlineStr"/>
    </row>
    <row r="943" ht="15" customHeight="1">
      <c r="A943" t="inlineStr">
        <is>
          <t>A 37125-2023</t>
        </is>
      </c>
      <c r="B943" s="1" t="n">
        <v>45155.5653125</v>
      </c>
      <c r="C943" s="1" t="n">
        <v>46176</v>
      </c>
      <c r="D943" t="inlineStr">
        <is>
          <t>ÖREBRO LÄN</t>
        </is>
      </c>
      <c r="E943" t="inlineStr">
        <is>
          <t>LINDESBERG</t>
        </is>
      </c>
      <c r="G943" t="n">
        <v>2</v>
      </c>
      <c r="H943" t="n">
        <v>0</v>
      </c>
      <c r="I943" t="n">
        <v>0</v>
      </c>
      <c r="J943" t="n">
        <v>0</v>
      </c>
      <c r="K943" t="n">
        <v>0</v>
      </c>
      <c r="L943" t="n">
        <v>0</v>
      </c>
      <c r="M943" t="n">
        <v>0</v>
      </c>
      <c r="N943" t="n">
        <v>0</v>
      </c>
      <c r="O943" t="n">
        <v>0</v>
      </c>
      <c r="P943" t="n">
        <v>0</v>
      </c>
      <c r="Q943" t="n">
        <v>0</v>
      </c>
      <c r="R943" s="2" t="inlineStr"/>
    </row>
    <row r="944" ht="15" customHeight="1">
      <c r="A944" t="inlineStr">
        <is>
          <t>A 57944-2023</t>
        </is>
      </c>
      <c r="B944" s="1" t="n">
        <v>45244</v>
      </c>
      <c r="C944" s="1" t="n">
        <v>46176</v>
      </c>
      <c r="D944" t="inlineStr">
        <is>
          <t>ÖREBRO LÄN</t>
        </is>
      </c>
      <c r="E944" t="inlineStr">
        <is>
          <t>LINDESBERG</t>
        </is>
      </c>
      <c r="G944" t="n">
        <v>2.4</v>
      </c>
      <c r="H944" t="n">
        <v>0</v>
      </c>
      <c r="I944" t="n">
        <v>0</v>
      </c>
      <c r="J944" t="n">
        <v>0</v>
      </c>
      <c r="K944" t="n">
        <v>0</v>
      </c>
      <c r="L944" t="n">
        <v>0</v>
      </c>
      <c r="M944" t="n">
        <v>0</v>
      </c>
      <c r="N944" t="n">
        <v>0</v>
      </c>
      <c r="O944" t="n">
        <v>0</v>
      </c>
      <c r="P944" t="n">
        <v>0</v>
      </c>
      <c r="Q944" t="n">
        <v>0</v>
      </c>
      <c r="R944" s="2" t="inlineStr"/>
    </row>
    <row r="945" ht="15" customHeight="1">
      <c r="A945" t="inlineStr">
        <is>
          <t>A 24017-2025</t>
        </is>
      </c>
      <c r="B945" s="1" t="n">
        <v>45796.44885416667</v>
      </c>
      <c r="C945" s="1" t="n">
        <v>46176</v>
      </c>
      <c r="D945" t="inlineStr">
        <is>
          <t>ÖREBRO LÄN</t>
        </is>
      </c>
      <c r="E945" t="inlineStr">
        <is>
          <t>LINDESBERG</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23897-2025</t>
        </is>
      </c>
      <c r="B946" s="1" t="n">
        <v>45794.33498842592</v>
      </c>
      <c r="C946" s="1" t="n">
        <v>46176</v>
      </c>
      <c r="D946" t="inlineStr">
        <is>
          <t>ÖREBRO LÄN</t>
        </is>
      </c>
      <c r="E946" t="inlineStr">
        <is>
          <t>LINDESBERG</t>
        </is>
      </c>
      <c r="G946" t="n">
        <v>5.6</v>
      </c>
      <c r="H946" t="n">
        <v>0</v>
      </c>
      <c r="I946" t="n">
        <v>0</v>
      </c>
      <c r="J946" t="n">
        <v>0</v>
      </c>
      <c r="K946" t="n">
        <v>0</v>
      </c>
      <c r="L946" t="n">
        <v>0</v>
      </c>
      <c r="M946" t="n">
        <v>0</v>
      </c>
      <c r="N946" t="n">
        <v>0</v>
      </c>
      <c r="O946" t="n">
        <v>0</v>
      </c>
      <c r="P946" t="n">
        <v>0</v>
      </c>
      <c r="Q946" t="n">
        <v>0</v>
      </c>
      <c r="R946" s="2" t="inlineStr"/>
    </row>
    <row r="947" ht="15" customHeight="1">
      <c r="A947" t="inlineStr">
        <is>
          <t>A 24107-2025</t>
        </is>
      </c>
      <c r="B947" s="1" t="n">
        <v>45796</v>
      </c>
      <c r="C947" s="1" t="n">
        <v>46176</v>
      </c>
      <c r="D947" t="inlineStr">
        <is>
          <t>ÖREBRO LÄN</t>
        </is>
      </c>
      <c r="E947" t="inlineStr">
        <is>
          <t>LINDESBERG</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23898-2025</t>
        </is>
      </c>
      <c r="B948" s="1" t="n">
        <v>45794.3419212963</v>
      </c>
      <c r="C948" s="1" t="n">
        <v>46176</v>
      </c>
      <c r="D948" t="inlineStr">
        <is>
          <t>ÖREBRO LÄN</t>
        </is>
      </c>
      <c r="E948" t="inlineStr">
        <is>
          <t>LINDESBERG</t>
        </is>
      </c>
      <c r="G948" t="n">
        <v>1</v>
      </c>
      <c r="H948" t="n">
        <v>0</v>
      </c>
      <c r="I948" t="n">
        <v>0</v>
      </c>
      <c r="J948" t="n">
        <v>0</v>
      </c>
      <c r="K948" t="n">
        <v>0</v>
      </c>
      <c r="L948" t="n">
        <v>0</v>
      </c>
      <c r="M948" t="n">
        <v>0</v>
      </c>
      <c r="N948" t="n">
        <v>0</v>
      </c>
      <c r="O948" t="n">
        <v>0</v>
      </c>
      <c r="P948" t="n">
        <v>0</v>
      </c>
      <c r="Q948" t="n">
        <v>0</v>
      </c>
      <c r="R948" s="2" t="inlineStr"/>
    </row>
    <row r="949" ht="15" customHeight="1">
      <c r="A949" t="inlineStr">
        <is>
          <t>A 24011-2025</t>
        </is>
      </c>
      <c r="B949" s="1" t="n">
        <v>45796</v>
      </c>
      <c r="C949" s="1" t="n">
        <v>46176</v>
      </c>
      <c r="D949" t="inlineStr">
        <is>
          <t>ÖREBRO LÄN</t>
        </is>
      </c>
      <c r="E949" t="inlineStr">
        <is>
          <t>LINDESBERG</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24020-2025</t>
        </is>
      </c>
      <c r="B950" s="1" t="n">
        <v>45796.45054398148</v>
      </c>
      <c r="C950" s="1" t="n">
        <v>46176</v>
      </c>
      <c r="D950" t="inlineStr">
        <is>
          <t>ÖREBRO LÄN</t>
        </is>
      </c>
      <c r="E950" t="inlineStr">
        <is>
          <t>LINDESBERG</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23934-2025</t>
        </is>
      </c>
      <c r="B951" s="1" t="n">
        <v>45795.71547453704</v>
      </c>
      <c r="C951" s="1" t="n">
        <v>46176</v>
      </c>
      <c r="D951" t="inlineStr">
        <is>
          <t>ÖREBRO LÄN</t>
        </is>
      </c>
      <c r="E951" t="inlineStr">
        <is>
          <t>LINDESBERG</t>
        </is>
      </c>
      <c r="G951" t="n">
        <v>1.9</v>
      </c>
      <c r="H951" t="n">
        <v>0</v>
      </c>
      <c r="I951" t="n">
        <v>0</v>
      </c>
      <c r="J951" t="n">
        <v>0</v>
      </c>
      <c r="K951" t="n">
        <v>0</v>
      </c>
      <c r="L951" t="n">
        <v>0</v>
      </c>
      <c r="M951" t="n">
        <v>0</v>
      </c>
      <c r="N951" t="n">
        <v>0</v>
      </c>
      <c r="O951" t="n">
        <v>0</v>
      </c>
      <c r="P951" t="n">
        <v>0</v>
      </c>
      <c r="Q951" t="n">
        <v>0</v>
      </c>
      <c r="R951" s="2" t="inlineStr"/>
    </row>
    <row r="952" ht="15" customHeight="1">
      <c r="A952" t="inlineStr">
        <is>
          <t>A 24043-2024</t>
        </is>
      </c>
      <c r="B952" s="1" t="n">
        <v>45456.48927083334</v>
      </c>
      <c r="C952" s="1" t="n">
        <v>46176</v>
      </c>
      <c r="D952" t="inlineStr">
        <is>
          <t>ÖREBRO LÄN</t>
        </is>
      </c>
      <c r="E952" t="inlineStr">
        <is>
          <t>LINDESBERG</t>
        </is>
      </c>
      <c r="G952" t="n">
        <v>6.2</v>
      </c>
      <c r="H952" t="n">
        <v>0</v>
      </c>
      <c r="I952" t="n">
        <v>0</v>
      </c>
      <c r="J952" t="n">
        <v>0</v>
      </c>
      <c r="K952" t="n">
        <v>0</v>
      </c>
      <c r="L952" t="n">
        <v>0</v>
      </c>
      <c r="M952" t="n">
        <v>0</v>
      </c>
      <c r="N952" t="n">
        <v>0</v>
      </c>
      <c r="O952" t="n">
        <v>0</v>
      </c>
      <c r="P952" t="n">
        <v>0</v>
      </c>
      <c r="Q952" t="n">
        <v>0</v>
      </c>
      <c r="R952" s="2" t="inlineStr"/>
    </row>
    <row r="953" ht="15" customHeight="1">
      <c r="A953" t="inlineStr">
        <is>
          <t>A 12250-2025</t>
        </is>
      </c>
      <c r="B953" s="1" t="n">
        <v>45729.60775462963</v>
      </c>
      <c r="C953" s="1" t="n">
        <v>46176</v>
      </c>
      <c r="D953" t="inlineStr">
        <is>
          <t>ÖREBRO LÄN</t>
        </is>
      </c>
      <c r="E953" t="inlineStr">
        <is>
          <t>LINDESBERG</t>
        </is>
      </c>
      <c r="G953" t="n">
        <v>3.4</v>
      </c>
      <c r="H953" t="n">
        <v>0</v>
      </c>
      <c r="I953" t="n">
        <v>0</v>
      </c>
      <c r="J953" t="n">
        <v>0</v>
      </c>
      <c r="K953" t="n">
        <v>0</v>
      </c>
      <c r="L953" t="n">
        <v>0</v>
      </c>
      <c r="M953" t="n">
        <v>0</v>
      </c>
      <c r="N953" t="n">
        <v>0</v>
      </c>
      <c r="O953" t="n">
        <v>0</v>
      </c>
      <c r="P953" t="n">
        <v>0</v>
      </c>
      <c r="Q953" t="n">
        <v>0</v>
      </c>
      <c r="R953" s="2" t="inlineStr"/>
    </row>
    <row r="954" ht="15" customHeight="1">
      <c r="A954" t="inlineStr">
        <is>
          <t>A 48231-2024</t>
        </is>
      </c>
      <c r="B954" s="1" t="n">
        <v>45590.37590277778</v>
      </c>
      <c r="C954" s="1" t="n">
        <v>46176</v>
      </c>
      <c r="D954" t="inlineStr">
        <is>
          <t>ÖREBRO LÄN</t>
        </is>
      </c>
      <c r="E954" t="inlineStr">
        <is>
          <t>LINDESBERG</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25643-2025</t>
        </is>
      </c>
      <c r="B955" s="1" t="n">
        <v>45803</v>
      </c>
      <c r="C955" s="1" t="n">
        <v>46176</v>
      </c>
      <c r="D955" t="inlineStr">
        <is>
          <t>ÖREBRO LÄN</t>
        </is>
      </c>
      <c r="E955" t="inlineStr">
        <is>
          <t>LINDESBERG</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25842-2025</t>
        </is>
      </c>
      <c r="B956" s="1" t="n">
        <v>45804.45474537037</v>
      </c>
      <c r="C956" s="1" t="n">
        <v>46176</v>
      </c>
      <c r="D956" t="inlineStr">
        <is>
          <t>ÖREBRO LÄN</t>
        </is>
      </c>
      <c r="E956" t="inlineStr">
        <is>
          <t>LINDESBERG</t>
        </is>
      </c>
      <c r="G956" t="n">
        <v>1.7</v>
      </c>
      <c r="H956" t="n">
        <v>0</v>
      </c>
      <c r="I956" t="n">
        <v>0</v>
      </c>
      <c r="J956" t="n">
        <v>0</v>
      </c>
      <c r="K956" t="n">
        <v>0</v>
      </c>
      <c r="L956" t="n">
        <v>0</v>
      </c>
      <c r="M956" t="n">
        <v>0</v>
      </c>
      <c r="N956" t="n">
        <v>0</v>
      </c>
      <c r="O956" t="n">
        <v>0</v>
      </c>
      <c r="P956" t="n">
        <v>0</v>
      </c>
      <c r="Q956" t="n">
        <v>0</v>
      </c>
      <c r="R956" s="2" t="inlineStr"/>
    </row>
    <row r="957" ht="15" customHeight="1">
      <c r="A957" t="inlineStr">
        <is>
          <t>A 26016-2025</t>
        </is>
      </c>
      <c r="B957" s="1" t="n">
        <v>45804.67795138889</v>
      </c>
      <c r="C957" s="1" t="n">
        <v>46176</v>
      </c>
      <c r="D957" t="inlineStr">
        <is>
          <t>ÖREBRO LÄN</t>
        </is>
      </c>
      <c r="E957" t="inlineStr">
        <is>
          <t>LINDESBERG</t>
        </is>
      </c>
      <c r="G957" t="n">
        <v>10</v>
      </c>
      <c r="H957" t="n">
        <v>0</v>
      </c>
      <c r="I957" t="n">
        <v>0</v>
      </c>
      <c r="J957" t="n">
        <v>0</v>
      </c>
      <c r="K957" t="n">
        <v>0</v>
      </c>
      <c r="L957" t="n">
        <v>0</v>
      </c>
      <c r="M957" t="n">
        <v>0</v>
      </c>
      <c r="N957" t="n">
        <v>0</v>
      </c>
      <c r="O957" t="n">
        <v>0</v>
      </c>
      <c r="P957" t="n">
        <v>0</v>
      </c>
      <c r="Q957" t="n">
        <v>0</v>
      </c>
      <c r="R957" s="2" t="inlineStr"/>
    </row>
    <row r="958" ht="15" customHeight="1">
      <c r="A958" t="inlineStr">
        <is>
          <t>A 25843-2025</t>
        </is>
      </c>
      <c r="B958" s="1" t="n">
        <v>45804.45584490741</v>
      </c>
      <c r="C958" s="1" t="n">
        <v>46176</v>
      </c>
      <c r="D958" t="inlineStr">
        <is>
          <t>ÖREBRO LÄN</t>
        </is>
      </c>
      <c r="E958" t="inlineStr">
        <is>
          <t>LINDESBERG</t>
        </is>
      </c>
      <c r="G958" t="n">
        <v>4.6</v>
      </c>
      <c r="H958" t="n">
        <v>0</v>
      </c>
      <c r="I958" t="n">
        <v>0</v>
      </c>
      <c r="J958" t="n">
        <v>0</v>
      </c>
      <c r="K958" t="n">
        <v>0</v>
      </c>
      <c r="L958" t="n">
        <v>0</v>
      </c>
      <c r="M958" t="n">
        <v>0</v>
      </c>
      <c r="N958" t="n">
        <v>0</v>
      </c>
      <c r="O958" t="n">
        <v>0</v>
      </c>
      <c r="P958" t="n">
        <v>0</v>
      </c>
      <c r="Q958" t="n">
        <v>0</v>
      </c>
      <c r="R958" s="2" t="inlineStr"/>
    </row>
    <row r="959" ht="15" customHeight="1">
      <c r="A959" t="inlineStr">
        <is>
          <t>A 27296-2025</t>
        </is>
      </c>
      <c r="B959" s="1" t="n">
        <v>45812.56952546296</v>
      </c>
      <c r="C959" s="1" t="n">
        <v>46176</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27300-2025</t>
        </is>
      </c>
      <c r="B960" s="1" t="n">
        <v>45812.57143518519</v>
      </c>
      <c r="C960" s="1" t="n">
        <v>46176</v>
      </c>
      <c r="D960" t="inlineStr">
        <is>
          <t>ÖREBRO LÄN</t>
        </is>
      </c>
      <c r="E960" t="inlineStr">
        <is>
          <t>LINDESBERG</t>
        </is>
      </c>
      <c r="F960" t="inlineStr">
        <is>
          <t>Sveaskog</t>
        </is>
      </c>
      <c r="G960" t="n">
        <v>19.7</v>
      </c>
      <c r="H960" t="n">
        <v>0</v>
      </c>
      <c r="I960" t="n">
        <v>0</v>
      </c>
      <c r="J960" t="n">
        <v>0</v>
      </c>
      <c r="K960" t="n">
        <v>0</v>
      </c>
      <c r="L960" t="n">
        <v>0</v>
      </c>
      <c r="M960" t="n">
        <v>0</v>
      </c>
      <c r="N960" t="n">
        <v>0</v>
      </c>
      <c r="O960" t="n">
        <v>0</v>
      </c>
      <c r="P960" t="n">
        <v>0</v>
      </c>
      <c r="Q960" t="n">
        <v>0</v>
      </c>
      <c r="R960" s="2" t="inlineStr"/>
    </row>
    <row r="961" ht="15" customHeight="1">
      <c r="A961" t="inlineStr">
        <is>
          <t>A 27309-2025</t>
        </is>
      </c>
      <c r="B961" s="1" t="n">
        <v>45812.57452546297</v>
      </c>
      <c r="C961" s="1" t="n">
        <v>46176</v>
      </c>
      <c r="D961" t="inlineStr">
        <is>
          <t>ÖREBRO LÄN</t>
        </is>
      </c>
      <c r="E961" t="inlineStr">
        <is>
          <t>LINDESBERG</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27311-2025</t>
        </is>
      </c>
      <c r="B962" s="1" t="n">
        <v>45812.57604166667</v>
      </c>
      <c r="C962" s="1" t="n">
        <v>46176</v>
      </c>
      <c r="D962" t="inlineStr">
        <is>
          <t>ÖREBRO LÄN</t>
        </is>
      </c>
      <c r="E962" t="inlineStr">
        <is>
          <t>LINDESBERG</t>
        </is>
      </c>
      <c r="F962" t="inlineStr">
        <is>
          <t>Sveaskog</t>
        </is>
      </c>
      <c r="G962" t="n">
        <v>4.8</v>
      </c>
      <c r="H962" t="n">
        <v>0</v>
      </c>
      <c r="I962" t="n">
        <v>0</v>
      </c>
      <c r="J962" t="n">
        <v>0</v>
      </c>
      <c r="K962" t="n">
        <v>0</v>
      </c>
      <c r="L962" t="n">
        <v>0</v>
      </c>
      <c r="M962" t="n">
        <v>0</v>
      </c>
      <c r="N962" t="n">
        <v>0</v>
      </c>
      <c r="O962" t="n">
        <v>0</v>
      </c>
      <c r="P962" t="n">
        <v>0</v>
      </c>
      <c r="Q962" t="n">
        <v>0</v>
      </c>
      <c r="R962" s="2" t="inlineStr"/>
    </row>
    <row r="963" ht="15" customHeight="1">
      <c r="A963" t="inlineStr">
        <is>
          <t>A 28040-2025</t>
        </is>
      </c>
      <c r="B963" s="1" t="n">
        <v>45817.6455324074</v>
      </c>
      <c r="C963" s="1" t="n">
        <v>46176</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28877-2025</t>
        </is>
      </c>
      <c r="B964" s="1" t="n">
        <v>45820.61684027778</v>
      </c>
      <c r="C964" s="1" t="n">
        <v>46176</v>
      </c>
      <c r="D964" t="inlineStr">
        <is>
          <t>ÖREBRO LÄN</t>
        </is>
      </c>
      <c r="E964" t="inlineStr">
        <is>
          <t>LINDESBERG</t>
        </is>
      </c>
      <c r="G964" t="n">
        <v>4.4</v>
      </c>
      <c r="H964" t="n">
        <v>0</v>
      </c>
      <c r="I964" t="n">
        <v>0</v>
      </c>
      <c r="J964" t="n">
        <v>0</v>
      </c>
      <c r="K964" t="n">
        <v>0</v>
      </c>
      <c r="L964" t="n">
        <v>0</v>
      </c>
      <c r="M964" t="n">
        <v>0</v>
      </c>
      <c r="N964" t="n">
        <v>0</v>
      </c>
      <c r="O964" t="n">
        <v>0</v>
      </c>
      <c r="P964" t="n">
        <v>0</v>
      </c>
      <c r="Q964" t="n">
        <v>0</v>
      </c>
      <c r="R964" s="2" t="inlineStr"/>
    </row>
    <row r="965" ht="15" customHeight="1">
      <c r="A965" t="inlineStr">
        <is>
          <t>A 28991-2025</t>
        </is>
      </c>
      <c r="B965" s="1" t="n">
        <v>45821.37199074074</v>
      </c>
      <c r="C965" s="1" t="n">
        <v>46176</v>
      </c>
      <c r="D965" t="inlineStr">
        <is>
          <t>ÖREBRO LÄN</t>
        </is>
      </c>
      <c r="E965" t="inlineStr">
        <is>
          <t>LINDESBERG</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29049-2025</t>
        </is>
      </c>
      <c r="B966" s="1" t="n">
        <v>45821.46135416667</v>
      </c>
      <c r="C966" s="1" t="n">
        <v>46176</v>
      </c>
      <c r="D966" t="inlineStr">
        <is>
          <t>ÖREBRO LÄN</t>
        </is>
      </c>
      <c r="E966" t="inlineStr">
        <is>
          <t>LINDESBERG</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29051-2025</t>
        </is>
      </c>
      <c r="B967" s="1" t="n">
        <v>45821.46486111111</v>
      </c>
      <c r="C967" s="1" t="n">
        <v>46176</v>
      </c>
      <c r="D967" t="inlineStr">
        <is>
          <t>ÖREBRO LÄN</t>
        </is>
      </c>
      <c r="E967" t="inlineStr">
        <is>
          <t>LINDESBERG</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29037-2025</t>
        </is>
      </c>
      <c r="B968" s="1" t="n">
        <v>45821.44521990741</v>
      </c>
      <c r="C968" s="1" t="n">
        <v>46176</v>
      </c>
      <c r="D968" t="inlineStr">
        <is>
          <t>ÖREBRO LÄN</t>
        </is>
      </c>
      <c r="E968" t="inlineStr">
        <is>
          <t>LINDESBERG</t>
        </is>
      </c>
      <c r="F968" t="inlineStr">
        <is>
          <t>Sveaskog</t>
        </is>
      </c>
      <c r="G968" t="n">
        <v>3.6</v>
      </c>
      <c r="H968" t="n">
        <v>0</v>
      </c>
      <c r="I968" t="n">
        <v>0</v>
      </c>
      <c r="J968" t="n">
        <v>0</v>
      </c>
      <c r="K968" t="n">
        <v>0</v>
      </c>
      <c r="L968" t="n">
        <v>0</v>
      </c>
      <c r="M968" t="n">
        <v>0</v>
      </c>
      <c r="N968" t="n">
        <v>0</v>
      </c>
      <c r="O968" t="n">
        <v>0</v>
      </c>
      <c r="P968" t="n">
        <v>0</v>
      </c>
      <c r="Q968" t="n">
        <v>0</v>
      </c>
      <c r="R968" s="2" t="inlineStr"/>
    </row>
    <row r="969" ht="15" customHeight="1">
      <c r="A969" t="inlineStr">
        <is>
          <t>A 30341-2025</t>
        </is>
      </c>
      <c r="B969" s="1" t="n">
        <v>45827.51862268519</v>
      </c>
      <c r="C969" s="1" t="n">
        <v>46176</v>
      </c>
      <c r="D969" t="inlineStr">
        <is>
          <t>ÖREBRO LÄN</t>
        </is>
      </c>
      <c r="E969" t="inlineStr">
        <is>
          <t>LINDESBERG</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30000-2025</t>
        </is>
      </c>
      <c r="B970" s="1" t="n">
        <v>45826.52024305556</v>
      </c>
      <c r="C970" s="1" t="n">
        <v>46176</v>
      </c>
      <c r="D970" t="inlineStr">
        <is>
          <t>ÖREBRO LÄN</t>
        </is>
      </c>
      <c r="E970" t="inlineStr">
        <is>
          <t>LINDESBERG</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30381-2025</t>
        </is>
      </c>
      <c r="B971" s="1" t="n">
        <v>45827.56939814815</v>
      </c>
      <c r="C971" s="1" t="n">
        <v>46176</v>
      </c>
      <c r="D971" t="inlineStr">
        <is>
          <t>ÖREBRO LÄN</t>
        </is>
      </c>
      <c r="E971" t="inlineStr">
        <is>
          <t>LINDESBERG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30340-2025</t>
        </is>
      </c>
      <c r="B972" s="1" t="n">
        <v>45827.51753472222</v>
      </c>
      <c r="C972" s="1" t="n">
        <v>46176</v>
      </c>
      <c r="D972" t="inlineStr">
        <is>
          <t>ÖREBRO LÄN</t>
        </is>
      </c>
      <c r="E972" t="inlineStr">
        <is>
          <t>LINDESBERG</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30342-2025</t>
        </is>
      </c>
      <c r="B973" s="1" t="n">
        <v>45827.51956018519</v>
      </c>
      <c r="C973" s="1" t="n">
        <v>46176</v>
      </c>
      <c r="D973" t="inlineStr">
        <is>
          <t>ÖREBRO LÄN</t>
        </is>
      </c>
      <c r="E973" t="inlineStr">
        <is>
          <t>LINDESBERG</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30339-2025</t>
        </is>
      </c>
      <c r="B974" s="1" t="n">
        <v>45827.51628472222</v>
      </c>
      <c r="C974" s="1" t="n">
        <v>46176</v>
      </c>
      <c r="D974" t="inlineStr">
        <is>
          <t>ÖREBRO LÄN</t>
        </is>
      </c>
      <c r="E974" t="inlineStr">
        <is>
          <t>LINDESBERG</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34029-2024</t>
        </is>
      </c>
      <c r="B975" s="1" t="n">
        <v>45523</v>
      </c>
      <c r="C975" s="1" t="n">
        <v>46176</v>
      </c>
      <c r="D975" t="inlineStr">
        <is>
          <t>ÖREBRO LÄN</t>
        </is>
      </c>
      <c r="E975" t="inlineStr">
        <is>
          <t>LINDESBERG</t>
        </is>
      </c>
      <c r="G975" t="n">
        <v>1.9</v>
      </c>
      <c r="H975" t="n">
        <v>0</v>
      </c>
      <c r="I975" t="n">
        <v>0</v>
      </c>
      <c r="J975" t="n">
        <v>0</v>
      </c>
      <c r="K975" t="n">
        <v>0</v>
      </c>
      <c r="L975" t="n">
        <v>0</v>
      </c>
      <c r="M975" t="n">
        <v>0</v>
      </c>
      <c r="N975" t="n">
        <v>0</v>
      </c>
      <c r="O975" t="n">
        <v>0</v>
      </c>
      <c r="P975" t="n">
        <v>0</v>
      </c>
      <c r="Q975" t="n">
        <v>0</v>
      </c>
      <c r="R975" s="2" t="inlineStr"/>
    </row>
    <row r="976" ht="15" customHeight="1">
      <c r="A976" t="inlineStr">
        <is>
          <t>A 31220-2025</t>
        </is>
      </c>
      <c r="B976" s="1" t="n">
        <v>45832.76100694444</v>
      </c>
      <c r="C976" s="1" t="n">
        <v>46176</v>
      </c>
      <c r="D976" t="inlineStr">
        <is>
          <t>ÖREBRO LÄN</t>
        </is>
      </c>
      <c r="E976" t="inlineStr">
        <is>
          <t>LINDESBERG</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31221-2025</t>
        </is>
      </c>
      <c r="B977" s="1" t="n">
        <v>45832.76491898148</v>
      </c>
      <c r="C977" s="1" t="n">
        <v>46176</v>
      </c>
      <c r="D977" t="inlineStr">
        <is>
          <t>ÖREBRO LÄN</t>
        </is>
      </c>
      <c r="E977" t="inlineStr">
        <is>
          <t>LINDESBERG</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31000-2025</t>
        </is>
      </c>
      <c r="B978" s="1" t="n">
        <v>45832.49325231482</v>
      </c>
      <c r="C978" s="1" t="n">
        <v>46176</v>
      </c>
      <c r="D978" t="inlineStr">
        <is>
          <t>ÖREBRO LÄN</t>
        </is>
      </c>
      <c r="E978" t="inlineStr">
        <is>
          <t>LINDESBERG</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31018-2025</t>
        </is>
      </c>
      <c r="B979" s="1" t="n">
        <v>45832.51255787037</v>
      </c>
      <c r="C979" s="1" t="n">
        <v>46176</v>
      </c>
      <c r="D979" t="inlineStr">
        <is>
          <t>ÖREBRO LÄN</t>
        </is>
      </c>
      <c r="E979" t="inlineStr">
        <is>
          <t>LINDESBERG</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31049-2025</t>
        </is>
      </c>
      <c r="B980" s="1" t="n">
        <v>45832.55810185185</v>
      </c>
      <c r="C980" s="1" t="n">
        <v>46176</v>
      </c>
      <c r="D980" t="inlineStr">
        <is>
          <t>ÖREBRO LÄN</t>
        </is>
      </c>
      <c r="E980" t="inlineStr">
        <is>
          <t>LINDESBERG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31213-2025</t>
        </is>
      </c>
      <c r="B981" s="1" t="n">
        <v>45832.72778935185</v>
      </c>
      <c r="C981" s="1" t="n">
        <v>46176</v>
      </c>
      <c r="D981" t="inlineStr">
        <is>
          <t>ÖREBRO LÄN</t>
        </is>
      </c>
      <c r="E981" t="inlineStr">
        <is>
          <t>LINDESBERG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31085-2025</t>
        </is>
      </c>
      <c r="B982" s="1" t="n">
        <v>45832.5902662037</v>
      </c>
      <c r="C982" s="1" t="n">
        <v>46176</v>
      </c>
      <c r="D982" t="inlineStr">
        <is>
          <t>ÖREBRO LÄN</t>
        </is>
      </c>
      <c r="E982" t="inlineStr">
        <is>
          <t>LINDESBERG</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31215-2025</t>
        </is>
      </c>
      <c r="B983" s="1" t="n">
        <v>45832.74418981482</v>
      </c>
      <c r="C983" s="1" t="n">
        <v>46176</v>
      </c>
      <c r="D983" t="inlineStr">
        <is>
          <t>ÖREBRO LÄN</t>
        </is>
      </c>
      <c r="E983" t="inlineStr">
        <is>
          <t>LINDESBERG</t>
        </is>
      </c>
      <c r="F983" t="inlineStr">
        <is>
          <t>Sveaskog</t>
        </is>
      </c>
      <c r="G983" t="n">
        <v>4</v>
      </c>
      <c r="H983" t="n">
        <v>0</v>
      </c>
      <c r="I983" t="n">
        <v>0</v>
      </c>
      <c r="J983" t="n">
        <v>0</v>
      </c>
      <c r="K983" t="n">
        <v>0</v>
      </c>
      <c r="L983" t="n">
        <v>0</v>
      </c>
      <c r="M983" t="n">
        <v>0</v>
      </c>
      <c r="N983" t="n">
        <v>0</v>
      </c>
      <c r="O983" t="n">
        <v>0</v>
      </c>
      <c r="P983" t="n">
        <v>0</v>
      </c>
      <c r="Q983" t="n">
        <v>0</v>
      </c>
      <c r="R983" s="2" t="inlineStr"/>
    </row>
    <row r="984" ht="15" customHeight="1">
      <c r="A984" t="inlineStr">
        <is>
          <t>A 31003-2025</t>
        </is>
      </c>
      <c r="B984" s="1" t="n">
        <v>45832.49579861111</v>
      </c>
      <c r="C984" s="1" t="n">
        <v>46176</v>
      </c>
      <c r="D984" t="inlineStr">
        <is>
          <t>ÖREBRO LÄN</t>
        </is>
      </c>
      <c r="E984" t="inlineStr">
        <is>
          <t>LINDESBERG</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31014-2025</t>
        </is>
      </c>
      <c r="B985" s="1" t="n">
        <v>45832.51028935185</v>
      </c>
      <c r="C985" s="1" t="n">
        <v>46176</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c r="A986" t="inlineStr">
        <is>
          <t>A 32284-2025</t>
        </is>
      </c>
      <c r="B986" s="1" t="n">
        <v>45835.68443287037</v>
      </c>
      <c r="C986" s="1" t="n">
        <v>46176</v>
      </c>
      <c r="D986" t="inlineStr">
        <is>
          <t>ÖREBRO LÄN</t>
        </is>
      </c>
      <c r="E986" t="inlineStr">
        <is>
          <t>LINDESBERG</t>
        </is>
      </c>
      <c r="G986" t="n">
        <v>1.1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2026-06-03T11:00:44Z</dcterms:created>
  <dcterms:modified xmlns:dcterms="http://purl.org/dc/terms/" xmlns:xsi="http://www.w3.org/2001/XMLSchema-instance" xsi:type="dcterms:W3CDTF">2026-06-03T11:00:45Z</dcterms:modified>
</cp:coreProperties>
</file>